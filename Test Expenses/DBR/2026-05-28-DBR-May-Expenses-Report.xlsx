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BR May 2026 Expen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<sst xmlns="http://schemas.openxmlformats.org/spreadsheetml/2006/main" count="322" uniqueCount="142">
  <si>
    <t xml:space="preserve">DBR MAY 2026 — EXPENSE REPORT</t>
  </si>
  <si>
    <t xml:space="preserve">Period: 27 May – 2 Jun 2026   |   Project: DBR</t>
  </si>
  <si>
    <t xml:space="preserve">Date</t>
  </si>
  <si>
    <t xml:space="preserve">Team Member</t>
  </si>
  <si>
    <t xml:space="preserve">Receipt File</t>
  </si>
  <si>
    <t xml:space="preserve">Supplier</t>
  </si>
  <si>
    <t xml:space="preserve">Category</t>
  </si>
  <si>
    <t xml:space="preserve">Currency</t>
  </si>
  <si>
    <t xml:space="preserve">Amount</t>
  </si>
  <si>
    <t xml:space="preserve">Notes</t>
  </si>
  <si>
    <t xml:space="preserve">27/05/2026</t>
  </si>
  <si>
    <t xml:space="preserve">2026-05-27_AREX_Travel.jpeg</t>
  </si>
  <si>
    <t xml:space="preserve">AREX</t>
  </si>
  <si>
    <t xml:space="preserve">Travel</t>
  </si>
  <si>
    <t xml:space="preserve">KRW</t>
  </si>
  <si>
    <t xml:space="preserve">Airport express: Incheon → Seoul Station</t>
  </si>
  <si>
    <t xml:space="preserve">2026-05-27_Seoul-Taxi_Travel.jpeg</t>
  </si>
  <si>
    <t xml:space="preserve">Seoul Taxi</t>
  </si>
  <si>
    <t xml:space="preserve">Local taxi, 3.95 km</t>
  </si>
  <si>
    <t xml:space="preserve">2026-05-27_Uber_Travel.jpeg</t>
  </si>
  <si>
    <t xml:space="preserve">Uber</t>
  </si>
  <si>
    <t xml:space="preserve">GBP</t>
  </si>
  <si>
    <t xml:space="preserve">UberX Priority ride</t>
  </si>
  <si>
    <t xml:space="preserve">2026-05-27_Uber-Heathrow_Travel.jpeg</t>
  </si>
  <si>
    <t xml:space="preserve">UberX Priority — drop off Heathrow Terminal</t>
  </si>
  <si>
    <t xml:space="preserve">2026-05-27_Seoul-Restaurant_Meals.jpeg</t>
  </si>
  <si>
    <t xml:space="preserve">Seoul Restaurant</t>
  </si>
  <si>
    <t xml:space="preserve">Meals</t>
  </si>
  <si>
    <t xml:space="preserve">Lunch — chicken &amp; soft drinks</t>
  </si>
  <si>
    <t xml:space="preserve">28/05/2026</t>
  </si>
  <si>
    <t xml:space="preserve">2026-05-28_McDonalds_Meals.jpeg</t>
  </si>
  <si>
    <t xml:space="preserve">McDonald's</t>
  </si>
  <si>
    <t xml:space="preserve">Breakfast</t>
  </si>
  <si>
    <t xml:space="preserve">2026-05-28_Starbucks_Meals.jpeg</t>
  </si>
  <si>
    <t xml:space="preserve">Starbucks</t>
  </si>
  <si>
    <t xml:space="preserve">Coffee — 2 drinks</t>
  </si>
  <si>
    <t xml:space="preserve">2026-05-28_Gwangjujip_Meals.jpeg</t>
  </si>
  <si>
    <r>
      <rPr>
        <sz val="10"/>
        <color rgb="FF000000"/>
        <rFont val="Arial"/>
        <family val="0"/>
        <charset val="1"/>
      </rPr>
      <t xml:space="preserve">Gwangjujip (</t>
    </r>
    <r>
      <rPr>
        <sz val="10"/>
        <color rgb="FF000000"/>
        <rFont val="DejaVu Sans"/>
        <family val="2"/>
      </rPr>
      <t xml:space="preserve">광주집</t>
    </r>
    <r>
      <rPr>
        <sz val="10"/>
        <color rgb="FF000000"/>
        <rFont val="Arial"/>
        <family val="0"/>
        <charset val="1"/>
      </rPr>
      <t xml:space="preserve">)</t>
    </r>
  </si>
  <si>
    <t xml:space="preserve">Dinner — Korean BBQ</t>
  </si>
  <si>
    <t xml:space="preserve">2026-05-28_AREX_Travel.jpeg</t>
  </si>
  <si>
    <t xml:space="preserve">Airport express: Incheon Airport T2 → Seoul</t>
  </si>
  <si>
    <t xml:space="preserve">2026-05-28_TeaStory_Meals.jpeg</t>
  </si>
  <si>
    <r>
      <rPr>
        <sz val="10"/>
        <color rgb="FF000000"/>
        <rFont val="Arial"/>
        <family val="0"/>
        <charset val="1"/>
      </rPr>
      <t xml:space="preserve">TeaStory (</t>
    </r>
    <r>
      <rPr>
        <sz val="10"/>
        <color rgb="FF000000"/>
        <rFont val="DejaVu Sans"/>
        <family val="2"/>
      </rPr>
      <t xml:space="preserve">타스토리</t>
    </r>
    <r>
      <rPr>
        <sz val="10"/>
        <color rgb="FF000000"/>
        <rFont val="Arial"/>
        <family val="0"/>
        <charset val="1"/>
      </rPr>
      <t xml:space="preserve">)</t>
    </r>
  </si>
  <si>
    <t xml:space="preserve">Coffee</t>
  </si>
  <si>
    <t xml:space="preserve">29/05/2026</t>
  </si>
  <si>
    <t xml:space="preserve">2026-05-29_Jayeondo-Sogumbang_Meals.jpeg</t>
  </si>
  <si>
    <r>
      <rPr>
        <sz val="10"/>
        <color rgb="FF000000"/>
        <rFont val="Arial"/>
        <family val="0"/>
        <charset val="1"/>
      </rPr>
      <t xml:space="preserve">Jayeondo Sogumbang (</t>
    </r>
    <r>
      <rPr>
        <sz val="10"/>
        <color rgb="FF000000"/>
        <rFont val="DejaVu Sans"/>
        <family val="2"/>
      </rPr>
      <t xml:space="preserve">자연도 소금빵</t>
    </r>
    <r>
      <rPr>
        <sz val="10"/>
        <color rgb="FF000000"/>
        <rFont val="Arial"/>
        <family val="0"/>
        <charset val="1"/>
      </rPr>
      <t xml:space="preserve">)</t>
    </r>
  </si>
  <si>
    <t xml:space="preserve">Salt bread bakery</t>
  </si>
  <si>
    <t xml:space="preserve">2026-05-29_CU_Meals.jpeg</t>
  </si>
  <si>
    <t xml:space="preserve">CU</t>
  </si>
  <si>
    <t xml:space="preserve">Convenience store</t>
  </si>
  <si>
    <t xml:space="preserve">2026-05-29_Line-Ikson_Meals.jpeg</t>
  </si>
  <si>
    <r>
      <rPr>
        <sz val="10"/>
        <color rgb="FF000000"/>
        <rFont val="Arial"/>
        <family val="0"/>
        <charset val="1"/>
      </rPr>
      <t xml:space="preserve">Line Ikson (</t>
    </r>
    <r>
      <rPr>
        <sz val="10"/>
        <color rgb="FF000000"/>
        <rFont val="DejaVu Sans"/>
        <family val="2"/>
      </rPr>
      <t xml:space="preserve">라인익선</t>
    </r>
    <r>
      <rPr>
        <sz val="10"/>
        <color rgb="FF000000"/>
        <rFont val="Arial"/>
        <family val="0"/>
        <charset val="1"/>
      </rPr>
      <t xml:space="preserve">)</t>
    </r>
  </si>
  <si>
    <t xml:space="preserve">Café — coffee &amp; pastries</t>
  </si>
  <si>
    <t xml:space="preserve">2026-05-29_Twosome-Place_Meals.jpeg</t>
  </si>
  <si>
    <t xml:space="preserve">A Twosome Place</t>
  </si>
  <si>
    <t xml:space="preserve">2026-05-29_Myeongdong-8S_Shopping.jpeg</t>
  </si>
  <si>
    <r>
      <rPr>
        <sz val="10"/>
        <color rgb="FF000000"/>
        <rFont val="Arial"/>
        <family val="0"/>
        <charset val="1"/>
      </rPr>
      <t xml:space="preserve">Myeongdong 8S (</t>
    </r>
    <r>
      <rPr>
        <sz val="10"/>
        <color rgb="FF000000"/>
        <rFont val="DejaVu Sans"/>
        <family val="2"/>
      </rPr>
      <t xml:space="preserve">명동</t>
    </r>
    <r>
      <rPr>
        <sz val="10"/>
        <color rgb="FF000000"/>
        <rFont val="Arial"/>
        <family val="0"/>
        <charset val="1"/>
      </rPr>
      <t xml:space="preserve">8S)</t>
    </r>
  </si>
  <si>
    <t xml:space="preserve">Shopping</t>
  </si>
  <si>
    <t xml:space="preserve">Clothing — pants</t>
  </si>
  <si>
    <t xml:space="preserve">2026-05-29_Ediya-Coffee_Meals.jpeg</t>
  </si>
  <si>
    <t xml:space="preserve">Ediya Coffee</t>
  </si>
  <si>
    <t xml:space="preserve">2026-05-29_Lee-Sik-Toast_Meals.jpeg</t>
  </si>
  <si>
    <r>
      <rPr>
        <sz val="10"/>
        <color rgb="FF000000"/>
        <rFont val="Arial"/>
        <family val="0"/>
        <charset val="1"/>
      </rPr>
      <t xml:space="preserve">Lee Sik Toast (</t>
    </r>
    <r>
      <rPr>
        <sz val="10"/>
        <color rgb="FF000000"/>
        <rFont val="DejaVu Sans"/>
        <family val="2"/>
      </rPr>
      <t xml:space="preserve">이식토스트</t>
    </r>
    <r>
      <rPr>
        <sz val="10"/>
        <color rgb="FF000000"/>
        <rFont val="Arial"/>
        <family val="0"/>
        <charset val="1"/>
      </rPr>
      <t xml:space="preserve">)</t>
    </r>
  </si>
  <si>
    <t xml:space="preserve">Toast &amp; snack</t>
  </si>
  <si>
    <t xml:space="preserve">2026-05-29_Burger-Wook_Meals.jpeg</t>
  </si>
  <si>
    <r>
      <rPr>
        <sz val="10"/>
        <color rgb="FF000000"/>
        <rFont val="Arial"/>
        <family val="0"/>
        <charset val="1"/>
      </rPr>
      <t xml:space="preserve">Burger Wook (</t>
    </r>
    <r>
      <rPr>
        <sz val="10"/>
        <color rgb="FF000000"/>
        <rFont val="DejaVu Sans"/>
        <family val="2"/>
      </rPr>
      <t xml:space="preserve">버거욱</t>
    </r>
    <r>
      <rPr>
        <sz val="10"/>
        <color rgb="FF000000"/>
        <rFont val="Arial"/>
        <family val="0"/>
        <charset val="1"/>
      </rPr>
      <t xml:space="preserve">)</t>
    </r>
  </si>
  <si>
    <t xml:space="preserve">Burger — lunch</t>
  </si>
  <si>
    <t xml:space="preserve">2026-05-29_7-Eleven_Meals.jpeg</t>
  </si>
  <si>
    <t xml:space="preserve">7-Eleven</t>
  </si>
  <si>
    <t xml:space="preserve">2026-05-29_7-Eleven_Meals_2.jpeg</t>
  </si>
  <si>
    <t xml:space="preserve">2026-05-29_Damsol-Ikson_Meals.jpeg</t>
  </si>
  <si>
    <r>
      <rPr>
        <sz val="10"/>
        <color rgb="FF000000"/>
        <rFont val="Arial"/>
        <family val="0"/>
        <charset val="1"/>
      </rPr>
      <t xml:space="preserve">Damsol Ikson (</t>
    </r>
    <r>
      <rPr>
        <sz val="10"/>
        <color rgb="FF000000"/>
        <rFont val="DejaVu Sans"/>
        <family val="2"/>
      </rPr>
      <t xml:space="preserve">담솔익선</t>
    </r>
    <r>
      <rPr>
        <sz val="10"/>
        <color rgb="FF000000"/>
        <rFont val="Arial"/>
        <family val="0"/>
        <charset val="1"/>
      </rPr>
      <t xml:space="preserve">)</t>
    </r>
  </si>
  <si>
    <t xml:space="preserve">Dinner — Korean pork BBQ</t>
  </si>
  <si>
    <t xml:space="preserve">2026-05-29_Burnt-Seoul_Meals.jpeg</t>
  </si>
  <si>
    <r>
      <rPr>
        <sz val="10"/>
        <color rgb="FF000000"/>
        <rFont val="Arial"/>
        <family val="0"/>
        <charset val="1"/>
      </rPr>
      <t xml:space="preserve">Burnt Seoul (</t>
    </r>
    <r>
      <rPr>
        <sz val="10"/>
        <color rgb="FF000000"/>
        <rFont val="DejaVu Sans"/>
        <family val="2"/>
      </rPr>
      <t xml:space="preserve">번트서울</t>
    </r>
    <r>
      <rPr>
        <sz val="10"/>
        <color rgb="FF000000"/>
        <rFont val="Arial"/>
        <family val="0"/>
        <charset val="1"/>
      </rPr>
      <t xml:space="preserve">)</t>
    </r>
  </si>
  <si>
    <t xml:space="preserve">2026-05-29_GS25_Meals.jpeg</t>
  </si>
  <si>
    <t xml:space="preserve">GS25</t>
  </si>
  <si>
    <t xml:space="preserve">2026-05-29_7-Eleven_Meals_3.jpeg</t>
  </si>
  <si>
    <t xml:space="preserve">30/05/2026</t>
  </si>
  <si>
    <t xml:space="preserve">2026-05-30_Niz-Burger_Meals.jpeg</t>
  </si>
  <si>
    <r>
      <rPr>
        <sz val="10"/>
        <color rgb="FF000000"/>
        <rFont val="Arial"/>
        <family val="0"/>
        <charset val="1"/>
      </rPr>
      <t xml:space="preserve">Niz Burger (</t>
    </r>
    <r>
      <rPr>
        <sz val="10"/>
        <color rgb="FF000000"/>
        <rFont val="DejaVu Sans"/>
        <family val="2"/>
      </rPr>
      <t xml:space="preserve">니즈버거</t>
    </r>
    <r>
      <rPr>
        <sz val="10"/>
        <color rgb="FF000000"/>
        <rFont val="Arial"/>
        <family val="0"/>
        <charset val="1"/>
      </rPr>
      <t xml:space="preserve">)</t>
    </r>
  </si>
  <si>
    <t xml:space="preserve">2026-05-30_Jeonsil-Chicken_Meals.jpeg</t>
  </si>
  <si>
    <r>
      <rPr>
        <sz val="10"/>
        <color rgb="FF000000"/>
        <rFont val="Arial"/>
        <family val="0"/>
        <charset val="1"/>
      </rPr>
      <t xml:space="preserve">Jeonsil Chicken (</t>
    </r>
    <r>
      <rPr>
        <sz val="10"/>
        <color rgb="FF000000"/>
        <rFont val="DejaVu Sans"/>
        <family val="2"/>
      </rPr>
      <t xml:space="preserve">전실의치킨</t>
    </r>
    <r>
      <rPr>
        <sz val="10"/>
        <color rgb="FF000000"/>
        <rFont val="Arial"/>
        <family val="0"/>
        <charset val="1"/>
      </rPr>
      <t xml:space="preserve">)</t>
    </r>
  </si>
  <si>
    <t xml:space="preserve">Chicken — dinner</t>
  </si>
  <si>
    <t xml:space="preserve">2026-05-30_Gyeongbokgung_Entertainment.jpeg</t>
  </si>
  <si>
    <r>
      <rPr>
        <sz val="10"/>
        <color rgb="FF000000"/>
        <rFont val="Arial"/>
        <family val="0"/>
        <charset val="1"/>
      </rPr>
      <t xml:space="preserve">Gyeongbokgung Palace (</t>
    </r>
    <r>
      <rPr>
        <sz val="10"/>
        <color rgb="FF000000"/>
        <rFont val="DejaVu Sans"/>
        <family val="2"/>
      </rPr>
      <t xml:space="preserve">경복궁</t>
    </r>
    <r>
      <rPr>
        <sz val="10"/>
        <color rgb="FF000000"/>
        <rFont val="Arial"/>
        <family val="0"/>
        <charset val="1"/>
      </rPr>
      <t xml:space="preserve">)</t>
    </r>
  </si>
  <si>
    <t xml:space="preserve">Entertainment</t>
  </si>
  <si>
    <t xml:space="preserve">Palace entrance ticket</t>
  </si>
  <si>
    <t xml:space="preserve">2026-05-30_7-Eleven_Meals.jpeg</t>
  </si>
  <si>
    <t xml:space="preserve">2026-05-30_GS25_Meals.jpeg</t>
  </si>
  <si>
    <t xml:space="preserve">2026-05-30_7-Eleven_Meals_2.jpeg</t>
  </si>
  <si>
    <t xml:space="preserve">2026-05-30_7-Eleven_Meals_3.jpeg</t>
  </si>
  <si>
    <t xml:space="preserve">2026-05-30_Nuno-2_Meals.jpeg</t>
  </si>
  <si>
    <r>
      <rPr>
        <sz val="10"/>
        <color rgb="FF000000"/>
        <rFont val="Arial"/>
        <family val="0"/>
        <charset val="1"/>
      </rPr>
      <t xml:space="preserve">Nuno 2.0 (</t>
    </r>
    <r>
      <rPr>
        <sz val="10"/>
        <color rgb="FF000000"/>
        <rFont val="DejaVu Sans"/>
        <family val="2"/>
      </rPr>
      <t xml:space="preserve">눈노</t>
    </r>
    <r>
      <rPr>
        <sz val="10"/>
        <color rgb="FF000000"/>
        <rFont val="Arial"/>
        <family val="0"/>
        <charset val="1"/>
      </rPr>
      <t xml:space="preserve">2.0)</t>
    </r>
  </si>
  <si>
    <t xml:space="preserve">Client dinner</t>
  </si>
  <si>
    <t xml:space="preserve">2026-05-30_Shakespeare_Meals.jpeg</t>
  </si>
  <si>
    <r>
      <rPr>
        <sz val="10"/>
        <color rgb="FF000000"/>
        <rFont val="Arial"/>
        <family val="0"/>
        <charset val="1"/>
      </rPr>
      <t xml:space="preserve">Shakespeare (</t>
    </r>
    <r>
      <rPr>
        <sz val="10"/>
        <color rgb="FF000000"/>
        <rFont val="DejaVu Sans"/>
        <family val="2"/>
      </rPr>
      <t xml:space="preserve">세익스비어</t>
    </r>
    <r>
      <rPr>
        <sz val="10"/>
        <color rgb="FF000000"/>
        <rFont val="Arial"/>
        <family val="0"/>
        <charset val="1"/>
      </rPr>
      <t xml:space="preserve">)</t>
    </r>
  </si>
  <si>
    <t xml:space="preserve">Bar — drinks</t>
  </si>
  <si>
    <t xml:space="preserve">2026-05-30_7-Eleven_Meals_4.jpeg</t>
  </si>
  <si>
    <t xml:space="preserve">31/05/2026</t>
  </si>
  <si>
    <t xml:space="preserve">2026-05-31_Dunkin_Meals.jpeg</t>
  </si>
  <si>
    <t xml:space="preserve">Dunkin'</t>
  </si>
  <si>
    <t xml:space="preserve">Breakfast — coffee &amp; food</t>
  </si>
  <si>
    <t xml:space="preserve">2026-05-31_Lotte-GRS_Meals.jpeg</t>
  </si>
  <si>
    <t xml:space="preserve">Lotte GRS</t>
  </si>
  <si>
    <t xml:space="preserve">2026-05-31_Lotte-GRS_Meals_2.jpeg</t>
  </si>
  <si>
    <t xml:space="preserve">2026-05-31_Starbucks_Meals.jpeg</t>
  </si>
  <si>
    <t xml:space="preserve">Coffee — 3 drinks</t>
  </si>
  <si>
    <t xml:space="preserve">2026-05-31_Lotte-Rental_Travel.jpeg</t>
  </si>
  <si>
    <r>
      <rPr>
        <sz val="10"/>
        <color rgb="FF000000"/>
        <rFont val="Arial"/>
        <family val="0"/>
        <charset val="1"/>
      </rPr>
      <t xml:space="preserve">Lotte Rental (</t>
    </r>
    <r>
      <rPr>
        <sz val="10"/>
        <color rgb="FF000000"/>
        <rFont val="DejaVu Sans"/>
        <family val="2"/>
      </rPr>
      <t xml:space="preserve">롯데렌탈</t>
    </r>
    <r>
      <rPr>
        <sz val="10"/>
        <color rgb="FF000000"/>
        <rFont val="Arial"/>
        <family val="0"/>
        <charset val="1"/>
      </rPr>
      <t xml:space="preserve">)</t>
    </r>
  </si>
  <si>
    <t xml:space="preserve">Car rental</t>
  </si>
  <si>
    <t xml:space="preserve">2026-05-31_Lotte-Mart-Maxx_Shopping.jpeg</t>
  </si>
  <si>
    <t xml:space="preserve">Lotte Mart Maxx</t>
  </si>
  <si>
    <t xml:space="preserve">Bulk grocery/supplies</t>
  </si>
  <si>
    <t xml:space="preserve">2026-05-31_Camel-Orzo_Meals.jpeg</t>
  </si>
  <si>
    <r>
      <rPr>
        <sz val="10"/>
        <color rgb="FF000000"/>
        <rFont val="Arial"/>
        <family val="0"/>
        <charset val="1"/>
      </rPr>
      <t xml:space="preserve">Camel Orzo (</t>
    </r>
    <r>
      <rPr>
        <sz val="10"/>
        <color rgb="FF000000"/>
        <rFont val="DejaVu Sans"/>
        <family val="2"/>
      </rPr>
      <t xml:space="preserve">카멜 오르조</t>
    </r>
    <r>
      <rPr>
        <sz val="10"/>
        <color rgb="FF000000"/>
        <rFont val="Arial"/>
        <family val="0"/>
        <charset val="1"/>
      </rPr>
      <t xml:space="preserve">)</t>
    </r>
  </si>
  <si>
    <t xml:space="preserve">Dinner</t>
  </si>
  <si>
    <t xml:space="preserve">2026-05-31_Pose-Gym_Other.jpeg</t>
  </si>
  <si>
    <r>
      <rPr>
        <sz val="10"/>
        <color rgb="FF000000"/>
        <rFont val="Arial"/>
        <family val="0"/>
        <charset val="1"/>
      </rPr>
      <t xml:space="preserve">Pose Gym (</t>
    </r>
    <r>
      <rPr>
        <sz val="10"/>
        <color rgb="FF000000"/>
        <rFont val="DejaVu Sans"/>
        <family val="2"/>
      </rPr>
      <t xml:space="preserve">포에스짐</t>
    </r>
    <r>
      <rPr>
        <sz val="10"/>
        <color rgb="FF000000"/>
        <rFont val="Arial"/>
        <family val="0"/>
        <charset val="1"/>
      </rPr>
      <t xml:space="preserve">)</t>
    </r>
  </si>
  <si>
    <t xml:space="preserve">Other</t>
  </si>
  <si>
    <t xml:space="preserve">Gym entry</t>
  </si>
  <si>
    <t xml:space="preserve">01/06/2026</t>
  </si>
  <si>
    <t xml:space="preserve">2026-06-01_Starbucks_Meals.jpeg</t>
  </si>
  <si>
    <t xml:space="preserve">2026-06-01_Starbucks_Meals_2.jpeg</t>
  </si>
  <si>
    <t xml:space="preserve">Coffee &amp; food — group</t>
  </si>
  <si>
    <t xml:space="preserve">2026-06-01_Starbucks_Meals_3.jpeg</t>
  </si>
  <si>
    <t xml:space="preserve">2026-06-01_Lotte-Mart-Maxx_Shopping.jpeg</t>
  </si>
  <si>
    <t xml:space="preserve">Desk fan</t>
  </si>
  <si>
    <t xml:space="preserve">2026-06-01_Emart24_Meals.jpeg</t>
  </si>
  <si>
    <t xml:space="preserve">Emart24</t>
  </si>
  <si>
    <t xml:space="preserve">02/06/2026</t>
  </si>
  <si>
    <t xml:space="preserve">2026-06-02_Gwangju-Chicken_Meals.jpeg</t>
  </si>
  <si>
    <r>
      <rPr>
        <sz val="10"/>
        <color rgb="FF000000"/>
        <rFont val="Arial"/>
        <family val="0"/>
        <charset val="1"/>
      </rPr>
      <t xml:space="preserve">Gwangju Chicken (</t>
    </r>
    <r>
      <rPr>
        <sz val="10"/>
        <color rgb="FF000000"/>
        <rFont val="DejaVu Sans"/>
        <family val="2"/>
      </rPr>
      <t xml:space="preserve">광주치킨명점</t>
    </r>
    <r>
      <rPr>
        <sz val="10"/>
        <color rgb="FF000000"/>
        <rFont val="Arial"/>
        <family val="0"/>
        <charset val="1"/>
      </rPr>
      <t xml:space="preserve">)</t>
    </r>
  </si>
  <si>
    <t xml:space="preserve">Dinner — chicken</t>
  </si>
  <si>
    <t xml:space="preserve">SUMMARY BY CATEGORY</t>
  </si>
  <si>
    <t xml:space="preserve">Total</t>
  </si>
  <si>
    <t xml:space="preserve">Total (KRW)</t>
  </si>
  <si>
    <t xml:space="preserve">Total (GBP)</t>
  </si>
  <si>
    <t xml:space="preserve">SUMMARY BY TEAM MEMBER</t>
  </si>
  <si>
    <t xml:space="preserve">Total KRW</t>
  </si>
  <si>
    <t xml:space="preserve">Total GBP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</si>
</sst>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CCCCC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0F3460"/>
        <bgColor rgb="FF1A1A2E"/>
      </patternFill>
    </fill>
    <fill>
      <patternFill patternType="solid">
        <fgColor rgb="FFE94560"/>
        <bgColor rgb="FF99336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99"/>
      <rgbColor rgb="FF969696"/>
      <rgbColor rgb="FF0F3460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42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9.5" hidden="false" customHeight="true" outlineLevel="0" collapsed="false">
      <c r="A4" s="4" t="s">
        <v>2</v>
      </c>
      <c r="B4" s="5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8" hidden="false" customHeight="true" outlineLevel="0" collapsed="false">
      <c r="A5" s="6" t="s">
        <v>10</v>
      </c>
      <c r="B5" s="7"/>
      <c r="C5" s="6" t="s">
        <v>11</v>
      </c>
      <c r="D5" s="6" t="s">
        <v>12</v>
      </c>
      <c r="E5" s="6" t="s">
        <v>13</v>
      </c>
      <c r="F5" s="6" t="s">
        <v>14</v>
      </c>
      <c r="G5" s="8" t="n">
        <v>28000</v>
      </c>
      <c r="H5" s="6" t="s">
        <v>15</v>
      </c>
    </row>
    <row r="6" customFormat="false" ht="18" hidden="false" customHeight="true" outlineLevel="0" collapsed="false">
      <c r="A6" s="9" t="s">
        <v>10</v>
      </c>
      <c r="B6" s="10"/>
      <c r="C6" s="9" t="s">
        <v>16</v>
      </c>
      <c r="D6" s="9" t="s">
        <v>17</v>
      </c>
      <c r="E6" s="9" t="s">
        <v>13</v>
      </c>
      <c r="F6" s="9" t="s">
        <v>14</v>
      </c>
      <c r="G6" s="11" t="n">
        <v>9500</v>
      </c>
      <c r="H6" s="9" t="s">
        <v>18</v>
      </c>
    </row>
    <row r="7" customFormat="false" ht="18" hidden="false" customHeight="true" outlineLevel="0" collapsed="false">
      <c r="A7" s="6" t="s">
        <v>10</v>
      </c>
      <c r="B7" s="7"/>
      <c r="C7" s="6" t="s">
        <v>19</v>
      </c>
      <c r="D7" s="6" t="s">
        <v>20</v>
      </c>
      <c r="E7" s="6" t="s">
        <v>13</v>
      </c>
      <c r="F7" s="6" t="s">
        <v>21</v>
      </c>
      <c r="G7" s="8" t="n">
        <v>17.98</v>
      </c>
      <c r="H7" s="6" t="s">
        <v>22</v>
      </c>
    </row>
    <row r="8" customFormat="false" ht="18" hidden="false" customHeight="true" outlineLevel="0" collapsed="false">
      <c r="A8" s="9" t="s">
        <v>10</v>
      </c>
      <c r="B8" s="10"/>
      <c r="C8" s="9" t="s">
        <v>23</v>
      </c>
      <c r="D8" s="9" t="s">
        <v>20</v>
      </c>
      <c r="E8" s="9" t="s">
        <v>13</v>
      </c>
      <c r="F8" s="9" t="s">
        <v>21</v>
      </c>
      <c r="G8" s="11" t="n">
        <v>30.98</v>
      </c>
      <c r="H8" s="9" t="s">
        <v>24</v>
      </c>
    </row>
    <row r="9" customFormat="false" ht="18" hidden="false" customHeight="true" outlineLevel="0" collapsed="false">
      <c r="A9" s="6" t="s">
        <v>10</v>
      </c>
      <c r="B9" s="7"/>
      <c r="C9" s="6" t="s">
        <v>25</v>
      </c>
      <c r="D9" s="6" t="s">
        <v>26</v>
      </c>
      <c r="E9" s="6" t="s">
        <v>27</v>
      </c>
      <c r="F9" s="6" t="s">
        <v>14</v>
      </c>
      <c r="G9" s="8" t="n">
        <v>44600</v>
      </c>
      <c r="H9" s="6" t="s">
        <v>28</v>
      </c>
    </row>
    <row r="10" customFormat="false" ht="18" hidden="false" customHeight="true" outlineLevel="0" collapsed="false">
      <c r="A10" s="9" t="s">
        <v>29</v>
      </c>
      <c r="B10" s="10"/>
      <c r="C10" s="9" t="s">
        <v>30</v>
      </c>
      <c r="D10" s="9" t="s">
        <v>31</v>
      </c>
      <c r="E10" s="9" t="s">
        <v>27</v>
      </c>
      <c r="F10" s="9" t="s">
        <v>14</v>
      </c>
      <c r="G10" s="11" t="n">
        <v>17900</v>
      </c>
      <c r="H10" s="9" t="s">
        <v>32</v>
      </c>
    </row>
    <row r="11" customFormat="false" ht="18" hidden="false" customHeight="true" outlineLevel="0" collapsed="false">
      <c r="A11" s="6" t="s">
        <v>29</v>
      </c>
      <c r="B11" s="7"/>
      <c r="C11" s="6" t="s">
        <v>33</v>
      </c>
      <c r="D11" s="6" t="s">
        <v>34</v>
      </c>
      <c r="E11" s="6" t="s">
        <v>27</v>
      </c>
      <c r="F11" s="6" t="s">
        <v>14</v>
      </c>
      <c r="G11" s="8" t="n">
        <v>14100</v>
      </c>
      <c r="H11" s="6" t="s">
        <v>35</v>
      </c>
    </row>
    <row r="12" customFormat="false" ht="18" hidden="false" customHeight="true" outlineLevel="0" collapsed="false">
      <c r="A12" s="9" t="s">
        <v>29</v>
      </c>
      <c r="B12" s="10"/>
      <c r="C12" s="9" t="s">
        <v>36</v>
      </c>
      <c r="D12" s="9" t="s">
        <v>37</v>
      </c>
      <c r="E12" s="9" t="s">
        <v>27</v>
      </c>
      <c r="F12" s="9" t="s">
        <v>14</v>
      </c>
      <c r="G12" s="11" t="n">
        <v>68000</v>
      </c>
      <c r="H12" s="9" t="s">
        <v>38</v>
      </c>
    </row>
    <row r="13" customFormat="false" ht="18" hidden="false" customHeight="true" outlineLevel="0" collapsed="false">
      <c r="A13" s="7" t="s">
        <v>29</v>
      </c>
      <c r="B13" s="7"/>
      <c r="C13" s="7" t="s">
        <v>39</v>
      </c>
      <c r="D13" s="7" t="s">
        <v>12</v>
      </c>
      <c r="E13" s="7" t="s">
        <v>13</v>
      </c>
      <c r="F13" s="7" t="s">
        <v>14</v>
      </c>
      <c r="G13" s="7" t="n">
        <v>5960</v>
      </c>
      <c r="H13" s="7" t="s">
        <v>40</v>
      </c>
    </row>
    <row r="14" customFormat="false" ht="18" hidden="false" customHeight="true" outlineLevel="0" collapsed="false">
      <c r="A14" s="10" t="s">
        <v>29</v>
      </c>
      <c r="B14" s="10"/>
      <c r="C14" s="10" t="s">
        <v>41</v>
      </c>
      <c r="D14" s="10" t="s">
        <v>42</v>
      </c>
      <c r="E14" s="10" t="s">
        <v>27</v>
      </c>
      <c r="F14" s="10" t="s">
        <v>14</v>
      </c>
      <c r="G14" s="10" t="n">
        <v>3500</v>
      </c>
      <c r="H14" s="10" t="s">
        <v>43</v>
      </c>
    </row>
    <row r="15" customFormat="false" ht="18" hidden="false" customHeight="true" outlineLevel="0" collapsed="false">
      <c r="A15" s="7" t="s">
        <v>29</v>
      </c>
      <c r="B15" s="7"/>
    </row>
    <row r="16" customFormat="false" ht="18" hidden="false" customHeight="true" outlineLevel="0" collapsed="false">
      <c r="A16" s="10" t="s">
        <v>44</v>
      </c>
      <c r="B16" s="10"/>
      <c r="C16" s="10" t="s">
        <v>45</v>
      </c>
      <c r="D16" s="10" t="s">
        <v>46</v>
      </c>
      <c r="E16" s="10" t="s">
        <v>27</v>
      </c>
      <c r="F16" s="10" t="s">
        <v>14</v>
      </c>
      <c r="G16" s="10" t="n">
        <v>12000</v>
      </c>
      <c r="H16" s="10" t="s">
        <v>47</v>
      </c>
    </row>
    <row r="17" customFormat="false" ht="18" hidden="false" customHeight="true" outlineLevel="0" collapsed="false">
      <c r="A17" s="7" t="s">
        <v>44</v>
      </c>
      <c r="B17" s="7"/>
      <c r="C17" s="7" t="s">
        <v>48</v>
      </c>
      <c r="D17" s="7" t="s">
        <v>49</v>
      </c>
      <c r="E17" s="7" t="s">
        <v>27</v>
      </c>
      <c r="F17" s="7" t="s">
        <v>14</v>
      </c>
      <c r="G17" s="7" t="n">
        <v>7700</v>
      </c>
      <c r="H17" s="7" t="s">
        <v>50</v>
      </c>
    </row>
    <row r="18" customFormat="false" ht="18" hidden="false" customHeight="true" outlineLevel="0" collapsed="false">
      <c r="A18" s="10" t="s">
        <v>44</v>
      </c>
      <c r="B18" s="10"/>
      <c r="C18" s="10" t="s">
        <v>51</v>
      </c>
      <c r="D18" s="10" t="s">
        <v>52</v>
      </c>
      <c r="E18" s="10" t="s">
        <v>27</v>
      </c>
      <c r="F18" s="10" t="s">
        <v>14</v>
      </c>
      <c r="G18" s="10" t="n">
        <v>30000</v>
      </c>
      <c r="H18" s="10" t="s">
        <v>53</v>
      </c>
    </row>
    <row r="19" customFormat="false" ht="18" hidden="false" customHeight="true" outlineLevel="0" collapsed="false">
      <c r="A19" s="7" t="s">
        <v>44</v>
      </c>
      <c r="B19" s="7"/>
      <c r="C19" s="7" t="s">
        <v>54</v>
      </c>
      <c r="D19" s="7" t="s">
        <v>55</v>
      </c>
      <c r="E19" s="7" t="s">
        <v>27</v>
      </c>
      <c r="F19" s="7" t="s">
        <v>14</v>
      </c>
      <c r="G19" s="7" t="n">
        <v>5800</v>
      </c>
      <c r="H19" s="7" t="s">
        <v>43</v>
      </c>
    </row>
    <row r="20" customFormat="false" ht="18" hidden="false" customHeight="true" outlineLevel="0" collapsed="false">
      <c r="A20" s="10" t="s">
        <v>44</v>
      </c>
      <c r="B20" s="10"/>
      <c r="C20" s="10" t="s">
        <v>56</v>
      </c>
      <c r="D20" s="10" t="s">
        <v>57</v>
      </c>
      <c r="E20" s="10" t="s">
        <v>58</v>
      </c>
      <c r="F20" s="10" t="s">
        <v>14</v>
      </c>
      <c r="G20" s="10" t="n">
        <v>59900</v>
      </c>
      <c r="H20" s="10" t="s">
        <v>59</v>
      </c>
    </row>
    <row r="21" customFormat="false" ht="18" hidden="false" customHeight="true" outlineLevel="0" collapsed="false">
      <c r="A21" s="7" t="s">
        <v>44</v>
      </c>
      <c r="B21" s="7"/>
      <c r="C21" s="7" t="s">
        <v>60</v>
      </c>
      <c r="D21" s="7" t="s">
        <v>61</v>
      </c>
      <c r="E21" s="7" t="s">
        <v>27</v>
      </c>
      <c r="F21" s="7" t="s">
        <v>14</v>
      </c>
      <c r="G21" s="7" t="n">
        <v>4200</v>
      </c>
      <c r="H21" s="7" t="s">
        <v>43</v>
      </c>
    </row>
    <row r="22" customFormat="false" ht="18" hidden="false" customHeight="true" outlineLevel="0" collapsed="false">
      <c r="A22" s="10" t="s">
        <v>44</v>
      </c>
      <c r="B22" s="10"/>
      <c r="C22" s="10" t="s">
        <v>62</v>
      </c>
      <c r="D22" s="10" t="s">
        <v>63</v>
      </c>
      <c r="E22" s="10" t="s">
        <v>27</v>
      </c>
      <c r="F22" s="10" t="s">
        <v>14</v>
      </c>
      <c r="G22" s="10" t="n">
        <v>5500</v>
      </c>
      <c r="H22" s="10" t="s">
        <v>64</v>
      </c>
    </row>
    <row r="23" customFormat="false" ht="18" hidden="false" customHeight="true" outlineLevel="0" collapsed="false">
      <c r="A23" s="7" t="s">
        <v>44</v>
      </c>
      <c r="B23" s="7"/>
      <c r="C23" s="7" t="s">
        <v>65</v>
      </c>
      <c r="D23" s="7" t="s">
        <v>66</v>
      </c>
      <c r="E23" s="7" t="s">
        <v>27</v>
      </c>
      <c r="F23" s="7" t="s">
        <v>14</v>
      </c>
      <c r="G23" s="7" t="n">
        <v>9900</v>
      </c>
      <c r="H23" s="7" t="s">
        <v>67</v>
      </c>
    </row>
    <row r="24" customFormat="false" ht="18" hidden="false" customHeight="true" outlineLevel="0" collapsed="false">
      <c r="A24" s="10" t="s">
        <v>44</v>
      </c>
      <c r="B24" s="10"/>
      <c r="C24" s="10" t="s">
        <v>68</v>
      </c>
      <c r="D24" s="10" t="s">
        <v>69</v>
      </c>
      <c r="E24" s="10" t="s">
        <v>27</v>
      </c>
      <c r="F24" s="10" t="s">
        <v>14</v>
      </c>
      <c r="G24" s="10" t="n">
        <v>5000</v>
      </c>
      <c r="H24" s="10" t="s">
        <v>50</v>
      </c>
    </row>
    <row r="25" customFormat="false" ht="18" hidden="false" customHeight="true" outlineLevel="0" collapsed="false">
      <c r="A25" s="7" t="s">
        <v>44</v>
      </c>
      <c r="B25" s="7"/>
      <c r="C25" s="7" t="s">
        <v>70</v>
      </c>
      <c r="D25" s="7" t="s">
        <v>69</v>
      </c>
      <c r="E25" s="7" t="s">
        <v>27</v>
      </c>
      <c r="F25" s="7" t="s">
        <v>14</v>
      </c>
      <c r="G25" s="7" t="n">
        <v>2600</v>
      </c>
      <c r="H25" s="7" t="s">
        <v>50</v>
      </c>
    </row>
    <row r="26" customFormat="false" ht="18" hidden="false" customHeight="true" outlineLevel="0" collapsed="false">
      <c r="A26" s="10" t="s">
        <v>44</v>
      </c>
      <c r="B26" s="10"/>
      <c r="C26" s="10" t="s">
        <v>71</v>
      </c>
      <c r="D26" s="10" t="s">
        <v>72</v>
      </c>
      <c r="E26" s="10" t="s">
        <v>27</v>
      </c>
      <c r="F26" s="10" t="s">
        <v>14</v>
      </c>
      <c r="G26" s="10" t="n">
        <v>55000</v>
      </c>
      <c r="H26" s="10" t="s">
        <v>73</v>
      </c>
    </row>
    <row r="27" customFormat="false" ht="18" hidden="false" customHeight="true" outlineLevel="0" collapsed="false">
      <c r="A27" s="7" t="s">
        <v>44</v>
      </c>
      <c r="B27" s="7"/>
      <c r="C27" s="7" t="s">
        <v>74</v>
      </c>
      <c r="D27" s="7" t="s">
        <v>75</v>
      </c>
      <c r="E27" s="7" t="s">
        <v>27</v>
      </c>
      <c r="F27" s="7" t="s">
        <v>14</v>
      </c>
      <c r="G27" s="7" t="n">
        <v>7000</v>
      </c>
      <c r="H27" s="7" t="s">
        <v>43</v>
      </c>
    </row>
    <row r="28" customFormat="false" ht="18" hidden="false" customHeight="true" outlineLevel="0" collapsed="false">
      <c r="A28" s="10" t="s">
        <v>44</v>
      </c>
      <c r="B28" s="10"/>
      <c r="C28" s="10" t="s">
        <v>76</v>
      </c>
      <c r="D28" s="10" t="s">
        <v>77</v>
      </c>
      <c r="E28" s="10" t="s">
        <v>27</v>
      </c>
      <c r="F28" s="10" t="s">
        <v>14</v>
      </c>
      <c r="G28" s="10" t="n">
        <v>2200</v>
      </c>
      <c r="H28" s="10" t="s">
        <v>50</v>
      </c>
    </row>
    <row r="29" customFormat="false" ht="18" hidden="false" customHeight="true" outlineLevel="0" collapsed="false">
      <c r="A29" s="7" t="s">
        <v>44</v>
      </c>
      <c r="B29" s="7"/>
      <c r="C29" s="7" t="s">
        <v>78</v>
      </c>
      <c r="D29" s="7" t="s">
        <v>69</v>
      </c>
      <c r="E29" s="7" t="s">
        <v>27</v>
      </c>
      <c r="F29" s="7" t="s">
        <v>14</v>
      </c>
      <c r="G29" s="7" t="n">
        <v>7600</v>
      </c>
      <c r="H29" s="7" t="s">
        <v>50</v>
      </c>
    </row>
    <row r="30" customFormat="false" ht="18" hidden="false" customHeight="true" outlineLevel="0" collapsed="false">
      <c r="A30" s="10" t="s">
        <v>79</v>
      </c>
      <c r="B30" s="10"/>
      <c r="C30" s="10" t="s">
        <v>80</v>
      </c>
      <c r="D30" s="10" t="s">
        <v>81</v>
      </c>
      <c r="E30" s="10" t="s">
        <v>27</v>
      </c>
      <c r="F30" s="10" t="s">
        <v>14</v>
      </c>
      <c r="G30" s="10" t="n">
        <v>17600</v>
      </c>
      <c r="H30" s="10" t="s">
        <v>67</v>
      </c>
    </row>
    <row r="31" customFormat="false" ht="18" hidden="false" customHeight="true" outlineLevel="0" collapsed="false">
      <c r="A31" s="7" t="s">
        <v>79</v>
      </c>
      <c r="B31" s="7"/>
      <c r="C31" s="7" t="s">
        <v>82</v>
      </c>
      <c r="D31" s="7" t="s">
        <v>83</v>
      </c>
      <c r="E31" s="7" t="s">
        <v>27</v>
      </c>
      <c r="F31" s="7" t="s">
        <v>14</v>
      </c>
      <c r="G31" s="7" t="n">
        <v>26000</v>
      </c>
      <c r="H31" s="7" t="s">
        <v>84</v>
      </c>
    </row>
    <row r="32" customFormat="false" ht="18" hidden="false" customHeight="true" outlineLevel="0" collapsed="false">
      <c r="A32" s="10" t="s">
        <v>79</v>
      </c>
      <c r="B32" s="10"/>
      <c r="C32" s="10" t="s">
        <v>85</v>
      </c>
      <c r="D32" s="10" t="s">
        <v>86</v>
      </c>
      <c r="E32" s="10" t="s">
        <v>87</v>
      </c>
      <c r="F32" s="10" t="s">
        <v>14</v>
      </c>
      <c r="G32" s="10" t="n">
        <v>6000</v>
      </c>
      <c r="H32" s="10" t="s">
        <v>88</v>
      </c>
    </row>
    <row r="33" customFormat="false" ht="18" hidden="false" customHeight="true" outlineLevel="0" collapsed="false">
      <c r="A33" s="7" t="s">
        <v>79</v>
      </c>
      <c r="B33" s="7"/>
      <c r="C33" s="7" t="s">
        <v>89</v>
      </c>
      <c r="D33" s="7" t="s">
        <v>69</v>
      </c>
      <c r="E33" s="7" t="s">
        <v>27</v>
      </c>
      <c r="F33" s="7" t="s">
        <v>14</v>
      </c>
      <c r="G33" s="7" t="n">
        <v>2600</v>
      </c>
      <c r="H33" s="7" t="s">
        <v>50</v>
      </c>
    </row>
    <row r="34" customFormat="false" ht="18" hidden="false" customHeight="true" outlineLevel="0" collapsed="false">
      <c r="A34" s="10" t="s">
        <v>79</v>
      </c>
      <c r="B34" s="10"/>
      <c r="C34" s="10" t="s">
        <v>90</v>
      </c>
      <c r="D34" s="10" t="s">
        <v>77</v>
      </c>
      <c r="E34" s="10" t="s">
        <v>27</v>
      </c>
      <c r="F34" s="10" t="s">
        <v>14</v>
      </c>
      <c r="G34" s="10" t="n">
        <v>6200</v>
      </c>
      <c r="H34" s="10" t="s">
        <v>50</v>
      </c>
    </row>
    <row r="35" customFormat="false" ht="18" hidden="false" customHeight="true" outlineLevel="0" collapsed="false">
      <c r="A35" s="7" t="s">
        <v>79</v>
      </c>
      <c r="B35" s="7"/>
      <c r="C35" s="7" t="s">
        <v>91</v>
      </c>
      <c r="D35" s="7" t="s">
        <v>69</v>
      </c>
      <c r="E35" s="7" t="s">
        <v>27</v>
      </c>
      <c r="F35" s="7" t="s">
        <v>14</v>
      </c>
      <c r="G35" s="7" t="n">
        <v>6600</v>
      </c>
      <c r="H35" s="7" t="s">
        <v>50</v>
      </c>
    </row>
    <row r="36" customFormat="false" ht="18" hidden="false" customHeight="true" outlineLevel="0" collapsed="false">
      <c r="A36" s="10" t="s">
        <v>79</v>
      </c>
      <c r="B36" s="10"/>
      <c r="C36" s="10" t="s">
        <v>92</v>
      </c>
      <c r="D36" s="10" t="s">
        <v>69</v>
      </c>
      <c r="E36" s="10" t="s">
        <v>27</v>
      </c>
      <c r="F36" s="10" t="s">
        <v>14</v>
      </c>
      <c r="G36" s="10" t="n">
        <v>4000</v>
      </c>
      <c r="H36" s="10" t="s">
        <v>50</v>
      </c>
    </row>
    <row r="37" customFormat="false" ht="18" hidden="false" customHeight="true" outlineLevel="0" collapsed="false">
      <c r="A37" s="7" t="s">
        <v>79</v>
      </c>
      <c r="B37" s="7"/>
      <c r="C37" s="7" t="s">
        <v>93</v>
      </c>
      <c r="D37" s="7" t="s">
        <v>94</v>
      </c>
      <c r="E37" s="7" t="s">
        <v>27</v>
      </c>
      <c r="F37" s="7" t="s">
        <v>14</v>
      </c>
      <c r="G37" s="7" t="n">
        <v>165000</v>
      </c>
      <c r="H37" s="7" t="s">
        <v>95</v>
      </c>
    </row>
    <row r="38" customFormat="false" ht="18" hidden="false" customHeight="true" outlineLevel="0" collapsed="false">
      <c r="A38" s="10" t="s">
        <v>79</v>
      </c>
      <c r="B38" s="10"/>
      <c r="C38" s="10" t="s">
        <v>96</v>
      </c>
      <c r="D38" s="10" t="s">
        <v>97</v>
      </c>
      <c r="E38" s="10" t="s">
        <v>27</v>
      </c>
      <c r="F38" s="10" t="s">
        <v>14</v>
      </c>
      <c r="G38" s="10" t="n">
        <v>9900</v>
      </c>
      <c r="H38" s="10" t="s">
        <v>98</v>
      </c>
    </row>
    <row r="39" customFormat="false" ht="18" hidden="false" customHeight="true" outlineLevel="0" collapsed="false">
      <c r="A39" s="7" t="s">
        <v>79</v>
      </c>
      <c r="B39" s="7"/>
      <c r="C39" s="7" t="s">
        <v>99</v>
      </c>
      <c r="D39" s="7" t="s">
        <v>69</v>
      </c>
      <c r="E39" s="7" t="s">
        <v>27</v>
      </c>
      <c r="F39" s="7" t="s">
        <v>14</v>
      </c>
      <c r="G39" s="7" t="n">
        <v>6500</v>
      </c>
      <c r="H39" s="7" t="s">
        <v>50</v>
      </c>
    </row>
    <row r="40" customFormat="false" ht="18" hidden="false" customHeight="true" outlineLevel="0" collapsed="false">
      <c r="A40" s="10" t="s">
        <v>100</v>
      </c>
      <c r="B40" s="10"/>
      <c r="C40" s="10" t="s">
        <v>101</v>
      </c>
      <c r="D40" s="10" t="s">
        <v>102</v>
      </c>
      <c r="E40" s="10" t="s">
        <v>27</v>
      </c>
      <c r="F40" s="10" t="s">
        <v>14</v>
      </c>
      <c r="G40" s="10" t="n">
        <v>24700</v>
      </c>
      <c r="H40" s="10" t="s">
        <v>103</v>
      </c>
    </row>
    <row r="41" customFormat="false" ht="18" hidden="false" customHeight="true" outlineLevel="0" collapsed="false">
      <c r="A41" s="7" t="s">
        <v>100</v>
      </c>
      <c r="B41" s="7"/>
      <c r="C41" s="7" t="s">
        <v>104</v>
      </c>
      <c r="D41" s="7" t="s">
        <v>105</v>
      </c>
      <c r="E41" s="7" t="s">
        <v>27</v>
      </c>
      <c r="F41" s="7" t="s">
        <v>14</v>
      </c>
      <c r="G41" s="7" t="n">
        <v>7000</v>
      </c>
      <c r="H41" s="7" t="s">
        <v>67</v>
      </c>
    </row>
    <row r="42" customFormat="false" ht="18" hidden="false" customHeight="true" outlineLevel="0" collapsed="false">
      <c r="A42" s="10" t="s">
        <v>100</v>
      </c>
      <c r="B42" s="10"/>
      <c r="C42" s="10" t="s">
        <v>106</v>
      </c>
      <c r="D42" s="10" t="s">
        <v>105</v>
      </c>
      <c r="E42" s="10" t="s">
        <v>27</v>
      </c>
      <c r="F42" s="10" t="s">
        <v>14</v>
      </c>
      <c r="G42" s="10" t="n">
        <v>9800</v>
      </c>
      <c r="H42" s="10" t="s">
        <v>67</v>
      </c>
    </row>
    <row r="43" customFormat="false" ht="18" hidden="false" customHeight="true" outlineLevel="0" collapsed="false">
      <c r="A43" s="7" t="s">
        <v>100</v>
      </c>
      <c r="B43" s="7"/>
      <c r="C43" s="7" t="s">
        <v>107</v>
      </c>
      <c r="D43" s="7" t="s">
        <v>34</v>
      </c>
      <c r="E43" s="7" t="s">
        <v>27</v>
      </c>
      <c r="F43" s="7" t="s">
        <v>14</v>
      </c>
      <c r="G43" s="7" t="n">
        <v>18100</v>
      </c>
      <c r="H43" s="7" t="s">
        <v>108</v>
      </c>
    </row>
    <row r="44" customFormat="false" ht="18" hidden="false" customHeight="true" outlineLevel="0" collapsed="false">
      <c r="A44" s="10" t="s">
        <v>100</v>
      </c>
      <c r="B44" s="10"/>
      <c r="C44" s="10" t="s">
        <v>109</v>
      </c>
      <c r="D44" s="10" t="s">
        <v>110</v>
      </c>
      <c r="E44" s="10" t="s">
        <v>13</v>
      </c>
      <c r="F44" s="10" t="s">
        <v>14</v>
      </c>
      <c r="G44" s="10" t="n">
        <v>1644000</v>
      </c>
      <c r="H44" s="10" t="s">
        <v>111</v>
      </c>
    </row>
    <row r="45" customFormat="false" ht="18" hidden="false" customHeight="true" outlineLevel="0" collapsed="false">
      <c r="A45" s="7" t="s">
        <v>100</v>
      </c>
      <c r="B45" s="7"/>
      <c r="C45" s="7" t="s">
        <v>112</v>
      </c>
      <c r="D45" s="7" t="s">
        <v>113</v>
      </c>
      <c r="E45" s="7" t="s">
        <v>58</v>
      </c>
      <c r="F45" s="7" t="s">
        <v>14</v>
      </c>
      <c r="G45" s="7" t="n">
        <v>192950</v>
      </c>
      <c r="H45" s="7" t="s">
        <v>114</v>
      </c>
    </row>
    <row r="46" customFormat="false" ht="18" hidden="false" customHeight="true" outlineLevel="0" collapsed="false">
      <c r="A46" s="10" t="s">
        <v>100</v>
      </c>
      <c r="B46" s="10"/>
      <c r="C46" s="10" t="s">
        <v>115</v>
      </c>
      <c r="D46" s="10" t="s">
        <v>116</v>
      </c>
      <c r="E46" s="10" t="s">
        <v>27</v>
      </c>
      <c r="F46" s="10" t="s">
        <v>14</v>
      </c>
      <c r="G46" s="10" t="n">
        <v>73000</v>
      </c>
      <c r="H46" s="10" t="s">
        <v>117</v>
      </c>
    </row>
    <row r="47" customFormat="false" ht="18" hidden="false" customHeight="true" outlineLevel="0" collapsed="false">
      <c r="A47" s="7" t="s">
        <v>100</v>
      </c>
      <c r="B47" s="7"/>
      <c r="C47" s="7" t="s">
        <v>118</v>
      </c>
      <c r="D47" s="7" t="s">
        <v>119</v>
      </c>
      <c r="E47" s="7" t="s">
        <v>120</v>
      </c>
      <c r="F47" s="7" t="s">
        <v>14</v>
      </c>
      <c r="G47" s="7" t="n">
        <v>11000</v>
      </c>
      <c r="H47" s="7" t="s">
        <v>121</v>
      </c>
    </row>
    <row r="48" customFormat="false" ht="18" hidden="false" customHeight="true" outlineLevel="0" collapsed="false">
      <c r="A48" s="10" t="s">
        <v>122</v>
      </c>
      <c r="B48" s="10"/>
      <c r="C48" s="10" t="s">
        <v>123</v>
      </c>
      <c r="D48" s="10" t="s">
        <v>34</v>
      </c>
      <c r="E48" s="10" t="s">
        <v>27</v>
      </c>
      <c r="F48" s="10" t="s">
        <v>14</v>
      </c>
      <c r="G48" s="10" t="n">
        <v>5900</v>
      </c>
      <c r="H48" s="10" t="s">
        <v>43</v>
      </c>
    </row>
    <row r="49" customFormat="false" ht="18" hidden="false" customHeight="true" outlineLevel="0" collapsed="false">
      <c r="A49" s="7" t="s">
        <v>122</v>
      </c>
      <c r="B49" s="7"/>
      <c r="C49" s="7" t="s">
        <v>124</v>
      </c>
      <c r="D49" s="7" t="s">
        <v>34</v>
      </c>
      <c r="E49" s="7" t="s">
        <v>27</v>
      </c>
      <c r="F49" s="7" t="s">
        <v>14</v>
      </c>
      <c r="G49" s="7" t="n">
        <v>28300</v>
      </c>
      <c r="H49" s="7" t="s">
        <v>125</v>
      </c>
    </row>
    <row r="50" customFormat="false" ht="18" hidden="false" customHeight="true" outlineLevel="0" collapsed="false">
      <c r="A50" s="10" t="s">
        <v>122</v>
      </c>
      <c r="B50" s="10"/>
      <c r="C50" s="10" t="s">
        <v>126</v>
      </c>
      <c r="D50" s="10" t="s">
        <v>34</v>
      </c>
      <c r="E50" s="10" t="s">
        <v>27</v>
      </c>
      <c r="F50" s="10" t="s">
        <v>14</v>
      </c>
      <c r="G50" s="10" t="n">
        <v>8800</v>
      </c>
      <c r="H50" s="10" t="s">
        <v>43</v>
      </c>
    </row>
    <row r="51" customFormat="false" ht="18" hidden="false" customHeight="true" outlineLevel="0" collapsed="false">
      <c r="A51" s="7" t="s">
        <v>122</v>
      </c>
      <c r="B51" s="7"/>
      <c r="C51" s="7" t="s">
        <v>127</v>
      </c>
      <c r="D51" s="7" t="s">
        <v>113</v>
      </c>
      <c r="E51" s="7" t="s">
        <v>58</v>
      </c>
      <c r="F51" s="7" t="s">
        <v>14</v>
      </c>
      <c r="G51" s="7" t="n">
        <v>35800</v>
      </c>
      <c r="H51" s="7" t="s">
        <v>128</v>
      </c>
    </row>
    <row r="52" customFormat="false" ht="18" hidden="false" customHeight="true" outlineLevel="0" collapsed="false">
      <c r="A52" s="10" t="s">
        <v>122</v>
      </c>
      <c r="B52" s="10"/>
      <c r="C52" s="10" t="s">
        <v>129</v>
      </c>
      <c r="D52" s="10" t="s">
        <v>130</v>
      </c>
      <c r="E52" s="10" t="s">
        <v>27</v>
      </c>
      <c r="F52" s="10" t="s">
        <v>14</v>
      </c>
      <c r="G52" s="10" t="n">
        <v>9000</v>
      </c>
      <c r="H52" s="10" t="s">
        <v>50</v>
      </c>
    </row>
    <row r="53" customFormat="false" ht="18" hidden="false" customHeight="true" outlineLevel="0" collapsed="false">
      <c r="A53" s="7" t="s">
        <v>131</v>
      </c>
      <c r="B53" s="7"/>
      <c r="C53" s="7" t="s">
        <v>132</v>
      </c>
      <c r="D53" s="7" t="s">
        <v>133</v>
      </c>
      <c r="E53" s="7" t="s">
        <v>27</v>
      </c>
      <c r="F53" s="7" t="s">
        <v>14</v>
      </c>
      <c r="G53" s="7" t="n">
        <v>106500</v>
      </c>
      <c r="H53" s="7" t="s">
        <v>134</v>
      </c>
    </row>
    <row r="55" customFormat="false" ht="15" hidden="false" customHeight="true" outlineLevel="0" collapsed="false">
      <c r="A55" s="12" t="s">
        <v>135</v>
      </c>
      <c r="B55" s="12"/>
      <c r="C55" s="12"/>
      <c r="D55" s="12"/>
      <c r="E55" s="12"/>
      <c r="F55" s="12"/>
      <c r="G55" s="12"/>
      <c r="H55" s="12"/>
    </row>
    <row r="56" customFormat="false" ht="15" hidden="false" customHeight="true" outlineLevel="0" collapsed="false">
      <c r="A56" s="13" t="s">
        <v>6</v>
      </c>
      <c r="C56" s="13" t="s">
        <v>7</v>
      </c>
      <c r="D56" s="13" t="s">
        <v>136</v>
      </c>
    </row>
    <row r="57" customFormat="false" ht="18" hidden="false" customHeight="true" outlineLevel="0" collapsed="false">
      <c r="A57" s="14" t="s">
        <v>13</v>
      </c>
      <c r="C57" s="14" t="n">
        <f aca="false">SUMIFS($G$5:$G$53,$E$5:$E$53,"Travel",$F$5:$F$53,"KRW")</f>
        <v>1687460</v>
      </c>
      <c r="D57" s="15" t="n">
        <f aca="false">SUMIFS($F$5:$F$52,$D$5:$D$52,"Travel",$E$5:$E$52,"KRW")</f>
        <v>0</v>
      </c>
      <c r="E57" s="16"/>
      <c r="F57" s="16"/>
      <c r="G57" s="16"/>
      <c r="H57" s="16"/>
    </row>
    <row r="58" customFormat="false" ht="18" hidden="false" customHeight="true" outlineLevel="0" collapsed="false">
      <c r="A58" s="14" t="s">
        <v>13</v>
      </c>
      <c r="C58" s="14" t="n">
        <f aca="false">SUMIFS($G$5:$G$53,$E$5:$E$53,"Travel",$F$5:$F$53,"GBP")</f>
        <v>48.96</v>
      </c>
      <c r="D58" s="15" t="n">
        <f aca="false">SUMIFS($F$5:$F$52,$D$5:$D$52,"Travel",$E$5:$E$52,"GBP")</f>
        <v>0</v>
      </c>
      <c r="E58" s="16"/>
      <c r="F58" s="16"/>
      <c r="G58" s="16"/>
      <c r="H58" s="16"/>
    </row>
    <row r="59" customFormat="false" ht="18" hidden="false" customHeight="true" outlineLevel="0" collapsed="false">
      <c r="A59" s="14" t="s">
        <v>27</v>
      </c>
      <c r="C59" s="14" t="n">
        <f aca="false">SUMIFS($G$5:$G$53,$E$5:$E$53,"Meals",$F$5:$F$53,"KRW")</f>
        <v>838100</v>
      </c>
      <c r="D59" s="15" t="n">
        <f aca="false">SUMIFS($F$5:$F$52,$D$5:$D$52,"Meals",$E$5:$E$52,"KRW")</f>
        <v>0</v>
      </c>
      <c r="E59" s="16"/>
      <c r="F59" s="16"/>
      <c r="G59" s="16"/>
      <c r="H59" s="16"/>
    </row>
    <row r="60" customFormat="false" ht="18" hidden="false" customHeight="true" outlineLevel="0" collapsed="false">
      <c r="A60" s="16" t="s">
        <v>58</v>
      </c>
      <c r="C60" s="16" t="n">
        <f aca="false">SUMIFS($G$5:$G$53,$E$5:$E$53,"Shopping",$F$5:$F$53,"KRW")</f>
        <v>288650</v>
      </c>
      <c r="D60" s="16" t="n">
        <f aca="false">SUMIFS($F$5:$F$52,$D$5:$D$52,"Shopping",$E$5:$E$52,"KRW")</f>
        <v>0</v>
      </c>
      <c r="E60" s="16"/>
      <c r="F60" s="16"/>
      <c r="G60" s="16"/>
      <c r="H60" s="16"/>
    </row>
    <row r="61" customFormat="false" ht="18" hidden="false" customHeight="true" outlineLevel="0" collapsed="false">
      <c r="A61" s="16" t="s">
        <v>87</v>
      </c>
      <c r="C61" s="16" t="n">
        <f aca="false">SUMIFS($G$5:$G$53,$E$5:$E$53,"Entertainment",$F$5:$F$53,"KRW")</f>
        <v>6000</v>
      </c>
      <c r="D61" s="16" t="n">
        <f aca="false">SUMIFS($F$5:$F$52,$D$5:$D$52,"Entertainment",$E$5:$E$52,"KRW")</f>
        <v>0</v>
      </c>
      <c r="E61" s="16"/>
      <c r="F61" s="16"/>
      <c r="G61" s="16"/>
      <c r="H61" s="16"/>
    </row>
    <row r="62" customFormat="false" ht="18" hidden="false" customHeight="true" outlineLevel="0" collapsed="false">
      <c r="A62" s="16" t="s">
        <v>120</v>
      </c>
      <c r="C62" s="16" t="n">
        <f aca="false">SUMIFS($G$5:$G$53,$E$5:$E$53,"Other",$F$5:$F$53,"KRW")</f>
        <v>11000</v>
      </c>
      <c r="D62" s="16" t="n">
        <f aca="false">SUMIFS($F$5:$F$52,$D$5:$D$52,"Other",$E$5:$E$52,"KRW")</f>
        <v>0</v>
      </c>
      <c r="E62" s="16"/>
      <c r="F62" s="16"/>
      <c r="G62" s="16"/>
      <c r="H62" s="16"/>
    </row>
    <row r="64" customFormat="false" ht="21.75" hidden="false" customHeight="true" outlineLevel="0" collapsed="false">
      <c r="A64" s="17" t="s">
        <v>137</v>
      </c>
      <c r="B64" s="17"/>
      <c r="C64" s="1" t="n">
        <f aca="false">C57+C59+C60+C61+C62</f>
        <v>2831210</v>
      </c>
      <c r="D64" s="18" t="n">
        <f aca="false">C57+C59+C60+C61+C62</f>
        <v>2831210</v>
      </c>
      <c r="E64" s="19"/>
      <c r="F64" s="19"/>
      <c r="G64" s="19"/>
      <c r="H64" s="19"/>
    </row>
    <row r="65" customFormat="false" ht="21.75" hidden="false" customHeight="true" outlineLevel="0" collapsed="false">
      <c r="A65" s="17" t="s">
        <v>138</v>
      </c>
      <c r="B65" s="17"/>
      <c r="C65" s="1" t="n">
        <f aca="false">C58</f>
        <v>48.96</v>
      </c>
      <c r="D65" s="18" t="n">
        <f aca="false">C58</f>
        <v>48.96</v>
      </c>
      <c r="E65" s="19"/>
      <c r="F65" s="19"/>
      <c r="G65" s="19"/>
      <c r="H65" s="19"/>
    </row>
    <row r="68" customFormat="false" ht="21.75" hidden="false" customHeight="true" outlineLevel="0" collapsed="false">
      <c r="A68" s="20" t="s">
        <v>139</v>
      </c>
      <c r="B68" s="20"/>
      <c r="C68" s="20"/>
      <c r="D68" s="20"/>
      <c r="E68" s="20"/>
      <c r="F68" s="20"/>
      <c r="G68" s="20"/>
      <c r="H68" s="20"/>
    </row>
    <row r="69" customFormat="false" ht="18" hidden="false" customHeight="true" outlineLevel="0" collapsed="false">
      <c r="A69" s="21" t="s">
        <v>3</v>
      </c>
      <c r="B69" s="21" t="s">
        <v>7</v>
      </c>
      <c r="C69" s="21" t="s">
        <v>140</v>
      </c>
      <c r="D69" s="21" t="s">
        <v>141</v>
      </c>
    </row>
    <row r="70" customFormat="false" ht="18" hidden="false" customHeight="true" outlineLevel="0" collapsed="false">
      <c r="A70" s="22"/>
      <c r="B70" s="16" t="s">
        <v>14</v>
      </c>
      <c r="C70" s="16" t="str">
        <f aca="false">IF(A70="","",SUMIFS($G$5:$G$53,$B$5:$B$53,A70,$F$5:$F$53,"KRW"))</f>
        <v/>
      </c>
      <c r="D70" s="16" t="str">
        <f aca="false">IF(A70="","",SUMIFS($G$5:$G$53,$B$5:$B$53,A70,$F$5:$F$53,"GBP"))</f>
        <v/>
      </c>
    </row>
    <row r="71" customFormat="false" ht="18" hidden="false" customHeight="true" outlineLevel="0" collapsed="false">
      <c r="A71" s="23"/>
      <c r="B71" s="24" t="s">
        <v>14</v>
      </c>
      <c r="C71" s="24" t="str">
        <f aca="false">IF(A71="","",SUMIFS($G$5:$G$53,$B$5:$B$53,A71,$F$5:$F$53,"KRW"))</f>
        <v/>
      </c>
      <c r="D71" s="24" t="str">
        <f aca="false">IF(A71="","",SUMIFS($G$5:$G$53,$B$5:$B$53,A71,$F$5:$F$53,"GBP"))</f>
        <v/>
      </c>
    </row>
    <row r="72" customFormat="false" ht="18" hidden="false" customHeight="true" outlineLevel="0" collapsed="false">
      <c r="A72" s="22"/>
      <c r="B72" s="16" t="s">
        <v>14</v>
      </c>
      <c r="C72" s="16" t="str">
        <f aca="false">IF(A72="","",SUMIFS($G$5:$G$53,$B$5:$B$53,A72,$F$5:$F$53,"KRW"))</f>
        <v/>
      </c>
      <c r="D72" s="16" t="str">
        <f aca="false">IF(A72="","",SUMIFS($G$5:$G$53,$B$5:$B$53,A72,$F$5:$F$53,"GBP"))</f>
        <v/>
      </c>
    </row>
    <row r="73" customFormat="false" ht="18" hidden="false" customHeight="true" outlineLevel="0" collapsed="false">
      <c r="A73" s="23"/>
      <c r="B73" s="24" t="s">
        <v>14</v>
      </c>
      <c r="C73" s="24" t="str">
        <f aca="false">IF(A73="","",SUMIFS($G$5:$G$53,$B$5:$B$53,A73,$F$5:$F$53,"KRW"))</f>
        <v/>
      </c>
      <c r="D73" s="24" t="str">
        <f aca="false">IF(A73="","",SUMIFS($G$5:$G$53,$B$5:$B$53,A73,$F$5:$F$53,"GBP"))</f>
        <v/>
      </c>
    </row>
    <row r="74" customFormat="false" ht="18" hidden="false" customHeight="true" outlineLevel="0" collapsed="false">
      <c r="A74" s="22"/>
      <c r="B74" s="16" t="s">
        <v>14</v>
      </c>
      <c r="C74" s="16" t="str">
        <f aca="false">IF(A74="","",SUMIFS($G$5:$G$53,$B$5:$B$53,A74,$F$5:$F$53,"KRW"))</f>
        <v/>
      </c>
      <c r="D74" s="16" t="str">
        <f aca="false">IF(A74="","",SUMIFS($G$5:$G$53,$B$5:$B$53,A74,$F$5:$F$53,"GBP"))</f>
        <v/>
      </c>
    </row>
    <row r="75" customFormat="false" ht="18" hidden="false" customHeight="true" outlineLevel="0" collapsed="false">
      <c r="A75" s="23"/>
      <c r="B75" s="24" t="s">
        <v>14</v>
      </c>
      <c r="C75" s="24" t="str">
        <f aca="false">IF(A75="","",SUMIFS($G$5:$G$53,$B$5:$B$53,A75,$F$5:$F$53,"KRW"))</f>
        <v/>
      </c>
      <c r="D75" s="24" t="str">
        <f aca="false">IF(A75="","",SUMIFS($G$5:$G$53,$B$5:$B$53,A75,$F$5:$F$53,"GBP"))</f>
        <v/>
      </c>
    </row>
  </sheetData>
  <mergeCells count="6">
    <mergeCell ref="A1:H1"/>
    <mergeCell ref="A2:H2"/>
    <mergeCell ref="A55:H55"/>
    <mergeCell ref="A64:B64"/>
    <mergeCell ref="A65:B65"/>
    <mergeCell ref="A68:H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2026-05-28T11:35:25Z</dcterms:created>
  <dc:creator>openpyxl</dc:creator>
  <dc:description/>
  <dc:language>en-US</dc:language>
  <cp:lastModifiedBy/>
  <dcterms:modified xsi:type="dcterms:W3CDTF">2026-06-02T13:41:19Z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