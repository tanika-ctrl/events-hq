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rmogrout Expen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<sst xmlns="http://schemas.openxmlformats.org/spreadsheetml/2006/main" count="38" uniqueCount="29">
  <si>
    <t xml:space="preserve">Thermogrout – Test Chanel Filming Expenses</t>
  </si>
  <si>
    <t xml:space="preserve">Trip Date: 19 November 2025</t>
  </si>
  <si>
    <t xml:space="preserve">Date</t>
  </si>
  <si>
    <t xml:space="preserve">Vendor</t>
  </si>
  <si>
    <t xml:space="preserve">Description</t>
  </si>
  <si>
    <t xml:space="preserve">Category</t>
  </si>
  <si>
    <t xml:space="preserve">Currency</t>
  </si>
  <si>
    <t xml:space="preserve">Amount</t>
  </si>
  <si>
    <t xml:space="preserve">Amount (GBP est.)</t>
  </si>
  <si>
    <t xml:space="preserve">19/11/2025</t>
  </si>
  <si>
    <t xml:space="preserve">Eurotunnel</t>
  </si>
  <si>
    <t xml:space="preserve">Folkestone–Calais return (Day trip/Overnight)</t>
  </si>
  <si>
    <t xml:space="preserve">Transport</t>
  </si>
  <si>
    <t xml:space="preserve">GBP</t>
  </si>
  <si>
    <t xml:space="preserve">Starbucks (HMSHost)</t>
  </si>
  <si>
    <t xml:space="preserve">Coffee – Take-out (2 drinks)</t>
  </si>
  <si>
    <t xml:space="preserve">Meals</t>
  </si>
  <si>
    <t xml:space="preserve">Paul Ouest HRC</t>
  </si>
  <si>
    <t xml:space="preserve">Food &amp; drinks (A1 autoroute)</t>
  </si>
  <si>
    <t xml:space="preserve">EUR</t>
  </si>
  <si>
    <t xml:space="preserve">Sanef</t>
  </si>
  <si>
    <t xml:space="preserve">Motorway toll – Calais to Ressons (196.1 km)</t>
  </si>
  <si>
    <t xml:space="preserve">TotalEnergies</t>
  </si>
  <si>
    <t xml:space="preserve">Fuel – SP98 (Eurotunnel terminal, Calais)</t>
  </si>
  <si>
    <t xml:space="preserve">Fuel</t>
  </si>
  <si>
    <t xml:space="preserve">TOTAL (GBP estimate)</t>
  </si>
  <si>
    <t xml:space="preserve">Notes &amp; Assumptions</t>
  </si>
  <si>
    <t xml:space="preserve">EUR/GBP conversion rate (indicative – please update with actual rate at time of travel):</t>
  </si>
  <si>
    <t xml:space="preserve">EUR/GBP Rate: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</si>
</sst>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\€#,##0.00"/>
    <numFmt numFmtId="167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medium">
        <color rgb="FF1F4E7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8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5" t="n">
        <v>108</v>
      </c>
      <c r="G5" s="5" t="n">
        <f aca="false">F5</f>
        <v>108</v>
      </c>
    </row>
    <row r="6" customFormat="false" ht="18" hidden="false" customHeight="true" outlineLevel="0" collapsed="false">
      <c r="A6" s="4" t="s">
        <v>9</v>
      </c>
      <c r="B6" s="4" t="s">
        <v>14</v>
      </c>
      <c r="C6" s="4" t="s">
        <v>15</v>
      </c>
      <c r="D6" s="4" t="s">
        <v>16</v>
      </c>
      <c r="E6" s="4" t="s">
        <v>13</v>
      </c>
      <c r="F6" s="5" t="n">
        <v>9.8</v>
      </c>
      <c r="G6" s="5" t="n">
        <f aca="false">F6</f>
        <v>9.8</v>
      </c>
    </row>
    <row r="7" customFormat="false" ht="18" hidden="false" customHeight="true" outlineLevel="0" collapsed="false">
      <c r="A7" s="4" t="s">
        <v>9</v>
      </c>
      <c r="B7" s="4" t="s">
        <v>17</v>
      </c>
      <c r="C7" s="4" t="s">
        <v>18</v>
      </c>
      <c r="D7" s="4" t="s">
        <v>16</v>
      </c>
      <c r="E7" s="4" t="s">
        <v>19</v>
      </c>
      <c r="F7" s="6" t="n">
        <v>18.25</v>
      </c>
      <c r="G7" s="5" t="n">
        <f aca="false">F7*$B$14</f>
        <v>15.33</v>
      </c>
    </row>
    <row r="8" customFormat="false" ht="18" hidden="false" customHeight="true" outlineLevel="0" collapsed="false">
      <c r="A8" s="4" t="s">
        <v>9</v>
      </c>
      <c r="B8" s="4" t="s">
        <v>20</v>
      </c>
      <c r="C8" s="4" t="s">
        <v>21</v>
      </c>
      <c r="D8" s="4" t="s">
        <v>12</v>
      </c>
      <c r="E8" s="4" t="s">
        <v>19</v>
      </c>
      <c r="F8" s="6" t="n">
        <v>17.6</v>
      </c>
      <c r="G8" s="5" t="n">
        <f aca="false">F8*$B$14</f>
        <v>14.784</v>
      </c>
    </row>
    <row r="9" customFormat="false" ht="18" hidden="false" customHeight="true" outlineLevel="0" collapsed="false">
      <c r="A9" s="4" t="s">
        <v>9</v>
      </c>
      <c r="B9" s="4" t="s">
        <v>22</v>
      </c>
      <c r="C9" s="4" t="s">
        <v>23</v>
      </c>
      <c r="D9" s="4" t="s">
        <v>24</v>
      </c>
      <c r="E9" s="4" t="s">
        <v>19</v>
      </c>
      <c r="F9" s="6" t="n">
        <v>60</v>
      </c>
      <c r="G9" s="5" t="n">
        <f aca="false">F9*$B$14</f>
        <v>50.4</v>
      </c>
    </row>
    <row r="10" customFormat="false" ht="19.5" hidden="false" customHeight="true" outlineLevel="0" collapsed="false">
      <c r="A10" s="7" t="s">
        <v>25</v>
      </c>
      <c r="B10" s="7"/>
      <c r="C10" s="7"/>
      <c r="D10" s="7"/>
      <c r="E10" s="7"/>
      <c r="F10" s="8"/>
      <c r="G10" s="9" t="n">
        <f aca="false">SUM(G5:G9)</f>
        <v>198.314</v>
      </c>
    </row>
    <row r="11" customFormat="false" ht="7.5" hidden="false" customHeight="true" outlineLevel="0" collapsed="false"/>
    <row r="12" customFormat="false" ht="15" hidden="false" customHeight="false" outlineLevel="0" collapsed="false">
      <c r="A12" s="10" t="s">
        <v>26</v>
      </c>
      <c r="B12" s="10"/>
      <c r="C12" s="10"/>
      <c r="D12" s="10"/>
      <c r="E12" s="10"/>
      <c r="F12" s="10"/>
      <c r="G12" s="10"/>
    </row>
    <row r="13" customFormat="false" ht="15.75" hidden="false" customHeight="true" outlineLevel="0" collapsed="false">
      <c r="A13" s="11" t="s">
        <v>27</v>
      </c>
      <c r="B13" s="11"/>
      <c r="C13" s="11"/>
      <c r="D13" s="11"/>
      <c r="E13" s="11"/>
      <c r="F13" s="11"/>
      <c r="G13" s="11"/>
    </row>
    <row r="14" customFormat="false" ht="15.75" hidden="false" customHeight="true" outlineLevel="0" collapsed="false">
      <c r="A14" s="12" t="s">
        <v>28</v>
      </c>
      <c r="B14" s="13" t="n">
        <v>0.84</v>
      </c>
    </row>
  </sheetData>
  <mergeCells count="5">
    <mergeCell ref="A1:G1"/>
    <mergeCell ref="A2:G2"/>
    <mergeCell ref="A10:E10"/>
    <mergeCell ref="A12:G1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2026-03-18T12:03:40Z</dcterms:created>
  <dc:creator>openpyxl</dc:creator>
  <dc:description/>
  <dc:language>en-US</dc:language>
  <cp:lastModifiedBy/>
  <dcterms:modified xsi:type="dcterms:W3CDTF">2026-03-18T12:03:40Z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