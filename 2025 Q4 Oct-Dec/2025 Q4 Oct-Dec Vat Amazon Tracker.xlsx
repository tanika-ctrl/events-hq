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deashq/Subsurface Dropbox/Richard Kelly/_ideasHQ Ltd Admin/Documents: Statements For Gary/2025 Q4 Oct-Dec/"/>
    </mc:Choice>
  </mc:AlternateContent>
  <xr:revisionPtr revIDLastSave="0" documentId="8_{D6F78DF4-F4C8-B043-A1A7-B90307804046}" xr6:coauthVersionLast="47" xr6:coauthVersionMax="47" xr10:uidLastSave="{00000000-0000-0000-0000-000000000000}"/>
  <bookViews>
    <workbookView xWindow="0" yWindow="880" windowWidth="41120" windowHeight="12780" xr2:uid="{1E133DC4-BC4F-3843-8F9E-D77573D28BE5}"/>
  </bookViews>
  <sheets>
    <sheet name="orders_from_20251001_to_20251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1" l="1"/>
  <c r="AG2" i="1"/>
  <c r="AC17" i="1"/>
  <c r="AG17" i="1"/>
  <c r="AC18" i="1"/>
  <c r="AG18" i="1"/>
  <c r="AC19" i="1"/>
  <c r="AG19" i="1"/>
  <c r="AC20" i="1"/>
  <c r="AG20" i="1"/>
  <c r="AC21" i="1"/>
  <c r="AG21" i="1"/>
  <c r="AP21" i="1"/>
  <c r="AC22" i="1"/>
  <c r="AG22" i="1"/>
  <c r="AC23" i="1"/>
  <c r="AG23" i="1"/>
  <c r="AC24" i="1"/>
  <c r="AG24" i="1"/>
  <c r="AC25" i="1"/>
  <c r="AG25" i="1"/>
  <c r="AC26" i="1"/>
  <c r="AG26" i="1"/>
  <c r="AC27" i="1"/>
  <c r="AG27" i="1"/>
  <c r="AC28" i="1"/>
  <c r="AG28" i="1"/>
  <c r="AC29" i="1"/>
  <c r="AG29" i="1"/>
  <c r="AP29" i="1"/>
  <c r="AC30" i="1"/>
  <c r="AG30" i="1"/>
  <c r="AC31" i="1"/>
  <c r="AG31" i="1"/>
  <c r="AC32" i="1"/>
  <c r="AG32" i="1"/>
  <c r="AC33" i="1"/>
  <c r="AG33" i="1"/>
  <c r="AQ33" i="1"/>
  <c r="AC34" i="1"/>
  <c r="AD34" i="1"/>
  <c r="AG34" i="1"/>
  <c r="AC59" i="1"/>
  <c r="AG59" i="1"/>
  <c r="AP59" i="1"/>
  <c r="AQ59" i="1"/>
  <c r="AC35" i="1"/>
  <c r="AG35" i="1"/>
  <c r="AC36" i="1"/>
  <c r="AG36" i="1"/>
  <c r="AC37" i="1"/>
  <c r="AG37" i="1"/>
  <c r="AC38" i="1"/>
  <c r="AG38" i="1"/>
  <c r="AC39" i="1"/>
  <c r="AG39" i="1"/>
  <c r="AC40" i="1"/>
  <c r="AG40" i="1"/>
  <c r="AC41" i="1"/>
  <c r="AG41" i="1"/>
  <c r="AP41" i="1"/>
  <c r="AQ41" i="1"/>
  <c r="AC42" i="1"/>
  <c r="AG42" i="1"/>
  <c r="AC43" i="1"/>
  <c r="AG43" i="1"/>
  <c r="AC3" i="1"/>
  <c r="AG3" i="1"/>
  <c r="AC60" i="1"/>
  <c r="AG60" i="1"/>
  <c r="AC44" i="1"/>
  <c r="AG44" i="1"/>
  <c r="AC45" i="1"/>
  <c r="AG45" i="1"/>
  <c r="AC46" i="1"/>
  <c r="AG46" i="1"/>
  <c r="AC47" i="1"/>
  <c r="AG47" i="1"/>
  <c r="AP47" i="1"/>
  <c r="AQ47" i="1"/>
  <c r="AC48" i="1"/>
  <c r="AG48" i="1"/>
  <c r="AP48" i="1"/>
  <c r="AQ48" i="1"/>
  <c r="AC49" i="1"/>
  <c r="AG49" i="1"/>
  <c r="AC50" i="1"/>
  <c r="AG50" i="1"/>
  <c r="AC51" i="1"/>
  <c r="AG51" i="1"/>
  <c r="AC52" i="1"/>
  <c r="AG52" i="1"/>
  <c r="AC53" i="1"/>
  <c r="AG53" i="1"/>
  <c r="AC54" i="1"/>
  <c r="AG54" i="1"/>
  <c r="AQ54" i="1"/>
  <c r="AC55" i="1"/>
  <c r="AG55" i="1"/>
  <c r="AC6" i="1"/>
  <c r="AG6" i="1"/>
  <c r="AC56" i="1"/>
  <c r="AG56" i="1"/>
  <c r="AC57" i="1"/>
  <c r="AG57" i="1"/>
  <c r="AC58" i="1"/>
  <c r="AG58" i="1"/>
  <c r="AC4" i="1"/>
  <c r="AG4" i="1"/>
  <c r="AC5" i="1"/>
  <c r="AG5" i="1"/>
  <c r="AC7" i="1"/>
  <c r="AG7" i="1"/>
  <c r="AC8" i="1"/>
  <c r="AG8" i="1"/>
  <c r="AC9" i="1"/>
  <c r="AG9" i="1"/>
  <c r="AC10" i="1"/>
  <c r="AG10" i="1"/>
  <c r="AC11" i="1"/>
  <c r="AG11" i="1"/>
  <c r="AC12" i="1"/>
  <c r="AG12" i="1"/>
  <c r="AC13" i="1"/>
  <c r="AG13" i="1"/>
  <c r="AC14" i="1"/>
  <c r="AG14" i="1"/>
  <c r="AC15" i="1"/>
  <c r="AG15" i="1"/>
  <c r="AC16" i="1"/>
  <c r="AG16" i="1"/>
</calcChain>
</file>

<file path=xl/sharedStrings.xml><?xml version="1.0" encoding="utf-8"?>
<sst xmlns="http://schemas.openxmlformats.org/spreadsheetml/2006/main" count="1997" uniqueCount="594">
  <si>
    <t>Order Date</t>
  </si>
  <si>
    <t>Order ID</t>
  </si>
  <si>
    <t>Account Group</t>
  </si>
  <si>
    <t>PO Number</t>
  </si>
  <si>
    <t>Order Quantity</t>
  </si>
  <si>
    <t>Currency</t>
  </si>
  <si>
    <t>Order Subtotal</t>
  </si>
  <si>
    <t>Order Shipping &amp; Handling</t>
  </si>
  <si>
    <t>Order Promotion</t>
  </si>
  <si>
    <t>Order VAT</t>
  </si>
  <si>
    <t>Order Net Total</t>
  </si>
  <si>
    <t>Order Status</t>
  </si>
  <si>
    <t>Approver</t>
  </si>
  <si>
    <t>Order receiving status</t>
  </si>
  <si>
    <t>Order received quantity</t>
  </si>
  <si>
    <t>Account User</t>
  </si>
  <si>
    <t>Account User Email</t>
  </si>
  <si>
    <t>Account User VAT Number Country/Region</t>
  </si>
  <si>
    <t>Account User VAT Registration Number</t>
  </si>
  <si>
    <t>Invoice Status</t>
  </si>
  <si>
    <t>Invoice Total Amount</t>
  </si>
  <si>
    <t>Invoice Due Amount</t>
  </si>
  <si>
    <t>Invoice Issue Date</t>
  </si>
  <si>
    <t>Invoice Due Date</t>
  </si>
  <si>
    <t>Payment reference ID</t>
  </si>
  <si>
    <t>Payment Date</t>
  </si>
  <si>
    <t>Payment Amount</t>
  </si>
  <si>
    <t>Payment Instrument Type</t>
  </si>
  <si>
    <t>Payment Identifier</t>
  </si>
  <si>
    <t>Amazon internal product category</t>
  </si>
  <si>
    <t>ASIN</t>
  </si>
  <si>
    <t>Title</t>
  </si>
  <si>
    <t>UNSPSC</t>
  </si>
  <si>
    <t>Segment</t>
  </si>
  <si>
    <t>Family</t>
  </si>
  <si>
    <t>Class</t>
  </si>
  <si>
    <t>Commodity</t>
  </si>
  <si>
    <t>Brand Code</t>
  </si>
  <si>
    <t>Brand</t>
  </si>
  <si>
    <t>Manufacturer</t>
  </si>
  <si>
    <t>National Stock Number</t>
  </si>
  <si>
    <t>Item model number</t>
  </si>
  <si>
    <t>Part Number</t>
  </si>
  <si>
    <t>Product Condition</t>
  </si>
  <si>
    <t>Company Compliance</t>
  </si>
  <si>
    <t>Listed PPU</t>
  </si>
  <si>
    <t>Purchase PPU</t>
  </si>
  <si>
    <t>Item Quantity</t>
  </si>
  <si>
    <t>Item Subtotal</t>
  </si>
  <si>
    <t>Item Shipping &amp; Handling</t>
  </si>
  <si>
    <t>Item Promotion</t>
  </si>
  <si>
    <t>Item VAT</t>
  </si>
  <si>
    <t>Item Net Total</t>
  </si>
  <si>
    <t>PO Line Item Id</t>
  </si>
  <si>
    <t>Pricing savings programme</t>
  </si>
  <si>
    <t>Pricing discount applied</t>
  </si>
  <si>
    <t>Item Subtotal VAT Rate</t>
  </si>
  <si>
    <t>Item Gift Wrap</t>
  </si>
  <si>
    <t>Item subtotal sum</t>
  </si>
  <si>
    <t xml:space="preserve">Receiving status </t>
  </si>
  <si>
    <t>Received quantity</t>
  </si>
  <si>
    <t>Received date</t>
  </si>
  <si>
    <t>Receiver name</t>
  </si>
  <si>
    <t>Receiver email</t>
  </si>
  <si>
    <t>GL Code</t>
  </si>
  <si>
    <t>Department</t>
  </si>
  <si>
    <t>Cost Centre</t>
  </si>
  <si>
    <t>Project Code</t>
  </si>
  <si>
    <t>Location</t>
  </si>
  <si>
    <t>Customised Field 1</t>
  </si>
  <si>
    <t>Seller Name</t>
  </si>
  <si>
    <t>Seller Credentials</t>
  </si>
  <si>
    <t>Seller VAT Number Country</t>
  </si>
  <si>
    <t>Seller VAT Registration Number</t>
  </si>
  <si>
    <t>Ideas HQ Ltd</t>
  </si>
  <si>
    <t>GBP</t>
  </si>
  <si>
    <t>Closed</t>
  </si>
  <si>
    <t>Richard</t>
  </si>
  <si>
    <t>richard@ideashq.com</t>
  </si>
  <si>
    <t>GB</t>
  </si>
  <si>
    <t>GB265609777</t>
  </si>
  <si>
    <t>N/A</t>
  </si>
  <si>
    <t>MasterCard</t>
  </si>
  <si>
    <t>New</t>
  </si>
  <si>
    <t>Business price</t>
  </si>
  <si>
    <t>Amazon Business EU SARL</t>
  </si>
  <si>
    <t>GB305634227</t>
  </si>
  <si>
    <t>American Express</t>
  </si>
  <si>
    <t>Published Products</t>
  </si>
  <si>
    <t>Electronic reference material</t>
  </si>
  <si>
    <t>Electronic publications and music</t>
  </si>
  <si>
    <t>Amazon Digital UK Limited</t>
  </si>
  <si>
    <t>GB882596668</t>
  </si>
  <si>
    <t>202-1130273-4505122</t>
  </si>
  <si>
    <t>6M0VERGDT9PQ</t>
  </si>
  <si>
    <t>Personal Computer</t>
  </si>
  <si>
    <t>B0C44XVWCH</t>
  </si>
  <si>
    <t>WD_BLACK C50 1TB Expansion Card for Xbox</t>
  </si>
  <si>
    <t>Information Technology Broadcasting and Telecommunications</t>
  </si>
  <si>
    <t>Components for information technology or broadcasting or telecommunications</t>
  </si>
  <si>
    <t>W108Q</t>
  </si>
  <si>
    <t>WD_BLACK</t>
  </si>
  <si>
    <t>Western Digital</t>
  </si>
  <si>
    <t>WDBMPH0010BNC-WCSN</t>
  </si>
  <si>
    <t>205-6948691-7309130</t>
  </si>
  <si>
    <t>Simon G Sergides</t>
  </si>
  <si>
    <t>ideasinc@me.com</t>
  </si>
  <si>
    <t>3S61RbxvkEKp1HIjJ4Sc</t>
  </si>
  <si>
    <t>CE</t>
  </si>
  <si>
    <t>B0FL7GR24T</t>
  </si>
  <si>
    <t>SD Card Reader for iPhone iPad, USB C SD Card Reader with Dual Slot for MicroSD/SD, Type C OTG Adapter, Camera Card Viewer Memory card reader, Camera to iPhone Adapter for iPhone/iPad/MacBook/Android</t>
  </si>
  <si>
    <t>Luonanava</t>
  </si>
  <si>
    <t>UK-SD-012</t>
  </si>
  <si>
    <t>jieyangshi luona keji youxiangongsi</t>
  </si>
  <si>
    <t>GB477634745</t>
  </si>
  <si>
    <t>205-0447834-9860355</t>
  </si>
  <si>
    <t>3E3rSi1cl0h41C8aoh0m</t>
  </si>
  <si>
    <t>B094D541XW</t>
  </si>
  <si>
    <t>Amazon Basics 36-Pack AA Alkaline High-Performance Batteries, 1.5 Volt, 10-Year Shelf Life</t>
  </si>
  <si>
    <t>Power Generation and Distribution Machinery and Accessories</t>
  </si>
  <si>
    <t>Batteries and generators and kinetic power transmission</t>
  </si>
  <si>
    <t>Batteries and cells and accessories</t>
  </si>
  <si>
    <t>Alkaline batteries</t>
  </si>
  <si>
    <t>AMZSM</t>
  </si>
  <si>
    <t>Amazon Basics</t>
  </si>
  <si>
    <t>Amazon</t>
  </si>
  <si>
    <t>AA 36</t>
  </si>
  <si>
    <t>LR6-36S</t>
  </si>
  <si>
    <t>205-1490100-4341962</t>
  </si>
  <si>
    <t>1J2AHDzLczjKlD3aULCw</t>
  </si>
  <si>
    <t>B0BJ631MKF</t>
  </si>
  <si>
    <t>SHAFI® 5M Figure 8 Power Lead - 2-Pin IEC-C7 Universal 3-Pin UK Plug Power Cable - AC Mains Power Cord Compatible PS5 Power Cable UK Xbox Series X Speaker Soundbar LG Sony Samsung TV - 5 Meter White</t>
  </si>
  <si>
    <t>Electrical wire and cable and harness</t>
  </si>
  <si>
    <t>Electrical cable and accessories</t>
  </si>
  <si>
    <t>SHAFI</t>
  </si>
  <si>
    <t>Alpha Traders Online</t>
  </si>
  <si>
    <t>c7-st-wh-5m-4</t>
  </si>
  <si>
    <t>205-4240918-5329923</t>
  </si>
  <si>
    <t>3cUEXr88LecL2PJosExG</t>
  </si>
  <si>
    <t>Home Improvement</t>
  </si>
  <si>
    <t>B001787KOS</t>
  </si>
  <si>
    <t>VELCRO Brand 2pk Heavy Duty White Stick On Strips 50mm x 100mm, Hook And Loop Tape Self Adhesive Strips, Industrial Extra Strong Double Sided Sticky Pads Heavy Duty Perfect for Home, Office &amp; Garage</t>
  </si>
  <si>
    <t>Office Equipment and Accessories and Supplies</t>
  </si>
  <si>
    <t>Office supplies</t>
  </si>
  <si>
    <t>Fastening supplies</t>
  </si>
  <si>
    <t>VEM8F</t>
  </si>
  <si>
    <t>Velcro</t>
  </si>
  <si>
    <t>VELCRO Brand</t>
  </si>
  <si>
    <t>VEL-EC60240</t>
  </si>
  <si>
    <t>205-0684012-6244311</t>
  </si>
  <si>
    <t>2KaCqYoIzmiPCjt2YSRQ</t>
  </si>
  <si>
    <t>Health and Beauty</t>
  </si>
  <si>
    <t>B077KD7KHY</t>
  </si>
  <si>
    <t>Wahl Clipper Oil 118ml</t>
  </si>
  <si>
    <t>Domestic Appliances and Supplies and Consumer Electronic Products</t>
  </si>
  <si>
    <t>Domestic Appliances</t>
  </si>
  <si>
    <t>Domestic bath appliances</t>
  </si>
  <si>
    <t>WAHNC</t>
  </si>
  <si>
    <t>Wahl</t>
  </si>
  <si>
    <t>3310-1102</t>
  </si>
  <si>
    <t>205-3224647-5675536</t>
  </si>
  <si>
    <t>2cb0WmZr7FSRfgqz7vxd</t>
  </si>
  <si>
    <t>Shoes</t>
  </si>
  <si>
    <t>B00FTN6BVK</t>
  </si>
  <si>
    <t>Fly London Women's Mol 2 Zip up Boots, Black, 8 UK</t>
  </si>
  <si>
    <t>Clothing and Luggage and Personal Care Products</t>
  </si>
  <si>
    <t>Footwear</t>
  </si>
  <si>
    <t>Boots</t>
  </si>
  <si>
    <t>FLYA4</t>
  </si>
  <si>
    <t>Fly London</t>
  </si>
  <si>
    <t>P142912005</t>
  </si>
  <si>
    <t>P142912005_005</t>
  </si>
  <si>
    <t>205-3443697-6445905</t>
  </si>
  <si>
    <t>6a8l9AZD4nam0gbRkCll</t>
  </si>
  <si>
    <t>Beauty</t>
  </si>
  <si>
    <t>B01CK81CL0</t>
  </si>
  <si>
    <t>Candure Hairdressing Cutting Scissors Barber and Thinning Salon Shears Set 5.5 inch</t>
  </si>
  <si>
    <t>Personal-care products</t>
  </si>
  <si>
    <t>Bath and body</t>
  </si>
  <si>
    <t>Candure</t>
  </si>
  <si>
    <t>EO</t>
  </si>
  <si>
    <t>CA100</t>
  </si>
  <si>
    <t>FAIR DEAL SHOP LIMITED</t>
  </si>
  <si>
    <t>Small and Medium-Sized Enterprise</t>
  </si>
  <si>
    <t>GB313475125</t>
  </si>
  <si>
    <t>B0FHWGLX6S</t>
  </si>
  <si>
    <t>Cube Extension Lead with USB C PD65W, 3 Way Multi Plug Power Strip with 2 USB-A &amp; 2 USB-C Ports, UK Extension Socket with Switch, 13A Fused Plug, 1.5M Extension Cable, Black</t>
  </si>
  <si>
    <t>VoltFlow</t>
  </si>
  <si>
    <t>ABBIE JO LIMITED</t>
  </si>
  <si>
    <t>205-8720523-2819509</t>
  </si>
  <si>
    <t>2qUM9VWR0szwUf9G1G5c</t>
  </si>
  <si>
    <t>B0CXLPVWCV</t>
  </si>
  <si>
    <t>LISEN Travel Magsafe Wireless Charger for iPhone 17 &amp; Apple Watch Charger Stand, Magnetic Mag Safecharger 3 in 1 Wireless Charging Station Pad Desk Accessories for iPhone 17 16 Pro Max 15 i Watch 11</t>
  </si>
  <si>
    <t>Battery chargers</t>
  </si>
  <si>
    <t>LISEN</t>
  </si>
  <si>
    <t>wireless-magsafe-charger.jpg (800xd7800)</t>
  </si>
  <si>
    <t>2E562</t>
  </si>
  <si>
    <t>202-2075322-1116367</t>
  </si>
  <si>
    <t>2uvmEWvHPzxp3sZ8jYUA</t>
  </si>
  <si>
    <t>Apparel</t>
  </si>
  <si>
    <t>B0FL1PBMZJ</t>
  </si>
  <si>
    <t>ineepor Mens Baggy Joggers Fleece Lined (L-2XL) Wide Leg Tracksuit Jogging Bottoms Open-Hem Men's Joggers Sweatpants with Pockets Drawstring Thermal Trousers Gym Darkgray</t>
  </si>
  <si>
    <t>Clothing</t>
  </si>
  <si>
    <t>Athletic wear</t>
  </si>
  <si>
    <t>ineepor</t>
  </si>
  <si>
    <t>nanchanglinyuankejiyouxiangongsi</t>
  </si>
  <si>
    <t>205-4299354-3667567</t>
  </si>
  <si>
    <t>BUWcUMF1UHGi72tJ5hrX</t>
  </si>
  <si>
    <t>B07G78BY3P</t>
  </si>
  <si>
    <t>Renapur Suede, Nubuck, Fabric Waterproofing/Stain Protection - Eco-Friendly, Non-Toxic, for Shoes, Boots, Trainers &amp; Clothing (250ml Spray Bottle) - Packaging May Vary</t>
  </si>
  <si>
    <t>Cleaning Equipment and Supplies</t>
  </si>
  <si>
    <t>Cleaning and janitorial supplies</t>
  </si>
  <si>
    <t>Cleaning and disinfecting solutions</t>
  </si>
  <si>
    <t>REOIT</t>
  </si>
  <si>
    <t>Renapur</t>
  </si>
  <si>
    <t>Renapur Ltd</t>
  </si>
  <si>
    <t>REN1054VEND</t>
  </si>
  <si>
    <t>Renapur Limited</t>
  </si>
  <si>
    <t>GB644366429</t>
  </si>
  <si>
    <t>205-4655679-7999565</t>
  </si>
  <si>
    <t>2lNfk6lmrWhQ9yaVk0bD</t>
  </si>
  <si>
    <t>Speakers</t>
  </si>
  <si>
    <t>B0CZ7DY692</t>
  </si>
  <si>
    <t>soundcore Anker Boom 2 Plus Outdoor Speaker, Bluetooth Speaker with 140W, 2+2 Channel, BassUp 2.0, 20H, Fast Charge, IPX7 Waterproof, RGB Lights, USB-C, Power Bank, for Camping, Beach, Garden</t>
  </si>
  <si>
    <t>Consumer electronics</t>
  </si>
  <si>
    <t>Audio and visual equipment</t>
  </si>
  <si>
    <t>Loudspeakers</t>
  </si>
  <si>
    <t>soundcore</t>
  </si>
  <si>
    <t>Anker</t>
  </si>
  <si>
    <t>A3134</t>
  </si>
  <si>
    <t>205-3194696-8466713</t>
  </si>
  <si>
    <t>sRQFpDxTvwpG6a0uEYgO</t>
  </si>
  <si>
    <t>B07ZPP442R</t>
  </si>
  <si>
    <t>KFD 15V Universal Power Supply Adapter 15 Volts Transformer 6.5x4.4mm/ 5.5x2.5mm 3.5x1.35mm Barrel Plug for Panana 300W ‎A320A/SinKeu 99Wh Portable Power Station Halfords 6-in-1 Jump Starter Charger</t>
  </si>
  <si>
    <t>KFD</t>
  </si>
  <si>
    <t>DPT-1348-UK</t>
  </si>
  <si>
    <t>205-8291146-7172313</t>
  </si>
  <si>
    <t>3r7MYvx5yDEGYfI7YQdw</t>
  </si>
  <si>
    <t>Business, Industrial, &amp; Scientific Supplies Basic</t>
  </si>
  <si>
    <t>B09YNKNJQX</t>
  </si>
  <si>
    <t>Jorenca 8K/4K HDMI Cable 2m(HDMI 2.1,8k@60hz,48gbps&amp;4k@120hz,18gbps)Ultra High Speed Gold Plated Connectors,Ethernet Audio Return,Video 8K/4K,Full HD1080p,3D Compatible with HDTV,Blu-Ray,PS3/4/5/9,ect</t>
  </si>
  <si>
    <t>Subassemblies for electronic devices</t>
  </si>
  <si>
    <t>Computer cable</t>
  </si>
  <si>
    <t>Jorenca</t>
  </si>
  <si>
    <t>T1121019</t>
  </si>
  <si>
    <t>4KHDMI8</t>
  </si>
  <si>
    <t>shenzhenshishengshifuxinkejiyouxiangongsi</t>
  </si>
  <si>
    <t>GB482453577</t>
  </si>
  <si>
    <t>B0D2KD2ZWL</t>
  </si>
  <si>
    <t>SUPRENT Hair Clippers for Men Professional, Cordless Mens Hair Clipper &amp; Trimmer Set with Quiet 6000RPM Motor, LED Display &amp; 9 Guide Combs, Barber Hair Cutting Kits for Home, Black</t>
  </si>
  <si>
    <t>SU8KX</t>
  </si>
  <si>
    <t>SUPRENT</t>
  </si>
  <si>
    <t>HC226BX</t>
  </si>
  <si>
    <t>Guangzhoushi Yaoshu Dianzi Shangwu Youxian Gongsi</t>
  </si>
  <si>
    <t>GB309639677</t>
  </si>
  <si>
    <t>B08HYGYNW9</t>
  </si>
  <si>
    <t>Yeung Qee 3.5mm Aux Cable 10m, 3.5mm Male to Male Stereo Audio Cable Audio Auxiliary Cord for Headphones, Car, Laptops,Android Smart Phones&amp; More (10M/30FT)</t>
  </si>
  <si>
    <t>Audiovisual equipment accessories</t>
  </si>
  <si>
    <t>Yeung Qee</t>
  </si>
  <si>
    <t>Guangan Boenshangmao Youxiangongsi</t>
  </si>
  <si>
    <t>GB276062204</t>
  </si>
  <si>
    <t>3ePdXd6hdnnwLB0n5dp0</t>
  </si>
  <si>
    <t>B0G3PC42TQ</t>
  </si>
  <si>
    <t>Wielio 2025 Ultra Smart Projector Built-in Apps, 32000 Lumens,Full HD 4K Supported, WiFi 6 &amp; Bluetooth 5.2, Low Fan Noise (&lt;29.8dB), Auto Keystone, Portable Movie Projector for IOS/Android/PS5</t>
  </si>
  <si>
    <t>Printing and Photographic and Audio and Visual Equipment and Supplies</t>
  </si>
  <si>
    <t>Audio and visual presentation and composing equipment</t>
  </si>
  <si>
    <t>Projectors and supplies</t>
  </si>
  <si>
    <t>Wielio</t>
  </si>
  <si>
    <t>GC06C</t>
  </si>
  <si>
    <t>NJITHANOS LIMITED</t>
  </si>
  <si>
    <t>D01-8703685-6629450</t>
  </si>
  <si>
    <t>Amazon Prime Annual Fee</t>
  </si>
  <si>
    <t>620XZEI0Q7L</t>
  </si>
  <si>
    <t>B083ZKRKHQ</t>
  </si>
  <si>
    <t>Business Prime Annual Membership Fee - Basic</t>
  </si>
  <si>
    <t>Financial Instruments, Products, Contracts and Agreements</t>
  </si>
  <si>
    <t>General agreements and contracts</t>
  </si>
  <si>
    <t>Agreements</t>
  </si>
  <si>
    <t>Amazon EU S.a.r.L.</t>
  </si>
  <si>
    <t>GB727255821</t>
  </si>
  <si>
    <t>202-6351710-2083563</t>
  </si>
  <si>
    <t>2jgrnTGVjeb1Vooy0hcP</t>
  </si>
  <si>
    <t>Photography</t>
  </si>
  <si>
    <t>B0BW9QKYZK</t>
  </si>
  <si>
    <t>Colour Film for i-Type - Triple Pack</t>
  </si>
  <si>
    <t>Photographic and recording media</t>
  </si>
  <si>
    <t>POOZE</t>
  </si>
  <si>
    <t>Polaroid</t>
  </si>
  <si>
    <t>202-9681154-1527547</t>
  </si>
  <si>
    <t>EPtCSTvPhyQjEz1jF0Oj</t>
  </si>
  <si>
    <t>Kitchen</t>
  </si>
  <si>
    <t>B08R7PD3YW</t>
  </si>
  <si>
    <t>Playcrate Fun Finger Mug - Funny Gift and Hilarious Novelty Gift for That Special Someone!</t>
  </si>
  <si>
    <t>Domestic kitchenware and kitchen supplies</t>
  </si>
  <si>
    <t>Domestic drink ware</t>
  </si>
  <si>
    <t>Playcrate</t>
  </si>
  <si>
    <t>Mug_Upyours</t>
  </si>
  <si>
    <t>BL-AIL-82</t>
  </si>
  <si>
    <t>202-8726301-1193953</t>
  </si>
  <si>
    <t>135jUj3UxrzcaiizYh77</t>
  </si>
  <si>
    <t>Wireless</t>
  </si>
  <si>
    <t>B0DCJ655Z3</t>
  </si>
  <si>
    <t>FFBOFFC Laptop Cover Compatible with MacBook Air 13.6 inch Case 2024 2022 Model A2681 M2 A3113 M3 with Retina Display &amp; Touch ID, Plastic Hard Shell Case Cover and Keyboard Skin, Leopard Print</t>
  </si>
  <si>
    <t>Communications devices and accessories</t>
  </si>
  <si>
    <t>Personal communications device accessories or parts</t>
  </si>
  <si>
    <t>FFBOFFC</t>
  </si>
  <si>
    <t>A2681/A3113</t>
  </si>
  <si>
    <t>hubeijiaruibaokejiyouxiangongsi</t>
  </si>
  <si>
    <t>202-2034105-3797920</t>
  </si>
  <si>
    <t>VD863FF4os2dmBUuO0RE</t>
  </si>
  <si>
    <t>B08V6J3PJJ</t>
  </si>
  <si>
    <t>Carhartt mens Insulated Duck/Synthetic Leather Knit Cuff Glove</t>
  </si>
  <si>
    <t>Defence and Law Enforcement and Security and Safety Equipment and Supplies</t>
  </si>
  <si>
    <t>Personal safety and protection</t>
  </si>
  <si>
    <t>Safety apparel</t>
  </si>
  <si>
    <t>CARWC</t>
  </si>
  <si>
    <t>Carhartt</t>
  </si>
  <si>
    <t>GL0781M-BLK-L</t>
  </si>
  <si>
    <t>202-3622910-6011520</t>
  </si>
  <si>
    <t>A3Iq5Um7SRkWeS98QBSu</t>
  </si>
  <si>
    <t>B09QVXMM72</t>
  </si>
  <si>
    <t>Fenton RP162D Wood Turntable Record Player with Bluetooth Output, Built-In Speakers and Vinyl Audio Transmitter, Home Audio System for Wireless Music Streaming</t>
  </si>
  <si>
    <t>Audio turntable</t>
  </si>
  <si>
    <t>Fenton</t>
  </si>
  <si>
    <t>Tronios B.V.</t>
  </si>
  <si>
    <t>RP162D</t>
  </si>
  <si>
    <t>205-1587819-8841912</t>
  </si>
  <si>
    <t>sbKYk4vlgfp5FZixdxCN</t>
  </si>
  <si>
    <t>B07FYHLYCD</t>
  </si>
  <si>
    <t>DSTE 2PCS EN-EL12 (1600mAh/3.7V) Battery Charger Set Compatible for Nikon Coolpix S620 S630 S6000 S6100 S6200 S6300 S8000 S9050 S9100 AW100 AW120s</t>
  </si>
  <si>
    <t>DSTE</t>
  </si>
  <si>
    <t>DST Electron Technological Co., Ltd</t>
  </si>
  <si>
    <t>EN-EL12</t>
  </si>
  <si>
    <t>XU-UJLF115DUB2</t>
  </si>
  <si>
    <t>205-3980456-4753160</t>
  </si>
  <si>
    <t>aQrzxi6MZuqIU9YPZvPL</t>
  </si>
  <si>
    <t>B01MTXTTGL</t>
  </si>
  <si>
    <t>Lowepro LP37061-0WW Tahoe CS Camera Case, Black, 20</t>
  </si>
  <si>
    <t>Photographic or filming or video equipment</t>
  </si>
  <si>
    <t>Camera Accessories</t>
  </si>
  <si>
    <t>LOQM4</t>
  </si>
  <si>
    <t>Lowepro</t>
  </si>
  <si>
    <t>Manfrotto</t>
  </si>
  <si>
    <t>LP37061-0WW</t>
  </si>
  <si>
    <t>203-6356372-2085956</t>
  </si>
  <si>
    <t>37iFkX4UCsd8oalKOPkg</t>
  </si>
  <si>
    <t>Sports</t>
  </si>
  <si>
    <t>B000LN3NA0</t>
  </si>
  <si>
    <t>Nikwax TX DIRECT 1 Litre Wash-In Waterproofer for Outdoor Gear. Safely, Revitalises Breathability &amp; Water Repellency of Waterproof Fabrics. Recommended for Gore-Tex, SympaTex</t>
  </si>
  <si>
    <t>NIMVR</t>
  </si>
  <si>
    <t>Nikwax</t>
  </si>
  <si>
    <t>202-1100935-0316303</t>
  </si>
  <si>
    <t>2K8UiPXqv1XV8RiMgy9x</t>
  </si>
  <si>
    <t>B002G9UDY6</t>
  </si>
  <si>
    <t>Carhartt Men's Knit Cuffed Beanie, Carhartt® Brown, OS</t>
  </si>
  <si>
    <t>Sports and Recreational Equipment and Supplies and Accessories</t>
  </si>
  <si>
    <t>Sports equipment and accessories</t>
  </si>
  <si>
    <t>Sport accessories</t>
  </si>
  <si>
    <t>CA82A</t>
  </si>
  <si>
    <t>A18</t>
  </si>
  <si>
    <t>A18-211</t>
  </si>
  <si>
    <t>Automotive Parts and Accessories</t>
  </si>
  <si>
    <t>Movie</t>
  </si>
  <si>
    <t>Internet based television or motion picture programme</t>
  </si>
  <si>
    <t>202-6598594-5121138</t>
  </si>
  <si>
    <t>lboWANjZmyj8GvvvJF0I</t>
  </si>
  <si>
    <t>B0F4W9N2Z8</t>
  </si>
  <si>
    <t>5V Charger Charging Cord for Philips Norelco OneBlade QP2724, QP2834, MG5910, MG7910, MG9510, S3143,S5880,X3001, X5004,Series, Electric Shaver Beard Trimmer Charging Cord</t>
  </si>
  <si>
    <t>YSKMLOLP</t>
  </si>
  <si>
    <t>shenzhenshixingrongdianzishangwuyouxiangongsi</t>
  </si>
  <si>
    <t>GB478287828</t>
  </si>
  <si>
    <t>D01-2990091-9349432</t>
  </si>
  <si>
    <t>7D01BN6TRP6F</t>
  </si>
  <si>
    <t>B0CNNW7TYV</t>
  </si>
  <si>
    <t>Click</t>
  </si>
  <si>
    <t>202-9868913-6992367</t>
  </si>
  <si>
    <t>2hYfbLEljJf2W7X0ISwk</t>
  </si>
  <si>
    <t>B07WLDH1YQ</t>
  </si>
  <si>
    <t>ZIOCOM 30 Pin Bluetooth Adapter Receiver for Bose iPhone iPod SoundDock and other 30 pin Dock Speakers with 3.5mm Aux Cable(Not for car/motorcycle) (Black)</t>
  </si>
  <si>
    <t>Computer Equipment and Accessories</t>
  </si>
  <si>
    <t>Computer accessories</t>
  </si>
  <si>
    <t>Bluetooth universal serial bus USB adaptor</t>
  </si>
  <si>
    <t>ZIOCOM</t>
  </si>
  <si>
    <t>ZM004871</t>
  </si>
  <si>
    <t>WEBAAM-20</t>
  </si>
  <si>
    <t>ShenZhenShiZhiYiOuKeJiYouXianGongSi</t>
  </si>
  <si>
    <t>GB280932200</t>
  </si>
  <si>
    <t>Tools and General Machinery</t>
  </si>
  <si>
    <t>Hand tools</t>
  </si>
  <si>
    <t>203-5789918-9909156</t>
  </si>
  <si>
    <t>9C8hje5mH6RusqVoAxNk</t>
  </si>
  <si>
    <t>B007MMG4YK</t>
  </si>
  <si>
    <t>DEWALT Extra Small Tough Case High Performance Screwdriving Set 25mm (32pc), DT7969-QZ</t>
  </si>
  <si>
    <t>Wrenches and drivers</t>
  </si>
  <si>
    <t>DEWAV</t>
  </si>
  <si>
    <t>DEWALT</t>
  </si>
  <si>
    <t>DeWalt</t>
  </si>
  <si>
    <t>DT7969-QZ</t>
  </si>
  <si>
    <t>203-7863906-8966701</t>
  </si>
  <si>
    <t>2L7r1G9pcrR7CKt1t11N</t>
  </si>
  <si>
    <t>B08D3VW95Z</t>
  </si>
  <si>
    <t>Primewire - 2m CAT 8 Ethernet Cable - 8.1 Standard Class 1 - Cat 8 Gbit Lan Network cable RJ45-40000 Mbit s - S FTP PIMF Shielding with RJ 45 plug - High Speed Ethernet Cable - Switch Router Modem</t>
  </si>
  <si>
    <t>Network cable</t>
  </si>
  <si>
    <t>Primewire</t>
  </si>
  <si>
    <t>A304364x130</t>
  </si>
  <si>
    <t>3VYDpls1Yb6p7Jwk5TVd</t>
  </si>
  <si>
    <t>B08D3V8ZJJ</t>
  </si>
  <si>
    <t>Primewire - 3m CAT 8 Ethernet Cable - 8.1 Standard Class 1 - Cat 8 Gigabit Lan Network cable RJ45-40000 Mbit s - S FTP PIMF Shielding with RJ 45 plug - High Speed Ethernet Cable - Switch Router Modem</t>
  </si>
  <si>
    <t>A304375x130</t>
  </si>
  <si>
    <t>202-0463637-4087505</t>
  </si>
  <si>
    <t>1zVfFF0CM3Fewkm1kMb1</t>
  </si>
  <si>
    <t>B01M8O5HLY</t>
  </si>
  <si>
    <t>Dr. Scholl's Heavy Duty Support Insoles for Men - Designed for Big &amp; Tall Men 90+kg, Wide Feet, Shock Absorbing, Arch Support, Distributes Pressure, Trim to Fit Inserts, 1 Pair, UK Size 7-12</t>
  </si>
  <si>
    <t>Ergonomic support aids</t>
  </si>
  <si>
    <t>Shoe insoles</t>
  </si>
  <si>
    <t>DRT12</t>
  </si>
  <si>
    <t>Dr. Scholl's</t>
  </si>
  <si>
    <t>202-1088166-3476363</t>
  </si>
  <si>
    <t>eddIqAQLbT8zCfYUYxtI</t>
  </si>
  <si>
    <t>B001DKG7XA</t>
  </si>
  <si>
    <t>Nikwax TX.DIRECT Spray-On Waterproofer 500ml, Powerful Waterproofing Spray For Outdoor Clothing, Restores Waterproof Treatment for Jackets and Wet Weather Clothing</t>
  </si>
  <si>
    <t>NIKB</t>
  </si>
  <si>
    <t>202-8405489-9414757</t>
  </si>
  <si>
    <t>1rHQGTFfUo3MkC98QwNa</t>
  </si>
  <si>
    <t>B07MLDJF3B</t>
  </si>
  <si>
    <t>Amazon Basics 40-Pack AAA Alkaline Industrial Batteries, 1.5 Volt, 5-Year Shelf Life</t>
  </si>
  <si>
    <t>AAA</t>
  </si>
  <si>
    <t>AAA-40</t>
  </si>
  <si>
    <t>203-1847221-2022758</t>
  </si>
  <si>
    <t>ioJ2fGQ949m5nCWMOrEK</t>
  </si>
  <si>
    <t>B0C93G2M83</t>
  </si>
  <si>
    <t>Amazon Basics USB-C to USB-C 4 Fast Charger Cable, 40 Gbps, 8K Video, 240W, USB-IF Cert, Thunderbolt 4/3 Compatible, for Apple iPhone 16/15, iPad, Samsung Galaxy, Tablets, Laptops, 1 m, Black</t>
  </si>
  <si>
    <t>U4-CC-5A1M-E</t>
  </si>
  <si>
    <t>203-7750856-9513915</t>
  </si>
  <si>
    <t>1053bnGPE2gBdIlfpkOL</t>
  </si>
  <si>
    <t>B07W5JKHFZ</t>
  </si>
  <si>
    <t>Logitech MX Master 3S - Wireless Performance Mouse with Ultra-Fast Scrolling, Ergonomic, 8K DPI, Glass Tracking, Silent Clicks, USB-C, Bluetooth, Windows, Linux, Chrome - Dark Gray</t>
  </si>
  <si>
    <t>Computer data input devices</t>
  </si>
  <si>
    <t>Computer mouse or trackballs</t>
  </si>
  <si>
    <t>LOGVY</t>
  </si>
  <si>
    <t>Logitech</t>
  </si>
  <si>
    <t>910-006559</t>
  </si>
  <si>
    <t>910-006557</t>
  </si>
  <si>
    <t>203-0435061-4089942</t>
  </si>
  <si>
    <t>16DFNRCpkxQl4bvJUOAy</t>
  </si>
  <si>
    <t>B08W2129Z8</t>
  </si>
  <si>
    <t>USB A to USB C 3.1/3.2 Gen 2 Cable 10Gbps Data Transfer, Short USB C SSD Cable with 60W QC 3.0 Fast Charging, Spare Lead for Samsung T7, SanDisk Extreme Portable SSD, Crucial X8, WD, and More - 0.15M</t>
  </si>
  <si>
    <t>LDLrui</t>
  </si>
  <si>
    <t>YJCA-10</t>
  </si>
  <si>
    <t>YJ-CBAC88</t>
  </si>
  <si>
    <t>203-5918134-8934748</t>
  </si>
  <si>
    <t>R1v0djQcWnXTFG9wJXdc</t>
  </si>
  <si>
    <t>B0D8438GGX</t>
  </si>
  <si>
    <t>OSRAM NIGHT BREAKER LASER H3, +150% more brightness, halogen headlight lamp, 64151NL-2HB, 12V, Hanging folding box (2 lamps), white</t>
  </si>
  <si>
    <t>Commercial and Military and Private Vehicles and their Accessories and Components</t>
  </si>
  <si>
    <t>Transportation components and systems</t>
  </si>
  <si>
    <t>Exterior vehicle lighting</t>
  </si>
  <si>
    <t>Vehicle headlight</t>
  </si>
  <si>
    <t>OSRKE</t>
  </si>
  <si>
    <t>OSRAM</t>
  </si>
  <si>
    <t>64151NL-2HB</t>
  </si>
  <si>
    <t>203-7940410-4735526</t>
  </si>
  <si>
    <t>P527ImRLeuymZQzNlrcd</t>
  </si>
  <si>
    <t>B0C3HVTPRS</t>
  </si>
  <si>
    <t>Bosch H7 (477) Plus 200 Gigalight Headlight Bulbs - 12 V 55 W PX26d - 2 Bulbs</t>
  </si>
  <si>
    <t>BOY0O</t>
  </si>
  <si>
    <t>Bosch</t>
  </si>
  <si>
    <t>H7 Plus 200 Gigalight</t>
  </si>
  <si>
    <t>202-7123486-1411551</t>
  </si>
  <si>
    <t>38P7klvqcXjhRjViswwh</t>
  </si>
  <si>
    <t>B0CRYPKR4H</t>
  </si>
  <si>
    <t>MOMAX 140W Universal Travel Adapter, GaN Technology, EU/UK/AUS/US/JP Worldwide, Fast Charging for iPhone, MacBook pro, Vision Pro, Charging Cable Included</t>
  </si>
  <si>
    <t>MOMAX</t>
  </si>
  <si>
    <t>UA16</t>
  </si>
  <si>
    <t>Ai Mi Shi Dianzi(Shenzhen) Youxian Gongsi</t>
  </si>
  <si>
    <t>GB481899529</t>
  </si>
  <si>
    <t>203-8446277-4709956</t>
  </si>
  <si>
    <t>1PH6C0BWSNXC</t>
  </si>
  <si>
    <t>B0DRJ2WTTN</t>
  </si>
  <si>
    <t>iVANKY Intel Certified Thunderbolt 5 Dock, FusionDock Pro 3 Docking Station Dual 6K@60Hz for MacBook M1/M2/M3/M4 Pro/Max, Triple Display for Windows TB5/4, 180W Power, 120Gbps, 2.5GbE</t>
  </si>
  <si>
    <t>Docking station</t>
  </si>
  <si>
    <t>IVANKY</t>
  </si>
  <si>
    <t>Shenzhen Velocity Technology Innovations Co., Ltd.</t>
  </si>
  <si>
    <t>VCD13</t>
  </si>
  <si>
    <t>202-3041303-9370724</t>
  </si>
  <si>
    <t>3RoT9k02FSRedcw8eMtN</t>
  </si>
  <si>
    <t>B0FDGQ2CMJ</t>
  </si>
  <si>
    <t>Avhrit Cordless Car Buffer Polisher, 2 Pack 21V 4000mAh Batteries, 6IN Polishing Machine, 6 Variable Speed Car Buffers and Polishers Kit 6000RPM Orbital Polisher for Auto Detailing/Polishing/Waxing</t>
  </si>
  <si>
    <t>Power Tools</t>
  </si>
  <si>
    <t>Avhrit</t>
  </si>
  <si>
    <t>Buffer-4000MAH</t>
  </si>
  <si>
    <t>CB-0036</t>
  </si>
  <si>
    <t>shenzhenshi renyong keji youxiangongsi</t>
  </si>
  <si>
    <t>GB483838544</t>
  </si>
  <si>
    <t>202-5082411-0166746</t>
  </si>
  <si>
    <t>2zZTOnghxpLJQQkAD6E9</t>
  </si>
  <si>
    <t>B003J10S36</t>
  </si>
  <si>
    <t>Farécla G3 Advanced Liquid Compound 500ml (AG3-700) - Medium to High Cut Compound for Automotive Paint, Removes Swirls and Fine Scratches, Permanent Results, Use by Hand or Machine, No Fillers</t>
  </si>
  <si>
    <t>FARE8</t>
  </si>
  <si>
    <t>Farxe9cla</t>
  </si>
  <si>
    <t>Farecla Products Ltd</t>
  </si>
  <si>
    <t>AG3/700</t>
  </si>
  <si>
    <t>202-3988481-4401951</t>
  </si>
  <si>
    <t>2FVyjphf5RLbubpUN0BP</t>
  </si>
  <si>
    <t>B0FHQRYKQF</t>
  </si>
  <si>
    <t>TEKRAT Folding Wireless Charger Stand Compatible with MagSafe, 15W Fast Magnetic Wireless Charging Stand for iPhone 12-17 Series (Air, Pro, Pro Max, Plus, Mini), Includes 1m USB-C Cable</t>
  </si>
  <si>
    <t>TEKRAT</t>
  </si>
  <si>
    <t>FOLDMAG 001</t>
  </si>
  <si>
    <t>202-9006165-7240354</t>
  </si>
  <si>
    <t>11H6V5KOB2UW</t>
  </si>
  <si>
    <t>B0D3WLV9Q1</t>
  </si>
  <si>
    <t>Insta360 GO 3S 128GB - 4K Tiny Portable Vlogging Camera, Hands-Free POVs, Mount Anywhere, Stabilization, 140 Min Battery Life, 10m Waterproof, AI Editing, Black, For Vlog, Travel</t>
  </si>
  <si>
    <t>Cameras</t>
  </si>
  <si>
    <t>Insta360</t>
  </si>
  <si>
    <t>CINSAATA</t>
  </si>
  <si>
    <t>CINSAATA-ST-128B</t>
  </si>
  <si>
    <t>ISTONE INNOVATION LIMITED</t>
  </si>
  <si>
    <t>GB391948940</t>
  </si>
  <si>
    <t>202-9089099-2726705</t>
  </si>
  <si>
    <t>4KUTYA54LRTB</t>
  </si>
  <si>
    <t>B0D4DYS3BS</t>
  </si>
  <si>
    <t>Insta360 GO 3/GO 3S Magnet Pendant Safety Cord, Black</t>
  </si>
  <si>
    <t>Insta360 GO 3/GO 3S</t>
  </si>
  <si>
    <t>CINSBATJ</t>
  </si>
  <si>
    <t>203-8040309-7953107</t>
  </si>
  <si>
    <t>KI4YK7M8DMSN</t>
  </si>
  <si>
    <t>B0DC6KDV6R</t>
  </si>
  <si>
    <t>Lexar NM790 SSD 4TB, M.2 2280 PCIe Gen4x4 NVMe 1.4 Internal SSD, Up to 7,400MB/s Read, Up to 6,500MB/s Write, Internal Solid State Drive for PS5, PC, Laptop, Gamers, Professionals</t>
  </si>
  <si>
    <t>Media storage devices</t>
  </si>
  <si>
    <t>Solid state drive SSD</t>
  </si>
  <si>
    <t>Lexar</t>
  </si>
  <si>
    <t>Lexar Co.,LTD</t>
  </si>
  <si>
    <t>NM790</t>
  </si>
  <si>
    <t>205-1066833-3633965</t>
  </si>
  <si>
    <t>6TYPECM1JCW0</t>
  </si>
  <si>
    <t>B0F214PN3Z</t>
  </si>
  <si>
    <t>TOCOL Magnetic for iPhone 12 Pro Case 6.1-Inch, Fit for MagSafe, [14FT Military Grade Drop Tested], Shockproof Slim Anti-Fingerprint Translucent Matte Back Protective Phone Cover (Black)</t>
  </si>
  <si>
    <t>Mobile phone face plates</t>
  </si>
  <si>
    <t>TOCOL</t>
  </si>
  <si>
    <t>iPhone 12 Pro</t>
  </si>
  <si>
    <t>TL-HA-iP12Pro-6.1-MS-Mag-Black</t>
  </si>
  <si>
    <t>B0DK4VKL42</t>
  </si>
  <si>
    <t>TOCOL 2 Pack for iPhone 12/iPhone 12 Pro Screen Protector 6.1-Inch, Instant Installation, 16FT Military Grade Shatterproof, Tempered Glass, Case Friendly, HD Clear Coverage Protection</t>
  </si>
  <si>
    <t>TOCYX</t>
  </si>
  <si>
    <t>for iPhone 12</t>
  </si>
  <si>
    <t>iPhone 12</t>
  </si>
  <si>
    <t>205-4098856-3634745</t>
  </si>
  <si>
    <t>4CDFVJM1GD1I</t>
  </si>
  <si>
    <t>B08PCD9K1Q</t>
  </si>
  <si>
    <t>Apple iPhone 12 Pro, 256GB, Silver (Renewed)</t>
  </si>
  <si>
    <t>Personal communication devices</t>
  </si>
  <si>
    <t>Mobile phones</t>
  </si>
  <si>
    <t>Apple</t>
  </si>
  <si>
    <t>12 Pros</t>
  </si>
  <si>
    <t>Phonesmart Ltd</t>
  </si>
  <si>
    <t>GB970066031</t>
  </si>
  <si>
    <t>B0BNBR44X5</t>
  </si>
  <si>
    <t>SIQUK 8 Pieces Car Polishing Pads Kit - 80mm Buffing Pads (Wool, Sponge) - Fine &amp; Coarse Grit - Multiple Colors - Compatible with Paint, Chrome, Plastic, Glass - Includes M10 Drill Adapter</t>
  </si>
  <si>
    <t>Brooms and mops and brushes and accessories</t>
  </si>
  <si>
    <t>SIQUK</t>
  </si>
  <si>
    <t>SB-22-165</t>
  </si>
  <si>
    <t>Hunan Tuoping Electronic Commerce Co., Ltd.</t>
  </si>
  <si>
    <t>GB395036677</t>
  </si>
  <si>
    <t>205-4965944-4333136</t>
  </si>
  <si>
    <t>M3E0IMNUIQUB</t>
  </si>
  <si>
    <t>B0011569SK</t>
  </si>
  <si>
    <t>Autoglym Fast Glass, 500ml - Streak Free Car Cleaner for Windscreen, Windshield, Window Cleaning, Mirrors and More</t>
  </si>
  <si>
    <t>77U8C</t>
  </si>
  <si>
    <t>Autoglym</t>
  </si>
  <si>
    <t>Altro Limited</t>
  </si>
  <si>
    <t>AG 185003</t>
  </si>
  <si>
    <t>FG500</t>
  </si>
  <si>
    <t>205-8879921-8025142</t>
  </si>
  <si>
    <t>153PBJDZV60G</t>
  </si>
  <si>
    <t>B0C7HG3KXR</t>
  </si>
  <si>
    <t>T-Cut Final Glaze 500 ml - Ultimate Car Polish for Year-Round Shine &amp; Protection - Ideal for All Surfaces including Paintwork, Glass, Bumpers &amp; Trim</t>
  </si>
  <si>
    <t>TCUT4</t>
  </si>
  <si>
    <t>T-Cut</t>
  </si>
  <si>
    <t>Tetrosyl Ltd</t>
  </si>
  <si>
    <t>TFG500</t>
  </si>
  <si>
    <t>203-0253686-9321150</t>
  </si>
  <si>
    <t>1MNBPXC2T22H</t>
  </si>
  <si>
    <t>B0DRP3P5QZ</t>
  </si>
  <si>
    <t>Silkland 80Gbps USB4 Cable for Thunderbolt 5 Cable 1M [USB-IF Certified], 120Gbps Video Bandwidth, Dual 8K/6K@60Hz, 4K@540Hz, 240W PD3.1 for MacBook M4 Pro/Pro Max, Mac Mini M4, PSSD, Dock, eGPU</t>
  </si>
  <si>
    <t>Silkland</t>
  </si>
  <si>
    <t>S3403</t>
  </si>
  <si>
    <t>B0F4K7MFM7</t>
  </si>
  <si>
    <t>ACASIS 80Gbps M.2 NVMe SSD Enclosure, with Cooling Fan, 80Gbps Nvme Enclosure Compatible with Thunderbolt5/USB4 V2.0, MacBook Pro M4/M4 Pro and M4 Max, Mac Mini M4 (TBU 501 PRO-EU)</t>
  </si>
  <si>
    <t>Acasis</t>
  </si>
  <si>
    <t>TBU 501 PRO-EU</t>
  </si>
  <si>
    <t>TBU501</t>
  </si>
  <si>
    <t>B0DKP71XW3</t>
  </si>
  <si>
    <t>Lexar NM790 SSD 8TB, M.2 2280 PCIe Gen4x4 NVMe 1.4 Internal SSD, Up to 7,400MB/s Read, Up to 6,500MB/s Write, Internal Solid State Drive for PS5, PC, Laptop, Gamers, Professionals</t>
  </si>
  <si>
    <t>LNM790X008T-RNNNG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</si>
</sst>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5E54-1E58-F44D-A02C-E90B0210F81C}">
  <dimension ref="A1:BV60"/>
  <sheetViews>
    <sheetView tabSelected="1" topLeftCell="AF1" workbookViewId="0">
      <selection activeCell="AZ1" sqref="AZ1:AZ1048576"/>
    </sheetView>
  </sheetViews>
  <sheetFormatPr baseColWidth="10" defaultRowHeight="16" x14ac:dyDescent="0.2"/>
  <cols>
    <col min="32" max="32" width="181.83203125" bestFit="1" customWidth="1"/>
  </cols>
  <sheetData>
    <row r="1" spans="1:7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">
      <c r="A2" s="1">
        <v>46020</v>
      </c>
      <c r="B2" t="s">
        <v>93</v>
      </c>
      <c r="C2" t="s">
        <v>74</v>
      </c>
      <c r="E2">
        <v>1</v>
      </c>
      <c r="F2" t="s">
        <v>75</v>
      </c>
      <c r="G2">
        <v>99.99</v>
      </c>
      <c r="H2">
        <v>1.66</v>
      </c>
      <c r="I2">
        <v>-1.66</v>
      </c>
      <c r="J2">
        <v>20.329999999999998</v>
      </c>
      <c r="K2">
        <v>119.99</v>
      </c>
      <c r="L2" t="s">
        <v>76</v>
      </c>
      <c r="P2" t="s">
        <v>77</v>
      </c>
      <c r="Q2" t="s">
        <v>78</v>
      </c>
      <c r="R2" t="s">
        <v>79</v>
      </c>
      <c r="S2" t="s">
        <v>80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94</v>
      </c>
      <c r="Z2" s="1">
        <v>46020</v>
      </c>
      <c r="AA2">
        <v>119.99</v>
      </c>
      <c r="AB2" t="s">
        <v>87</v>
      </c>
      <c r="AC2" t="str">
        <f>"1006"</f>
        <v>1006</v>
      </c>
      <c r="AD2" t="s">
        <v>95</v>
      </c>
      <c r="AE2" t="s">
        <v>96</v>
      </c>
      <c r="AF2" t="s">
        <v>97</v>
      </c>
      <c r="AG2" t="str">
        <f>"43200000"</f>
        <v>43200000</v>
      </c>
      <c r="AH2" t="s">
        <v>98</v>
      </c>
      <c r="AI2" t="s">
        <v>99</v>
      </c>
      <c r="AJ2" t="s">
        <v>99</v>
      </c>
      <c r="AK2" t="s">
        <v>99</v>
      </c>
      <c r="AL2" t="s">
        <v>100</v>
      </c>
      <c r="AM2" t="s">
        <v>101</v>
      </c>
      <c r="AN2" t="s">
        <v>102</v>
      </c>
      <c r="AP2" t="s">
        <v>103</v>
      </c>
      <c r="AQ2" t="s">
        <v>103</v>
      </c>
      <c r="AR2" t="s">
        <v>83</v>
      </c>
      <c r="AT2" t="s">
        <v>81</v>
      </c>
      <c r="AU2">
        <v>99.99</v>
      </c>
      <c r="AV2">
        <v>1</v>
      </c>
      <c r="AW2">
        <v>99.99</v>
      </c>
      <c r="AX2">
        <v>1.66</v>
      </c>
      <c r="AY2">
        <v>-1.66</v>
      </c>
      <c r="AZ2">
        <v>20</v>
      </c>
      <c r="BA2">
        <v>119.99</v>
      </c>
      <c r="BC2" t="s">
        <v>81</v>
      </c>
      <c r="BD2">
        <v>0</v>
      </c>
      <c r="BE2" s="2">
        <v>0.2</v>
      </c>
      <c r="BG2">
        <v>99.99</v>
      </c>
      <c r="BJ2" t="s">
        <v>81</v>
      </c>
      <c r="BS2" t="s">
        <v>85</v>
      </c>
      <c r="BU2" t="s">
        <v>79</v>
      </c>
      <c r="BV2" t="s">
        <v>86</v>
      </c>
    </row>
    <row r="3" spans="1:74" x14ac:dyDescent="0.2">
      <c r="A3" s="1">
        <v>45983</v>
      </c>
      <c r="B3" t="s">
        <v>371</v>
      </c>
      <c r="C3" t="s">
        <v>74</v>
      </c>
      <c r="E3">
        <v>1</v>
      </c>
      <c r="F3" t="s">
        <v>75</v>
      </c>
      <c r="G3">
        <v>2.91</v>
      </c>
      <c r="J3">
        <v>0.57999999999999996</v>
      </c>
      <c r="K3">
        <v>3.49</v>
      </c>
      <c r="L3" t="s">
        <v>76</v>
      </c>
      <c r="P3" t="s">
        <v>77</v>
      </c>
      <c r="Q3" t="s">
        <v>78</v>
      </c>
      <c r="T3" t="s">
        <v>81</v>
      </c>
      <c r="U3" t="s">
        <v>81</v>
      </c>
      <c r="V3" t="s">
        <v>81</v>
      </c>
      <c r="W3" t="s">
        <v>81</v>
      </c>
      <c r="X3" t="s">
        <v>81</v>
      </c>
      <c r="Y3" t="s">
        <v>372</v>
      </c>
      <c r="Z3" s="1">
        <v>45983</v>
      </c>
      <c r="AA3">
        <v>3.49</v>
      </c>
      <c r="AB3" t="s">
        <v>87</v>
      </c>
      <c r="AC3" t="str">
        <f>"1006"</f>
        <v>1006</v>
      </c>
      <c r="AD3" t="s">
        <v>362</v>
      </c>
      <c r="AE3" t="s">
        <v>373</v>
      </c>
      <c r="AF3" t="s">
        <v>374</v>
      </c>
      <c r="AG3" t="str">
        <f>"55111516"</f>
        <v>55111516</v>
      </c>
      <c r="AH3" t="s">
        <v>88</v>
      </c>
      <c r="AI3" t="s">
        <v>89</v>
      </c>
      <c r="AJ3" t="s">
        <v>90</v>
      </c>
      <c r="AK3" t="s">
        <v>363</v>
      </c>
      <c r="AR3" t="s">
        <v>83</v>
      </c>
      <c r="AT3" t="s">
        <v>81</v>
      </c>
      <c r="AU3">
        <v>2.91</v>
      </c>
      <c r="AV3">
        <v>1</v>
      </c>
      <c r="AW3">
        <v>2.91</v>
      </c>
      <c r="AY3">
        <v>0</v>
      </c>
      <c r="AZ3">
        <v>0.57999999999999996</v>
      </c>
      <c r="BA3">
        <v>3.49</v>
      </c>
      <c r="BC3" t="s">
        <v>81</v>
      </c>
      <c r="BD3">
        <v>0</v>
      </c>
      <c r="BG3">
        <v>2.91</v>
      </c>
      <c r="BJ3" t="s">
        <v>81</v>
      </c>
      <c r="BS3" t="s">
        <v>91</v>
      </c>
      <c r="BU3" t="s">
        <v>79</v>
      </c>
      <c r="BV3" t="s">
        <v>92</v>
      </c>
    </row>
    <row r="4" spans="1:74" x14ac:dyDescent="0.2">
      <c r="A4" s="1">
        <v>45940</v>
      </c>
      <c r="B4" t="s">
        <v>508</v>
      </c>
      <c r="C4" t="s">
        <v>74</v>
      </c>
      <c r="E4">
        <v>1</v>
      </c>
      <c r="F4" t="s">
        <v>75</v>
      </c>
      <c r="G4">
        <v>229.99</v>
      </c>
      <c r="H4">
        <v>0</v>
      </c>
      <c r="I4">
        <v>0</v>
      </c>
      <c r="J4">
        <v>46</v>
      </c>
      <c r="K4">
        <v>275.99</v>
      </c>
      <c r="L4" t="s">
        <v>76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 t="s">
        <v>81</v>
      </c>
      <c r="V4" t="s">
        <v>81</v>
      </c>
      <c r="W4" t="s">
        <v>81</v>
      </c>
      <c r="X4" t="s">
        <v>81</v>
      </c>
      <c r="Y4" t="s">
        <v>509</v>
      </c>
      <c r="Z4" s="1">
        <v>45940</v>
      </c>
      <c r="AA4">
        <v>275.99</v>
      </c>
      <c r="AB4" t="s">
        <v>87</v>
      </c>
      <c r="AC4" t="str">
        <f>"1006"</f>
        <v>1006</v>
      </c>
      <c r="AD4" t="s">
        <v>282</v>
      </c>
      <c r="AE4" t="s">
        <v>510</v>
      </c>
      <c r="AF4" t="s">
        <v>511</v>
      </c>
      <c r="AG4" t="str">
        <f>"45121500"</f>
        <v>45121500</v>
      </c>
      <c r="AH4" t="s">
        <v>264</v>
      </c>
      <c r="AI4" t="s">
        <v>338</v>
      </c>
      <c r="AJ4" t="s">
        <v>512</v>
      </c>
      <c r="AK4" t="s">
        <v>512</v>
      </c>
      <c r="AM4" t="s">
        <v>513</v>
      </c>
      <c r="AN4" t="s">
        <v>513</v>
      </c>
      <c r="AP4" t="s">
        <v>514</v>
      </c>
      <c r="AQ4" t="s">
        <v>515</v>
      </c>
      <c r="AR4" t="s">
        <v>83</v>
      </c>
      <c r="AT4" t="s">
        <v>81</v>
      </c>
      <c r="AU4">
        <v>229.99</v>
      </c>
      <c r="AV4">
        <v>1</v>
      </c>
      <c r="AW4">
        <v>229.99</v>
      </c>
      <c r="AX4">
        <v>0</v>
      </c>
      <c r="AZ4">
        <v>46</v>
      </c>
      <c r="BA4">
        <v>275.99</v>
      </c>
      <c r="BC4" t="s">
        <v>81</v>
      </c>
      <c r="BD4">
        <v>0</v>
      </c>
      <c r="BE4" s="2">
        <v>0.2</v>
      </c>
      <c r="BG4">
        <v>229.99</v>
      </c>
      <c r="BJ4" t="s">
        <v>81</v>
      </c>
      <c r="BS4" t="s">
        <v>516</v>
      </c>
      <c r="BU4" t="s">
        <v>79</v>
      </c>
      <c r="BV4" t="s">
        <v>517</v>
      </c>
    </row>
    <row r="5" spans="1:74" x14ac:dyDescent="0.2">
      <c r="A5" s="1">
        <v>45940</v>
      </c>
      <c r="B5" t="s">
        <v>518</v>
      </c>
      <c r="C5" t="s">
        <v>74</v>
      </c>
      <c r="E5">
        <v>1</v>
      </c>
      <c r="F5" t="s">
        <v>75</v>
      </c>
      <c r="G5">
        <v>5.82</v>
      </c>
      <c r="H5">
        <v>0</v>
      </c>
      <c r="I5">
        <v>0</v>
      </c>
      <c r="J5">
        <v>1.1599999999999999</v>
      </c>
      <c r="K5">
        <v>6.98</v>
      </c>
      <c r="L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81</v>
      </c>
      <c r="V5" t="s">
        <v>81</v>
      </c>
      <c r="W5" t="s">
        <v>81</v>
      </c>
      <c r="X5" t="s">
        <v>81</v>
      </c>
      <c r="Y5" t="s">
        <v>519</v>
      </c>
      <c r="Z5" s="1">
        <v>45940</v>
      </c>
      <c r="AA5">
        <v>6.98</v>
      </c>
      <c r="AB5" t="s">
        <v>87</v>
      </c>
      <c r="AC5" t="str">
        <f>"1006"</f>
        <v>1006</v>
      </c>
      <c r="AD5" t="s">
        <v>282</v>
      </c>
      <c r="AE5" t="s">
        <v>520</v>
      </c>
      <c r="AF5" t="s">
        <v>521</v>
      </c>
      <c r="AG5" t="str">
        <f>"45121600"</f>
        <v>45121600</v>
      </c>
      <c r="AH5" t="s">
        <v>264</v>
      </c>
      <c r="AI5" t="s">
        <v>338</v>
      </c>
      <c r="AJ5" t="s">
        <v>339</v>
      </c>
      <c r="AK5" t="s">
        <v>339</v>
      </c>
      <c r="AM5" t="s">
        <v>513</v>
      </c>
      <c r="AN5" t="s">
        <v>513</v>
      </c>
      <c r="AP5" t="s">
        <v>522</v>
      </c>
      <c r="AQ5" t="s">
        <v>523</v>
      </c>
      <c r="AR5" t="s">
        <v>83</v>
      </c>
      <c r="AT5" t="s">
        <v>81</v>
      </c>
      <c r="AU5">
        <v>5.82</v>
      </c>
      <c r="AV5">
        <v>1</v>
      </c>
      <c r="AW5">
        <v>5.82</v>
      </c>
      <c r="AX5">
        <v>0</v>
      </c>
      <c r="AZ5">
        <v>1.1599999999999999</v>
      </c>
      <c r="BA5">
        <v>6.98</v>
      </c>
      <c r="BC5" t="s">
        <v>81</v>
      </c>
      <c r="BD5">
        <v>0</v>
      </c>
      <c r="BE5" s="2">
        <v>0.2</v>
      </c>
      <c r="BG5">
        <v>5.82</v>
      </c>
      <c r="BJ5" t="s">
        <v>81</v>
      </c>
      <c r="BS5" t="s">
        <v>85</v>
      </c>
      <c r="BU5" t="s">
        <v>79</v>
      </c>
      <c r="BV5" t="s">
        <v>86</v>
      </c>
    </row>
    <row r="6" spans="1:74" x14ac:dyDescent="0.2">
      <c r="A6" s="1">
        <v>45943</v>
      </c>
      <c r="B6" t="s">
        <v>476</v>
      </c>
      <c r="C6" t="s">
        <v>74</v>
      </c>
      <c r="E6">
        <v>1</v>
      </c>
      <c r="F6" t="s">
        <v>75</v>
      </c>
      <c r="G6">
        <v>141.66</v>
      </c>
      <c r="H6">
        <v>0</v>
      </c>
      <c r="I6">
        <v>0</v>
      </c>
      <c r="J6">
        <v>28.33</v>
      </c>
      <c r="K6">
        <v>169.99</v>
      </c>
      <c r="L6" t="s">
        <v>76</v>
      </c>
      <c r="P6" t="s">
        <v>105</v>
      </c>
      <c r="Q6" t="s">
        <v>106</v>
      </c>
      <c r="R6" t="s">
        <v>79</v>
      </c>
      <c r="S6" t="s">
        <v>80</v>
      </c>
      <c r="T6" t="s">
        <v>81</v>
      </c>
      <c r="U6" t="s">
        <v>81</v>
      </c>
      <c r="V6" t="s">
        <v>81</v>
      </c>
      <c r="W6" t="s">
        <v>81</v>
      </c>
      <c r="X6" t="s">
        <v>81</v>
      </c>
      <c r="Y6" t="s">
        <v>477</v>
      </c>
      <c r="Z6" s="1">
        <v>45943</v>
      </c>
      <c r="AA6">
        <v>169.99</v>
      </c>
      <c r="AB6" t="s">
        <v>87</v>
      </c>
      <c r="AC6" t="str">
        <f>"1014"</f>
        <v>1014</v>
      </c>
      <c r="AD6" t="s">
        <v>108</v>
      </c>
      <c r="AE6" t="s">
        <v>478</v>
      </c>
      <c r="AF6" t="s">
        <v>479</v>
      </c>
      <c r="AG6" t="str">
        <f>"43211602"</f>
        <v>43211602</v>
      </c>
      <c r="AH6" t="s">
        <v>98</v>
      </c>
      <c r="AI6" t="s">
        <v>379</v>
      </c>
      <c r="AJ6" t="s">
        <v>380</v>
      </c>
      <c r="AK6" t="s">
        <v>480</v>
      </c>
      <c r="AM6" t="s">
        <v>481</v>
      </c>
      <c r="AN6" t="s">
        <v>482</v>
      </c>
      <c r="AP6" t="s">
        <v>483</v>
      </c>
      <c r="AQ6" t="s">
        <v>483</v>
      </c>
      <c r="AR6" t="s">
        <v>83</v>
      </c>
      <c r="AT6" t="s">
        <v>81</v>
      </c>
      <c r="AU6">
        <v>141.66</v>
      </c>
      <c r="AV6">
        <v>1</v>
      </c>
      <c r="AW6">
        <v>141.66</v>
      </c>
      <c r="AX6">
        <v>0</v>
      </c>
      <c r="AZ6">
        <v>28.33</v>
      </c>
      <c r="BA6">
        <v>169.99</v>
      </c>
      <c r="BC6" t="s">
        <v>81</v>
      </c>
      <c r="BD6">
        <v>0</v>
      </c>
      <c r="BE6" s="2">
        <v>0.2</v>
      </c>
      <c r="BG6">
        <v>141.66</v>
      </c>
      <c r="BJ6" t="s">
        <v>81</v>
      </c>
      <c r="BS6" t="s">
        <v>85</v>
      </c>
      <c r="BU6" t="s">
        <v>79</v>
      </c>
      <c r="BV6" t="s">
        <v>86</v>
      </c>
    </row>
    <row r="7" spans="1:74" x14ac:dyDescent="0.2">
      <c r="A7" s="1">
        <v>45940</v>
      </c>
      <c r="B7" t="s">
        <v>524</v>
      </c>
      <c r="C7" t="s">
        <v>74</v>
      </c>
      <c r="E7">
        <v>1</v>
      </c>
      <c r="F7" t="s">
        <v>75</v>
      </c>
      <c r="G7">
        <v>199.99</v>
      </c>
      <c r="H7">
        <v>1.66</v>
      </c>
      <c r="I7">
        <v>-26.66</v>
      </c>
      <c r="J7">
        <v>40.33</v>
      </c>
      <c r="K7">
        <v>209.99</v>
      </c>
      <c r="L7" t="s">
        <v>76</v>
      </c>
      <c r="P7" t="s">
        <v>105</v>
      </c>
      <c r="Q7" t="s">
        <v>106</v>
      </c>
      <c r="R7" t="s">
        <v>79</v>
      </c>
      <c r="S7" t="s">
        <v>80</v>
      </c>
      <c r="T7" t="s">
        <v>81</v>
      </c>
      <c r="U7" t="s">
        <v>81</v>
      </c>
      <c r="V7" t="s">
        <v>81</v>
      </c>
      <c r="W7" t="s">
        <v>81</v>
      </c>
      <c r="X7" t="s">
        <v>81</v>
      </c>
      <c r="Y7" t="s">
        <v>525</v>
      </c>
      <c r="Z7" s="1">
        <v>45941</v>
      </c>
      <c r="AA7">
        <v>209.99</v>
      </c>
      <c r="AB7" t="s">
        <v>87</v>
      </c>
      <c r="AC7" t="str">
        <f>"1014"</f>
        <v>1014</v>
      </c>
      <c r="AD7" t="s">
        <v>95</v>
      </c>
      <c r="AE7" t="s">
        <v>526</v>
      </c>
      <c r="AF7" t="s">
        <v>527</v>
      </c>
      <c r="AG7" t="str">
        <f>"43201830"</f>
        <v>43201830</v>
      </c>
      <c r="AH7" t="s">
        <v>98</v>
      </c>
      <c r="AI7" t="s">
        <v>99</v>
      </c>
      <c r="AJ7" t="s">
        <v>528</v>
      </c>
      <c r="AK7" t="s">
        <v>529</v>
      </c>
      <c r="AM7" t="s">
        <v>530</v>
      </c>
      <c r="AN7" t="s">
        <v>531</v>
      </c>
      <c r="AP7" t="s">
        <v>532</v>
      </c>
      <c r="AR7" t="s">
        <v>83</v>
      </c>
      <c r="AT7" t="s">
        <v>81</v>
      </c>
      <c r="AU7">
        <v>199.99</v>
      </c>
      <c r="AV7">
        <v>1</v>
      </c>
      <c r="AW7">
        <v>199.99</v>
      </c>
      <c r="AX7">
        <v>1.66</v>
      </c>
      <c r="AY7">
        <v>-26.66</v>
      </c>
      <c r="AZ7">
        <v>35</v>
      </c>
      <c r="BA7">
        <v>209.99</v>
      </c>
      <c r="BC7" t="s">
        <v>81</v>
      </c>
      <c r="BD7">
        <v>0</v>
      </c>
      <c r="BE7" s="2">
        <v>0.2</v>
      </c>
      <c r="BG7">
        <v>174.99</v>
      </c>
      <c r="BJ7" t="s">
        <v>81</v>
      </c>
      <c r="BS7" t="s">
        <v>85</v>
      </c>
      <c r="BU7" t="s">
        <v>79</v>
      </c>
      <c r="BV7" t="s">
        <v>86</v>
      </c>
    </row>
    <row r="8" spans="1:74" x14ac:dyDescent="0.2">
      <c r="A8" s="1">
        <v>45940</v>
      </c>
      <c r="B8" t="s">
        <v>533</v>
      </c>
      <c r="C8" t="s">
        <v>74</v>
      </c>
      <c r="E8">
        <v>2</v>
      </c>
      <c r="F8" t="s">
        <v>75</v>
      </c>
      <c r="G8">
        <v>14.64</v>
      </c>
      <c r="H8">
        <v>1.1100000000000001</v>
      </c>
      <c r="I8">
        <v>-1.1100000000000001</v>
      </c>
      <c r="J8">
        <v>3.14</v>
      </c>
      <c r="K8">
        <v>17.559999999999999</v>
      </c>
      <c r="L8" t="s">
        <v>76</v>
      </c>
      <c r="P8" t="s">
        <v>105</v>
      </c>
      <c r="Q8" t="s">
        <v>106</v>
      </c>
      <c r="R8" t="s">
        <v>79</v>
      </c>
      <c r="S8" t="s">
        <v>80</v>
      </c>
      <c r="T8" t="s">
        <v>81</v>
      </c>
      <c r="U8" t="s">
        <v>81</v>
      </c>
      <c r="V8" t="s">
        <v>81</v>
      </c>
      <c r="W8" t="s">
        <v>81</v>
      </c>
      <c r="X8" t="s">
        <v>81</v>
      </c>
      <c r="Y8" t="s">
        <v>534</v>
      </c>
      <c r="Z8" s="1">
        <v>45940</v>
      </c>
      <c r="AA8">
        <v>17.559999999999999</v>
      </c>
      <c r="AB8" t="s">
        <v>87</v>
      </c>
      <c r="AC8" t="str">
        <f>"1014"</f>
        <v>1014</v>
      </c>
      <c r="AD8" t="s">
        <v>300</v>
      </c>
      <c r="AE8" t="s">
        <v>535</v>
      </c>
      <c r="AF8" t="s">
        <v>536</v>
      </c>
      <c r="AG8" t="str">
        <f>"43191601"</f>
        <v>43191601</v>
      </c>
      <c r="AH8" t="s">
        <v>98</v>
      </c>
      <c r="AI8" t="s">
        <v>303</v>
      </c>
      <c r="AJ8" t="s">
        <v>304</v>
      </c>
      <c r="AK8" t="s">
        <v>537</v>
      </c>
      <c r="AM8" t="s">
        <v>538</v>
      </c>
      <c r="AN8" t="s">
        <v>538</v>
      </c>
      <c r="AP8" t="s">
        <v>539</v>
      </c>
      <c r="AQ8" t="s">
        <v>540</v>
      </c>
      <c r="AR8" t="s">
        <v>83</v>
      </c>
      <c r="AT8" t="s">
        <v>81</v>
      </c>
      <c r="AU8">
        <v>8.32</v>
      </c>
      <c r="AV8">
        <v>1</v>
      </c>
      <c r="AW8">
        <v>8.32</v>
      </c>
      <c r="AX8">
        <v>0.55000000000000004</v>
      </c>
      <c r="AY8">
        <v>-0.55000000000000004</v>
      </c>
      <c r="AZ8">
        <v>1.66</v>
      </c>
      <c r="BA8">
        <v>9.98</v>
      </c>
      <c r="BC8" t="s">
        <v>81</v>
      </c>
      <c r="BD8">
        <v>0</v>
      </c>
      <c r="BE8" s="2">
        <v>0.2</v>
      </c>
      <c r="BG8">
        <v>8.32</v>
      </c>
      <c r="BJ8" t="s">
        <v>81</v>
      </c>
      <c r="BS8" t="s">
        <v>85</v>
      </c>
      <c r="BU8" t="s">
        <v>79</v>
      </c>
      <c r="BV8" t="s">
        <v>86</v>
      </c>
    </row>
    <row r="9" spans="1:74" x14ac:dyDescent="0.2">
      <c r="A9" s="1">
        <v>45940</v>
      </c>
      <c r="B9" t="s">
        <v>533</v>
      </c>
      <c r="C9" t="s">
        <v>74</v>
      </c>
      <c r="E9">
        <v>2</v>
      </c>
      <c r="F9" t="s">
        <v>75</v>
      </c>
      <c r="G9">
        <v>14.64</v>
      </c>
      <c r="H9">
        <v>1.1100000000000001</v>
      </c>
      <c r="I9">
        <v>-1.1100000000000001</v>
      </c>
      <c r="J9">
        <v>3.14</v>
      </c>
      <c r="K9">
        <v>17.559999999999999</v>
      </c>
      <c r="L9" t="s">
        <v>76</v>
      </c>
      <c r="P9" t="s">
        <v>105</v>
      </c>
      <c r="Q9" t="s">
        <v>106</v>
      </c>
      <c r="R9" t="s">
        <v>79</v>
      </c>
      <c r="S9" t="s">
        <v>80</v>
      </c>
      <c r="T9" t="s">
        <v>81</v>
      </c>
      <c r="U9" t="s">
        <v>81</v>
      </c>
      <c r="V9" t="s">
        <v>81</v>
      </c>
      <c r="W9" t="s">
        <v>81</v>
      </c>
      <c r="X9" t="s">
        <v>81</v>
      </c>
      <c r="Y9" t="s">
        <v>534</v>
      </c>
      <c r="Z9" s="1">
        <v>45940</v>
      </c>
      <c r="AA9">
        <v>17.559999999999999</v>
      </c>
      <c r="AB9" t="s">
        <v>87</v>
      </c>
      <c r="AC9" t="str">
        <f>"1014"</f>
        <v>1014</v>
      </c>
      <c r="AD9" t="s">
        <v>300</v>
      </c>
      <c r="AE9" t="s">
        <v>541</v>
      </c>
      <c r="AF9" t="s">
        <v>542</v>
      </c>
      <c r="AG9" t="str">
        <f>"43191600"</f>
        <v>43191600</v>
      </c>
      <c r="AH9" t="s">
        <v>98</v>
      </c>
      <c r="AI9" t="s">
        <v>303</v>
      </c>
      <c r="AJ9" t="s">
        <v>304</v>
      </c>
      <c r="AK9" t="s">
        <v>304</v>
      </c>
      <c r="AL9" t="s">
        <v>543</v>
      </c>
      <c r="AM9" t="s">
        <v>538</v>
      </c>
      <c r="AN9" t="s">
        <v>538</v>
      </c>
      <c r="AP9" t="s">
        <v>544</v>
      </c>
      <c r="AQ9" t="s">
        <v>545</v>
      </c>
      <c r="AR9" t="s">
        <v>83</v>
      </c>
      <c r="AT9" t="s">
        <v>81</v>
      </c>
      <c r="AU9">
        <v>6.32</v>
      </c>
      <c r="AV9">
        <v>1</v>
      </c>
      <c r="AW9">
        <v>6.32</v>
      </c>
      <c r="AX9">
        <v>0.56000000000000005</v>
      </c>
      <c r="AY9">
        <v>-0.56000000000000005</v>
      </c>
      <c r="AZ9">
        <v>1.26</v>
      </c>
      <c r="BA9">
        <v>7.58</v>
      </c>
      <c r="BC9" t="s">
        <v>84</v>
      </c>
      <c r="BD9">
        <v>1.67</v>
      </c>
      <c r="BE9" s="2">
        <v>0.2</v>
      </c>
      <c r="BG9">
        <v>6.32</v>
      </c>
      <c r="BJ9" t="s">
        <v>81</v>
      </c>
      <c r="BS9" t="s">
        <v>85</v>
      </c>
      <c r="BU9" t="s">
        <v>79</v>
      </c>
      <c r="BV9" t="s">
        <v>86</v>
      </c>
    </row>
    <row r="10" spans="1:74" x14ac:dyDescent="0.2">
      <c r="A10" s="1">
        <v>45940</v>
      </c>
      <c r="B10" t="s">
        <v>546</v>
      </c>
      <c r="C10" t="s">
        <v>74</v>
      </c>
      <c r="E10">
        <v>2</v>
      </c>
      <c r="F10" t="s">
        <v>75</v>
      </c>
      <c r="G10">
        <v>281.64999999999998</v>
      </c>
      <c r="H10">
        <v>0</v>
      </c>
      <c r="I10">
        <v>0</v>
      </c>
      <c r="J10">
        <v>56.33</v>
      </c>
      <c r="K10">
        <v>337.98</v>
      </c>
      <c r="L10" t="s">
        <v>76</v>
      </c>
      <c r="P10" t="s">
        <v>105</v>
      </c>
      <c r="Q10" t="s">
        <v>106</v>
      </c>
      <c r="R10" t="s">
        <v>79</v>
      </c>
      <c r="S10" t="s">
        <v>80</v>
      </c>
      <c r="T10" t="s">
        <v>81</v>
      </c>
      <c r="U10" t="s">
        <v>81</v>
      </c>
      <c r="V10" t="s">
        <v>81</v>
      </c>
      <c r="W10" t="s">
        <v>81</v>
      </c>
      <c r="X10" t="s">
        <v>81</v>
      </c>
      <c r="Y10" t="s">
        <v>547</v>
      </c>
      <c r="Z10" s="1">
        <v>45940</v>
      </c>
      <c r="AA10">
        <v>337.98</v>
      </c>
      <c r="AB10" t="s">
        <v>87</v>
      </c>
      <c r="AC10" t="str">
        <f>"1014"</f>
        <v>1014</v>
      </c>
      <c r="AD10" t="s">
        <v>300</v>
      </c>
      <c r="AE10" t="s">
        <v>548</v>
      </c>
      <c r="AF10" t="s">
        <v>549</v>
      </c>
      <c r="AG10" t="str">
        <f>"43191501"</f>
        <v>43191501</v>
      </c>
      <c r="AH10" t="s">
        <v>98</v>
      </c>
      <c r="AI10" t="s">
        <v>303</v>
      </c>
      <c r="AJ10" t="s">
        <v>550</v>
      </c>
      <c r="AK10" t="s">
        <v>551</v>
      </c>
      <c r="AM10" t="s">
        <v>552</v>
      </c>
      <c r="AN10" t="s">
        <v>552</v>
      </c>
      <c r="AQ10" t="s">
        <v>553</v>
      </c>
      <c r="AR10" t="s">
        <v>83</v>
      </c>
      <c r="AT10" t="s">
        <v>81</v>
      </c>
      <c r="AU10">
        <v>274.99</v>
      </c>
      <c r="AV10">
        <v>1</v>
      </c>
      <c r="AW10">
        <v>274.99</v>
      </c>
      <c r="AX10">
        <v>0</v>
      </c>
      <c r="AZ10">
        <v>55</v>
      </c>
      <c r="BA10">
        <v>329.99</v>
      </c>
      <c r="BC10" t="s">
        <v>81</v>
      </c>
      <c r="BD10">
        <v>0</v>
      </c>
      <c r="BE10" s="2">
        <v>0.2</v>
      </c>
      <c r="BG10">
        <v>274.99</v>
      </c>
      <c r="BJ10" t="s">
        <v>81</v>
      </c>
      <c r="BS10" t="s">
        <v>554</v>
      </c>
      <c r="BU10" t="s">
        <v>79</v>
      </c>
      <c r="BV10" t="s">
        <v>555</v>
      </c>
    </row>
    <row r="11" spans="1:74" x14ac:dyDescent="0.2">
      <c r="A11" s="1">
        <v>45940</v>
      </c>
      <c r="B11" t="s">
        <v>546</v>
      </c>
      <c r="C11" t="s">
        <v>74</v>
      </c>
      <c r="E11">
        <v>2</v>
      </c>
      <c r="F11" t="s">
        <v>75</v>
      </c>
      <c r="G11">
        <v>281.64999999999998</v>
      </c>
      <c r="H11">
        <v>0</v>
      </c>
      <c r="I11">
        <v>0</v>
      </c>
      <c r="J11">
        <v>56.33</v>
      </c>
      <c r="K11">
        <v>337.98</v>
      </c>
      <c r="L11" t="s">
        <v>76</v>
      </c>
      <c r="P11" t="s">
        <v>105</v>
      </c>
      <c r="Q11" t="s">
        <v>106</v>
      </c>
      <c r="R11" t="s">
        <v>79</v>
      </c>
      <c r="S11" t="s">
        <v>80</v>
      </c>
      <c r="T11" t="s">
        <v>81</v>
      </c>
      <c r="U11" t="s">
        <v>81</v>
      </c>
      <c r="V11" t="s">
        <v>81</v>
      </c>
      <c r="W11" t="s">
        <v>81</v>
      </c>
      <c r="X11" t="s">
        <v>81</v>
      </c>
      <c r="Y11" t="s">
        <v>547</v>
      </c>
      <c r="Z11" s="1">
        <v>45940</v>
      </c>
      <c r="AA11">
        <v>337.98</v>
      </c>
      <c r="AB11" t="s">
        <v>87</v>
      </c>
      <c r="AC11" t="str">
        <f>"1014"</f>
        <v>1014</v>
      </c>
      <c r="AD11" t="s">
        <v>238</v>
      </c>
      <c r="AE11" t="s">
        <v>556</v>
      </c>
      <c r="AF11" t="s">
        <v>557</v>
      </c>
      <c r="AG11" t="str">
        <f>"47131600"</f>
        <v>47131600</v>
      </c>
      <c r="AH11" t="s">
        <v>210</v>
      </c>
      <c r="AI11" t="s">
        <v>211</v>
      </c>
      <c r="AJ11" t="s">
        <v>558</v>
      </c>
      <c r="AK11" t="s">
        <v>558</v>
      </c>
      <c r="AM11" t="s">
        <v>559</v>
      </c>
      <c r="AN11" t="s">
        <v>559</v>
      </c>
      <c r="AP11" t="s">
        <v>560</v>
      </c>
      <c r="AQ11" t="s">
        <v>560</v>
      </c>
      <c r="AR11" t="s">
        <v>83</v>
      </c>
      <c r="AT11" t="s">
        <v>81</v>
      </c>
      <c r="AU11">
        <v>6.66</v>
      </c>
      <c r="AV11">
        <v>1</v>
      </c>
      <c r="AW11">
        <v>6.66</v>
      </c>
      <c r="AX11">
        <v>0</v>
      </c>
      <c r="AZ11">
        <v>1.33</v>
      </c>
      <c r="BA11">
        <v>7.99</v>
      </c>
      <c r="BC11" t="s">
        <v>81</v>
      </c>
      <c r="BD11">
        <v>0</v>
      </c>
      <c r="BE11" s="2">
        <v>0.2</v>
      </c>
      <c r="BG11">
        <v>6.66</v>
      </c>
      <c r="BJ11" t="s">
        <v>81</v>
      </c>
      <c r="BS11" t="s">
        <v>561</v>
      </c>
      <c r="BU11" t="s">
        <v>79</v>
      </c>
      <c r="BV11" t="s">
        <v>562</v>
      </c>
    </row>
    <row r="12" spans="1:74" x14ac:dyDescent="0.2">
      <c r="A12" s="1">
        <v>45940</v>
      </c>
      <c r="B12" t="s">
        <v>563</v>
      </c>
      <c r="C12" t="s">
        <v>74</v>
      </c>
      <c r="E12">
        <v>1</v>
      </c>
      <c r="F12" t="s">
        <v>75</v>
      </c>
      <c r="G12">
        <v>5.93</v>
      </c>
      <c r="H12">
        <v>0</v>
      </c>
      <c r="I12">
        <v>0</v>
      </c>
      <c r="J12">
        <v>1.19</v>
      </c>
      <c r="K12">
        <v>7.12</v>
      </c>
      <c r="L12" t="s">
        <v>76</v>
      </c>
      <c r="P12" t="s">
        <v>105</v>
      </c>
      <c r="Q12" t="s">
        <v>106</v>
      </c>
      <c r="R12" t="s">
        <v>79</v>
      </c>
      <c r="S12" t="s">
        <v>80</v>
      </c>
      <c r="T12" t="s">
        <v>81</v>
      </c>
      <c r="U12" t="s">
        <v>81</v>
      </c>
      <c r="V12" t="s">
        <v>81</v>
      </c>
      <c r="W12" t="s">
        <v>81</v>
      </c>
      <c r="X12" t="s">
        <v>81</v>
      </c>
      <c r="Y12" t="s">
        <v>564</v>
      </c>
      <c r="Z12" s="1">
        <v>45940</v>
      </c>
      <c r="AA12">
        <v>7.12</v>
      </c>
      <c r="AB12" t="s">
        <v>87</v>
      </c>
      <c r="AC12" t="str">
        <f>"1014"</f>
        <v>1014</v>
      </c>
      <c r="AD12" t="s">
        <v>361</v>
      </c>
      <c r="AE12" t="s">
        <v>565</v>
      </c>
      <c r="AF12" t="s">
        <v>566</v>
      </c>
      <c r="AG12" t="str">
        <f>"47131800"</f>
        <v>47131800</v>
      </c>
      <c r="AH12" t="s">
        <v>210</v>
      </c>
      <c r="AI12" t="s">
        <v>211</v>
      </c>
      <c r="AJ12" t="s">
        <v>212</v>
      </c>
      <c r="AK12" t="s">
        <v>212</v>
      </c>
      <c r="AL12" t="s">
        <v>567</v>
      </c>
      <c r="AM12" t="s">
        <v>568</v>
      </c>
      <c r="AN12" t="s">
        <v>569</v>
      </c>
      <c r="AP12" t="s">
        <v>570</v>
      </c>
      <c r="AQ12" t="s">
        <v>571</v>
      </c>
      <c r="AR12" t="s">
        <v>83</v>
      </c>
      <c r="AT12" t="s">
        <v>81</v>
      </c>
      <c r="AU12">
        <v>5.93</v>
      </c>
      <c r="AV12">
        <v>1</v>
      </c>
      <c r="AW12">
        <v>5.93</v>
      </c>
      <c r="AX12">
        <v>0</v>
      </c>
      <c r="AZ12">
        <v>1.19</v>
      </c>
      <c r="BA12">
        <v>7.12</v>
      </c>
      <c r="BC12" t="s">
        <v>84</v>
      </c>
      <c r="BD12">
        <v>2.0699999999999998</v>
      </c>
      <c r="BE12" s="2">
        <v>0.2</v>
      </c>
      <c r="BG12">
        <v>5.93</v>
      </c>
      <c r="BJ12" t="s">
        <v>81</v>
      </c>
      <c r="BS12" t="s">
        <v>85</v>
      </c>
      <c r="BU12" t="s">
        <v>79</v>
      </c>
      <c r="BV12" t="s">
        <v>86</v>
      </c>
    </row>
    <row r="13" spans="1:74" x14ac:dyDescent="0.2">
      <c r="A13" s="1">
        <v>45940</v>
      </c>
      <c r="B13" t="s">
        <v>572</v>
      </c>
      <c r="C13" t="s">
        <v>74</v>
      </c>
      <c r="E13">
        <v>1</v>
      </c>
      <c r="F13" t="s">
        <v>75</v>
      </c>
      <c r="G13">
        <v>6.64</v>
      </c>
      <c r="H13">
        <v>0.55000000000000004</v>
      </c>
      <c r="I13">
        <v>-0.55000000000000004</v>
      </c>
      <c r="J13">
        <v>1.44</v>
      </c>
      <c r="K13">
        <v>7.97</v>
      </c>
      <c r="L13" t="s">
        <v>76</v>
      </c>
      <c r="P13" t="s">
        <v>105</v>
      </c>
      <c r="Q13" t="s">
        <v>106</v>
      </c>
      <c r="R13" t="s">
        <v>79</v>
      </c>
      <c r="S13" t="s">
        <v>80</v>
      </c>
      <c r="T13" t="s">
        <v>81</v>
      </c>
      <c r="U13" t="s">
        <v>81</v>
      </c>
      <c r="V13" t="s">
        <v>81</v>
      </c>
      <c r="W13" t="s">
        <v>81</v>
      </c>
      <c r="X13" t="s">
        <v>81</v>
      </c>
      <c r="Y13" t="s">
        <v>573</v>
      </c>
      <c r="Z13" s="1">
        <v>45941</v>
      </c>
      <c r="AA13">
        <v>7.97</v>
      </c>
      <c r="AB13" t="s">
        <v>87</v>
      </c>
      <c r="AC13" t="str">
        <f>"1014"</f>
        <v>1014</v>
      </c>
      <c r="AD13" t="s">
        <v>361</v>
      </c>
      <c r="AE13" t="s">
        <v>574</v>
      </c>
      <c r="AF13" t="s">
        <v>575</v>
      </c>
      <c r="AG13" t="str">
        <f>"47131800"</f>
        <v>47131800</v>
      </c>
      <c r="AH13" t="s">
        <v>210</v>
      </c>
      <c r="AI13" t="s">
        <v>211</v>
      </c>
      <c r="AJ13" t="s">
        <v>212</v>
      </c>
      <c r="AK13" t="s">
        <v>212</v>
      </c>
      <c r="AL13" t="s">
        <v>576</v>
      </c>
      <c r="AM13" t="s">
        <v>577</v>
      </c>
      <c r="AN13" t="s">
        <v>578</v>
      </c>
      <c r="AP13" t="s">
        <v>579</v>
      </c>
      <c r="AQ13" t="s">
        <v>579</v>
      </c>
      <c r="AR13" t="s">
        <v>83</v>
      </c>
      <c r="AT13" t="s">
        <v>81</v>
      </c>
      <c r="AU13">
        <v>6.64</v>
      </c>
      <c r="AV13">
        <v>1</v>
      </c>
      <c r="AW13">
        <v>6.64</v>
      </c>
      <c r="AX13">
        <v>0.55000000000000004</v>
      </c>
      <c r="AY13">
        <v>-0.55000000000000004</v>
      </c>
      <c r="AZ13">
        <v>1.33</v>
      </c>
      <c r="BA13">
        <v>7.97</v>
      </c>
      <c r="BC13" t="s">
        <v>84</v>
      </c>
      <c r="BD13">
        <v>1.34</v>
      </c>
      <c r="BE13" s="2">
        <v>0.2</v>
      </c>
      <c r="BG13">
        <v>6.64</v>
      </c>
      <c r="BJ13" t="s">
        <v>81</v>
      </c>
      <c r="BS13" t="s">
        <v>85</v>
      </c>
      <c r="BU13" t="s">
        <v>79</v>
      </c>
      <c r="BV13" t="s">
        <v>86</v>
      </c>
    </row>
    <row r="14" spans="1:74" x14ac:dyDescent="0.2">
      <c r="A14" s="1">
        <v>45939</v>
      </c>
      <c r="B14" t="s">
        <v>580</v>
      </c>
      <c r="C14" t="s">
        <v>74</v>
      </c>
      <c r="E14">
        <v>3</v>
      </c>
      <c r="F14" t="s">
        <v>75</v>
      </c>
      <c r="G14">
        <v>688.94</v>
      </c>
      <c r="H14">
        <v>0</v>
      </c>
      <c r="I14">
        <v>0</v>
      </c>
      <c r="J14">
        <v>137.79</v>
      </c>
      <c r="K14">
        <v>826.73</v>
      </c>
      <c r="L14" t="s">
        <v>76</v>
      </c>
      <c r="P14" t="s">
        <v>105</v>
      </c>
      <c r="Q14" t="s">
        <v>106</v>
      </c>
      <c r="R14" t="s">
        <v>79</v>
      </c>
      <c r="S14" t="s">
        <v>80</v>
      </c>
      <c r="T14" t="s">
        <v>81</v>
      </c>
      <c r="U14" t="s">
        <v>81</v>
      </c>
      <c r="V14" t="s">
        <v>81</v>
      </c>
      <c r="W14" t="s">
        <v>81</v>
      </c>
      <c r="X14" t="s">
        <v>81</v>
      </c>
      <c r="Y14" t="s">
        <v>581</v>
      </c>
      <c r="Z14" s="1">
        <v>45940</v>
      </c>
      <c r="AA14">
        <v>826.73</v>
      </c>
      <c r="AB14" t="s">
        <v>87</v>
      </c>
      <c r="AC14" t="str">
        <f>"1014"</f>
        <v>1014</v>
      </c>
      <c r="AD14" t="s">
        <v>238</v>
      </c>
      <c r="AE14" t="s">
        <v>582</v>
      </c>
      <c r="AF14" t="s">
        <v>583</v>
      </c>
      <c r="AG14" t="str">
        <f>"43202222"</f>
        <v>43202222</v>
      </c>
      <c r="AH14" t="s">
        <v>98</v>
      </c>
      <c r="AI14" t="s">
        <v>99</v>
      </c>
      <c r="AJ14" t="s">
        <v>241</v>
      </c>
      <c r="AK14" t="s">
        <v>242</v>
      </c>
      <c r="AM14" t="s">
        <v>584</v>
      </c>
      <c r="AN14" t="s">
        <v>584</v>
      </c>
      <c r="AP14" t="s">
        <v>585</v>
      </c>
      <c r="AQ14" t="s">
        <v>585</v>
      </c>
      <c r="AR14" t="s">
        <v>83</v>
      </c>
      <c r="AT14" t="s">
        <v>81</v>
      </c>
      <c r="AU14">
        <v>13.45</v>
      </c>
      <c r="AV14">
        <v>1</v>
      </c>
      <c r="AW14">
        <v>13.45</v>
      </c>
      <c r="AX14">
        <v>0</v>
      </c>
      <c r="AZ14">
        <v>2.69</v>
      </c>
      <c r="BA14">
        <v>16.14</v>
      </c>
      <c r="BC14" t="s">
        <v>81</v>
      </c>
      <c r="BD14">
        <v>0</v>
      </c>
      <c r="BE14" s="2">
        <v>0.2</v>
      </c>
      <c r="BG14">
        <v>13.45</v>
      </c>
      <c r="BJ14" t="s">
        <v>81</v>
      </c>
      <c r="BS14" t="s">
        <v>85</v>
      </c>
      <c r="BU14" t="s">
        <v>79</v>
      </c>
      <c r="BV14" t="s">
        <v>86</v>
      </c>
    </row>
    <row r="15" spans="1:74" x14ac:dyDescent="0.2">
      <c r="A15" s="1">
        <v>45939</v>
      </c>
      <c r="B15" t="s">
        <v>580</v>
      </c>
      <c r="C15" t="s">
        <v>74</v>
      </c>
      <c r="E15">
        <v>3</v>
      </c>
      <c r="F15" t="s">
        <v>75</v>
      </c>
      <c r="G15">
        <v>688.94</v>
      </c>
      <c r="H15">
        <v>0</v>
      </c>
      <c r="I15">
        <v>0</v>
      </c>
      <c r="J15">
        <v>137.79</v>
      </c>
      <c r="K15">
        <v>826.73</v>
      </c>
      <c r="L15" t="s">
        <v>76</v>
      </c>
      <c r="P15" t="s">
        <v>105</v>
      </c>
      <c r="Q15" t="s">
        <v>106</v>
      </c>
      <c r="R15" t="s">
        <v>79</v>
      </c>
      <c r="S15" t="s">
        <v>80</v>
      </c>
      <c r="T15" t="s">
        <v>81</v>
      </c>
      <c r="U15" t="s">
        <v>81</v>
      </c>
      <c r="V15" t="s">
        <v>81</v>
      </c>
      <c r="W15" t="s">
        <v>81</v>
      </c>
      <c r="X15" t="s">
        <v>81</v>
      </c>
      <c r="Y15" t="s">
        <v>581</v>
      </c>
      <c r="Z15" s="1">
        <v>45940</v>
      </c>
      <c r="AA15">
        <v>826.73</v>
      </c>
      <c r="AB15" t="s">
        <v>87</v>
      </c>
      <c r="AC15" t="str">
        <f>"1014"</f>
        <v>1014</v>
      </c>
      <c r="AD15" t="s">
        <v>108</v>
      </c>
      <c r="AE15" t="s">
        <v>586</v>
      </c>
      <c r="AF15" t="s">
        <v>587</v>
      </c>
      <c r="AG15" t="str">
        <f>"43200000"</f>
        <v>43200000</v>
      </c>
      <c r="AH15" t="s">
        <v>98</v>
      </c>
      <c r="AI15" t="s">
        <v>99</v>
      </c>
      <c r="AJ15" t="s">
        <v>99</v>
      </c>
      <c r="AK15" t="s">
        <v>99</v>
      </c>
      <c r="AM15" t="s">
        <v>588</v>
      </c>
      <c r="AN15" t="s">
        <v>588</v>
      </c>
      <c r="AP15" t="s">
        <v>589</v>
      </c>
      <c r="AQ15" t="s">
        <v>590</v>
      </c>
      <c r="AR15" t="s">
        <v>83</v>
      </c>
      <c r="AT15" t="s">
        <v>81</v>
      </c>
      <c r="AU15">
        <v>180.49</v>
      </c>
      <c r="AV15">
        <v>1</v>
      </c>
      <c r="AW15">
        <v>180.49</v>
      </c>
      <c r="AX15">
        <v>0</v>
      </c>
      <c r="AZ15">
        <v>36.1</v>
      </c>
      <c r="BA15">
        <v>216.59</v>
      </c>
      <c r="BC15" t="s">
        <v>81</v>
      </c>
      <c r="BD15">
        <v>0</v>
      </c>
      <c r="BE15" s="2">
        <v>0.2</v>
      </c>
      <c r="BG15">
        <v>180.49</v>
      </c>
      <c r="BJ15" t="s">
        <v>81</v>
      </c>
      <c r="BS15" t="s">
        <v>85</v>
      </c>
      <c r="BU15" t="s">
        <v>79</v>
      </c>
      <c r="BV15" t="s">
        <v>86</v>
      </c>
    </row>
    <row r="16" spans="1:74" x14ac:dyDescent="0.2">
      <c r="A16" s="1">
        <v>45939</v>
      </c>
      <c r="B16" t="s">
        <v>580</v>
      </c>
      <c r="C16" t="s">
        <v>74</v>
      </c>
      <c r="E16">
        <v>3</v>
      </c>
      <c r="F16" t="s">
        <v>75</v>
      </c>
      <c r="G16">
        <v>688.94</v>
      </c>
      <c r="H16">
        <v>0</v>
      </c>
      <c r="I16">
        <v>0</v>
      </c>
      <c r="J16">
        <v>137.79</v>
      </c>
      <c r="K16">
        <v>826.73</v>
      </c>
      <c r="L16" t="s">
        <v>76</v>
      </c>
      <c r="P16" t="s">
        <v>105</v>
      </c>
      <c r="Q16" t="s">
        <v>106</v>
      </c>
      <c r="R16" t="s">
        <v>79</v>
      </c>
      <c r="S16" t="s">
        <v>80</v>
      </c>
      <c r="T16" t="s">
        <v>81</v>
      </c>
      <c r="U16" t="s">
        <v>81</v>
      </c>
      <c r="V16" t="s">
        <v>81</v>
      </c>
      <c r="W16" t="s">
        <v>81</v>
      </c>
      <c r="X16" t="s">
        <v>81</v>
      </c>
      <c r="Y16" t="s">
        <v>581</v>
      </c>
      <c r="Z16" s="1">
        <v>45940</v>
      </c>
      <c r="AA16">
        <v>826.73</v>
      </c>
      <c r="AB16" t="s">
        <v>87</v>
      </c>
      <c r="AC16" t="str">
        <f>"1014"</f>
        <v>1014</v>
      </c>
      <c r="AD16" t="s">
        <v>95</v>
      </c>
      <c r="AE16" t="s">
        <v>591</v>
      </c>
      <c r="AF16" t="s">
        <v>592</v>
      </c>
      <c r="AG16" t="str">
        <f>"43201830"</f>
        <v>43201830</v>
      </c>
      <c r="AH16" t="s">
        <v>98</v>
      </c>
      <c r="AI16" t="s">
        <v>99</v>
      </c>
      <c r="AJ16" t="s">
        <v>528</v>
      </c>
      <c r="AK16" t="s">
        <v>529</v>
      </c>
      <c r="AM16" t="s">
        <v>530</v>
      </c>
      <c r="AN16" t="s">
        <v>531</v>
      </c>
      <c r="AP16" t="s">
        <v>593</v>
      </c>
      <c r="AQ16" t="s">
        <v>593</v>
      </c>
      <c r="AR16" t="s">
        <v>83</v>
      </c>
      <c r="AT16" t="s">
        <v>81</v>
      </c>
      <c r="AU16">
        <v>495</v>
      </c>
      <c r="AV16">
        <v>1</v>
      </c>
      <c r="AW16">
        <v>495</v>
      </c>
      <c r="AX16">
        <v>0</v>
      </c>
      <c r="AZ16">
        <v>99</v>
      </c>
      <c r="BA16">
        <v>594</v>
      </c>
      <c r="BC16" t="s">
        <v>84</v>
      </c>
      <c r="BD16">
        <v>104.99</v>
      </c>
      <c r="BE16" s="2">
        <v>0.2</v>
      </c>
      <c r="BG16">
        <v>495</v>
      </c>
      <c r="BJ16" t="s">
        <v>81</v>
      </c>
      <c r="BS16" t="s">
        <v>85</v>
      </c>
      <c r="BU16" t="s">
        <v>79</v>
      </c>
      <c r="BV16" t="s">
        <v>86</v>
      </c>
    </row>
    <row r="17" spans="1:74" x14ac:dyDescent="0.2">
      <c r="A17" s="1">
        <v>46019</v>
      </c>
      <c r="B17" t="s">
        <v>104</v>
      </c>
      <c r="C17" t="s">
        <v>74</v>
      </c>
      <c r="E17">
        <v>1</v>
      </c>
      <c r="F17" t="s">
        <v>75</v>
      </c>
      <c r="G17">
        <v>3.95</v>
      </c>
      <c r="H17">
        <v>0</v>
      </c>
      <c r="I17">
        <v>0</v>
      </c>
      <c r="J17">
        <v>0.79</v>
      </c>
      <c r="K17">
        <v>4.74</v>
      </c>
      <c r="L17" t="s">
        <v>76</v>
      </c>
      <c r="P17" t="s">
        <v>105</v>
      </c>
      <c r="Q17" t="s">
        <v>106</v>
      </c>
      <c r="R17" t="s">
        <v>79</v>
      </c>
      <c r="S17" t="s">
        <v>80</v>
      </c>
      <c r="T17" t="s">
        <v>81</v>
      </c>
      <c r="U17" t="s">
        <v>81</v>
      </c>
      <c r="V17" t="s">
        <v>81</v>
      </c>
      <c r="W17" t="s">
        <v>81</v>
      </c>
      <c r="X17" t="s">
        <v>81</v>
      </c>
      <c r="Y17" t="s">
        <v>107</v>
      </c>
      <c r="Z17" s="1">
        <v>46019</v>
      </c>
      <c r="AA17">
        <v>4.74</v>
      </c>
      <c r="AB17" t="s">
        <v>82</v>
      </c>
      <c r="AC17" t="str">
        <f>"2691"</f>
        <v>2691</v>
      </c>
      <c r="AD17" t="s">
        <v>108</v>
      </c>
      <c r="AE17" t="s">
        <v>109</v>
      </c>
      <c r="AF17" t="s">
        <v>110</v>
      </c>
      <c r="AG17" t="str">
        <f>"43200000"</f>
        <v>43200000</v>
      </c>
      <c r="AH17" t="s">
        <v>98</v>
      </c>
      <c r="AI17" t="s">
        <v>99</v>
      </c>
      <c r="AJ17" t="s">
        <v>99</v>
      </c>
      <c r="AK17" t="s">
        <v>99</v>
      </c>
      <c r="AM17" t="s">
        <v>111</v>
      </c>
      <c r="AN17" t="s">
        <v>111</v>
      </c>
      <c r="AP17" t="s">
        <v>112</v>
      </c>
      <c r="AQ17" t="s">
        <v>112</v>
      </c>
      <c r="AR17" t="s">
        <v>83</v>
      </c>
      <c r="AT17" t="s">
        <v>81</v>
      </c>
      <c r="AU17">
        <v>3.95</v>
      </c>
      <c r="AV17">
        <v>1</v>
      </c>
      <c r="AW17">
        <v>3.95</v>
      </c>
      <c r="AX17">
        <v>0</v>
      </c>
      <c r="AZ17">
        <v>0.79</v>
      </c>
      <c r="BA17">
        <v>4.74</v>
      </c>
      <c r="BC17" t="s">
        <v>84</v>
      </c>
      <c r="BD17">
        <v>1.04</v>
      </c>
      <c r="BE17" s="2">
        <v>0.2</v>
      </c>
      <c r="BG17">
        <v>3.95</v>
      </c>
      <c r="BJ17" t="s">
        <v>81</v>
      </c>
      <c r="BS17" t="s">
        <v>113</v>
      </c>
      <c r="BU17" t="s">
        <v>79</v>
      </c>
      <c r="BV17" t="s">
        <v>114</v>
      </c>
    </row>
    <row r="18" spans="1:74" x14ac:dyDescent="0.2">
      <c r="A18" s="1">
        <v>46019</v>
      </c>
      <c r="B18" t="s">
        <v>115</v>
      </c>
      <c r="C18" t="s">
        <v>74</v>
      </c>
      <c r="E18">
        <v>1</v>
      </c>
      <c r="F18" t="s">
        <v>75</v>
      </c>
      <c r="G18">
        <v>8.07</v>
      </c>
      <c r="H18">
        <v>0</v>
      </c>
      <c r="I18">
        <v>0</v>
      </c>
      <c r="J18">
        <v>1.61</v>
      </c>
      <c r="K18">
        <v>9.68</v>
      </c>
      <c r="L18" t="s">
        <v>76</v>
      </c>
      <c r="P18" t="s">
        <v>105</v>
      </c>
      <c r="Q18" t="s">
        <v>106</v>
      </c>
      <c r="R18" t="s">
        <v>79</v>
      </c>
      <c r="S18" t="s">
        <v>80</v>
      </c>
      <c r="T18" t="s">
        <v>81</v>
      </c>
      <c r="U18" t="s">
        <v>81</v>
      </c>
      <c r="V18" t="s">
        <v>81</v>
      </c>
      <c r="W18" t="s">
        <v>81</v>
      </c>
      <c r="X18" t="s">
        <v>81</v>
      </c>
      <c r="Y18" t="s">
        <v>116</v>
      </c>
      <c r="Z18" s="1">
        <v>46019</v>
      </c>
      <c r="AA18">
        <v>9.68</v>
      </c>
      <c r="AB18" t="s">
        <v>82</v>
      </c>
      <c r="AC18" t="str">
        <f>"2691"</f>
        <v>2691</v>
      </c>
      <c r="AD18" t="s">
        <v>108</v>
      </c>
      <c r="AE18" t="s">
        <v>117</v>
      </c>
      <c r="AF18" t="s">
        <v>118</v>
      </c>
      <c r="AG18" t="str">
        <f>"26111702"</f>
        <v>26111702</v>
      </c>
      <c r="AH18" t="s">
        <v>119</v>
      </c>
      <c r="AI18" t="s">
        <v>120</v>
      </c>
      <c r="AJ18" t="s">
        <v>121</v>
      </c>
      <c r="AK18" t="s">
        <v>122</v>
      </c>
      <c r="AL18" t="s">
        <v>123</v>
      </c>
      <c r="AM18" t="s">
        <v>124</v>
      </c>
      <c r="AN18" t="s">
        <v>125</v>
      </c>
      <c r="AP18" t="s">
        <v>126</v>
      </c>
      <c r="AQ18" t="s">
        <v>127</v>
      </c>
      <c r="AR18" t="s">
        <v>83</v>
      </c>
      <c r="AT18" t="s">
        <v>81</v>
      </c>
      <c r="AU18">
        <v>8.07</v>
      </c>
      <c r="AV18">
        <v>1</v>
      </c>
      <c r="AW18">
        <v>8.07</v>
      </c>
      <c r="AX18">
        <v>0</v>
      </c>
      <c r="AZ18">
        <v>1.61</v>
      </c>
      <c r="BA18">
        <v>9.68</v>
      </c>
      <c r="BC18" t="s">
        <v>84</v>
      </c>
      <c r="BD18">
        <v>2.09</v>
      </c>
      <c r="BE18" s="2">
        <v>0.2</v>
      </c>
      <c r="BG18">
        <v>8.07</v>
      </c>
      <c r="BJ18" t="s">
        <v>81</v>
      </c>
      <c r="BS18" t="s">
        <v>85</v>
      </c>
      <c r="BU18" t="s">
        <v>79</v>
      </c>
      <c r="BV18" t="s">
        <v>86</v>
      </c>
    </row>
    <row r="19" spans="1:74" x14ac:dyDescent="0.2">
      <c r="A19" s="1">
        <v>46019</v>
      </c>
      <c r="B19" t="s">
        <v>128</v>
      </c>
      <c r="C19" t="s">
        <v>74</v>
      </c>
      <c r="E19">
        <v>1</v>
      </c>
      <c r="F19" t="s">
        <v>75</v>
      </c>
      <c r="G19">
        <v>8.32</v>
      </c>
      <c r="H19">
        <v>0</v>
      </c>
      <c r="I19">
        <v>0</v>
      </c>
      <c r="J19">
        <v>1.66</v>
      </c>
      <c r="K19">
        <v>9.98</v>
      </c>
      <c r="L19" t="s">
        <v>76</v>
      </c>
      <c r="P19" t="s">
        <v>105</v>
      </c>
      <c r="Q19" t="s">
        <v>106</v>
      </c>
      <c r="R19" t="s">
        <v>79</v>
      </c>
      <c r="S19" t="s">
        <v>80</v>
      </c>
      <c r="T19" t="s">
        <v>81</v>
      </c>
      <c r="U19" t="s">
        <v>81</v>
      </c>
      <c r="V19" t="s">
        <v>81</v>
      </c>
      <c r="W19" t="s">
        <v>81</v>
      </c>
      <c r="X19" t="s">
        <v>81</v>
      </c>
      <c r="Y19" t="s">
        <v>129</v>
      </c>
      <c r="Z19" s="1">
        <v>46019</v>
      </c>
      <c r="AA19">
        <v>9.98</v>
      </c>
      <c r="AB19" t="s">
        <v>82</v>
      </c>
      <c r="AC19" t="str">
        <f>"2691"</f>
        <v>2691</v>
      </c>
      <c r="AD19" t="s">
        <v>108</v>
      </c>
      <c r="AE19" t="s">
        <v>130</v>
      </c>
      <c r="AF19" t="s">
        <v>131</v>
      </c>
      <c r="AG19" t="str">
        <f>"26121600"</f>
        <v>26121600</v>
      </c>
      <c r="AH19" t="s">
        <v>119</v>
      </c>
      <c r="AI19" t="s">
        <v>132</v>
      </c>
      <c r="AJ19" t="s">
        <v>133</v>
      </c>
      <c r="AK19" t="s">
        <v>133</v>
      </c>
      <c r="AM19" t="s">
        <v>134</v>
      </c>
      <c r="AN19" t="s">
        <v>135</v>
      </c>
      <c r="AP19" t="s">
        <v>136</v>
      </c>
      <c r="AQ19" t="s">
        <v>136</v>
      </c>
      <c r="AR19" t="s">
        <v>83</v>
      </c>
      <c r="AT19" t="s">
        <v>81</v>
      </c>
      <c r="AU19">
        <v>8.32</v>
      </c>
      <c r="AV19">
        <v>1</v>
      </c>
      <c r="AW19">
        <v>8.32</v>
      </c>
      <c r="AX19">
        <v>0</v>
      </c>
      <c r="AZ19">
        <v>1.66</v>
      </c>
      <c r="BA19">
        <v>9.98</v>
      </c>
      <c r="BC19" t="s">
        <v>81</v>
      </c>
      <c r="BD19">
        <v>0</v>
      </c>
      <c r="BE19" s="2">
        <v>0.2</v>
      </c>
      <c r="BG19">
        <v>8.32</v>
      </c>
      <c r="BJ19" t="s">
        <v>81</v>
      </c>
      <c r="BS19" t="s">
        <v>85</v>
      </c>
      <c r="BU19" t="s">
        <v>79</v>
      </c>
      <c r="BV19" t="s">
        <v>86</v>
      </c>
    </row>
    <row r="20" spans="1:74" x14ac:dyDescent="0.2">
      <c r="A20" s="1">
        <v>46019</v>
      </c>
      <c r="B20" t="s">
        <v>137</v>
      </c>
      <c r="C20" t="s">
        <v>74</v>
      </c>
      <c r="E20">
        <v>1</v>
      </c>
      <c r="F20" t="s">
        <v>75</v>
      </c>
      <c r="G20">
        <v>1.66</v>
      </c>
      <c r="H20">
        <v>0</v>
      </c>
      <c r="I20">
        <v>0</v>
      </c>
      <c r="J20">
        <v>0.33</v>
      </c>
      <c r="K20">
        <v>1.99</v>
      </c>
      <c r="L20" t="s">
        <v>76</v>
      </c>
      <c r="P20" t="s">
        <v>105</v>
      </c>
      <c r="Q20" t="s">
        <v>106</v>
      </c>
      <c r="R20" t="s">
        <v>79</v>
      </c>
      <c r="S20" t="s">
        <v>80</v>
      </c>
      <c r="T20" t="s">
        <v>81</v>
      </c>
      <c r="U20" t="s">
        <v>81</v>
      </c>
      <c r="V20" t="s">
        <v>81</v>
      </c>
      <c r="W20" t="s">
        <v>81</v>
      </c>
      <c r="X20" t="s">
        <v>81</v>
      </c>
      <c r="Y20" t="s">
        <v>138</v>
      </c>
      <c r="Z20" s="1">
        <v>46019</v>
      </c>
      <c r="AA20">
        <v>1.99</v>
      </c>
      <c r="AB20" t="s">
        <v>82</v>
      </c>
      <c r="AC20" t="str">
        <f>"2691"</f>
        <v>2691</v>
      </c>
      <c r="AD20" t="s">
        <v>139</v>
      </c>
      <c r="AE20" t="s">
        <v>140</v>
      </c>
      <c r="AF20" t="s">
        <v>141</v>
      </c>
      <c r="AG20" t="str">
        <f>"44122100"</f>
        <v>44122100</v>
      </c>
      <c r="AH20" t="s">
        <v>142</v>
      </c>
      <c r="AI20" t="s">
        <v>143</v>
      </c>
      <c r="AJ20" t="s">
        <v>144</v>
      </c>
      <c r="AK20" t="s">
        <v>144</v>
      </c>
      <c r="AL20" t="s">
        <v>145</v>
      </c>
      <c r="AM20" t="s">
        <v>146</v>
      </c>
      <c r="AN20" t="s">
        <v>147</v>
      </c>
      <c r="AP20" t="s">
        <v>148</v>
      </c>
      <c r="AQ20" t="s">
        <v>148</v>
      </c>
      <c r="AR20" t="s">
        <v>83</v>
      </c>
      <c r="AT20" t="s">
        <v>81</v>
      </c>
      <c r="AU20">
        <v>1.66</v>
      </c>
      <c r="AV20">
        <v>1</v>
      </c>
      <c r="AW20">
        <v>1.66</v>
      </c>
      <c r="AX20">
        <v>0</v>
      </c>
      <c r="AZ20">
        <v>0.33</v>
      </c>
      <c r="BA20">
        <v>1.99</v>
      </c>
      <c r="BC20" t="s">
        <v>81</v>
      </c>
      <c r="BD20">
        <v>0</v>
      </c>
      <c r="BE20" s="2">
        <v>0.2</v>
      </c>
      <c r="BG20">
        <v>1.66</v>
      </c>
      <c r="BJ20" t="s">
        <v>81</v>
      </c>
      <c r="BS20" t="s">
        <v>85</v>
      </c>
      <c r="BU20" t="s">
        <v>79</v>
      </c>
      <c r="BV20" t="s">
        <v>86</v>
      </c>
    </row>
    <row r="21" spans="1:74" x14ac:dyDescent="0.2">
      <c r="A21" s="1">
        <v>46019</v>
      </c>
      <c r="B21" t="s">
        <v>149</v>
      </c>
      <c r="C21" t="s">
        <v>74</v>
      </c>
      <c r="E21">
        <v>1</v>
      </c>
      <c r="F21" t="s">
        <v>75</v>
      </c>
      <c r="G21">
        <v>3.32</v>
      </c>
      <c r="H21">
        <v>0.41</v>
      </c>
      <c r="I21">
        <v>-0.41</v>
      </c>
      <c r="J21">
        <v>0.75</v>
      </c>
      <c r="K21">
        <v>3.99</v>
      </c>
      <c r="L21" t="s">
        <v>76</v>
      </c>
      <c r="P21" t="s">
        <v>105</v>
      </c>
      <c r="Q21" t="s">
        <v>106</v>
      </c>
      <c r="R21" t="s">
        <v>79</v>
      </c>
      <c r="S21" t="s">
        <v>80</v>
      </c>
      <c r="T21" t="s">
        <v>81</v>
      </c>
      <c r="U21" t="s">
        <v>81</v>
      </c>
      <c r="V21" t="s">
        <v>81</v>
      </c>
      <c r="W21" t="s">
        <v>81</v>
      </c>
      <c r="X21" t="s">
        <v>81</v>
      </c>
      <c r="Y21" t="s">
        <v>150</v>
      </c>
      <c r="Z21" s="1">
        <v>46019</v>
      </c>
      <c r="AA21">
        <v>3.99</v>
      </c>
      <c r="AB21" t="s">
        <v>82</v>
      </c>
      <c r="AC21" t="str">
        <f>"2691"</f>
        <v>2691</v>
      </c>
      <c r="AD21" t="s">
        <v>151</v>
      </c>
      <c r="AE21" t="s">
        <v>152</v>
      </c>
      <c r="AF21" t="s">
        <v>153</v>
      </c>
      <c r="AG21" t="str">
        <f>"52141700"</f>
        <v>52141700</v>
      </c>
      <c r="AH21" t="s">
        <v>154</v>
      </c>
      <c r="AI21" t="s">
        <v>155</v>
      </c>
      <c r="AJ21" t="s">
        <v>156</v>
      </c>
      <c r="AK21" t="s">
        <v>156</v>
      </c>
      <c r="AL21" t="s">
        <v>157</v>
      </c>
      <c r="AM21" t="s">
        <v>158</v>
      </c>
      <c r="AN21" t="s">
        <v>158</v>
      </c>
      <c r="AP21" t="str">
        <f>"43917331010"</f>
        <v>43917331010</v>
      </c>
      <c r="AQ21" t="s">
        <v>159</v>
      </c>
      <c r="AR21" t="s">
        <v>83</v>
      </c>
      <c r="AT21" t="s">
        <v>81</v>
      </c>
      <c r="AU21">
        <v>3.32</v>
      </c>
      <c r="AV21">
        <v>1</v>
      </c>
      <c r="AW21">
        <v>3.32</v>
      </c>
      <c r="AX21">
        <v>0.41</v>
      </c>
      <c r="AY21">
        <v>-0.41</v>
      </c>
      <c r="AZ21">
        <v>0.67</v>
      </c>
      <c r="BA21">
        <v>3.99</v>
      </c>
      <c r="BC21" t="s">
        <v>81</v>
      </c>
      <c r="BD21">
        <v>0</v>
      </c>
      <c r="BE21" s="2">
        <v>0.2</v>
      </c>
      <c r="BG21">
        <v>3.32</v>
      </c>
      <c r="BJ21" t="s">
        <v>81</v>
      </c>
      <c r="BS21" t="s">
        <v>85</v>
      </c>
      <c r="BU21" t="s">
        <v>79</v>
      </c>
      <c r="BV21" t="s">
        <v>86</v>
      </c>
    </row>
    <row r="22" spans="1:74" x14ac:dyDescent="0.2">
      <c r="A22" s="1">
        <v>46019</v>
      </c>
      <c r="B22" t="s">
        <v>160</v>
      </c>
      <c r="C22" t="s">
        <v>74</v>
      </c>
      <c r="E22">
        <v>1</v>
      </c>
      <c r="F22" t="s">
        <v>75</v>
      </c>
      <c r="G22">
        <v>105</v>
      </c>
      <c r="H22">
        <v>0</v>
      </c>
      <c r="I22">
        <v>0</v>
      </c>
      <c r="J22">
        <v>21</v>
      </c>
      <c r="K22">
        <v>126</v>
      </c>
      <c r="L22" t="s">
        <v>76</v>
      </c>
      <c r="P22" t="s">
        <v>105</v>
      </c>
      <c r="Q22" t="s">
        <v>106</v>
      </c>
      <c r="R22" t="s">
        <v>79</v>
      </c>
      <c r="S22" t="s">
        <v>80</v>
      </c>
      <c r="T22" t="s">
        <v>81</v>
      </c>
      <c r="U22" t="s">
        <v>81</v>
      </c>
      <c r="V22" t="s">
        <v>81</v>
      </c>
      <c r="W22" t="s">
        <v>81</v>
      </c>
      <c r="X22" t="s">
        <v>81</v>
      </c>
      <c r="Y22" t="s">
        <v>161</v>
      </c>
      <c r="Z22" s="1">
        <v>46019</v>
      </c>
      <c r="AA22">
        <v>126</v>
      </c>
      <c r="AB22" t="s">
        <v>82</v>
      </c>
      <c r="AC22" t="str">
        <f>"2691"</f>
        <v>2691</v>
      </c>
      <c r="AD22" t="s">
        <v>162</v>
      </c>
      <c r="AE22" t="s">
        <v>163</v>
      </c>
      <c r="AF22" t="s">
        <v>164</v>
      </c>
      <c r="AG22" t="str">
        <f>"53111500"</f>
        <v>53111500</v>
      </c>
      <c r="AH22" t="s">
        <v>165</v>
      </c>
      <c r="AI22" t="s">
        <v>166</v>
      </c>
      <c r="AJ22" t="s">
        <v>167</v>
      </c>
      <c r="AK22" t="s">
        <v>167</v>
      </c>
      <c r="AL22" t="s">
        <v>168</v>
      </c>
      <c r="AM22" t="s">
        <v>169</v>
      </c>
      <c r="AN22" t="s">
        <v>169</v>
      </c>
      <c r="AP22" t="s">
        <v>170</v>
      </c>
      <c r="AQ22" t="s">
        <v>171</v>
      </c>
      <c r="AR22" t="s">
        <v>83</v>
      </c>
      <c r="AT22" t="s">
        <v>81</v>
      </c>
      <c r="AU22">
        <v>105</v>
      </c>
      <c r="AV22">
        <v>1</v>
      </c>
      <c r="AW22">
        <v>105</v>
      </c>
      <c r="AX22">
        <v>0</v>
      </c>
      <c r="AZ22">
        <v>21</v>
      </c>
      <c r="BA22">
        <v>126</v>
      </c>
      <c r="BC22" t="s">
        <v>81</v>
      </c>
      <c r="BD22">
        <v>0</v>
      </c>
      <c r="BE22" s="2">
        <v>0.2</v>
      </c>
      <c r="BG22">
        <v>105</v>
      </c>
      <c r="BJ22" t="s">
        <v>81</v>
      </c>
      <c r="BS22" t="s">
        <v>85</v>
      </c>
      <c r="BU22" t="s">
        <v>79</v>
      </c>
      <c r="BV22" t="s">
        <v>86</v>
      </c>
    </row>
    <row r="23" spans="1:74" x14ac:dyDescent="0.2">
      <c r="A23" s="1">
        <v>46019</v>
      </c>
      <c r="B23" t="s">
        <v>172</v>
      </c>
      <c r="C23" t="s">
        <v>74</v>
      </c>
      <c r="E23">
        <v>3</v>
      </c>
      <c r="F23" t="s">
        <v>75</v>
      </c>
      <c r="G23">
        <v>43.59</v>
      </c>
      <c r="H23">
        <v>1.42</v>
      </c>
      <c r="I23">
        <v>-1.42</v>
      </c>
      <c r="J23">
        <v>1.66</v>
      </c>
      <c r="K23">
        <v>45.17</v>
      </c>
      <c r="L23" t="s">
        <v>76</v>
      </c>
      <c r="P23" t="s">
        <v>105</v>
      </c>
      <c r="Q23" t="s">
        <v>106</v>
      </c>
      <c r="R23" t="s">
        <v>79</v>
      </c>
      <c r="S23" t="s">
        <v>80</v>
      </c>
      <c r="T23" t="s">
        <v>81</v>
      </c>
      <c r="U23" t="s">
        <v>81</v>
      </c>
      <c r="V23" t="s">
        <v>81</v>
      </c>
      <c r="W23" t="s">
        <v>81</v>
      </c>
      <c r="X23" t="s">
        <v>81</v>
      </c>
      <c r="Y23" t="s">
        <v>173</v>
      </c>
      <c r="Z23" s="1">
        <v>46020</v>
      </c>
      <c r="AA23">
        <v>45.17</v>
      </c>
      <c r="AB23" t="s">
        <v>82</v>
      </c>
      <c r="AC23" t="str">
        <f>"2691"</f>
        <v>2691</v>
      </c>
      <c r="AD23" t="s">
        <v>174</v>
      </c>
      <c r="AE23" t="s">
        <v>175</v>
      </c>
      <c r="AF23" t="s">
        <v>176</v>
      </c>
      <c r="AG23" t="str">
        <f>"53131600"</f>
        <v>53131600</v>
      </c>
      <c r="AH23" t="s">
        <v>165</v>
      </c>
      <c r="AI23" t="s">
        <v>177</v>
      </c>
      <c r="AJ23" t="s">
        <v>178</v>
      </c>
      <c r="AK23" t="s">
        <v>178</v>
      </c>
      <c r="AM23" t="s">
        <v>179</v>
      </c>
      <c r="AN23" t="s">
        <v>179</v>
      </c>
      <c r="AP23" t="s">
        <v>180</v>
      </c>
      <c r="AQ23" t="s">
        <v>181</v>
      </c>
      <c r="AR23" t="s">
        <v>83</v>
      </c>
      <c r="AT23" t="s">
        <v>81</v>
      </c>
      <c r="AU23">
        <v>7.91</v>
      </c>
      <c r="AV23">
        <v>1</v>
      </c>
      <c r="AW23">
        <v>7.91</v>
      </c>
      <c r="AX23">
        <v>0.42</v>
      </c>
      <c r="AY23">
        <v>-0.42</v>
      </c>
      <c r="AZ23">
        <v>1.58</v>
      </c>
      <c r="BA23">
        <v>9.49</v>
      </c>
      <c r="BC23" t="s">
        <v>81</v>
      </c>
      <c r="BD23">
        <v>0</v>
      </c>
      <c r="BE23" s="2">
        <v>0.2</v>
      </c>
      <c r="BG23">
        <v>7.91</v>
      </c>
      <c r="BJ23" t="s">
        <v>81</v>
      </c>
      <c r="BS23" t="s">
        <v>182</v>
      </c>
      <c r="BT23" t="s">
        <v>183</v>
      </c>
      <c r="BU23" t="s">
        <v>79</v>
      </c>
      <c r="BV23" t="s">
        <v>184</v>
      </c>
    </row>
    <row r="24" spans="1:74" x14ac:dyDescent="0.2">
      <c r="A24" s="1">
        <v>46019</v>
      </c>
      <c r="B24" t="s">
        <v>172</v>
      </c>
      <c r="C24" t="s">
        <v>74</v>
      </c>
      <c r="E24">
        <v>3</v>
      </c>
      <c r="F24" t="s">
        <v>75</v>
      </c>
      <c r="G24">
        <v>43.59</v>
      </c>
      <c r="H24">
        <v>1.42</v>
      </c>
      <c r="I24">
        <v>-1.42</v>
      </c>
      <c r="J24">
        <v>1.66</v>
      </c>
      <c r="K24">
        <v>45.17</v>
      </c>
      <c r="L24" t="s">
        <v>76</v>
      </c>
      <c r="P24" t="s">
        <v>105</v>
      </c>
      <c r="Q24" t="s">
        <v>106</v>
      </c>
      <c r="R24" t="s">
        <v>79</v>
      </c>
      <c r="S24" t="s">
        <v>80</v>
      </c>
      <c r="T24" t="s">
        <v>81</v>
      </c>
      <c r="U24" t="s">
        <v>81</v>
      </c>
      <c r="V24" t="s">
        <v>81</v>
      </c>
      <c r="W24" t="s">
        <v>81</v>
      </c>
      <c r="X24" t="s">
        <v>81</v>
      </c>
      <c r="Y24" t="s">
        <v>173</v>
      </c>
      <c r="Z24" s="1">
        <v>46020</v>
      </c>
      <c r="AA24">
        <v>45.17</v>
      </c>
      <c r="AB24" t="s">
        <v>82</v>
      </c>
      <c r="AC24" t="str">
        <f>"2691"</f>
        <v>2691</v>
      </c>
      <c r="AD24" t="s">
        <v>108</v>
      </c>
      <c r="AE24" t="s">
        <v>185</v>
      </c>
      <c r="AF24" t="s">
        <v>186</v>
      </c>
      <c r="AG24" t="str">
        <f>"26121600"</f>
        <v>26121600</v>
      </c>
      <c r="AH24" t="s">
        <v>119</v>
      </c>
      <c r="AI24" t="s">
        <v>132</v>
      </c>
      <c r="AJ24" t="s">
        <v>133</v>
      </c>
      <c r="AK24" t="s">
        <v>133</v>
      </c>
      <c r="AM24" t="s">
        <v>187</v>
      </c>
      <c r="AN24" t="s">
        <v>187</v>
      </c>
      <c r="AR24" t="s">
        <v>83</v>
      </c>
      <c r="AT24" t="s">
        <v>81</v>
      </c>
      <c r="AU24">
        <v>17.84</v>
      </c>
      <c r="AV24">
        <v>2</v>
      </c>
      <c r="AW24">
        <v>35.68</v>
      </c>
      <c r="AX24">
        <v>1</v>
      </c>
      <c r="AY24">
        <v>-1</v>
      </c>
      <c r="AZ24">
        <v>0</v>
      </c>
      <c r="BA24">
        <v>35.68</v>
      </c>
      <c r="BC24" t="s">
        <v>81</v>
      </c>
      <c r="BD24">
        <v>0</v>
      </c>
      <c r="BE24" s="2">
        <v>0</v>
      </c>
      <c r="BG24">
        <v>35.68</v>
      </c>
      <c r="BJ24" t="s">
        <v>81</v>
      </c>
      <c r="BS24" t="s">
        <v>188</v>
      </c>
    </row>
    <row r="25" spans="1:74" x14ac:dyDescent="0.2">
      <c r="A25" s="1">
        <v>46019</v>
      </c>
      <c r="B25" t="s">
        <v>189</v>
      </c>
      <c r="C25" t="s">
        <v>74</v>
      </c>
      <c r="E25">
        <v>1</v>
      </c>
      <c r="F25" t="s">
        <v>75</v>
      </c>
      <c r="G25">
        <v>12.98</v>
      </c>
      <c r="H25">
        <v>0</v>
      </c>
      <c r="I25">
        <v>0</v>
      </c>
      <c r="J25">
        <v>2.6</v>
      </c>
      <c r="K25">
        <v>15.58</v>
      </c>
      <c r="L25" t="s">
        <v>76</v>
      </c>
      <c r="P25" t="s">
        <v>105</v>
      </c>
      <c r="Q25" t="s">
        <v>106</v>
      </c>
      <c r="R25" t="s">
        <v>79</v>
      </c>
      <c r="S25" t="s">
        <v>80</v>
      </c>
      <c r="T25" t="s">
        <v>81</v>
      </c>
      <c r="U25" t="s">
        <v>81</v>
      </c>
      <c r="V25" t="s">
        <v>81</v>
      </c>
      <c r="W25" t="s">
        <v>81</v>
      </c>
      <c r="X25" t="s">
        <v>81</v>
      </c>
      <c r="Y25" t="s">
        <v>190</v>
      </c>
      <c r="Z25" s="1">
        <v>46019</v>
      </c>
      <c r="AA25">
        <v>15.58</v>
      </c>
      <c r="AB25" t="s">
        <v>82</v>
      </c>
      <c r="AC25" t="str">
        <f>"2691"</f>
        <v>2691</v>
      </c>
      <c r="AD25" t="s">
        <v>108</v>
      </c>
      <c r="AE25" t="s">
        <v>191</v>
      </c>
      <c r="AF25" t="s">
        <v>192</v>
      </c>
      <c r="AG25" t="str">
        <f>"26111704"</f>
        <v>26111704</v>
      </c>
      <c r="AH25" t="s">
        <v>119</v>
      </c>
      <c r="AI25" t="s">
        <v>120</v>
      </c>
      <c r="AJ25" t="s">
        <v>121</v>
      </c>
      <c r="AK25" t="s">
        <v>193</v>
      </c>
      <c r="AM25" t="s">
        <v>194</v>
      </c>
      <c r="AN25" t="s">
        <v>194</v>
      </c>
      <c r="AP25" t="s">
        <v>195</v>
      </c>
      <c r="AQ25" s="3" t="s">
        <v>196</v>
      </c>
      <c r="AR25" t="s">
        <v>83</v>
      </c>
      <c r="AT25" t="s">
        <v>81</v>
      </c>
      <c r="AU25">
        <v>12.98</v>
      </c>
      <c r="AV25">
        <v>1</v>
      </c>
      <c r="AW25">
        <v>12.98</v>
      </c>
      <c r="AX25">
        <v>0</v>
      </c>
      <c r="AZ25">
        <v>2.6</v>
      </c>
      <c r="BA25">
        <v>15.58</v>
      </c>
      <c r="BC25" t="s">
        <v>84</v>
      </c>
      <c r="BD25">
        <v>3.01</v>
      </c>
      <c r="BE25" s="2">
        <v>0.2</v>
      </c>
      <c r="BG25">
        <v>12.98</v>
      </c>
      <c r="BJ25" t="s">
        <v>81</v>
      </c>
      <c r="BS25" t="s">
        <v>85</v>
      </c>
      <c r="BU25" t="s">
        <v>79</v>
      </c>
      <c r="BV25" t="s">
        <v>86</v>
      </c>
    </row>
    <row r="26" spans="1:74" x14ac:dyDescent="0.2">
      <c r="A26" s="1">
        <v>46018</v>
      </c>
      <c r="B26" t="s">
        <v>197</v>
      </c>
      <c r="C26" t="s">
        <v>74</v>
      </c>
      <c r="E26">
        <v>1</v>
      </c>
      <c r="F26" t="s">
        <v>75</v>
      </c>
      <c r="G26">
        <v>26.99</v>
      </c>
      <c r="H26">
        <v>0</v>
      </c>
      <c r="I26">
        <v>0</v>
      </c>
      <c r="J26">
        <v>0</v>
      </c>
      <c r="K26">
        <v>26.99</v>
      </c>
      <c r="L26" t="s">
        <v>76</v>
      </c>
      <c r="P26" t="s">
        <v>105</v>
      </c>
      <c r="Q26" t="s">
        <v>106</v>
      </c>
      <c r="T26" t="s">
        <v>81</v>
      </c>
      <c r="U26" t="s">
        <v>81</v>
      </c>
      <c r="V26" t="s">
        <v>81</v>
      </c>
      <c r="W26" t="s">
        <v>81</v>
      </c>
      <c r="X26" t="s">
        <v>81</v>
      </c>
      <c r="Y26" t="s">
        <v>198</v>
      </c>
      <c r="Z26" s="1">
        <v>46019</v>
      </c>
      <c r="AA26">
        <v>26.99</v>
      </c>
      <c r="AB26" t="s">
        <v>82</v>
      </c>
      <c r="AC26" t="str">
        <f>"2691"</f>
        <v>2691</v>
      </c>
      <c r="AD26" t="s">
        <v>199</v>
      </c>
      <c r="AE26" t="s">
        <v>200</v>
      </c>
      <c r="AF26" t="s">
        <v>201</v>
      </c>
      <c r="AG26" t="str">
        <f>"53102900"</f>
        <v>53102900</v>
      </c>
      <c r="AH26" t="s">
        <v>165</v>
      </c>
      <c r="AI26" t="s">
        <v>202</v>
      </c>
      <c r="AJ26" t="s">
        <v>203</v>
      </c>
      <c r="AK26" t="s">
        <v>203</v>
      </c>
      <c r="AM26" t="s">
        <v>204</v>
      </c>
      <c r="AN26" t="s">
        <v>204</v>
      </c>
      <c r="AR26" t="s">
        <v>83</v>
      </c>
      <c r="AT26" t="s">
        <v>81</v>
      </c>
      <c r="AU26">
        <v>26.99</v>
      </c>
      <c r="AV26">
        <v>1</v>
      </c>
      <c r="AW26">
        <v>26.99</v>
      </c>
      <c r="AX26">
        <v>0</v>
      </c>
      <c r="AZ26">
        <v>0</v>
      </c>
      <c r="BA26">
        <v>26.99</v>
      </c>
      <c r="BC26" t="s">
        <v>81</v>
      </c>
      <c r="BD26">
        <v>0</v>
      </c>
      <c r="BE26" s="2">
        <v>0</v>
      </c>
      <c r="BG26">
        <v>26.99</v>
      </c>
      <c r="BJ26" t="s">
        <v>81</v>
      </c>
      <c r="BS26" t="s">
        <v>205</v>
      </c>
    </row>
    <row r="27" spans="1:74" x14ac:dyDescent="0.2">
      <c r="A27" s="1">
        <v>46016</v>
      </c>
      <c r="B27" t="s">
        <v>206</v>
      </c>
      <c r="C27" t="s">
        <v>74</v>
      </c>
      <c r="E27">
        <v>1</v>
      </c>
      <c r="F27" t="s">
        <v>75</v>
      </c>
      <c r="G27">
        <v>12.49</v>
      </c>
      <c r="H27">
        <v>0</v>
      </c>
      <c r="I27">
        <v>0</v>
      </c>
      <c r="J27">
        <v>2.5</v>
      </c>
      <c r="K27">
        <v>14.99</v>
      </c>
      <c r="L27" t="s">
        <v>76</v>
      </c>
      <c r="P27" t="s">
        <v>105</v>
      </c>
      <c r="Q27" t="s">
        <v>106</v>
      </c>
      <c r="R27" t="s">
        <v>79</v>
      </c>
      <c r="S27" t="s">
        <v>80</v>
      </c>
      <c r="T27" t="s">
        <v>81</v>
      </c>
      <c r="U27" t="s">
        <v>81</v>
      </c>
      <c r="V27" t="s">
        <v>81</v>
      </c>
      <c r="W27" t="s">
        <v>81</v>
      </c>
      <c r="X27" t="s">
        <v>81</v>
      </c>
      <c r="Y27" t="s">
        <v>207</v>
      </c>
      <c r="Z27" s="1">
        <v>46018</v>
      </c>
      <c r="AA27">
        <v>14.99</v>
      </c>
      <c r="AB27" t="s">
        <v>82</v>
      </c>
      <c r="AC27" t="str">
        <f>"2691"</f>
        <v>2691</v>
      </c>
      <c r="AD27" t="s">
        <v>151</v>
      </c>
      <c r="AE27" t="s">
        <v>208</v>
      </c>
      <c r="AF27" t="s">
        <v>209</v>
      </c>
      <c r="AG27" t="str">
        <f>"47131800"</f>
        <v>47131800</v>
      </c>
      <c r="AH27" t="s">
        <v>210</v>
      </c>
      <c r="AI27" t="s">
        <v>211</v>
      </c>
      <c r="AJ27" t="s">
        <v>212</v>
      </c>
      <c r="AK27" t="s">
        <v>212</v>
      </c>
      <c r="AL27" t="s">
        <v>213</v>
      </c>
      <c r="AM27" t="s">
        <v>214</v>
      </c>
      <c r="AN27" t="s">
        <v>215</v>
      </c>
      <c r="AP27" t="s">
        <v>216</v>
      </c>
      <c r="AQ27" t="s">
        <v>216</v>
      </c>
      <c r="AR27" t="s">
        <v>83</v>
      </c>
      <c r="AT27" t="s">
        <v>81</v>
      </c>
      <c r="AU27">
        <v>12.49</v>
      </c>
      <c r="AV27">
        <v>1</v>
      </c>
      <c r="AW27">
        <v>12.49</v>
      </c>
      <c r="AX27">
        <v>0</v>
      </c>
      <c r="AZ27">
        <v>2.5</v>
      </c>
      <c r="BA27">
        <v>14.99</v>
      </c>
      <c r="BC27" t="s">
        <v>81</v>
      </c>
      <c r="BD27">
        <v>0</v>
      </c>
      <c r="BE27" s="2">
        <v>0.2</v>
      </c>
      <c r="BG27">
        <v>12.49</v>
      </c>
      <c r="BJ27" t="s">
        <v>81</v>
      </c>
      <c r="BS27" t="s">
        <v>217</v>
      </c>
      <c r="BT27" t="s">
        <v>183</v>
      </c>
      <c r="BU27" t="s">
        <v>79</v>
      </c>
      <c r="BV27" t="s">
        <v>218</v>
      </c>
    </row>
    <row r="28" spans="1:74" x14ac:dyDescent="0.2">
      <c r="A28" s="1">
        <v>46016</v>
      </c>
      <c r="B28" t="s">
        <v>219</v>
      </c>
      <c r="C28" t="s">
        <v>74</v>
      </c>
      <c r="E28">
        <v>1</v>
      </c>
      <c r="F28" t="s">
        <v>75</v>
      </c>
      <c r="G28">
        <v>112.5</v>
      </c>
      <c r="H28">
        <v>0</v>
      </c>
      <c r="I28">
        <v>0</v>
      </c>
      <c r="J28">
        <v>22.5</v>
      </c>
      <c r="K28">
        <v>135</v>
      </c>
      <c r="L28" t="s">
        <v>76</v>
      </c>
      <c r="P28" t="s">
        <v>105</v>
      </c>
      <c r="Q28" t="s">
        <v>106</v>
      </c>
      <c r="R28" t="s">
        <v>79</v>
      </c>
      <c r="S28" t="s">
        <v>80</v>
      </c>
      <c r="T28" t="s">
        <v>81</v>
      </c>
      <c r="U28" t="s">
        <v>81</v>
      </c>
      <c r="V28" t="s">
        <v>81</v>
      </c>
      <c r="W28" t="s">
        <v>81</v>
      </c>
      <c r="X28" t="s">
        <v>81</v>
      </c>
      <c r="Y28" t="s">
        <v>220</v>
      </c>
      <c r="Z28" s="1">
        <v>46017</v>
      </c>
      <c r="AA28">
        <v>135</v>
      </c>
      <c r="AB28" t="s">
        <v>82</v>
      </c>
      <c r="AC28" t="str">
        <f>"2691"</f>
        <v>2691</v>
      </c>
      <c r="AD28" t="s">
        <v>221</v>
      </c>
      <c r="AE28" t="s">
        <v>222</v>
      </c>
      <c r="AF28" t="s">
        <v>223</v>
      </c>
      <c r="AG28" t="str">
        <f>"52161512"</f>
        <v>52161512</v>
      </c>
      <c r="AH28" t="s">
        <v>154</v>
      </c>
      <c r="AI28" t="s">
        <v>224</v>
      </c>
      <c r="AJ28" t="s">
        <v>225</v>
      </c>
      <c r="AK28" t="s">
        <v>226</v>
      </c>
      <c r="AM28" t="s">
        <v>227</v>
      </c>
      <c r="AN28" t="s">
        <v>228</v>
      </c>
      <c r="AP28" t="s">
        <v>229</v>
      </c>
      <c r="AQ28" t="s">
        <v>229</v>
      </c>
      <c r="AR28" t="s">
        <v>83</v>
      </c>
      <c r="AT28" t="s">
        <v>81</v>
      </c>
      <c r="AU28">
        <v>112.5</v>
      </c>
      <c r="AV28">
        <v>1</v>
      </c>
      <c r="AW28">
        <v>112.5</v>
      </c>
      <c r="AX28">
        <v>0</v>
      </c>
      <c r="AZ28">
        <v>22.5</v>
      </c>
      <c r="BA28">
        <v>135</v>
      </c>
      <c r="BC28" t="s">
        <v>84</v>
      </c>
      <c r="BD28">
        <v>87.49</v>
      </c>
      <c r="BE28" s="2">
        <v>0.2</v>
      </c>
      <c r="BG28">
        <v>112.5</v>
      </c>
      <c r="BJ28" t="s">
        <v>81</v>
      </c>
      <c r="BS28" t="s">
        <v>85</v>
      </c>
      <c r="BU28" t="s">
        <v>79</v>
      </c>
      <c r="BV28" t="s">
        <v>86</v>
      </c>
    </row>
    <row r="29" spans="1:74" x14ac:dyDescent="0.2">
      <c r="A29" s="1">
        <v>46015</v>
      </c>
      <c r="B29" t="s">
        <v>230</v>
      </c>
      <c r="C29" t="s">
        <v>74</v>
      </c>
      <c r="E29">
        <v>1</v>
      </c>
      <c r="F29" t="s">
        <v>75</v>
      </c>
      <c r="G29">
        <v>13.45</v>
      </c>
      <c r="H29">
        <v>0</v>
      </c>
      <c r="I29">
        <v>0</v>
      </c>
      <c r="J29">
        <v>2.69</v>
      </c>
      <c r="K29">
        <v>16.14</v>
      </c>
      <c r="L29" t="s">
        <v>76</v>
      </c>
      <c r="P29" t="s">
        <v>105</v>
      </c>
      <c r="Q29" t="s">
        <v>106</v>
      </c>
      <c r="R29" t="s">
        <v>79</v>
      </c>
      <c r="S29" t="s">
        <v>80</v>
      </c>
      <c r="T29" t="s">
        <v>81</v>
      </c>
      <c r="U29" t="s">
        <v>81</v>
      </c>
      <c r="V29" t="s">
        <v>81</v>
      </c>
      <c r="W29" t="s">
        <v>81</v>
      </c>
      <c r="X29" t="s">
        <v>81</v>
      </c>
      <c r="Y29" t="s">
        <v>231</v>
      </c>
      <c r="Z29" s="1">
        <v>46018</v>
      </c>
      <c r="AA29">
        <v>16.14</v>
      </c>
      <c r="AB29" t="s">
        <v>82</v>
      </c>
      <c r="AC29" t="str">
        <f>"2691"</f>
        <v>2691</v>
      </c>
      <c r="AD29" t="s">
        <v>108</v>
      </c>
      <c r="AE29" t="s">
        <v>232</v>
      </c>
      <c r="AF29" t="s">
        <v>233</v>
      </c>
      <c r="AG29" t="str">
        <f>"26111704"</f>
        <v>26111704</v>
      </c>
      <c r="AH29" t="s">
        <v>119</v>
      </c>
      <c r="AI29" t="s">
        <v>120</v>
      </c>
      <c r="AJ29" t="s">
        <v>121</v>
      </c>
      <c r="AK29" t="s">
        <v>193</v>
      </c>
      <c r="AM29" t="s">
        <v>234</v>
      </c>
      <c r="AN29" t="s">
        <v>234</v>
      </c>
      <c r="AP29" t="str">
        <f>"656"</f>
        <v>656</v>
      </c>
      <c r="AQ29" t="s">
        <v>235</v>
      </c>
      <c r="AR29" t="s">
        <v>83</v>
      </c>
      <c r="AT29" t="s">
        <v>81</v>
      </c>
      <c r="AU29">
        <v>13.45</v>
      </c>
      <c r="AV29">
        <v>1</v>
      </c>
      <c r="AW29">
        <v>13.45</v>
      </c>
      <c r="AX29">
        <v>0</v>
      </c>
      <c r="AZ29">
        <v>2.69</v>
      </c>
      <c r="BA29">
        <v>16.14</v>
      </c>
      <c r="BC29" t="s">
        <v>81</v>
      </c>
      <c r="BD29">
        <v>0</v>
      </c>
      <c r="BE29" s="2">
        <v>0.2</v>
      </c>
      <c r="BG29">
        <v>13.45</v>
      </c>
      <c r="BJ29" t="s">
        <v>81</v>
      </c>
      <c r="BS29" t="s">
        <v>85</v>
      </c>
      <c r="BU29" t="s">
        <v>79</v>
      </c>
      <c r="BV29" t="s">
        <v>86</v>
      </c>
    </row>
    <row r="30" spans="1:74" x14ac:dyDescent="0.2">
      <c r="A30" s="1">
        <v>46015</v>
      </c>
      <c r="B30" t="s">
        <v>236</v>
      </c>
      <c r="C30" t="s">
        <v>74</v>
      </c>
      <c r="E30">
        <v>4</v>
      </c>
      <c r="F30" t="s">
        <v>75</v>
      </c>
      <c r="G30">
        <v>157.62</v>
      </c>
      <c r="H30">
        <v>0</v>
      </c>
      <c r="I30">
        <v>-25</v>
      </c>
      <c r="J30">
        <v>9.5399999999999991</v>
      </c>
      <c r="K30">
        <v>141.16</v>
      </c>
      <c r="L30" t="s">
        <v>76</v>
      </c>
      <c r="P30" t="s">
        <v>105</v>
      </c>
      <c r="Q30" t="s">
        <v>106</v>
      </c>
      <c r="R30" t="s">
        <v>79</v>
      </c>
      <c r="S30" t="s">
        <v>80</v>
      </c>
      <c r="T30" t="s">
        <v>81</v>
      </c>
      <c r="U30" t="s">
        <v>81</v>
      </c>
      <c r="V30" t="s">
        <v>81</v>
      </c>
      <c r="W30" t="s">
        <v>81</v>
      </c>
      <c r="X30" t="s">
        <v>81</v>
      </c>
      <c r="Y30" t="s">
        <v>237</v>
      </c>
      <c r="Z30" s="1">
        <v>46018</v>
      </c>
      <c r="AA30">
        <v>51.17</v>
      </c>
      <c r="AB30" t="s">
        <v>82</v>
      </c>
      <c r="AC30" t="str">
        <f>"2691"</f>
        <v>2691</v>
      </c>
      <c r="AD30" t="s">
        <v>238</v>
      </c>
      <c r="AE30" t="s">
        <v>239</v>
      </c>
      <c r="AF30" t="s">
        <v>240</v>
      </c>
      <c r="AG30" t="str">
        <f>"43202222"</f>
        <v>43202222</v>
      </c>
      <c r="AH30" t="s">
        <v>98</v>
      </c>
      <c r="AI30" t="s">
        <v>99</v>
      </c>
      <c r="AJ30" t="s">
        <v>241</v>
      </c>
      <c r="AK30" t="s">
        <v>242</v>
      </c>
      <c r="AM30" t="s">
        <v>243</v>
      </c>
      <c r="AN30" t="s">
        <v>243</v>
      </c>
      <c r="AP30" t="s">
        <v>244</v>
      </c>
      <c r="AQ30" t="s">
        <v>245</v>
      </c>
      <c r="AR30" t="s">
        <v>83</v>
      </c>
      <c r="AT30" t="s">
        <v>81</v>
      </c>
      <c r="AU30">
        <v>3.49</v>
      </c>
      <c r="AV30">
        <v>1</v>
      </c>
      <c r="AW30">
        <v>3.49</v>
      </c>
      <c r="AX30">
        <v>0</v>
      </c>
      <c r="AZ30">
        <v>0.7</v>
      </c>
      <c r="BA30">
        <v>4.1900000000000004</v>
      </c>
      <c r="BC30" t="s">
        <v>81</v>
      </c>
      <c r="BD30">
        <v>0</v>
      </c>
      <c r="BE30" s="2">
        <v>0.2</v>
      </c>
      <c r="BG30">
        <v>3.49</v>
      </c>
      <c r="BJ30" t="s">
        <v>81</v>
      </c>
      <c r="BS30" t="s">
        <v>246</v>
      </c>
      <c r="BU30" t="s">
        <v>79</v>
      </c>
      <c r="BV30" t="s">
        <v>247</v>
      </c>
    </row>
    <row r="31" spans="1:74" x14ac:dyDescent="0.2">
      <c r="A31" s="1">
        <v>46015</v>
      </c>
      <c r="B31" t="s">
        <v>236</v>
      </c>
      <c r="C31" t="s">
        <v>74</v>
      </c>
      <c r="E31">
        <v>4</v>
      </c>
      <c r="F31" t="s">
        <v>75</v>
      </c>
      <c r="G31">
        <v>157.62</v>
      </c>
      <c r="H31">
        <v>0</v>
      </c>
      <c r="I31">
        <v>-25</v>
      </c>
      <c r="J31">
        <v>9.5399999999999991</v>
      </c>
      <c r="K31">
        <v>141.16</v>
      </c>
      <c r="L31" t="s">
        <v>76</v>
      </c>
      <c r="P31" t="s">
        <v>105</v>
      </c>
      <c r="Q31" t="s">
        <v>106</v>
      </c>
      <c r="R31" t="s">
        <v>79</v>
      </c>
      <c r="S31" t="s">
        <v>80</v>
      </c>
      <c r="T31" t="s">
        <v>81</v>
      </c>
      <c r="U31" t="s">
        <v>81</v>
      </c>
      <c r="V31" t="s">
        <v>81</v>
      </c>
      <c r="W31" t="s">
        <v>81</v>
      </c>
      <c r="X31" t="s">
        <v>81</v>
      </c>
      <c r="Y31" t="s">
        <v>237</v>
      </c>
      <c r="Z31" s="1">
        <v>46018</v>
      </c>
      <c r="AA31">
        <v>51.17</v>
      </c>
      <c r="AB31" t="s">
        <v>82</v>
      </c>
      <c r="AC31" t="str">
        <f>"2691"</f>
        <v>2691</v>
      </c>
      <c r="AD31" t="s">
        <v>174</v>
      </c>
      <c r="AE31" t="s">
        <v>248</v>
      </c>
      <c r="AF31" t="s">
        <v>249</v>
      </c>
      <c r="AG31" t="str">
        <f>"52141700"</f>
        <v>52141700</v>
      </c>
      <c r="AH31" t="s">
        <v>154</v>
      </c>
      <c r="AI31" t="s">
        <v>155</v>
      </c>
      <c r="AJ31" t="s">
        <v>156</v>
      </c>
      <c r="AK31" t="s">
        <v>156</v>
      </c>
      <c r="AL31" t="s">
        <v>250</v>
      </c>
      <c r="AM31" t="s">
        <v>251</v>
      </c>
      <c r="AN31" t="s">
        <v>251</v>
      </c>
      <c r="AP31" t="s">
        <v>252</v>
      </c>
      <c r="AQ31" t="s">
        <v>252</v>
      </c>
      <c r="AR31" t="s">
        <v>83</v>
      </c>
      <c r="AT31" t="s">
        <v>81</v>
      </c>
      <c r="AU31">
        <v>33.32</v>
      </c>
      <c r="AV31">
        <v>1</v>
      </c>
      <c r="AW31">
        <v>33.32</v>
      </c>
      <c r="AX31">
        <v>0</v>
      </c>
      <c r="AY31">
        <v>-5</v>
      </c>
      <c r="AZ31">
        <v>5.67</v>
      </c>
      <c r="BA31">
        <v>33.99</v>
      </c>
      <c r="BC31" t="s">
        <v>81</v>
      </c>
      <c r="BD31">
        <v>0</v>
      </c>
      <c r="BE31" s="2">
        <v>0.2</v>
      </c>
      <c r="BG31">
        <v>28.32</v>
      </c>
      <c r="BJ31" t="s">
        <v>81</v>
      </c>
      <c r="BS31" t="s">
        <v>253</v>
      </c>
      <c r="BU31" t="s">
        <v>79</v>
      </c>
      <c r="BV31" t="s">
        <v>254</v>
      </c>
    </row>
    <row r="32" spans="1:74" x14ac:dyDescent="0.2">
      <c r="A32" s="1">
        <v>46015</v>
      </c>
      <c r="B32" t="s">
        <v>236</v>
      </c>
      <c r="C32" t="s">
        <v>74</v>
      </c>
      <c r="E32">
        <v>4</v>
      </c>
      <c r="F32" t="s">
        <v>75</v>
      </c>
      <c r="G32">
        <v>157.62</v>
      </c>
      <c r="H32">
        <v>0</v>
      </c>
      <c r="I32">
        <v>-25</v>
      </c>
      <c r="J32">
        <v>9.5399999999999991</v>
      </c>
      <c r="K32">
        <v>141.16</v>
      </c>
      <c r="L32" t="s">
        <v>76</v>
      </c>
      <c r="P32" t="s">
        <v>105</v>
      </c>
      <c r="Q32" t="s">
        <v>106</v>
      </c>
      <c r="R32" t="s">
        <v>79</v>
      </c>
      <c r="S32" t="s">
        <v>80</v>
      </c>
      <c r="T32" t="s">
        <v>81</v>
      </c>
      <c r="U32" t="s">
        <v>81</v>
      </c>
      <c r="V32" t="s">
        <v>81</v>
      </c>
      <c r="W32" t="s">
        <v>81</v>
      </c>
      <c r="X32" t="s">
        <v>81</v>
      </c>
      <c r="Y32" t="s">
        <v>237</v>
      </c>
      <c r="Z32" s="1">
        <v>46018</v>
      </c>
      <c r="AA32">
        <v>51.17</v>
      </c>
      <c r="AB32" t="s">
        <v>82</v>
      </c>
      <c r="AC32" t="str">
        <f>"2691"</f>
        <v>2691</v>
      </c>
      <c r="AD32" t="s">
        <v>238</v>
      </c>
      <c r="AE32" t="s">
        <v>255</v>
      </c>
      <c r="AF32" t="s">
        <v>256</v>
      </c>
      <c r="AG32" t="str">
        <f>"52161600"</f>
        <v>52161600</v>
      </c>
      <c r="AH32" t="s">
        <v>154</v>
      </c>
      <c r="AI32" t="s">
        <v>224</v>
      </c>
      <c r="AJ32" t="s">
        <v>257</v>
      </c>
      <c r="AK32" t="s">
        <v>257</v>
      </c>
      <c r="AM32" t="s">
        <v>258</v>
      </c>
      <c r="AN32" t="s">
        <v>258</v>
      </c>
      <c r="AR32" t="s">
        <v>83</v>
      </c>
      <c r="AT32" t="s">
        <v>81</v>
      </c>
      <c r="AU32">
        <v>10.82</v>
      </c>
      <c r="AV32">
        <v>1</v>
      </c>
      <c r="AW32">
        <v>10.82</v>
      </c>
      <c r="AX32">
        <v>0</v>
      </c>
      <c r="AZ32">
        <v>2.17</v>
      </c>
      <c r="BA32">
        <v>12.99</v>
      </c>
      <c r="BC32" t="s">
        <v>81</v>
      </c>
      <c r="BD32">
        <v>0</v>
      </c>
      <c r="BE32" s="2">
        <v>0.2</v>
      </c>
      <c r="BG32">
        <v>10.82</v>
      </c>
      <c r="BJ32" t="s">
        <v>81</v>
      </c>
      <c r="BS32" t="s">
        <v>259</v>
      </c>
      <c r="BU32" t="s">
        <v>79</v>
      </c>
      <c r="BV32" t="s">
        <v>260</v>
      </c>
    </row>
    <row r="33" spans="1:74" x14ac:dyDescent="0.2">
      <c r="A33" s="1">
        <v>46015</v>
      </c>
      <c r="B33" t="s">
        <v>236</v>
      </c>
      <c r="C33" t="s">
        <v>74</v>
      </c>
      <c r="E33">
        <v>4</v>
      </c>
      <c r="F33" t="s">
        <v>75</v>
      </c>
      <c r="G33">
        <v>157.62</v>
      </c>
      <c r="H33">
        <v>0</v>
      </c>
      <c r="I33">
        <v>-25</v>
      </c>
      <c r="J33">
        <v>9.5399999999999991</v>
      </c>
      <c r="K33">
        <v>141.16</v>
      </c>
      <c r="L33" t="s">
        <v>76</v>
      </c>
      <c r="P33" t="s">
        <v>105</v>
      </c>
      <c r="Q33" t="s">
        <v>106</v>
      </c>
      <c r="R33" t="s">
        <v>79</v>
      </c>
      <c r="S33" t="s">
        <v>80</v>
      </c>
      <c r="T33" t="s">
        <v>81</v>
      </c>
      <c r="U33" t="s">
        <v>81</v>
      </c>
      <c r="V33" t="s">
        <v>81</v>
      </c>
      <c r="W33" t="s">
        <v>81</v>
      </c>
      <c r="X33" t="s">
        <v>81</v>
      </c>
      <c r="Y33" t="s">
        <v>261</v>
      </c>
      <c r="Z33" s="1">
        <v>46017</v>
      </c>
      <c r="AA33">
        <v>89.99</v>
      </c>
      <c r="AB33" t="s">
        <v>82</v>
      </c>
      <c r="AC33" t="str">
        <f>"2691"</f>
        <v>2691</v>
      </c>
      <c r="AD33" t="s">
        <v>95</v>
      </c>
      <c r="AE33" t="s">
        <v>262</v>
      </c>
      <c r="AF33" t="s">
        <v>263</v>
      </c>
      <c r="AG33" t="str">
        <f>"45111600"</f>
        <v>45111600</v>
      </c>
      <c r="AH33" t="s">
        <v>264</v>
      </c>
      <c r="AI33" t="s">
        <v>265</v>
      </c>
      <c r="AJ33" t="s">
        <v>266</v>
      </c>
      <c r="AK33" t="s">
        <v>266</v>
      </c>
      <c r="AM33" t="s">
        <v>267</v>
      </c>
      <c r="AN33" t="s">
        <v>267</v>
      </c>
      <c r="AP33" t="s">
        <v>268</v>
      </c>
      <c r="AQ33" t="str">
        <f>"001"</f>
        <v>001</v>
      </c>
      <c r="AR33" t="s">
        <v>83</v>
      </c>
      <c r="AT33" t="s">
        <v>81</v>
      </c>
      <c r="AU33">
        <v>109.99</v>
      </c>
      <c r="AV33">
        <v>1</v>
      </c>
      <c r="AW33">
        <v>109.99</v>
      </c>
      <c r="AX33">
        <v>0</v>
      </c>
      <c r="AY33">
        <v>-20</v>
      </c>
      <c r="AZ33">
        <v>0</v>
      </c>
      <c r="BA33">
        <v>89.99</v>
      </c>
      <c r="BC33" t="s">
        <v>81</v>
      </c>
      <c r="BD33">
        <v>0</v>
      </c>
      <c r="BE33" s="2">
        <v>0</v>
      </c>
      <c r="BG33">
        <v>89.99</v>
      </c>
      <c r="BJ33" t="s">
        <v>81</v>
      </c>
      <c r="BS33" t="s">
        <v>269</v>
      </c>
    </row>
    <row r="34" spans="1:74" x14ac:dyDescent="0.2">
      <c r="A34" s="1">
        <v>46014</v>
      </c>
      <c r="B34" t="s">
        <v>270</v>
      </c>
      <c r="C34" t="s">
        <v>74</v>
      </c>
      <c r="D34" t="s">
        <v>271</v>
      </c>
      <c r="E34">
        <v>1</v>
      </c>
      <c r="F34" t="s">
        <v>75</v>
      </c>
      <c r="G34">
        <v>95</v>
      </c>
      <c r="J34">
        <v>19</v>
      </c>
      <c r="K34">
        <v>114</v>
      </c>
      <c r="L34" t="s">
        <v>76</v>
      </c>
      <c r="P34" t="s">
        <v>74</v>
      </c>
      <c r="R34" t="s">
        <v>79</v>
      </c>
      <c r="S34" t="s">
        <v>80</v>
      </c>
      <c r="T34" t="s">
        <v>81</v>
      </c>
      <c r="U34" t="s">
        <v>81</v>
      </c>
      <c r="V34" t="s">
        <v>81</v>
      </c>
      <c r="W34" t="s">
        <v>81</v>
      </c>
      <c r="X34" t="s">
        <v>81</v>
      </c>
      <c r="Y34" t="s">
        <v>272</v>
      </c>
      <c r="Z34" s="1">
        <v>46015</v>
      </c>
      <c r="AA34">
        <v>114</v>
      </c>
      <c r="AB34" t="s">
        <v>82</v>
      </c>
      <c r="AC34" t="str">
        <f>"2691"</f>
        <v>2691</v>
      </c>
      <c r="AD34" t="str">
        <f>"46202000"</f>
        <v>46202000</v>
      </c>
      <c r="AE34" t="s">
        <v>273</v>
      </c>
      <c r="AF34" t="s">
        <v>274</v>
      </c>
      <c r="AG34" t="str">
        <f>"64131500"</f>
        <v>64131500</v>
      </c>
      <c r="AH34" t="s">
        <v>275</v>
      </c>
      <c r="AI34" t="s">
        <v>276</v>
      </c>
      <c r="AJ34" t="s">
        <v>277</v>
      </c>
      <c r="AK34" t="s">
        <v>277</v>
      </c>
      <c r="AN34" t="s">
        <v>274</v>
      </c>
      <c r="AR34" t="s">
        <v>83</v>
      </c>
      <c r="AT34" t="s">
        <v>81</v>
      </c>
      <c r="AU34">
        <v>95</v>
      </c>
      <c r="AV34">
        <v>1</v>
      </c>
      <c r="AW34">
        <v>95</v>
      </c>
      <c r="AY34">
        <v>0</v>
      </c>
      <c r="AZ34">
        <v>19</v>
      </c>
      <c r="BA34">
        <v>114</v>
      </c>
      <c r="BC34" t="s">
        <v>81</v>
      </c>
      <c r="BD34">
        <v>0</v>
      </c>
      <c r="BG34">
        <v>95</v>
      </c>
      <c r="BJ34" t="s">
        <v>81</v>
      </c>
      <c r="BS34" t="s">
        <v>278</v>
      </c>
      <c r="BU34" t="s">
        <v>79</v>
      </c>
      <c r="BV34" t="s">
        <v>279</v>
      </c>
    </row>
    <row r="35" spans="1:74" x14ac:dyDescent="0.2">
      <c r="A35" s="1">
        <v>46011</v>
      </c>
      <c r="B35" t="s">
        <v>288</v>
      </c>
      <c r="C35" t="s">
        <v>74</v>
      </c>
      <c r="E35">
        <v>2</v>
      </c>
      <c r="F35" t="s">
        <v>75</v>
      </c>
      <c r="G35">
        <v>13.2</v>
      </c>
      <c r="H35">
        <v>0</v>
      </c>
      <c r="I35">
        <v>0</v>
      </c>
      <c r="J35">
        <v>2.64</v>
      </c>
      <c r="K35">
        <v>15.84</v>
      </c>
      <c r="L35" t="s">
        <v>76</v>
      </c>
      <c r="P35" t="s">
        <v>105</v>
      </c>
      <c r="Q35" t="s">
        <v>106</v>
      </c>
      <c r="R35" t="s">
        <v>79</v>
      </c>
      <c r="S35" t="s">
        <v>80</v>
      </c>
      <c r="T35" t="s">
        <v>81</v>
      </c>
      <c r="U35" t="s">
        <v>81</v>
      </c>
      <c r="V35" t="s">
        <v>81</v>
      </c>
      <c r="W35" t="s">
        <v>81</v>
      </c>
      <c r="X35" t="s">
        <v>81</v>
      </c>
      <c r="Y35" t="s">
        <v>289</v>
      </c>
      <c r="Z35" s="1">
        <v>46011</v>
      </c>
      <c r="AA35">
        <v>15.84</v>
      </c>
      <c r="AB35" t="s">
        <v>82</v>
      </c>
      <c r="AC35" t="str">
        <f>"2691"</f>
        <v>2691</v>
      </c>
      <c r="AD35" t="s">
        <v>290</v>
      </c>
      <c r="AE35" t="s">
        <v>291</v>
      </c>
      <c r="AF35" t="s">
        <v>292</v>
      </c>
      <c r="AG35" t="str">
        <f>"52152100"</f>
        <v>52152100</v>
      </c>
      <c r="AH35" t="s">
        <v>154</v>
      </c>
      <c r="AI35" t="s">
        <v>293</v>
      </c>
      <c r="AJ35" t="s">
        <v>294</v>
      </c>
      <c r="AK35" t="s">
        <v>294</v>
      </c>
      <c r="AM35" t="s">
        <v>295</v>
      </c>
      <c r="AN35" t="s">
        <v>295</v>
      </c>
      <c r="AP35" t="s">
        <v>296</v>
      </c>
      <c r="AQ35" t="s">
        <v>297</v>
      </c>
      <c r="AR35" t="s">
        <v>83</v>
      </c>
      <c r="AT35" t="s">
        <v>81</v>
      </c>
      <c r="AU35">
        <v>6.6</v>
      </c>
      <c r="AV35">
        <v>2</v>
      </c>
      <c r="AW35">
        <v>13.2</v>
      </c>
      <c r="AX35">
        <v>0</v>
      </c>
      <c r="AZ35">
        <v>2.64</v>
      </c>
      <c r="BA35">
        <v>15.84</v>
      </c>
      <c r="BC35" t="s">
        <v>81</v>
      </c>
      <c r="BD35">
        <v>0</v>
      </c>
      <c r="BE35" s="2">
        <v>0.2</v>
      </c>
      <c r="BG35">
        <v>13.2</v>
      </c>
      <c r="BJ35" t="s">
        <v>81</v>
      </c>
      <c r="BS35" t="s">
        <v>85</v>
      </c>
      <c r="BU35" t="s">
        <v>79</v>
      </c>
      <c r="BV35" t="s">
        <v>86</v>
      </c>
    </row>
    <row r="36" spans="1:74" x14ac:dyDescent="0.2">
      <c r="A36" s="1">
        <v>46008</v>
      </c>
      <c r="B36" t="s">
        <v>298</v>
      </c>
      <c r="C36" t="s">
        <v>74</v>
      </c>
      <c r="E36">
        <v>1</v>
      </c>
      <c r="F36" t="s">
        <v>75</v>
      </c>
      <c r="G36">
        <v>21.99</v>
      </c>
      <c r="H36">
        <v>0</v>
      </c>
      <c r="I36">
        <v>0</v>
      </c>
      <c r="J36">
        <v>0</v>
      </c>
      <c r="K36">
        <v>21.99</v>
      </c>
      <c r="L36" t="s">
        <v>76</v>
      </c>
      <c r="P36" t="s">
        <v>105</v>
      </c>
      <c r="Q36" t="s">
        <v>106</v>
      </c>
      <c r="T36" t="s">
        <v>81</v>
      </c>
      <c r="U36" t="s">
        <v>81</v>
      </c>
      <c r="V36" t="s">
        <v>81</v>
      </c>
      <c r="W36" t="s">
        <v>81</v>
      </c>
      <c r="X36" t="s">
        <v>81</v>
      </c>
      <c r="Y36" t="s">
        <v>299</v>
      </c>
      <c r="Z36" s="1">
        <v>46009</v>
      </c>
      <c r="AA36">
        <v>21.99</v>
      </c>
      <c r="AB36" t="s">
        <v>82</v>
      </c>
      <c r="AC36" t="str">
        <f>"2691"</f>
        <v>2691</v>
      </c>
      <c r="AD36" t="s">
        <v>300</v>
      </c>
      <c r="AE36" t="s">
        <v>301</v>
      </c>
      <c r="AF36" t="s">
        <v>302</v>
      </c>
      <c r="AG36" t="str">
        <f>"43191600"</f>
        <v>43191600</v>
      </c>
      <c r="AH36" t="s">
        <v>98</v>
      </c>
      <c r="AI36" t="s">
        <v>303</v>
      </c>
      <c r="AJ36" t="s">
        <v>304</v>
      </c>
      <c r="AK36" t="s">
        <v>304</v>
      </c>
      <c r="AM36" t="s">
        <v>305</v>
      </c>
      <c r="AN36" t="s">
        <v>305</v>
      </c>
      <c r="AP36" t="s">
        <v>306</v>
      </c>
      <c r="AR36" t="s">
        <v>83</v>
      </c>
      <c r="AT36" t="s">
        <v>81</v>
      </c>
      <c r="AU36">
        <v>21.99</v>
      </c>
      <c r="AV36">
        <v>1</v>
      </c>
      <c r="AW36">
        <v>21.99</v>
      </c>
      <c r="AX36">
        <v>0</v>
      </c>
      <c r="AZ36">
        <v>0</v>
      </c>
      <c r="BA36">
        <v>21.99</v>
      </c>
      <c r="BC36" t="s">
        <v>81</v>
      </c>
      <c r="BD36">
        <v>0</v>
      </c>
      <c r="BE36" s="2">
        <v>0</v>
      </c>
      <c r="BG36">
        <v>21.99</v>
      </c>
      <c r="BJ36" t="s">
        <v>81</v>
      </c>
      <c r="BS36" t="s">
        <v>307</v>
      </c>
    </row>
    <row r="37" spans="1:74" x14ac:dyDescent="0.2">
      <c r="A37" s="1">
        <v>46008</v>
      </c>
      <c r="B37" t="s">
        <v>308</v>
      </c>
      <c r="C37" t="s">
        <v>74</v>
      </c>
      <c r="E37">
        <v>1</v>
      </c>
      <c r="F37" t="s">
        <v>75</v>
      </c>
      <c r="G37">
        <v>17.670000000000002</v>
      </c>
      <c r="H37">
        <v>0</v>
      </c>
      <c r="I37">
        <v>0</v>
      </c>
      <c r="J37">
        <v>3.53</v>
      </c>
      <c r="K37">
        <v>21.2</v>
      </c>
      <c r="L37" t="s">
        <v>76</v>
      </c>
      <c r="P37" t="s">
        <v>105</v>
      </c>
      <c r="Q37" t="s">
        <v>106</v>
      </c>
      <c r="R37" t="s">
        <v>79</v>
      </c>
      <c r="S37" t="s">
        <v>80</v>
      </c>
      <c r="T37" t="s">
        <v>81</v>
      </c>
      <c r="U37" t="s">
        <v>81</v>
      </c>
      <c r="V37" t="s">
        <v>81</v>
      </c>
      <c r="W37" t="s">
        <v>81</v>
      </c>
      <c r="X37" t="s">
        <v>81</v>
      </c>
      <c r="Y37" t="s">
        <v>309</v>
      </c>
      <c r="Z37" s="1">
        <v>46010</v>
      </c>
      <c r="AA37">
        <v>21.2</v>
      </c>
      <c r="AB37" t="s">
        <v>82</v>
      </c>
      <c r="AC37" t="str">
        <f>"2691"</f>
        <v>2691</v>
      </c>
      <c r="AD37" t="s">
        <v>199</v>
      </c>
      <c r="AE37" t="s">
        <v>310</v>
      </c>
      <c r="AF37" t="s">
        <v>311</v>
      </c>
      <c r="AG37" t="str">
        <f>"46181500"</f>
        <v>46181500</v>
      </c>
      <c r="AH37" t="s">
        <v>312</v>
      </c>
      <c r="AI37" t="s">
        <v>313</v>
      </c>
      <c r="AJ37" t="s">
        <v>314</v>
      </c>
      <c r="AK37" t="s">
        <v>314</v>
      </c>
      <c r="AL37" t="s">
        <v>315</v>
      </c>
      <c r="AM37" t="s">
        <v>316</v>
      </c>
      <c r="AN37" t="s">
        <v>316</v>
      </c>
      <c r="AP37" t="s">
        <v>317</v>
      </c>
      <c r="AQ37" t="s">
        <v>317</v>
      </c>
      <c r="AR37" t="s">
        <v>83</v>
      </c>
      <c r="AT37" t="s">
        <v>81</v>
      </c>
      <c r="AU37">
        <v>17.670000000000002</v>
      </c>
      <c r="AV37">
        <v>1</v>
      </c>
      <c r="AW37">
        <v>17.670000000000002</v>
      </c>
      <c r="AX37">
        <v>0</v>
      </c>
      <c r="AZ37">
        <v>3.53</v>
      </c>
      <c r="BA37">
        <v>21.2</v>
      </c>
      <c r="BC37" t="s">
        <v>81</v>
      </c>
      <c r="BD37">
        <v>0</v>
      </c>
      <c r="BE37" s="2">
        <v>0.2</v>
      </c>
      <c r="BG37">
        <v>17.670000000000002</v>
      </c>
      <c r="BJ37" t="s">
        <v>81</v>
      </c>
      <c r="BS37" t="s">
        <v>85</v>
      </c>
      <c r="BU37" t="s">
        <v>79</v>
      </c>
      <c r="BV37" t="s">
        <v>86</v>
      </c>
    </row>
    <row r="38" spans="1:74" x14ac:dyDescent="0.2">
      <c r="A38" s="1">
        <v>46008</v>
      </c>
      <c r="B38" t="s">
        <v>318</v>
      </c>
      <c r="C38" t="s">
        <v>74</v>
      </c>
      <c r="E38">
        <v>1</v>
      </c>
      <c r="F38" t="s">
        <v>75</v>
      </c>
      <c r="G38">
        <v>67.61</v>
      </c>
      <c r="H38">
        <v>0</v>
      </c>
      <c r="I38">
        <v>0</v>
      </c>
      <c r="J38">
        <v>13.52</v>
      </c>
      <c r="K38">
        <v>81.13</v>
      </c>
      <c r="L38" t="s">
        <v>76</v>
      </c>
      <c r="P38" t="s">
        <v>105</v>
      </c>
      <c r="Q38" t="s">
        <v>106</v>
      </c>
      <c r="R38" t="s">
        <v>79</v>
      </c>
      <c r="S38" t="s">
        <v>80</v>
      </c>
      <c r="T38" t="s">
        <v>81</v>
      </c>
      <c r="U38" t="s">
        <v>81</v>
      </c>
      <c r="V38" t="s">
        <v>81</v>
      </c>
      <c r="W38" t="s">
        <v>81</v>
      </c>
      <c r="X38" t="s">
        <v>81</v>
      </c>
      <c r="Y38" t="s">
        <v>319</v>
      </c>
      <c r="Z38" s="1">
        <v>46008</v>
      </c>
      <c r="AA38">
        <v>81.13</v>
      </c>
      <c r="AB38" t="s">
        <v>82</v>
      </c>
      <c r="AC38" t="str">
        <f>"2691"</f>
        <v>2691</v>
      </c>
      <c r="AD38" t="s">
        <v>108</v>
      </c>
      <c r="AE38" t="s">
        <v>320</v>
      </c>
      <c r="AF38" t="s">
        <v>321</v>
      </c>
      <c r="AG38" t="str">
        <f>"52161548"</f>
        <v>52161548</v>
      </c>
      <c r="AH38" t="s">
        <v>154</v>
      </c>
      <c r="AI38" t="s">
        <v>224</v>
      </c>
      <c r="AJ38" t="s">
        <v>225</v>
      </c>
      <c r="AK38" t="s">
        <v>322</v>
      </c>
      <c r="AM38" t="s">
        <v>323</v>
      </c>
      <c r="AN38" t="s">
        <v>324</v>
      </c>
      <c r="AP38" t="s">
        <v>325</v>
      </c>
      <c r="AQ38">
        <v>102.167</v>
      </c>
      <c r="AR38" t="s">
        <v>83</v>
      </c>
      <c r="AT38" t="s">
        <v>81</v>
      </c>
      <c r="AU38">
        <v>67.61</v>
      </c>
      <c r="AV38">
        <v>1</v>
      </c>
      <c r="AW38">
        <v>67.61</v>
      </c>
      <c r="AX38">
        <v>0</v>
      </c>
      <c r="AZ38">
        <v>13.52</v>
      </c>
      <c r="BA38">
        <v>81.13</v>
      </c>
      <c r="BC38" t="s">
        <v>84</v>
      </c>
      <c r="BD38">
        <v>14.34</v>
      </c>
      <c r="BE38" s="2">
        <v>0.2</v>
      </c>
      <c r="BG38">
        <v>67.61</v>
      </c>
      <c r="BJ38" t="s">
        <v>81</v>
      </c>
      <c r="BS38" t="s">
        <v>85</v>
      </c>
      <c r="BU38" t="s">
        <v>79</v>
      </c>
      <c r="BV38" t="s">
        <v>86</v>
      </c>
    </row>
    <row r="39" spans="1:74" x14ac:dyDescent="0.2">
      <c r="A39" s="1">
        <v>46007</v>
      </c>
      <c r="B39" t="s">
        <v>326</v>
      </c>
      <c r="C39" t="s">
        <v>74</v>
      </c>
      <c r="E39">
        <v>1</v>
      </c>
      <c r="F39" t="s">
        <v>75</v>
      </c>
      <c r="G39">
        <v>13.32</v>
      </c>
      <c r="H39">
        <v>0</v>
      </c>
      <c r="I39">
        <v>0</v>
      </c>
      <c r="J39">
        <v>2.66</v>
      </c>
      <c r="K39">
        <v>15.98</v>
      </c>
      <c r="L39" t="s">
        <v>76</v>
      </c>
      <c r="P39" t="s">
        <v>105</v>
      </c>
      <c r="Q39" t="s">
        <v>106</v>
      </c>
      <c r="R39" t="s">
        <v>79</v>
      </c>
      <c r="S39" t="s">
        <v>80</v>
      </c>
      <c r="T39" t="s">
        <v>81</v>
      </c>
      <c r="U39" t="s">
        <v>81</v>
      </c>
      <c r="V39" t="s">
        <v>81</v>
      </c>
      <c r="W39" t="s">
        <v>81</v>
      </c>
      <c r="X39" t="s">
        <v>81</v>
      </c>
      <c r="Y39" t="s">
        <v>327</v>
      </c>
      <c r="Z39" s="1">
        <v>46008</v>
      </c>
      <c r="AA39">
        <v>15.98</v>
      </c>
      <c r="AB39" t="s">
        <v>82</v>
      </c>
      <c r="AC39" t="str">
        <f>"2691"</f>
        <v>2691</v>
      </c>
      <c r="AD39" t="s">
        <v>108</v>
      </c>
      <c r="AE39" t="s">
        <v>328</v>
      </c>
      <c r="AF39" t="s">
        <v>329</v>
      </c>
      <c r="AG39" t="str">
        <f>"26111700"</f>
        <v>26111700</v>
      </c>
      <c r="AH39" t="s">
        <v>119</v>
      </c>
      <c r="AI39" t="s">
        <v>120</v>
      </c>
      <c r="AJ39" t="s">
        <v>121</v>
      </c>
      <c r="AK39" t="s">
        <v>121</v>
      </c>
      <c r="AM39" t="s">
        <v>330</v>
      </c>
      <c r="AN39" t="s">
        <v>331</v>
      </c>
      <c r="AP39" t="s">
        <v>332</v>
      </c>
      <c r="AQ39" t="s">
        <v>333</v>
      </c>
      <c r="AR39" t="s">
        <v>83</v>
      </c>
      <c r="AT39" t="s">
        <v>81</v>
      </c>
      <c r="AU39">
        <v>13.32</v>
      </c>
      <c r="AV39">
        <v>1</v>
      </c>
      <c r="AW39">
        <v>13.32</v>
      </c>
      <c r="AX39">
        <v>0</v>
      </c>
      <c r="AZ39">
        <v>2.66</v>
      </c>
      <c r="BA39">
        <v>15.98</v>
      </c>
      <c r="BC39" t="s">
        <v>84</v>
      </c>
      <c r="BD39">
        <v>2.67</v>
      </c>
      <c r="BE39" s="2">
        <v>0.2</v>
      </c>
      <c r="BG39">
        <v>13.32</v>
      </c>
      <c r="BJ39" t="s">
        <v>81</v>
      </c>
      <c r="BS39" t="s">
        <v>85</v>
      </c>
      <c r="BU39" t="s">
        <v>79</v>
      </c>
      <c r="BV39" t="s">
        <v>86</v>
      </c>
    </row>
    <row r="40" spans="1:74" x14ac:dyDescent="0.2">
      <c r="A40" s="1">
        <v>46007</v>
      </c>
      <c r="B40" t="s">
        <v>334</v>
      </c>
      <c r="C40" t="s">
        <v>74</v>
      </c>
      <c r="E40">
        <v>1</v>
      </c>
      <c r="F40" t="s">
        <v>75</v>
      </c>
      <c r="G40">
        <v>8.32</v>
      </c>
      <c r="H40">
        <v>0</v>
      </c>
      <c r="I40">
        <v>0</v>
      </c>
      <c r="J40">
        <v>1.67</v>
      </c>
      <c r="K40">
        <v>9.99</v>
      </c>
      <c r="L40" t="s">
        <v>76</v>
      </c>
      <c r="P40" t="s">
        <v>105</v>
      </c>
      <c r="Q40" t="s">
        <v>106</v>
      </c>
      <c r="R40" t="s">
        <v>79</v>
      </c>
      <c r="S40" t="s">
        <v>80</v>
      </c>
      <c r="T40" t="s">
        <v>81</v>
      </c>
      <c r="U40" t="s">
        <v>81</v>
      </c>
      <c r="V40" t="s">
        <v>81</v>
      </c>
      <c r="W40" t="s">
        <v>81</v>
      </c>
      <c r="X40" t="s">
        <v>81</v>
      </c>
      <c r="Y40" t="s">
        <v>335</v>
      </c>
      <c r="Z40" s="1">
        <v>46007</v>
      </c>
      <c r="AA40">
        <v>9.99</v>
      </c>
      <c r="AB40" t="s">
        <v>82</v>
      </c>
      <c r="AC40" t="str">
        <f>"2691"</f>
        <v>2691</v>
      </c>
      <c r="AD40" t="s">
        <v>282</v>
      </c>
      <c r="AE40" t="s">
        <v>336</v>
      </c>
      <c r="AF40" t="s">
        <v>337</v>
      </c>
      <c r="AG40" t="str">
        <f>"45121600"</f>
        <v>45121600</v>
      </c>
      <c r="AH40" t="s">
        <v>264</v>
      </c>
      <c r="AI40" t="s">
        <v>338</v>
      </c>
      <c r="AJ40" t="s">
        <v>339</v>
      </c>
      <c r="AK40" t="s">
        <v>339</v>
      </c>
      <c r="AL40" t="s">
        <v>340</v>
      </c>
      <c r="AM40" t="s">
        <v>341</v>
      </c>
      <c r="AN40" t="s">
        <v>342</v>
      </c>
      <c r="AP40" t="s">
        <v>343</v>
      </c>
      <c r="AQ40" t="s">
        <v>343</v>
      </c>
      <c r="AR40" t="s">
        <v>83</v>
      </c>
      <c r="AT40" t="s">
        <v>81</v>
      </c>
      <c r="AU40">
        <v>8.32</v>
      </c>
      <c r="AV40">
        <v>1</v>
      </c>
      <c r="AW40">
        <v>8.32</v>
      </c>
      <c r="AX40">
        <v>0</v>
      </c>
      <c r="AZ40">
        <v>1.67</v>
      </c>
      <c r="BA40">
        <v>9.99</v>
      </c>
      <c r="BC40" t="s">
        <v>81</v>
      </c>
      <c r="BD40">
        <v>0</v>
      </c>
      <c r="BE40" s="2">
        <v>0.2</v>
      </c>
      <c r="BG40">
        <v>8.32</v>
      </c>
      <c r="BJ40" t="s">
        <v>81</v>
      </c>
      <c r="BS40" t="s">
        <v>85</v>
      </c>
      <c r="BU40" t="s">
        <v>79</v>
      </c>
      <c r="BV40" t="s">
        <v>86</v>
      </c>
    </row>
    <row r="41" spans="1:74" x14ac:dyDescent="0.2">
      <c r="A41" s="1">
        <v>46007</v>
      </c>
      <c r="B41" t="s">
        <v>344</v>
      </c>
      <c r="C41" t="s">
        <v>74</v>
      </c>
      <c r="E41">
        <v>1</v>
      </c>
      <c r="F41" t="s">
        <v>75</v>
      </c>
      <c r="G41">
        <v>16.489999999999998</v>
      </c>
      <c r="H41">
        <v>0</v>
      </c>
      <c r="I41">
        <v>0</v>
      </c>
      <c r="J41">
        <v>3.3</v>
      </c>
      <c r="K41">
        <v>19.79</v>
      </c>
      <c r="L41" t="s">
        <v>76</v>
      </c>
      <c r="P41" t="s">
        <v>105</v>
      </c>
      <c r="Q41" t="s">
        <v>106</v>
      </c>
      <c r="R41" t="s">
        <v>79</v>
      </c>
      <c r="S41" t="s">
        <v>80</v>
      </c>
      <c r="T41" t="s">
        <v>81</v>
      </c>
      <c r="U41" t="s">
        <v>81</v>
      </c>
      <c r="V41" t="s">
        <v>81</v>
      </c>
      <c r="W41" t="s">
        <v>81</v>
      </c>
      <c r="X41" t="s">
        <v>81</v>
      </c>
      <c r="Y41" t="s">
        <v>345</v>
      </c>
      <c r="Z41" s="1">
        <v>46007</v>
      </c>
      <c r="AA41">
        <v>19.79</v>
      </c>
      <c r="AB41" t="s">
        <v>82</v>
      </c>
      <c r="AC41" t="str">
        <f>"2691"</f>
        <v>2691</v>
      </c>
      <c r="AD41" t="s">
        <v>346</v>
      </c>
      <c r="AE41" t="s">
        <v>347</v>
      </c>
      <c r="AF41" t="s">
        <v>348</v>
      </c>
      <c r="AG41" t="str">
        <f>"47131800"</f>
        <v>47131800</v>
      </c>
      <c r="AH41" t="s">
        <v>210</v>
      </c>
      <c r="AI41" t="s">
        <v>211</v>
      </c>
      <c r="AJ41" t="s">
        <v>212</v>
      </c>
      <c r="AK41" t="s">
        <v>212</v>
      </c>
      <c r="AL41" t="s">
        <v>349</v>
      </c>
      <c r="AM41" t="s">
        <v>350</v>
      </c>
      <c r="AN41" t="s">
        <v>350</v>
      </c>
      <c r="AP41" t="str">
        <f>"19818"</f>
        <v>19818</v>
      </c>
      <c r="AQ41" t="str">
        <f>"19818"</f>
        <v>19818</v>
      </c>
      <c r="AR41" t="s">
        <v>83</v>
      </c>
      <c r="AT41" t="s">
        <v>81</v>
      </c>
      <c r="AU41">
        <v>16.489999999999998</v>
      </c>
      <c r="AV41">
        <v>1</v>
      </c>
      <c r="AW41">
        <v>16.489999999999998</v>
      </c>
      <c r="AX41">
        <v>0</v>
      </c>
      <c r="AZ41">
        <v>3.3</v>
      </c>
      <c r="BA41">
        <v>19.79</v>
      </c>
      <c r="BC41" t="s">
        <v>84</v>
      </c>
      <c r="BD41">
        <v>4.99</v>
      </c>
      <c r="BE41" s="2">
        <v>0.2</v>
      </c>
      <c r="BG41">
        <v>16.489999999999998</v>
      </c>
      <c r="BJ41" t="s">
        <v>81</v>
      </c>
      <c r="BS41" t="s">
        <v>85</v>
      </c>
      <c r="BU41" t="s">
        <v>79</v>
      </c>
      <c r="BV41" t="s">
        <v>86</v>
      </c>
    </row>
    <row r="42" spans="1:74" x14ac:dyDescent="0.2">
      <c r="A42" s="1">
        <v>46006</v>
      </c>
      <c r="B42" t="s">
        <v>351</v>
      </c>
      <c r="C42" t="s">
        <v>74</v>
      </c>
      <c r="E42">
        <v>1</v>
      </c>
      <c r="F42" t="s">
        <v>75</v>
      </c>
      <c r="G42">
        <v>13.32</v>
      </c>
      <c r="H42">
        <v>0</v>
      </c>
      <c r="I42">
        <v>0</v>
      </c>
      <c r="J42">
        <v>2.67</v>
      </c>
      <c r="K42">
        <v>15.99</v>
      </c>
      <c r="L42" t="s">
        <v>76</v>
      </c>
      <c r="P42" t="s">
        <v>105</v>
      </c>
      <c r="Q42" t="s">
        <v>106</v>
      </c>
      <c r="R42" t="s">
        <v>79</v>
      </c>
      <c r="S42" t="s">
        <v>80</v>
      </c>
      <c r="T42" t="s">
        <v>81</v>
      </c>
      <c r="U42" t="s">
        <v>81</v>
      </c>
      <c r="V42" t="s">
        <v>81</v>
      </c>
      <c r="W42" t="s">
        <v>81</v>
      </c>
      <c r="X42" t="s">
        <v>81</v>
      </c>
      <c r="Y42" t="s">
        <v>352</v>
      </c>
      <c r="Z42" s="1">
        <v>46011</v>
      </c>
      <c r="AA42">
        <v>15.99</v>
      </c>
      <c r="AB42" t="s">
        <v>82</v>
      </c>
      <c r="AC42" t="str">
        <f>"2691"</f>
        <v>2691</v>
      </c>
      <c r="AD42" t="s">
        <v>199</v>
      </c>
      <c r="AE42" t="s">
        <v>353</v>
      </c>
      <c r="AF42" t="s">
        <v>354</v>
      </c>
      <c r="AG42" t="str">
        <f>"49221500"</f>
        <v>49221500</v>
      </c>
      <c r="AH42" t="s">
        <v>355</v>
      </c>
      <c r="AI42" t="s">
        <v>356</v>
      </c>
      <c r="AJ42" t="s">
        <v>357</v>
      </c>
      <c r="AK42" t="s">
        <v>357</v>
      </c>
      <c r="AL42" t="s">
        <v>358</v>
      </c>
      <c r="AM42" t="s">
        <v>316</v>
      </c>
      <c r="AN42" t="s">
        <v>316</v>
      </c>
      <c r="AP42" t="s">
        <v>359</v>
      </c>
      <c r="AQ42" t="s">
        <v>360</v>
      </c>
      <c r="AR42" t="s">
        <v>83</v>
      </c>
      <c r="AT42" t="s">
        <v>81</v>
      </c>
      <c r="AU42">
        <v>13.32</v>
      </c>
      <c r="AV42">
        <v>1</v>
      </c>
      <c r="AW42">
        <v>13.32</v>
      </c>
      <c r="AX42">
        <v>0</v>
      </c>
      <c r="AZ42">
        <v>2.67</v>
      </c>
      <c r="BA42">
        <v>15.99</v>
      </c>
      <c r="BC42" t="s">
        <v>81</v>
      </c>
      <c r="BD42">
        <v>0</v>
      </c>
      <c r="BE42" s="2">
        <v>0.2</v>
      </c>
      <c r="BG42">
        <v>13.32</v>
      </c>
      <c r="BJ42" t="s">
        <v>81</v>
      </c>
      <c r="BS42" t="s">
        <v>85</v>
      </c>
      <c r="BU42" t="s">
        <v>79</v>
      </c>
      <c r="BV42" t="s">
        <v>86</v>
      </c>
    </row>
    <row r="43" spans="1:74" x14ac:dyDescent="0.2">
      <c r="A43" s="1">
        <v>45990</v>
      </c>
      <c r="B43" t="s">
        <v>364</v>
      </c>
      <c r="C43" t="s">
        <v>74</v>
      </c>
      <c r="E43">
        <v>1</v>
      </c>
      <c r="F43" t="s">
        <v>75</v>
      </c>
      <c r="G43">
        <v>3.53</v>
      </c>
      <c r="H43">
        <v>0</v>
      </c>
      <c r="I43">
        <v>0</v>
      </c>
      <c r="J43">
        <v>0.71</v>
      </c>
      <c r="K43">
        <v>4.24</v>
      </c>
      <c r="L43" t="s">
        <v>76</v>
      </c>
      <c r="P43" t="s">
        <v>105</v>
      </c>
      <c r="Q43" t="s">
        <v>106</v>
      </c>
      <c r="R43" t="s">
        <v>79</v>
      </c>
      <c r="S43" t="s">
        <v>80</v>
      </c>
      <c r="T43" t="s">
        <v>81</v>
      </c>
      <c r="U43" t="s">
        <v>81</v>
      </c>
      <c r="V43" t="s">
        <v>81</v>
      </c>
      <c r="W43" t="s">
        <v>81</v>
      </c>
      <c r="X43" t="s">
        <v>81</v>
      </c>
      <c r="Y43" t="s">
        <v>365</v>
      </c>
      <c r="Z43" s="1">
        <v>45991</v>
      </c>
      <c r="AA43">
        <v>4.24</v>
      </c>
      <c r="AB43" t="s">
        <v>82</v>
      </c>
      <c r="AC43" t="str">
        <f>"2691"</f>
        <v>2691</v>
      </c>
      <c r="AD43" t="s">
        <v>151</v>
      </c>
      <c r="AE43" t="s">
        <v>366</v>
      </c>
      <c r="AF43" t="s">
        <v>367</v>
      </c>
      <c r="AG43" t="str">
        <f>"53130000"</f>
        <v>53130000</v>
      </c>
      <c r="AH43" t="s">
        <v>165</v>
      </c>
      <c r="AI43" t="s">
        <v>177</v>
      </c>
      <c r="AJ43" t="s">
        <v>177</v>
      </c>
      <c r="AK43" t="s">
        <v>177</v>
      </c>
      <c r="AM43" t="s">
        <v>368</v>
      </c>
      <c r="AN43" t="s">
        <v>368</v>
      </c>
      <c r="AR43" t="s">
        <v>83</v>
      </c>
      <c r="AT43" t="s">
        <v>81</v>
      </c>
      <c r="AU43">
        <v>3.53</v>
      </c>
      <c r="AV43">
        <v>1</v>
      </c>
      <c r="AW43">
        <v>3.53</v>
      </c>
      <c r="AX43">
        <v>0</v>
      </c>
      <c r="AZ43">
        <v>0.71</v>
      </c>
      <c r="BA43">
        <v>4.24</v>
      </c>
      <c r="BC43" t="s">
        <v>81</v>
      </c>
      <c r="BD43">
        <v>0</v>
      </c>
      <c r="BE43" s="2">
        <v>0.2</v>
      </c>
      <c r="BG43">
        <v>3.53</v>
      </c>
      <c r="BJ43" t="s">
        <v>81</v>
      </c>
      <c r="BS43" t="s">
        <v>369</v>
      </c>
      <c r="BU43" t="s">
        <v>79</v>
      </c>
      <c r="BV43" t="s">
        <v>370</v>
      </c>
    </row>
    <row r="44" spans="1:74" x14ac:dyDescent="0.2">
      <c r="A44" s="1">
        <v>45967</v>
      </c>
      <c r="B44" t="s">
        <v>389</v>
      </c>
      <c r="C44" t="s">
        <v>74</v>
      </c>
      <c r="E44">
        <v>1</v>
      </c>
      <c r="F44" t="s">
        <v>75</v>
      </c>
      <c r="G44">
        <v>9.32</v>
      </c>
      <c r="H44">
        <v>0</v>
      </c>
      <c r="I44">
        <v>0</v>
      </c>
      <c r="J44">
        <v>1.87</v>
      </c>
      <c r="K44">
        <v>11.19</v>
      </c>
      <c r="L44" t="s">
        <v>76</v>
      </c>
      <c r="P44" t="s">
        <v>105</v>
      </c>
      <c r="Q44" t="s">
        <v>106</v>
      </c>
      <c r="R44" t="s">
        <v>79</v>
      </c>
      <c r="S44" t="s">
        <v>80</v>
      </c>
      <c r="T44" t="s">
        <v>81</v>
      </c>
      <c r="U44" t="s">
        <v>81</v>
      </c>
      <c r="V44" t="s">
        <v>81</v>
      </c>
      <c r="W44" t="s">
        <v>81</v>
      </c>
      <c r="X44" t="s">
        <v>81</v>
      </c>
      <c r="Y44" t="s">
        <v>390</v>
      </c>
      <c r="Z44" s="1">
        <v>45968</v>
      </c>
      <c r="AA44">
        <v>11.19</v>
      </c>
      <c r="AB44" t="s">
        <v>82</v>
      </c>
      <c r="AC44" t="str">
        <f>"2691"</f>
        <v>2691</v>
      </c>
      <c r="AD44" t="s">
        <v>139</v>
      </c>
      <c r="AE44" t="s">
        <v>391</v>
      </c>
      <c r="AF44" t="s">
        <v>392</v>
      </c>
      <c r="AG44" t="str">
        <f>"27111700"</f>
        <v>27111700</v>
      </c>
      <c r="AH44" t="s">
        <v>387</v>
      </c>
      <c r="AI44" t="s">
        <v>388</v>
      </c>
      <c r="AJ44" t="s">
        <v>393</v>
      </c>
      <c r="AK44" t="s">
        <v>393</v>
      </c>
      <c r="AL44" t="s">
        <v>394</v>
      </c>
      <c r="AM44" t="s">
        <v>395</v>
      </c>
      <c r="AN44" t="s">
        <v>396</v>
      </c>
      <c r="AP44" t="s">
        <v>397</v>
      </c>
      <c r="AQ44" t="s">
        <v>397</v>
      </c>
      <c r="AR44" t="s">
        <v>83</v>
      </c>
      <c r="AT44" t="s">
        <v>81</v>
      </c>
      <c r="AU44">
        <v>9.32</v>
      </c>
      <c r="AV44">
        <v>1</v>
      </c>
      <c r="AW44">
        <v>9.32</v>
      </c>
      <c r="AX44">
        <v>0</v>
      </c>
      <c r="AZ44">
        <v>1.87</v>
      </c>
      <c r="BA44">
        <v>11.19</v>
      </c>
      <c r="BC44" t="s">
        <v>84</v>
      </c>
      <c r="BD44">
        <v>1.77</v>
      </c>
      <c r="BE44" s="2">
        <v>0.2</v>
      </c>
      <c r="BG44">
        <v>9.32</v>
      </c>
      <c r="BJ44" t="s">
        <v>81</v>
      </c>
      <c r="BS44" t="s">
        <v>85</v>
      </c>
      <c r="BU44" t="s">
        <v>79</v>
      </c>
      <c r="BV44" t="s">
        <v>86</v>
      </c>
    </row>
    <row r="45" spans="1:74" x14ac:dyDescent="0.2">
      <c r="A45" s="1">
        <v>45966</v>
      </c>
      <c r="B45" t="s">
        <v>398</v>
      </c>
      <c r="C45" t="s">
        <v>74</v>
      </c>
      <c r="E45">
        <v>2</v>
      </c>
      <c r="F45" t="s">
        <v>75</v>
      </c>
      <c r="G45">
        <v>11.1</v>
      </c>
      <c r="H45">
        <v>0</v>
      </c>
      <c r="I45">
        <v>0</v>
      </c>
      <c r="J45">
        <v>2.2200000000000002</v>
      </c>
      <c r="K45">
        <v>13.32</v>
      </c>
      <c r="L45" t="s">
        <v>76</v>
      </c>
      <c r="P45" t="s">
        <v>105</v>
      </c>
      <c r="Q45" t="s">
        <v>106</v>
      </c>
      <c r="R45" t="s">
        <v>79</v>
      </c>
      <c r="S45" t="s">
        <v>80</v>
      </c>
      <c r="T45" t="s">
        <v>81</v>
      </c>
      <c r="U45" t="s">
        <v>81</v>
      </c>
      <c r="V45" t="s">
        <v>81</v>
      </c>
      <c r="W45" t="s">
        <v>81</v>
      </c>
      <c r="X45" t="s">
        <v>81</v>
      </c>
      <c r="Y45" t="s">
        <v>399</v>
      </c>
      <c r="Z45" s="1">
        <v>45967</v>
      </c>
      <c r="AA45">
        <v>6.66</v>
      </c>
      <c r="AB45" t="s">
        <v>82</v>
      </c>
      <c r="AC45" t="str">
        <f>"2691"</f>
        <v>2691</v>
      </c>
      <c r="AD45" t="s">
        <v>300</v>
      </c>
      <c r="AE45" t="s">
        <v>400</v>
      </c>
      <c r="AF45" t="s">
        <v>401</v>
      </c>
      <c r="AG45" t="str">
        <f>"26121609"</f>
        <v>26121609</v>
      </c>
      <c r="AH45" t="s">
        <v>119</v>
      </c>
      <c r="AI45" t="s">
        <v>132</v>
      </c>
      <c r="AJ45" t="s">
        <v>133</v>
      </c>
      <c r="AK45" t="s">
        <v>402</v>
      </c>
      <c r="AM45" t="s">
        <v>403</v>
      </c>
      <c r="AN45" t="s">
        <v>403</v>
      </c>
      <c r="AP45" t="s">
        <v>404</v>
      </c>
      <c r="AR45" t="s">
        <v>83</v>
      </c>
      <c r="AT45" t="s">
        <v>81</v>
      </c>
      <c r="AU45">
        <v>5.55</v>
      </c>
      <c r="AV45">
        <v>1</v>
      </c>
      <c r="AW45">
        <v>5.55</v>
      </c>
      <c r="AX45">
        <v>0</v>
      </c>
      <c r="AZ45">
        <v>1.1100000000000001</v>
      </c>
      <c r="BA45">
        <v>6.66</v>
      </c>
      <c r="BC45" t="s">
        <v>81</v>
      </c>
      <c r="BD45">
        <v>0</v>
      </c>
      <c r="BE45" s="2">
        <v>0.2</v>
      </c>
      <c r="BG45">
        <v>5.55</v>
      </c>
      <c r="BJ45" t="s">
        <v>81</v>
      </c>
      <c r="BS45" t="s">
        <v>85</v>
      </c>
      <c r="BU45" t="s">
        <v>79</v>
      </c>
      <c r="BV45" t="s">
        <v>86</v>
      </c>
    </row>
    <row r="46" spans="1:74" x14ac:dyDescent="0.2">
      <c r="A46" s="1">
        <v>45966</v>
      </c>
      <c r="B46" t="s">
        <v>398</v>
      </c>
      <c r="C46" t="s">
        <v>74</v>
      </c>
      <c r="E46">
        <v>2</v>
      </c>
      <c r="F46" t="s">
        <v>75</v>
      </c>
      <c r="G46">
        <v>11.1</v>
      </c>
      <c r="H46">
        <v>0</v>
      </c>
      <c r="I46">
        <v>0</v>
      </c>
      <c r="J46">
        <v>2.2200000000000002</v>
      </c>
      <c r="K46">
        <v>13.32</v>
      </c>
      <c r="L46" t="s">
        <v>76</v>
      </c>
      <c r="P46" t="s">
        <v>105</v>
      </c>
      <c r="Q46" t="s">
        <v>106</v>
      </c>
      <c r="R46" t="s">
        <v>79</v>
      </c>
      <c r="S46" t="s">
        <v>80</v>
      </c>
      <c r="T46" t="s">
        <v>81</v>
      </c>
      <c r="U46" t="s">
        <v>81</v>
      </c>
      <c r="V46" t="s">
        <v>81</v>
      </c>
      <c r="W46" t="s">
        <v>81</v>
      </c>
      <c r="X46" t="s">
        <v>81</v>
      </c>
      <c r="Y46" t="s">
        <v>405</v>
      </c>
      <c r="Z46" s="1">
        <v>45967</v>
      </c>
      <c r="AA46">
        <v>6.66</v>
      </c>
      <c r="AB46" t="s">
        <v>82</v>
      </c>
      <c r="AC46" t="str">
        <f>"2691"</f>
        <v>2691</v>
      </c>
      <c r="AD46" t="s">
        <v>300</v>
      </c>
      <c r="AE46" t="s">
        <v>406</v>
      </c>
      <c r="AF46" t="s">
        <v>407</v>
      </c>
      <c r="AG46" t="str">
        <f>"26121609"</f>
        <v>26121609</v>
      </c>
      <c r="AH46" t="s">
        <v>119</v>
      </c>
      <c r="AI46" t="s">
        <v>132</v>
      </c>
      <c r="AJ46" t="s">
        <v>133</v>
      </c>
      <c r="AK46" t="s">
        <v>402</v>
      </c>
      <c r="AM46" t="s">
        <v>403</v>
      </c>
      <c r="AN46" t="s">
        <v>403</v>
      </c>
      <c r="AP46" t="s">
        <v>408</v>
      </c>
      <c r="AR46" t="s">
        <v>83</v>
      </c>
      <c r="AT46" t="s">
        <v>81</v>
      </c>
      <c r="AU46">
        <v>5.55</v>
      </c>
      <c r="AV46">
        <v>1</v>
      </c>
      <c r="AW46">
        <v>5.55</v>
      </c>
      <c r="AX46">
        <v>0</v>
      </c>
      <c r="AZ46">
        <v>1.1100000000000001</v>
      </c>
      <c r="BA46">
        <v>6.66</v>
      </c>
      <c r="BC46" t="s">
        <v>81</v>
      </c>
      <c r="BD46">
        <v>0</v>
      </c>
      <c r="BE46" s="2">
        <v>0.2</v>
      </c>
      <c r="BG46">
        <v>5.55</v>
      </c>
      <c r="BJ46" t="s">
        <v>81</v>
      </c>
      <c r="BS46" t="s">
        <v>85</v>
      </c>
      <c r="BU46" t="s">
        <v>79</v>
      </c>
      <c r="BV46" t="s">
        <v>86</v>
      </c>
    </row>
    <row r="47" spans="1:74" x14ac:dyDescent="0.2">
      <c r="A47" s="1">
        <v>45963</v>
      </c>
      <c r="B47" t="s">
        <v>409</v>
      </c>
      <c r="C47" t="s">
        <v>74</v>
      </c>
      <c r="E47">
        <v>1</v>
      </c>
      <c r="F47" t="s">
        <v>75</v>
      </c>
      <c r="G47">
        <v>10.6</v>
      </c>
      <c r="H47">
        <v>0.55000000000000004</v>
      </c>
      <c r="I47">
        <v>-0.55000000000000004</v>
      </c>
      <c r="J47">
        <v>2.23</v>
      </c>
      <c r="K47">
        <v>12.72</v>
      </c>
      <c r="L47" t="s">
        <v>76</v>
      </c>
      <c r="P47" t="s">
        <v>105</v>
      </c>
      <c r="Q47" t="s">
        <v>106</v>
      </c>
      <c r="R47" t="s">
        <v>79</v>
      </c>
      <c r="S47" t="s">
        <v>80</v>
      </c>
      <c r="T47" t="s">
        <v>81</v>
      </c>
      <c r="U47" t="s">
        <v>81</v>
      </c>
      <c r="V47" t="s">
        <v>81</v>
      </c>
      <c r="W47" t="s">
        <v>81</v>
      </c>
      <c r="X47" t="s">
        <v>81</v>
      </c>
      <c r="Y47" t="s">
        <v>410</v>
      </c>
      <c r="Z47" s="1">
        <v>45964</v>
      </c>
      <c r="AA47">
        <v>12.72</v>
      </c>
      <c r="AB47" t="s">
        <v>82</v>
      </c>
      <c r="AC47" t="str">
        <f>"2691"</f>
        <v>2691</v>
      </c>
      <c r="AD47" t="s">
        <v>151</v>
      </c>
      <c r="AE47" t="s">
        <v>411</v>
      </c>
      <c r="AF47" t="s">
        <v>412</v>
      </c>
      <c r="AG47" t="str">
        <f>"46182208"</f>
        <v>46182208</v>
      </c>
      <c r="AH47" t="s">
        <v>312</v>
      </c>
      <c r="AI47" t="s">
        <v>313</v>
      </c>
      <c r="AJ47" t="s">
        <v>413</v>
      </c>
      <c r="AK47" t="s">
        <v>414</v>
      </c>
      <c r="AL47" t="s">
        <v>415</v>
      </c>
      <c r="AM47" t="s">
        <v>416</v>
      </c>
      <c r="AN47" t="s">
        <v>416</v>
      </c>
      <c r="AP47" t="str">
        <f>"9038217"</f>
        <v>9038217</v>
      </c>
      <c r="AQ47" t="str">
        <f>"011017569855"</f>
        <v>011017569855</v>
      </c>
      <c r="AR47" t="s">
        <v>83</v>
      </c>
      <c r="AT47" t="s">
        <v>81</v>
      </c>
      <c r="AU47">
        <v>10.6</v>
      </c>
      <c r="AV47">
        <v>1</v>
      </c>
      <c r="AW47">
        <v>10.6</v>
      </c>
      <c r="AX47">
        <v>0.55000000000000004</v>
      </c>
      <c r="AY47">
        <v>-0.55000000000000004</v>
      </c>
      <c r="AZ47">
        <v>2.12</v>
      </c>
      <c r="BA47">
        <v>12.72</v>
      </c>
      <c r="BC47" t="s">
        <v>81</v>
      </c>
      <c r="BD47">
        <v>0</v>
      </c>
      <c r="BE47" s="2">
        <v>0.2</v>
      </c>
      <c r="BG47">
        <v>10.6</v>
      </c>
      <c r="BJ47" t="s">
        <v>81</v>
      </c>
      <c r="BS47" t="s">
        <v>85</v>
      </c>
      <c r="BU47" t="s">
        <v>79</v>
      </c>
      <c r="BV47" t="s">
        <v>86</v>
      </c>
    </row>
    <row r="48" spans="1:74" x14ac:dyDescent="0.2">
      <c r="A48" s="1">
        <v>45963</v>
      </c>
      <c r="B48" t="s">
        <v>417</v>
      </c>
      <c r="C48" t="s">
        <v>74</v>
      </c>
      <c r="E48">
        <v>1</v>
      </c>
      <c r="F48" t="s">
        <v>75</v>
      </c>
      <c r="G48">
        <v>11.66</v>
      </c>
      <c r="H48">
        <v>0.56000000000000005</v>
      </c>
      <c r="I48">
        <v>-0.56000000000000005</v>
      </c>
      <c r="J48">
        <v>2.44</v>
      </c>
      <c r="K48">
        <v>13.99</v>
      </c>
      <c r="L48" t="s">
        <v>76</v>
      </c>
      <c r="P48" t="s">
        <v>105</v>
      </c>
      <c r="Q48" t="s">
        <v>106</v>
      </c>
      <c r="R48" t="s">
        <v>79</v>
      </c>
      <c r="S48" t="s">
        <v>80</v>
      </c>
      <c r="T48" t="s">
        <v>81</v>
      </c>
      <c r="U48" t="s">
        <v>81</v>
      </c>
      <c r="V48" t="s">
        <v>81</v>
      </c>
      <c r="W48" t="s">
        <v>81</v>
      </c>
      <c r="X48" t="s">
        <v>81</v>
      </c>
      <c r="Y48" t="s">
        <v>418</v>
      </c>
      <c r="Z48" s="1">
        <v>45964</v>
      </c>
      <c r="AA48">
        <v>13.99</v>
      </c>
      <c r="AB48" t="s">
        <v>82</v>
      </c>
      <c r="AC48" t="str">
        <f>"2691"</f>
        <v>2691</v>
      </c>
      <c r="AD48" t="s">
        <v>346</v>
      </c>
      <c r="AE48" t="s">
        <v>419</v>
      </c>
      <c r="AF48" t="s">
        <v>420</v>
      </c>
      <c r="AG48" t="str">
        <f>"47131800"</f>
        <v>47131800</v>
      </c>
      <c r="AH48" t="s">
        <v>210</v>
      </c>
      <c r="AI48" t="s">
        <v>211</v>
      </c>
      <c r="AJ48" t="s">
        <v>212</v>
      </c>
      <c r="AK48" t="s">
        <v>212</v>
      </c>
      <c r="AL48" t="s">
        <v>421</v>
      </c>
      <c r="AM48" t="s">
        <v>350</v>
      </c>
      <c r="AN48" t="s">
        <v>350</v>
      </c>
      <c r="AP48" t="str">
        <f>"5020716572009"</f>
        <v>5020716572009</v>
      </c>
      <c r="AQ48" t="str">
        <f>"5020716572009"</f>
        <v>5020716572009</v>
      </c>
      <c r="AR48" t="s">
        <v>83</v>
      </c>
      <c r="AT48" t="s">
        <v>81</v>
      </c>
      <c r="AU48">
        <v>11.66</v>
      </c>
      <c r="AV48">
        <v>1</v>
      </c>
      <c r="AW48">
        <v>11.66</v>
      </c>
      <c r="AX48">
        <v>0.56000000000000005</v>
      </c>
      <c r="AY48">
        <v>-0.56000000000000005</v>
      </c>
      <c r="AZ48">
        <v>2.33</v>
      </c>
      <c r="BA48">
        <v>13.99</v>
      </c>
      <c r="BC48" t="s">
        <v>81</v>
      </c>
      <c r="BD48">
        <v>0</v>
      </c>
      <c r="BE48" s="2">
        <v>0.2</v>
      </c>
      <c r="BG48">
        <v>11.66</v>
      </c>
      <c r="BJ48" t="s">
        <v>81</v>
      </c>
      <c r="BS48" t="s">
        <v>85</v>
      </c>
      <c r="BU48" t="s">
        <v>79</v>
      </c>
      <c r="BV48" t="s">
        <v>86</v>
      </c>
    </row>
    <row r="49" spans="1:74" x14ac:dyDescent="0.2">
      <c r="A49" s="1">
        <v>45963</v>
      </c>
      <c r="B49" t="s">
        <v>422</v>
      </c>
      <c r="C49" t="s">
        <v>74</v>
      </c>
      <c r="E49">
        <v>1</v>
      </c>
      <c r="F49" t="s">
        <v>75</v>
      </c>
      <c r="G49">
        <v>7.47</v>
      </c>
      <c r="H49">
        <v>0.55000000000000004</v>
      </c>
      <c r="I49">
        <v>-0.55000000000000004</v>
      </c>
      <c r="J49">
        <v>1.6</v>
      </c>
      <c r="K49">
        <v>8.9600000000000009</v>
      </c>
      <c r="L49" t="s">
        <v>76</v>
      </c>
      <c r="P49" t="s">
        <v>105</v>
      </c>
      <c r="Q49" t="s">
        <v>106</v>
      </c>
      <c r="R49" t="s">
        <v>79</v>
      </c>
      <c r="S49" t="s">
        <v>80</v>
      </c>
      <c r="T49" t="s">
        <v>81</v>
      </c>
      <c r="U49" t="s">
        <v>81</v>
      </c>
      <c r="V49" t="s">
        <v>81</v>
      </c>
      <c r="W49" t="s">
        <v>81</v>
      </c>
      <c r="X49" t="s">
        <v>81</v>
      </c>
      <c r="Y49" t="s">
        <v>423</v>
      </c>
      <c r="Z49" s="1">
        <v>45964</v>
      </c>
      <c r="AA49">
        <v>8.9600000000000009</v>
      </c>
      <c r="AB49" t="s">
        <v>82</v>
      </c>
      <c r="AC49" t="str">
        <f>"2691"</f>
        <v>2691</v>
      </c>
      <c r="AD49" t="s">
        <v>108</v>
      </c>
      <c r="AE49" t="s">
        <v>424</v>
      </c>
      <c r="AF49" t="s">
        <v>425</v>
      </c>
      <c r="AG49" t="str">
        <f>"26111702"</f>
        <v>26111702</v>
      </c>
      <c r="AH49" t="s">
        <v>119</v>
      </c>
      <c r="AI49" t="s">
        <v>120</v>
      </c>
      <c r="AJ49" t="s">
        <v>121</v>
      </c>
      <c r="AK49" t="s">
        <v>122</v>
      </c>
      <c r="AL49" t="s">
        <v>123</v>
      </c>
      <c r="AM49" t="s">
        <v>124</v>
      </c>
      <c r="AN49" t="s">
        <v>124</v>
      </c>
      <c r="AP49" t="s">
        <v>426</v>
      </c>
      <c r="AQ49" t="s">
        <v>427</v>
      </c>
      <c r="AR49" t="s">
        <v>83</v>
      </c>
      <c r="AT49" t="s">
        <v>81</v>
      </c>
      <c r="AU49">
        <v>7.47</v>
      </c>
      <c r="AV49">
        <v>1</v>
      </c>
      <c r="AW49">
        <v>7.47</v>
      </c>
      <c r="AX49">
        <v>0.55000000000000004</v>
      </c>
      <c r="AY49">
        <v>-0.55000000000000004</v>
      </c>
      <c r="AZ49">
        <v>1.49</v>
      </c>
      <c r="BA49">
        <v>8.9600000000000009</v>
      </c>
      <c r="BC49" t="s">
        <v>84</v>
      </c>
      <c r="BD49">
        <v>4</v>
      </c>
      <c r="BE49" s="2">
        <v>0.2</v>
      </c>
      <c r="BG49">
        <v>7.47</v>
      </c>
      <c r="BJ49" t="s">
        <v>81</v>
      </c>
      <c r="BS49" t="s">
        <v>85</v>
      </c>
      <c r="BU49" t="s">
        <v>79</v>
      </c>
      <c r="BV49" t="s">
        <v>86</v>
      </c>
    </row>
    <row r="50" spans="1:74" x14ac:dyDescent="0.2">
      <c r="A50" s="1">
        <v>45955</v>
      </c>
      <c r="B50" t="s">
        <v>428</v>
      </c>
      <c r="C50" t="s">
        <v>74</v>
      </c>
      <c r="E50">
        <v>1</v>
      </c>
      <c r="F50" t="s">
        <v>75</v>
      </c>
      <c r="G50">
        <v>4.2</v>
      </c>
      <c r="H50">
        <v>0</v>
      </c>
      <c r="I50">
        <v>0</v>
      </c>
      <c r="J50">
        <v>0.84</v>
      </c>
      <c r="K50">
        <v>5.04</v>
      </c>
      <c r="L50" t="s">
        <v>76</v>
      </c>
      <c r="P50" t="s">
        <v>105</v>
      </c>
      <c r="Q50" t="s">
        <v>106</v>
      </c>
      <c r="R50" t="s">
        <v>79</v>
      </c>
      <c r="S50" t="s">
        <v>80</v>
      </c>
      <c r="T50" t="s">
        <v>81</v>
      </c>
      <c r="U50" t="s">
        <v>81</v>
      </c>
      <c r="V50" t="s">
        <v>81</v>
      </c>
      <c r="W50" t="s">
        <v>81</v>
      </c>
      <c r="X50" t="s">
        <v>81</v>
      </c>
      <c r="Y50" t="s">
        <v>429</v>
      </c>
      <c r="Z50" s="1">
        <v>45956</v>
      </c>
      <c r="AA50">
        <v>5.04</v>
      </c>
      <c r="AB50" t="s">
        <v>82</v>
      </c>
      <c r="AC50" t="str">
        <f>"2691"</f>
        <v>2691</v>
      </c>
      <c r="AD50" t="s">
        <v>95</v>
      </c>
      <c r="AE50" t="s">
        <v>430</v>
      </c>
      <c r="AF50" t="s">
        <v>431</v>
      </c>
      <c r="AG50" t="str">
        <f>"43200000"</f>
        <v>43200000</v>
      </c>
      <c r="AH50" t="s">
        <v>98</v>
      </c>
      <c r="AI50" t="s">
        <v>99</v>
      </c>
      <c r="AJ50" t="s">
        <v>99</v>
      </c>
      <c r="AK50" t="s">
        <v>99</v>
      </c>
      <c r="AL50" t="s">
        <v>123</v>
      </c>
      <c r="AM50" t="s">
        <v>124</v>
      </c>
      <c r="AN50" t="s">
        <v>125</v>
      </c>
      <c r="AP50" t="s">
        <v>432</v>
      </c>
      <c r="AQ50" t="s">
        <v>432</v>
      </c>
      <c r="AR50" t="s">
        <v>83</v>
      </c>
      <c r="AT50" t="s">
        <v>81</v>
      </c>
      <c r="AU50">
        <v>4.2</v>
      </c>
      <c r="AV50">
        <v>1</v>
      </c>
      <c r="AW50">
        <v>4.2</v>
      </c>
      <c r="AX50">
        <v>0</v>
      </c>
      <c r="AZ50">
        <v>0.84</v>
      </c>
      <c r="BA50">
        <v>5.04</v>
      </c>
      <c r="BC50" t="s">
        <v>84</v>
      </c>
      <c r="BD50">
        <v>6.29</v>
      </c>
      <c r="BE50" s="2">
        <v>0.2</v>
      </c>
      <c r="BG50">
        <v>4.2</v>
      </c>
      <c r="BJ50" t="s">
        <v>81</v>
      </c>
      <c r="BS50" t="s">
        <v>85</v>
      </c>
      <c r="BU50" t="s">
        <v>79</v>
      </c>
      <c r="BV50" t="s">
        <v>86</v>
      </c>
    </row>
    <row r="51" spans="1:74" x14ac:dyDescent="0.2">
      <c r="A51" s="1">
        <v>45955</v>
      </c>
      <c r="B51" t="s">
        <v>433</v>
      </c>
      <c r="C51" t="s">
        <v>74</v>
      </c>
      <c r="E51">
        <v>1</v>
      </c>
      <c r="F51" t="s">
        <v>75</v>
      </c>
      <c r="G51">
        <v>57.72</v>
      </c>
      <c r="H51">
        <v>0</v>
      </c>
      <c r="I51">
        <v>0</v>
      </c>
      <c r="J51">
        <v>11.54</v>
      </c>
      <c r="K51">
        <v>69.260000000000005</v>
      </c>
      <c r="L51" t="s">
        <v>76</v>
      </c>
      <c r="P51" t="s">
        <v>105</v>
      </c>
      <c r="Q51" t="s">
        <v>106</v>
      </c>
      <c r="R51" t="s">
        <v>79</v>
      </c>
      <c r="S51" t="s">
        <v>80</v>
      </c>
      <c r="T51" t="s">
        <v>81</v>
      </c>
      <c r="U51" t="s">
        <v>81</v>
      </c>
      <c r="V51" t="s">
        <v>81</v>
      </c>
      <c r="W51" t="s">
        <v>81</v>
      </c>
      <c r="X51" t="s">
        <v>81</v>
      </c>
      <c r="Y51" t="s">
        <v>434</v>
      </c>
      <c r="Z51" s="1">
        <v>45956</v>
      </c>
      <c r="AA51">
        <v>69.260000000000005</v>
      </c>
      <c r="AB51" t="s">
        <v>82</v>
      </c>
      <c r="AC51" t="str">
        <f>"2691"</f>
        <v>2691</v>
      </c>
      <c r="AD51" t="s">
        <v>108</v>
      </c>
      <c r="AE51" t="s">
        <v>435</v>
      </c>
      <c r="AF51" t="s">
        <v>436</v>
      </c>
      <c r="AG51" t="str">
        <f>"43211708"</f>
        <v>43211708</v>
      </c>
      <c r="AH51" t="s">
        <v>98</v>
      </c>
      <c r="AI51" t="s">
        <v>379</v>
      </c>
      <c r="AJ51" t="s">
        <v>437</v>
      </c>
      <c r="AK51" t="s">
        <v>438</v>
      </c>
      <c r="AL51" t="s">
        <v>439</v>
      </c>
      <c r="AM51" t="s">
        <v>440</v>
      </c>
      <c r="AN51" t="s">
        <v>440</v>
      </c>
      <c r="AP51" t="s">
        <v>441</v>
      </c>
      <c r="AQ51" t="s">
        <v>442</v>
      </c>
      <c r="AR51" t="s">
        <v>83</v>
      </c>
      <c r="AT51" t="s">
        <v>81</v>
      </c>
      <c r="AU51">
        <v>57.72</v>
      </c>
      <c r="AV51">
        <v>1</v>
      </c>
      <c r="AW51">
        <v>57.72</v>
      </c>
      <c r="AX51">
        <v>0</v>
      </c>
      <c r="AZ51">
        <v>11.54</v>
      </c>
      <c r="BA51">
        <v>69.260000000000005</v>
      </c>
      <c r="BC51" t="s">
        <v>81</v>
      </c>
      <c r="BD51">
        <v>0</v>
      </c>
      <c r="BE51" s="2">
        <v>0.2</v>
      </c>
      <c r="BG51">
        <v>57.72</v>
      </c>
      <c r="BJ51" t="s">
        <v>81</v>
      </c>
      <c r="BS51" t="s">
        <v>85</v>
      </c>
      <c r="BU51" t="s">
        <v>79</v>
      </c>
      <c r="BV51" t="s">
        <v>86</v>
      </c>
    </row>
    <row r="52" spans="1:74" x14ac:dyDescent="0.2">
      <c r="A52" s="1">
        <v>45955</v>
      </c>
      <c r="B52" t="s">
        <v>443</v>
      </c>
      <c r="C52" t="s">
        <v>74</v>
      </c>
      <c r="E52">
        <v>1</v>
      </c>
      <c r="F52" t="s">
        <v>75</v>
      </c>
      <c r="G52">
        <v>5.49</v>
      </c>
      <c r="H52">
        <v>0.82</v>
      </c>
      <c r="I52">
        <v>-0.82</v>
      </c>
      <c r="J52">
        <v>1.27</v>
      </c>
      <c r="K52">
        <v>6.59</v>
      </c>
      <c r="L52" t="s">
        <v>76</v>
      </c>
      <c r="P52" t="s">
        <v>105</v>
      </c>
      <c r="Q52" t="s">
        <v>106</v>
      </c>
      <c r="R52" t="s">
        <v>79</v>
      </c>
      <c r="S52" t="s">
        <v>80</v>
      </c>
      <c r="T52" t="s">
        <v>81</v>
      </c>
      <c r="U52" t="s">
        <v>81</v>
      </c>
      <c r="V52" t="s">
        <v>81</v>
      </c>
      <c r="W52" t="s">
        <v>81</v>
      </c>
      <c r="X52" t="s">
        <v>81</v>
      </c>
      <c r="Y52" t="s">
        <v>444</v>
      </c>
      <c r="Z52" s="1">
        <v>45956</v>
      </c>
      <c r="AA52">
        <v>6.59</v>
      </c>
      <c r="AB52" t="s">
        <v>82</v>
      </c>
      <c r="AC52" t="str">
        <f>"2691"</f>
        <v>2691</v>
      </c>
      <c r="AD52" t="s">
        <v>238</v>
      </c>
      <c r="AE52" t="s">
        <v>445</v>
      </c>
      <c r="AF52" t="s">
        <v>446</v>
      </c>
      <c r="AG52" t="str">
        <f>"43200000"</f>
        <v>43200000</v>
      </c>
      <c r="AH52" t="s">
        <v>98</v>
      </c>
      <c r="AI52" t="s">
        <v>99</v>
      </c>
      <c r="AJ52" t="s">
        <v>99</v>
      </c>
      <c r="AK52" t="s">
        <v>99</v>
      </c>
      <c r="AM52" t="s">
        <v>447</v>
      </c>
      <c r="AN52" t="s">
        <v>447</v>
      </c>
      <c r="AP52" t="s">
        <v>448</v>
      </c>
      <c r="AQ52" t="s">
        <v>449</v>
      </c>
      <c r="AR52" t="s">
        <v>83</v>
      </c>
      <c r="AT52" t="s">
        <v>81</v>
      </c>
      <c r="AU52">
        <v>5.49</v>
      </c>
      <c r="AV52">
        <v>1</v>
      </c>
      <c r="AW52">
        <v>5.49</v>
      </c>
      <c r="AX52">
        <v>0.82</v>
      </c>
      <c r="AY52">
        <v>-0.82</v>
      </c>
      <c r="AZ52">
        <v>1.1000000000000001</v>
      </c>
      <c r="BA52">
        <v>6.59</v>
      </c>
      <c r="BC52" t="s">
        <v>81</v>
      </c>
      <c r="BD52">
        <v>0</v>
      </c>
      <c r="BE52" s="2">
        <v>0.2</v>
      </c>
      <c r="BG52">
        <v>5.49</v>
      </c>
      <c r="BJ52" t="s">
        <v>81</v>
      </c>
      <c r="BS52" t="s">
        <v>85</v>
      </c>
      <c r="BU52" t="s">
        <v>79</v>
      </c>
      <c r="BV52" t="s">
        <v>86</v>
      </c>
    </row>
    <row r="53" spans="1:74" x14ac:dyDescent="0.2">
      <c r="A53" s="1">
        <v>45955</v>
      </c>
      <c r="B53" t="s">
        <v>450</v>
      </c>
      <c r="C53" t="s">
        <v>74</v>
      </c>
      <c r="E53">
        <v>1</v>
      </c>
      <c r="F53" t="s">
        <v>75</v>
      </c>
      <c r="G53">
        <v>14.16</v>
      </c>
      <c r="H53">
        <v>0.83</v>
      </c>
      <c r="I53">
        <v>-0.83</v>
      </c>
      <c r="J53">
        <v>3</v>
      </c>
      <c r="K53">
        <v>16.989999999999998</v>
      </c>
      <c r="L53" t="s">
        <v>76</v>
      </c>
      <c r="P53" t="s">
        <v>105</v>
      </c>
      <c r="Q53" t="s">
        <v>106</v>
      </c>
      <c r="R53" t="s">
        <v>79</v>
      </c>
      <c r="S53" t="s">
        <v>80</v>
      </c>
      <c r="T53" t="s">
        <v>81</v>
      </c>
      <c r="U53" t="s">
        <v>81</v>
      </c>
      <c r="V53" t="s">
        <v>81</v>
      </c>
      <c r="W53" t="s">
        <v>81</v>
      </c>
      <c r="X53" t="s">
        <v>81</v>
      </c>
      <c r="Y53" t="s">
        <v>451</v>
      </c>
      <c r="Z53" s="1">
        <v>45956</v>
      </c>
      <c r="AA53">
        <v>16.989999999999998</v>
      </c>
      <c r="AB53" t="s">
        <v>82</v>
      </c>
      <c r="AC53" t="str">
        <f>"2691"</f>
        <v>2691</v>
      </c>
      <c r="AD53" t="s">
        <v>361</v>
      </c>
      <c r="AE53" t="s">
        <v>452</v>
      </c>
      <c r="AF53" t="s">
        <v>453</v>
      </c>
      <c r="AG53" t="str">
        <f>"25172907"</f>
        <v>25172907</v>
      </c>
      <c r="AH53" t="s">
        <v>454</v>
      </c>
      <c r="AI53" t="s">
        <v>455</v>
      </c>
      <c r="AJ53" t="s">
        <v>456</v>
      </c>
      <c r="AK53" t="s">
        <v>457</v>
      </c>
      <c r="AL53" t="s">
        <v>458</v>
      </c>
      <c r="AM53" t="s">
        <v>459</v>
      </c>
      <c r="AN53" t="s">
        <v>459</v>
      </c>
      <c r="AP53" t="s">
        <v>460</v>
      </c>
      <c r="AQ53" t="s">
        <v>460</v>
      </c>
      <c r="AR53" t="s">
        <v>83</v>
      </c>
      <c r="AT53" t="s">
        <v>81</v>
      </c>
      <c r="AU53">
        <v>14.16</v>
      </c>
      <c r="AV53">
        <v>1</v>
      </c>
      <c r="AW53">
        <v>14.16</v>
      </c>
      <c r="AX53">
        <v>0.83</v>
      </c>
      <c r="AY53">
        <v>-0.83</v>
      </c>
      <c r="AZ53">
        <v>2.83</v>
      </c>
      <c r="BA53">
        <v>16.989999999999998</v>
      </c>
      <c r="BC53" t="s">
        <v>84</v>
      </c>
      <c r="BD53">
        <v>4.82</v>
      </c>
      <c r="BE53" s="2">
        <v>0.2</v>
      </c>
      <c r="BG53">
        <v>14.16</v>
      </c>
      <c r="BJ53" t="s">
        <v>81</v>
      </c>
      <c r="BS53" t="s">
        <v>85</v>
      </c>
      <c r="BU53" t="s">
        <v>79</v>
      </c>
      <c r="BV53" t="s">
        <v>86</v>
      </c>
    </row>
    <row r="54" spans="1:74" x14ac:dyDescent="0.2">
      <c r="A54" s="1">
        <v>45955</v>
      </c>
      <c r="B54" t="s">
        <v>461</v>
      </c>
      <c r="C54" t="s">
        <v>74</v>
      </c>
      <c r="E54">
        <v>1</v>
      </c>
      <c r="F54" t="s">
        <v>75</v>
      </c>
      <c r="G54">
        <v>18.39</v>
      </c>
      <c r="H54">
        <v>0</v>
      </c>
      <c r="I54">
        <v>0</v>
      </c>
      <c r="J54">
        <v>3.68</v>
      </c>
      <c r="K54">
        <v>22.07</v>
      </c>
      <c r="L54" t="s">
        <v>76</v>
      </c>
      <c r="P54" t="s">
        <v>105</v>
      </c>
      <c r="Q54" t="s">
        <v>106</v>
      </c>
      <c r="R54" t="s">
        <v>79</v>
      </c>
      <c r="S54" t="s">
        <v>80</v>
      </c>
      <c r="T54" t="s">
        <v>81</v>
      </c>
      <c r="U54" t="s">
        <v>81</v>
      </c>
      <c r="V54" t="s">
        <v>81</v>
      </c>
      <c r="W54" t="s">
        <v>81</v>
      </c>
      <c r="X54" t="s">
        <v>81</v>
      </c>
      <c r="Y54" t="s">
        <v>462</v>
      </c>
      <c r="Z54" s="1">
        <v>45956</v>
      </c>
      <c r="AA54">
        <v>22.07</v>
      </c>
      <c r="AB54" t="s">
        <v>82</v>
      </c>
      <c r="AC54" t="str">
        <f>"2691"</f>
        <v>2691</v>
      </c>
      <c r="AD54" t="s">
        <v>361</v>
      </c>
      <c r="AE54" t="s">
        <v>463</v>
      </c>
      <c r="AF54" t="s">
        <v>464</v>
      </c>
      <c r="AG54" t="str">
        <f>"25172907"</f>
        <v>25172907</v>
      </c>
      <c r="AH54" t="s">
        <v>454</v>
      </c>
      <c r="AI54" t="s">
        <v>455</v>
      </c>
      <c r="AJ54" t="s">
        <v>456</v>
      </c>
      <c r="AK54" t="s">
        <v>457</v>
      </c>
      <c r="AL54" t="s">
        <v>465</v>
      </c>
      <c r="AM54" t="s">
        <v>466</v>
      </c>
      <c r="AN54" t="s">
        <v>466</v>
      </c>
      <c r="AP54" t="s">
        <v>467</v>
      </c>
      <c r="AQ54" t="str">
        <f>"1987301436"</f>
        <v>1987301436</v>
      </c>
      <c r="AR54" t="s">
        <v>83</v>
      </c>
      <c r="AT54" t="s">
        <v>81</v>
      </c>
      <c r="AU54">
        <v>18.39</v>
      </c>
      <c r="AV54">
        <v>1</v>
      </c>
      <c r="AW54">
        <v>18.39</v>
      </c>
      <c r="AX54">
        <v>0</v>
      </c>
      <c r="AZ54">
        <v>3.68</v>
      </c>
      <c r="BA54">
        <v>22.07</v>
      </c>
      <c r="BC54" t="s">
        <v>81</v>
      </c>
      <c r="BD54">
        <v>0</v>
      </c>
      <c r="BE54" s="2">
        <v>0.2</v>
      </c>
      <c r="BG54">
        <v>18.39</v>
      </c>
      <c r="BJ54" t="s">
        <v>81</v>
      </c>
      <c r="BS54" t="s">
        <v>85</v>
      </c>
      <c r="BU54" t="s">
        <v>79</v>
      </c>
      <c r="BV54" t="s">
        <v>86</v>
      </c>
    </row>
    <row r="55" spans="1:74" x14ac:dyDescent="0.2">
      <c r="A55" s="1">
        <v>45947</v>
      </c>
      <c r="B55" t="s">
        <v>468</v>
      </c>
      <c r="C55" t="s">
        <v>74</v>
      </c>
      <c r="E55">
        <v>1</v>
      </c>
      <c r="F55" t="s">
        <v>75</v>
      </c>
      <c r="G55">
        <v>54.16</v>
      </c>
      <c r="H55">
        <v>0</v>
      </c>
      <c r="I55">
        <v>0</v>
      </c>
      <c r="J55">
        <v>10.83</v>
      </c>
      <c r="K55">
        <v>64.989999999999995</v>
      </c>
      <c r="L55" t="s">
        <v>76</v>
      </c>
      <c r="P55" t="s">
        <v>105</v>
      </c>
      <c r="Q55" t="s">
        <v>106</v>
      </c>
      <c r="R55" t="s">
        <v>79</v>
      </c>
      <c r="S55" t="s">
        <v>80</v>
      </c>
      <c r="T55" t="s">
        <v>81</v>
      </c>
      <c r="U55" t="s">
        <v>81</v>
      </c>
      <c r="V55" t="s">
        <v>81</v>
      </c>
      <c r="W55" t="s">
        <v>81</v>
      </c>
      <c r="X55" t="s">
        <v>81</v>
      </c>
      <c r="Y55" t="s">
        <v>469</v>
      </c>
      <c r="Z55" s="1">
        <v>45947</v>
      </c>
      <c r="AA55">
        <v>64.989999999999995</v>
      </c>
      <c r="AB55" t="s">
        <v>82</v>
      </c>
      <c r="AC55" t="str">
        <f>"2691"</f>
        <v>2691</v>
      </c>
      <c r="AD55" t="s">
        <v>108</v>
      </c>
      <c r="AE55" t="s">
        <v>470</v>
      </c>
      <c r="AF55" t="s">
        <v>471</v>
      </c>
      <c r="AG55" t="str">
        <f>"26111704"</f>
        <v>26111704</v>
      </c>
      <c r="AH55" t="s">
        <v>119</v>
      </c>
      <c r="AI55" t="s">
        <v>120</v>
      </c>
      <c r="AJ55" t="s">
        <v>121</v>
      </c>
      <c r="AK55" t="s">
        <v>193</v>
      </c>
      <c r="AM55" t="s">
        <v>472</v>
      </c>
      <c r="AN55" t="s">
        <v>472</v>
      </c>
      <c r="AP55" t="s">
        <v>473</v>
      </c>
      <c r="AR55" t="s">
        <v>83</v>
      </c>
      <c r="AT55" t="s">
        <v>81</v>
      </c>
      <c r="AU55">
        <v>54.16</v>
      </c>
      <c r="AV55">
        <v>1</v>
      </c>
      <c r="AW55">
        <v>54.16</v>
      </c>
      <c r="AX55">
        <v>0</v>
      </c>
      <c r="AZ55">
        <v>10.83</v>
      </c>
      <c r="BA55">
        <v>64.989999999999995</v>
      </c>
      <c r="BC55" t="s">
        <v>81</v>
      </c>
      <c r="BD55">
        <v>0</v>
      </c>
      <c r="BE55" s="2">
        <v>0.2</v>
      </c>
      <c r="BG55">
        <v>54.16</v>
      </c>
      <c r="BJ55" t="s">
        <v>81</v>
      </c>
      <c r="BS55" t="s">
        <v>474</v>
      </c>
      <c r="BU55" t="s">
        <v>79</v>
      </c>
      <c r="BV55" t="s">
        <v>475</v>
      </c>
    </row>
    <row r="56" spans="1:74" x14ac:dyDescent="0.2">
      <c r="A56" s="1">
        <v>45941</v>
      </c>
      <c r="B56" t="s">
        <v>484</v>
      </c>
      <c r="C56" t="s">
        <v>74</v>
      </c>
      <c r="E56">
        <v>1</v>
      </c>
      <c r="F56" t="s">
        <v>75</v>
      </c>
      <c r="G56">
        <v>49.99</v>
      </c>
      <c r="H56">
        <v>0.83</v>
      </c>
      <c r="I56">
        <v>-9.33</v>
      </c>
      <c r="J56">
        <v>10.17</v>
      </c>
      <c r="K56">
        <v>49.79</v>
      </c>
      <c r="L56" t="s">
        <v>76</v>
      </c>
      <c r="P56" t="s">
        <v>105</v>
      </c>
      <c r="Q56" t="s">
        <v>106</v>
      </c>
      <c r="R56" t="s">
        <v>79</v>
      </c>
      <c r="S56" t="s">
        <v>80</v>
      </c>
      <c r="T56" t="s">
        <v>81</v>
      </c>
      <c r="U56" t="s">
        <v>81</v>
      </c>
      <c r="V56" t="s">
        <v>81</v>
      </c>
      <c r="W56" t="s">
        <v>81</v>
      </c>
      <c r="X56" t="s">
        <v>81</v>
      </c>
      <c r="Y56" t="s">
        <v>485</v>
      </c>
      <c r="Z56" s="1">
        <v>45942</v>
      </c>
      <c r="AA56">
        <v>49.79</v>
      </c>
      <c r="AB56" t="s">
        <v>82</v>
      </c>
      <c r="AC56" t="str">
        <f>"2691"</f>
        <v>2691</v>
      </c>
      <c r="AD56" t="s">
        <v>139</v>
      </c>
      <c r="AE56" t="s">
        <v>486</v>
      </c>
      <c r="AF56" t="s">
        <v>487</v>
      </c>
      <c r="AG56" t="str">
        <f>"27112700"</f>
        <v>27112700</v>
      </c>
      <c r="AH56" t="s">
        <v>387</v>
      </c>
      <c r="AI56" t="s">
        <v>388</v>
      </c>
      <c r="AJ56" t="s">
        <v>488</v>
      </c>
      <c r="AK56" t="s">
        <v>488</v>
      </c>
      <c r="AM56" t="s">
        <v>489</v>
      </c>
      <c r="AN56" t="s">
        <v>489</v>
      </c>
      <c r="AP56" t="s">
        <v>490</v>
      </c>
      <c r="AQ56" t="s">
        <v>491</v>
      </c>
      <c r="AR56" t="s">
        <v>83</v>
      </c>
      <c r="AT56" t="s">
        <v>81</v>
      </c>
      <c r="AU56">
        <v>49.99</v>
      </c>
      <c r="AV56">
        <v>1</v>
      </c>
      <c r="AW56">
        <v>49.99</v>
      </c>
      <c r="AX56">
        <v>0.83</v>
      </c>
      <c r="AY56">
        <v>-9.33</v>
      </c>
      <c r="AZ56">
        <v>8.3000000000000007</v>
      </c>
      <c r="BA56">
        <v>49.79</v>
      </c>
      <c r="BC56" t="s">
        <v>81</v>
      </c>
      <c r="BD56">
        <v>0</v>
      </c>
      <c r="BE56" s="2">
        <v>0.2</v>
      </c>
      <c r="BG56">
        <v>41.49</v>
      </c>
      <c r="BJ56" t="s">
        <v>81</v>
      </c>
      <c r="BS56" t="s">
        <v>492</v>
      </c>
      <c r="BU56" t="s">
        <v>79</v>
      </c>
      <c r="BV56" t="s">
        <v>493</v>
      </c>
    </row>
    <row r="57" spans="1:74" x14ac:dyDescent="0.2">
      <c r="A57" s="1">
        <v>45941</v>
      </c>
      <c r="B57" t="s">
        <v>494</v>
      </c>
      <c r="C57" t="s">
        <v>74</v>
      </c>
      <c r="E57">
        <v>1</v>
      </c>
      <c r="F57" t="s">
        <v>75</v>
      </c>
      <c r="G57">
        <v>11.75</v>
      </c>
      <c r="H57">
        <v>0.82</v>
      </c>
      <c r="I57">
        <v>-0.82</v>
      </c>
      <c r="J57">
        <v>2.52</v>
      </c>
      <c r="K57">
        <v>14.1</v>
      </c>
      <c r="L57" t="s">
        <v>76</v>
      </c>
      <c r="P57" t="s">
        <v>105</v>
      </c>
      <c r="Q57" t="s">
        <v>106</v>
      </c>
      <c r="R57" t="s">
        <v>79</v>
      </c>
      <c r="S57" t="s">
        <v>80</v>
      </c>
      <c r="T57" t="s">
        <v>81</v>
      </c>
      <c r="U57" t="s">
        <v>81</v>
      </c>
      <c r="V57" t="s">
        <v>81</v>
      </c>
      <c r="W57" t="s">
        <v>81</v>
      </c>
      <c r="X57" t="s">
        <v>81</v>
      </c>
      <c r="Y57" t="s">
        <v>495</v>
      </c>
      <c r="Z57" s="1">
        <v>45942</v>
      </c>
      <c r="AA57">
        <v>14.1</v>
      </c>
      <c r="AB57" t="s">
        <v>82</v>
      </c>
      <c r="AC57" t="str">
        <f>"2691"</f>
        <v>2691</v>
      </c>
      <c r="AD57" t="s">
        <v>361</v>
      </c>
      <c r="AE57" t="s">
        <v>496</v>
      </c>
      <c r="AF57" t="s">
        <v>497</v>
      </c>
      <c r="AG57" t="str">
        <f>"47131800"</f>
        <v>47131800</v>
      </c>
      <c r="AH57" t="s">
        <v>210</v>
      </c>
      <c r="AI57" t="s">
        <v>211</v>
      </c>
      <c r="AJ57" t="s">
        <v>212</v>
      </c>
      <c r="AK57" t="s">
        <v>212</v>
      </c>
      <c r="AL57" t="s">
        <v>498</v>
      </c>
      <c r="AM57" t="s">
        <v>499</v>
      </c>
      <c r="AN57" t="s">
        <v>500</v>
      </c>
      <c r="AP57" t="s">
        <v>501</v>
      </c>
      <c r="AQ57" t="s">
        <v>501</v>
      </c>
      <c r="AR57" t="s">
        <v>83</v>
      </c>
      <c r="AT57" t="s">
        <v>81</v>
      </c>
      <c r="AU57">
        <v>11.75</v>
      </c>
      <c r="AV57">
        <v>1</v>
      </c>
      <c r="AW57">
        <v>11.75</v>
      </c>
      <c r="AX57">
        <v>0.82</v>
      </c>
      <c r="AY57">
        <v>-0.82</v>
      </c>
      <c r="AZ57">
        <v>2.35</v>
      </c>
      <c r="BA57">
        <v>14.1</v>
      </c>
      <c r="BC57" t="s">
        <v>84</v>
      </c>
      <c r="BD57">
        <v>2.35</v>
      </c>
      <c r="BE57" s="2">
        <v>0.2</v>
      </c>
      <c r="BG57">
        <v>11.75</v>
      </c>
      <c r="BJ57" t="s">
        <v>81</v>
      </c>
      <c r="BS57" t="s">
        <v>85</v>
      </c>
      <c r="BU57" t="s">
        <v>79</v>
      </c>
      <c r="BV57" t="s">
        <v>86</v>
      </c>
    </row>
    <row r="58" spans="1:74" x14ac:dyDescent="0.2">
      <c r="A58" s="1">
        <v>45940</v>
      </c>
      <c r="B58" t="s">
        <v>502</v>
      </c>
      <c r="C58" t="s">
        <v>74</v>
      </c>
      <c r="E58">
        <v>1</v>
      </c>
      <c r="F58" t="s">
        <v>75</v>
      </c>
      <c r="G58">
        <v>14.99</v>
      </c>
      <c r="H58">
        <v>0</v>
      </c>
      <c r="I58">
        <v>0</v>
      </c>
      <c r="J58">
        <v>3</v>
      </c>
      <c r="K58">
        <v>17.989999999999998</v>
      </c>
      <c r="L58" t="s">
        <v>76</v>
      </c>
      <c r="P58" t="s">
        <v>105</v>
      </c>
      <c r="Q58" t="s">
        <v>106</v>
      </c>
      <c r="R58" t="s">
        <v>79</v>
      </c>
      <c r="S58" t="s">
        <v>80</v>
      </c>
      <c r="T58" t="s">
        <v>81</v>
      </c>
      <c r="U58" t="s">
        <v>81</v>
      </c>
      <c r="V58" t="s">
        <v>81</v>
      </c>
      <c r="W58" t="s">
        <v>81</v>
      </c>
      <c r="X58" t="s">
        <v>81</v>
      </c>
      <c r="Y58" t="s">
        <v>503</v>
      </c>
      <c r="Z58" s="1">
        <v>45941</v>
      </c>
      <c r="AA58">
        <v>17.989999999999998</v>
      </c>
      <c r="AB58" t="s">
        <v>82</v>
      </c>
      <c r="AC58" t="str">
        <f>"2691"</f>
        <v>2691</v>
      </c>
      <c r="AD58" t="s">
        <v>108</v>
      </c>
      <c r="AE58" t="s">
        <v>504</v>
      </c>
      <c r="AF58" t="s">
        <v>505</v>
      </c>
      <c r="AG58" t="str">
        <f>"26111704"</f>
        <v>26111704</v>
      </c>
      <c r="AH58" t="s">
        <v>119</v>
      </c>
      <c r="AI58" t="s">
        <v>120</v>
      </c>
      <c r="AJ58" t="s">
        <v>121</v>
      </c>
      <c r="AK58" t="s">
        <v>193</v>
      </c>
      <c r="AM58" t="s">
        <v>506</v>
      </c>
      <c r="AN58" t="s">
        <v>506</v>
      </c>
      <c r="AP58" t="s">
        <v>507</v>
      </c>
      <c r="AR58" t="s">
        <v>83</v>
      </c>
      <c r="AT58" t="s">
        <v>81</v>
      </c>
      <c r="AU58">
        <v>14.99</v>
      </c>
      <c r="AV58">
        <v>1</v>
      </c>
      <c r="AW58">
        <v>14.99</v>
      </c>
      <c r="AX58">
        <v>0</v>
      </c>
      <c r="AZ58">
        <v>3</v>
      </c>
      <c r="BA58">
        <v>17.989999999999998</v>
      </c>
      <c r="BC58" t="s">
        <v>81</v>
      </c>
      <c r="BD58">
        <v>0</v>
      </c>
      <c r="BE58" s="2">
        <v>0.2</v>
      </c>
      <c r="BG58">
        <v>14.99</v>
      </c>
      <c r="BJ58" t="s">
        <v>81</v>
      </c>
      <c r="BS58" t="s">
        <v>85</v>
      </c>
      <c r="BU58" t="s">
        <v>79</v>
      </c>
      <c r="BV58" t="s">
        <v>86</v>
      </c>
    </row>
    <row r="59" spans="1:74" x14ac:dyDescent="0.2">
      <c r="A59" s="1">
        <v>46013</v>
      </c>
      <c r="B59" t="s">
        <v>280</v>
      </c>
      <c r="C59" t="s">
        <v>74</v>
      </c>
      <c r="E59">
        <v>1</v>
      </c>
      <c r="F59" t="s">
        <v>75</v>
      </c>
      <c r="G59">
        <v>39.99</v>
      </c>
      <c r="H59">
        <v>0</v>
      </c>
      <c r="I59">
        <v>0</v>
      </c>
      <c r="J59">
        <v>8</v>
      </c>
      <c r="K59">
        <v>47.99</v>
      </c>
      <c r="L59" t="s">
        <v>76</v>
      </c>
      <c r="P59" t="s">
        <v>77</v>
      </c>
      <c r="Q59" t="s">
        <v>78</v>
      </c>
      <c r="R59" t="s">
        <v>79</v>
      </c>
      <c r="S59" t="s">
        <v>80</v>
      </c>
      <c r="T59" t="s">
        <v>81</v>
      </c>
      <c r="U59" t="s">
        <v>81</v>
      </c>
      <c r="V59" t="s">
        <v>81</v>
      </c>
      <c r="W59" t="s">
        <v>81</v>
      </c>
      <c r="X59" t="s">
        <v>81</v>
      </c>
      <c r="Y59" t="s">
        <v>281</v>
      </c>
      <c r="Z59" s="1">
        <v>46013</v>
      </c>
      <c r="AA59">
        <v>47.99</v>
      </c>
      <c r="AB59" t="s">
        <v>82</v>
      </c>
      <c r="AC59" t="str">
        <f>"7782"</f>
        <v>7782</v>
      </c>
      <c r="AD59" t="s">
        <v>282</v>
      </c>
      <c r="AE59" t="s">
        <v>283</v>
      </c>
      <c r="AF59" t="s">
        <v>284</v>
      </c>
      <c r="AG59" t="str">
        <f>"45130000"</f>
        <v>45130000</v>
      </c>
      <c r="AH59" t="s">
        <v>264</v>
      </c>
      <c r="AI59" t="s">
        <v>285</v>
      </c>
      <c r="AJ59" t="s">
        <v>285</v>
      </c>
      <c r="AK59" t="s">
        <v>285</v>
      </c>
      <c r="AL59" t="s">
        <v>286</v>
      </c>
      <c r="AM59" t="s">
        <v>287</v>
      </c>
      <c r="AN59" t="s">
        <v>287</v>
      </c>
      <c r="AP59" t="str">
        <f>"6272"</f>
        <v>6272</v>
      </c>
      <c r="AQ59" t="str">
        <f>"6272"</f>
        <v>6272</v>
      </c>
      <c r="AR59" t="s">
        <v>83</v>
      </c>
      <c r="AT59" t="s">
        <v>81</v>
      </c>
      <c r="AU59">
        <v>39.99</v>
      </c>
      <c r="AV59">
        <v>1</v>
      </c>
      <c r="AW59">
        <v>39.99</v>
      </c>
      <c r="AX59">
        <v>0</v>
      </c>
      <c r="AZ59">
        <v>8</v>
      </c>
      <c r="BA59">
        <v>47.99</v>
      </c>
      <c r="BC59" t="s">
        <v>81</v>
      </c>
      <c r="BD59">
        <v>0</v>
      </c>
      <c r="BE59" s="2">
        <v>0.2</v>
      </c>
      <c r="BG59">
        <v>39.99</v>
      </c>
      <c r="BJ59" t="s">
        <v>81</v>
      </c>
      <c r="BS59" t="s">
        <v>85</v>
      </c>
      <c r="BU59" t="s">
        <v>79</v>
      </c>
      <c r="BV59" t="s">
        <v>86</v>
      </c>
    </row>
    <row r="60" spans="1:74" x14ac:dyDescent="0.2">
      <c r="A60" s="1">
        <v>45979</v>
      </c>
      <c r="B60" t="s">
        <v>375</v>
      </c>
      <c r="C60" t="s">
        <v>74</v>
      </c>
      <c r="E60">
        <v>1</v>
      </c>
      <c r="F60" t="s">
        <v>75</v>
      </c>
      <c r="G60">
        <v>15.82</v>
      </c>
      <c r="H60">
        <v>0</v>
      </c>
      <c r="I60">
        <v>0</v>
      </c>
      <c r="J60">
        <v>3.17</v>
      </c>
      <c r="K60">
        <v>18.989999999999998</v>
      </c>
      <c r="L60" t="s">
        <v>76</v>
      </c>
      <c r="P60" t="s">
        <v>77</v>
      </c>
      <c r="Q60" t="s">
        <v>78</v>
      </c>
      <c r="R60" t="s">
        <v>79</v>
      </c>
      <c r="S60" t="s">
        <v>80</v>
      </c>
      <c r="T60" t="s">
        <v>81</v>
      </c>
      <c r="U60" t="s">
        <v>81</v>
      </c>
      <c r="V60" t="s">
        <v>81</v>
      </c>
      <c r="W60" t="s">
        <v>81</v>
      </c>
      <c r="X60" t="s">
        <v>81</v>
      </c>
      <c r="Y60" t="s">
        <v>376</v>
      </c>
      <c r="Z60" s="1">
        <v>45979</v>
      </c>
      <c r="AA60">
        <v>18.989999999999998</v>
      </c>
      <c r="AB60" t="s">
        <v>82</v>
      </c>
      <c r="AC60" t="str">
        <f>"7782"</f>
        <v>7782</v>
      </c>
      <c r="AD60" t="s">
        <v>108</v>
      </c>
      <c r="AE60" t="s">
        <v>377</v>
      </c>
      <c r="AF60" t="s">
        <v>378</v>
      </c>
      <c r="AG60" t="str">
        <f>"43211614"</f>
        <v>43211614</v>
      </c>
      <c r="AH60" t="s">
        <v>98</v>
      </c>
      <c r="AI60" t="s">
        <v>379</v>
      </c>
      <c r="AJ60" t="s">
        <v>380</v>
      </c>
      <c r="AK60" t="s">
        <v>381</v>
      </c>
      <c r="AM60" t="s">
        <v>382</v>
      </c>
      <c r="AN60" t="s">
        <v>382</v>
      </c>
      <c r="AP60" t="s">
        <v>383</v>
      </c>
      <c r="AQ60" t="s">
        <v>384</v>
      </c>
      <c r="AR60" t="s">
        <v>83</v>
      </c>
      <c r="AT60" t="s">
        <v>81</v>
      </c>
      <c r="AU60">
        <v>15.82</v>
      </c>
      <c r="AV60">
        <v>1</v>
      </c>
      <c r="AW60">
        <v>15.82</v>
      </c>
      <c r="AX60">
        <v>0</v>
      </c>
      <c r="AZ60">
        <v>3.17</v>
      </c>
      <c r="BA60">
        <v>18.989999999999998</v>
      </c>
      <c r="BC60" t="s">
        <v>84</v>
      </c>
      <c r="BD60">
        <v>4.17</v>
      </c>
      <c r="BE60" s="2">
        <v>0.2</v>
      </c>
      <c r="BG60">
        <v>15.82</v>
      </c>
      <c r="BJ60" t="s">
        <v>81</v>
      </c>
      <c r="BS60" t="s">
        <v>385</v>
      </c>
      <c r="BU60" t="s">
        <v>79</v>
      </c>
      <c r="BV60" t="s">
        <v>386</v>
      </c>
    </row>
  </sheetData>
  <sortState xmlns:xlrd2="http://schemas.microsoft.com/office/spreadsheetml/2017/richdata2" ref="A2:BV60">
    <sortCondition ref="AC1:AC6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orders_from_20251001_to_2025123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ideas HQ</dc:creator>
  <cp:lastModifiedBy>ideas HQ</cp:lastModifiedBy>
  <dcterms:created xsi:type="dcterms:W3CDTF">2026-01-09T17:41:56Z</dcterms:created>
  <dcterms:modified xsi:type="dcterms:W3CDTF">2026-01-09T17:41:56Z</dcterms:modified>
</cp:coreProperties>
</file>