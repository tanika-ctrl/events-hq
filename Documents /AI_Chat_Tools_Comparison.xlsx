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ing Overview" sheetId="1" state="visible" r:id="rId3"/>
    <sheet name="Feature Comparison" sheetId="2" state="visible" r:id="rId4"/>
    <sheet name="Team Cost Calculato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<sst xmlns="http://schemas.openxmlformats.org/spreadsheetml/2006/main" count="249" uniqueCount="137">
  <si>
    <t xml:space="preserve">AI Chat Tools — Pricing Comparison  |  March 2026  |  Prices in GBP (£)</t>
  </si>
  <si>
    <t xml:space="preserve">Consumer / Business Subscription Plans  ·  Focused on Business Team Evaluation  ·  USD prices converted at $1 = £0.76 (16 Mar 2026)</t>
  </si>
  <si>
    <t xml:space="preserve">Tool</t>
  </si>
  <si>
    <t xml:space="preserve">Free Plan</t>
  </si>
  <si>
    <t xml:space="preserve">Individual Paid</t>
  </si>
  <si>
    <t xml:space="preserve">Team / Business</t>
  </si>
  <si>
    <t xml:space="preserve">Enterprise</t>
  </si>
  <si>
    <t xml:space="preserve">Best For (Business)</t>
  </si>
  <si>
    <t xml:space="preserve">ChatGPT
(OpenAI)</t>
  </si>
  <si>
    <t xml:space="preserve">Free
£0/mo
Basic GPT access
~10 msgs / 5 hrs</t>
  </si>
  <si>
    <t xml:space="preserve">Go: £6/mo
Plus: £15/mo
Pro: £151/mo
(GPT-5.2 family)</t>
  </si>
  <si>
    <t xml:space="preserve">Business/Team
£19/user/mo (annual)
£23/user/mo (monthly)
Min. 2 users</t>
  </si>
  <si>
    <t xml:space="preserve">Enterprise
Custom pricing
Extended context
SCIM / EKM / RBAC</t>
  </si>
  <si>
    <t xml:space="preserve">Teams needing deep
integrations (Slack,
Drive, SharePoint,
GitHub) &amp; coding</t>
  </si>
  <si>
    <t xml:space="preserve">Claude
(Anthropic)</t>
  </si>
  <si>
    <t xml:space="preserve">Free
£0/mo
30–100 msgs/day
Flagship model</t>
  </si>
  <si>
    <t xml:space="preserve">Pro: £15/mo
Max 5×: £76/mo
Max 20×: £151/mo
(Extended Thinking)</t>
  </si>
  <si>
    <t xml:space="preserve">Team Standard
£19/seat/mo (annual)
£23/seat/mo (monthly)
Min. 5 users
Team Premium
£76/seat/mo (annual)
£114/seat/mo (monthly)</t>
  </si>
  <si>
    <t xml:space="preserve">Enterprise
Custom pricing
Large context window
SCIM / audit logs</t>
  </si>
  <si>
    <t xml:space="preserve">Teams prioritising
long-doc analysis,
coding &amp; reasoning;
already using Cowork</t>
  </si>
  <si>
    <t xml:space="preserve">Gemini
(Google)</t>
  </si>
  <si>
    <t xml:space="preserve">Free
£0/mo
Gemini 2.5 Flash
Deep Research (ltd)</t>
  </si>
  <si>
    <t xml:space="preserve">AI Pro: £15/mo
(incl. 2 TB storage)
AI Ultra: ~£32/mo
(top models + credits)</t>
  </si>
  <si>
    <t xml:space="preserve">Business add-on
£15/user/mo (annual)
£18/user/mo (flexible)
*Requires Workspace
(£5–14/user/mo)
Total: ~£20–29/user</t>
  </si>
  <si>
    <t xml:space="preserve">Enterprise add-on
£23/user/mo (annual)
£27/user/mo (flexible)
*Workspace required</t>
  </si>
  <si>
    <t xml:space="preserve">Teams deep in
Google Workspace
(Gmail, Docs, Sheets,
Meet integration)</t>
  </si>
  <si>
    <t xml:space="preserve">Microsoft Copilot
(Microsoft)</t>
  </si>
  <si>
    <t xml:space="preserve">Copilot Chat
Included in M365
(basic capability)</t>
  </si>
  <si>
    <t xml:space="preserve">Copilot for
Individuals:
Via M365 Personal
~£5–8/mo</t>
  </si>
  <si>
    <t xml:space="preserve">Copilot Business
£14/user/mo (promo*)
£16/user/mo (standard)
*Through June 2026
Bundled: M365 Basic
+ Copilot ~£20/user</t>
  </si>
  <si>
    <t xml:space="preserve">Copilot Enterprise
£23/user/mo add-on
Requires M365 E3/E5</t>
  </si>
  <si>
    <t xml:space="preserve">Teams already
on Microsoft 365;
Office suite power
users (Word, Excel,
PowerPoint, Teams)</t>
  </si>
  <si>
    <t xml:space="preserve">Perplexity AI</t>
  </si>
  <si>
    <t xml:space="preserve">Free
£0/mo
Limited searches
Basic models</t>
  </si>
  <si>
    <t xml:space="preserve">Pro: £15/mo
(£151/yr)
Max: £151/mo
Unlimited advanced
model access</t>
  </si>
  <si>
    <t xml:space="preserve">Enterprise Pro
£30/user/mo
(£302/yr/seat)
Shared Spaces
Admin controls
SSO / SOC 2</t>
  </si>
  <si>
    <t xml:space="preserve">Enterprise Max
£246/user/mo
(£2,459/yr/seat)
All Enterprise Pro
+ max model perf.</t>
  </si>
  <si>
    <t xml:space="preserve">Research-heavy
teams; real-time
web search +
citation workflows</t>
  </si>
  <si>
    <t xml:space="preserve">Sources: openai.com · claude.com · gemini.google.com · microsoft.com/copilot · perplexity.ai  |  Prices as of March 2026, converted from USD at $1 = £0.76. Original USD prices may vary. Subject to change.</t>
  </si>
  <si>
    <t xml:space="preserve">AI Chat Tools — Feature Comparison (Team/Business Plans)</t>
  </si>
  <si>
    <t xml:space="preserve">✔ = Included   ✘ = Not included   ~ = Partial / Add-on required</t>
  </si>
  <si>
    <t xml:space="preserve">Feature</t>
  </si>
  <si>
    <t xml:space="preserve">ChatGPT
(Business)</t>
  </si>
  <si>
    <t xml:space="preserve">Claude
(Team Std)</t>
  </si>
  <si>
    <t xml:space="preserve">Gemini
(Business)</t>
  </si>
  <si>
    <t xml:space="preserve">Copilot
(Business)</t>
  </si>
  <si>
    <t xml:space="preserve">Perplexity
(Ent. Pro)</t>
  </si>
  <si>
    <t xml:space="preserve">─── PRICING ───</t>
  </si>
  <si>
    <t xml:space="preserve">Team/Business Price (annual)</t>
  </si>
  <si>
    <t xml:space="preserve">£19/user/mo</t>
  </si>
  <si>
    <t xml:space="preserve">£15/user/mo*</t>
  </si>
  <si>
    <t xml:space="preserve">£14–16/user/mo</t>
  </si>
  <si>
    <t xml:space="preserve">£30/user/mo</t>
  </si>
  <si>
    <t xml:space="preserve">Minimum Seats</t>
  </si>
  <si>
    <t xml:space="preserve">2</t>
  </si>
  <si>
    <t xml:space="preserve">5</t>
  </si>
  <si>
    <t xml:space="preserve">1 (Workspace req.)</t>
  </si>
  <si>
    <t xml:space="preserve">1</t>
  </si>
  <si>
    <t xml:space="preserve">Free Tier Available</t>
  </si>
  <si>
    <t xml:space="preserve">✔</t>
  </si>
  <si>
    <t xml:space="preserve">─── AI MODELS ───</t>
  </si>
  <si>
    <t xml:space="preserve">Latest Flagship Model</t>
  </si>
  <si>
    <t xml:space="preserve">GPT-5.4</t>
  </si>
  <si>
    <t xml:space="preserve">Claude Opus 4.6</t>
  </si>
  <si>
    <t xml:space="preserve">Gemini 2.5 Pro</t>
  </si>
  <si>
    <t xml:space="preserve">GPT-4o (via OpenAI)</t>
  </si>
  <si>
    <t xml:space="preserve">Multiple (GPT-4, Claude, etc.)</t>
  </si>
  <si>
    <t xml:space="preserve">Advanced Reasoning / Thinking</t>
  </si>
  <si>
    <t xml:space="preserve">Image Generation</t>
  </si>
  <si>
    <t xml:space="preserve">✔ (DALL-E 4)</t>
  </si>
  <si>
    <t xml:space="preserve">✘</t>
  </si>
  <si>
    <t xml:space="preserve">✔ (Imagen)</t>
  </si>
  <si>
    <t xml:space="preserve">✔ (Designer)</t>
  </si>
  <si>
    <t xml:space="preserve">Real-time Web Search</t>
  </si>
  <si>
    <t xml:space="preserve">~ (limited)</t>
  </si>
  <si>
    <t xml:space="preserve">✔ (core feature)</t>
  </si>
  <si>
    <t xml:space="preserve">File / Document Upload</t>
  </si>
  <si>
    <t xml:space="preserve">Long Context Window</t>
  </si>
  <si>
    <t xml:space="preserve">✔ (200K tokens)</t>
  </si>
  <si>
    <t xml:space="preserve">~</t>
  </si>
  <si>
    <t xml:space="preserve">─── TEAM / ADMIN ───</t>
  </si>
  <si>
    <t xml:space="preserve">Admin Console</t>
  </si>
  <si>
    <t xml:space="preserve">Role-Based Access Control</t>
  </si>
  <si>
    <t xml:space="preserve">SSO / SAML</t>
  </si>
  <si>
    <t xml:space="preserve">~ (Enterprise)</t>
  </si>
  <si>
    <t xml:space="preserve">Shared Workspaces / Projects</t>
  </si>
  <si>
    <t xml:space="preserve">✔ (Spaces)</t>
  </si>
  <si>
    <t xml:space="preserve">Usage Analytics</t>
  </si>
  <si>
    <t xml:space="preserve">Spend Controls</t>
  </si>
  <si>
    <t xml:space="preserve">─── SECURITY &amp; COMPLIANCE ───</t>
  </si>
  <si>
    <t xml:space="preserve">Data Not Used for Training</t>
  </si>
  <si>
    <t xml:space="preserve">SOC 2 Type II</t>
  </si>
  <si>
    <t xml:space="preserve">GDPR Compliance</t>
  </si>
  <si>
    <t xml:space="preserve">Audit Logs</t>
  </si>
  <si>
    <t xml:space="preserve">─── INTEGRATIONS ───</t>
  </si>
  <si>
    <t xml:space="preserve">Microsoft 365 Integration</t>
  </si>
  <si>
    <t xml:space="preserve">✔ (native)</t>
  </si>
  <si>
    <t xml:space="preserve">Google Workspace Integration</t>
  </si>
  <si>
    <t xml:space="preserve">Slack Integration</t>
  </si>
  <si>
    <t xml:space="preserve">API Access</t>
  </si>
  <si>
    <t xml:space="preserve">Custom GPTs / Connectors</t>
  </si>
  <si>
    <t xml:space="preserve">✔ (GPTs)</t>
  </si>
  <si>
    <t xml:space="preserve">~ (Projects)</t>
  </si>
  <si>
    <t xml:space="preserve">✔ (Gems)</t>
  </si>
  <si>
    <t xml:space="preserve">✔ (Agents)</t>
  </si>
  <si>
    <t xml:space="preserve">─── SPECIALTY ───</t>
  </si>
  <si>
    <t xml:space="preserve">AI Coding Assistant</t>
  </si>
  <si>
    <t xml:space="preserve">✔ (Claude Code)</t>
  </si>
  <si>
    <t xml:space="preserve">Deep Research Mode</t>
  </si>
  <si>
    <t xml:space="preserve">✔ (core)</t>
  </si>
  <si>
    <t xml:space="preserve">Voice / Audio Mode</t>
  </si>
  <si>
    <t xml:space="preserve">✔ (Live)</t>
  </si>
  <si>
    <t xml:space="preserve">Image / Video Analysis</t>
  </si>
  <si>
    <t xml:space="preserve">Canvas / Document Editing</t>
  </si>
  <si>
    <t xml:space="preserve">✔ (Word etc.)</t>
  </si>
  <si>
    <t xml:space="preserve">* Gemini Business requires Google Workspace subscription (~£5–14/user/mo). True all-in cost ~£20–29/user/mo.  |  All prices converted from USD at $1 = £0.76 (16 Mar 2026). Sources: vendor websites.</t>
  </si>
  <si>
    <t xml:space="preserve">Team Cost Calculator — Annual Cost by Team Size (Business/Team Plans)  |  Prices in GBP (£)</t>
  </si>
  <si>
    <t xml:space="preserve">Based on annual billing rates. All prices in GBP, converted at $1 = £0.76 (16 Mar 2026). Enter team size in C5 to recalculate.</t>
  </si>
  <si>
    <t xml:space="preserve">Team Size (number of users):</t>
  </si>
  <si>
    <t xml:space="preserve">← Change this number to update all calculations</t>
  </si>
  <si>
    <t xml:space="preserve">Tool / Plan</t>
  </si>
  <si>
    <t xml:space="preserve">Monthly/User
(Annual Rate, £)</t>
  </si>
  <si>
    <t xml:space="preserve">Annual/User (£)</t>
  </si>
  <si>
    <t xml:space="preserve">Monthly Total
(All Users, £)</t>
  </si>
  <si>
    <t xml:space="preserve">Annual Total
(All Users, £)</t>
  </si>
  <si>
    <t xml:space="preserve">Notes</t>
  </si>
  <si>
    <t xml:space="preserve">ChatGPT Business</t>
  </si>
  <si>
    <t xml:space="preserve">Min. 2 users. Standalone.</t>
  </si>
  <si>
    <t xml:space="preserve">Claude Team (Standard)</t>
  </si>
  <si>
    <t xml:space="preserve">Min. 5 users. Standalone.</t>
  </si>
  <si>
    <t xml:space="preserve">Gemini Business
(add-on; +Workspace cost)</t>
  </si>
  <si>
    <t xml:space="preserve">Add ~£5–14/user/mo for Workspace. True cost ~£20–29/user.</t>
  </si>
  <si>
    <t xml:space="preserve">Microsoft Copilot Business
(standard rate)</t>
  </si>
  <si>
    <t xml:space="preserve">Promo ~£14/mo through Jun 2026. Requires M365.</t>
  </si>
  <si>
    <t xml:space="preserve">Perplexity Enterprise Pro</t>
  </si>
  <si>
    <t xml:space="preserve">Premium plan. Justified for research-intensive teams.</t>
  </si>
  <si>
    <t xml:space="preserve">💡 Cheapest standalone team plan: ChatGPT Business or Claude Team at £19/user/mo (annual). Copilot £14–16/mo is cheaper but requires an existing M365 subscription.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</si>
</sst>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8"/>
      <color rgb="FF59595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BF3FB"/>
      </patternFill>
    </fill>
    <fill>
      <patternFill patternType="solid">
        <fgColor rgb="FFEBF3FB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  <col collapsed="false" customWidth="true" hidden="false" outlineLevel="0" max="6" min="4" style="0" width="26"/>
  </cols>
  <sheetData>
    <row r="1" customFormat="false" ht="13.5" hidden="false" customHeight="true" outlineLevel="0" collapsed="false">
      <c r="A1" s="1"/>
      <c r="B1" s="1"/>
      <c r="C1" s="1"/>
      <c r="D1" s="1"/>
      <c r="E1" s="1"/>
      <c r="F1" s="1"/>
    </row>
    <row r="2" customFormat="false" ht="36" hidden="false" customHeight="true" outlineLevel="0" collapsed="false">
      <c r="A2" s="2" t="s">
        <v>0</v>
      </c>
      <c r="B2" s="2"/>
      <c r="C2" s="2"/>
      <c r="D2" s="2"/>
      <c r="E2" s="2"/>
      <c r="F2" s="2"/>
    </row>
    <row r="3" customFormat="false" ht="18" hidden="false" customHeight="true" outlineLevel="0" collapsed="false">
      <c r="A3" s="3" t="s">
        <v>1</v>
      </c>
      <c r="B3" s="3"/>
      <c r="C3" s="3"/>
      <c r="D3" s="3"/>
      <c r="E3" s="3"/>
      <c r="F3" s="3"/>
    </row>
    <row r="4" customFormat="false" ht="33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3.5" hidden="false" customHeight="true" outlineLevel="0" collapsed="false">
      <c r="A5" s="5"/>
      <c r="B5" s="5"/>
      <c r="C5" s="5"/>
      <c r="D5" s="5"/>
      <c r="E5" s="5"/>
      <c r="F5" s="5"/>
    </row>
    <row r="6" customFormat="false" ht="99.75" hidden="false" customHeight="true" outlineLevel="0" collapsed="false">
      <c r="A6" s="6" t="s">
        <v>8</v>
      </c>
      <c r="B6" s="7" t="s">
        <v>9</v>
      </c>
      <c r="C6" s="7" t="s">
        <v>10</v>
      </c>
      <c r="D6" s="7" t="s">
        <v>11</v>
      </c>
      <c r="E6" s="7" t="s">
        <v>12</v>
      </c>
      <c r="F6" s="7" t="s">
        <v>13</v>
      </c>
    </row>
    <row r="7" customFormat="false" ht="99.75" hidden="false" customHeight="true" outlineLevel="0" collapsed="false">
      <c r="A7" s="8" t="s">
        <v>14</v>
      </c>
      <c r="B7" s="9" t="s">
        <v>15</v>
      </c>
      <c r="C7" s="9" t="s">
        <v>16</v>
      </c>
      <c r="D7" s="9" t="s">
        <v>17</v>
      </c>
      <c r="E7" s="9" t="s">
        <v>18</v>
      </c>
      <c r="F7" s="9" t="s">
        <v>19</v>
      </c>
    </row>
    <row r="8" customFormat="false" ht="99.75" hidden="false" customHeight="true" outlineLevel="0" collapsed="false">
      <c r="A8" s="6" t="s">
        <v>20</v>
      </c>
      <c r="B8" s="7" t="s">
        <v>21</v>
      </c>
      <c r="C8" s="7" t="s">
        <v>22</v>
      </c>
      <c r="D8" s="7" t="s">
        <v>23</v>
      </c>
      <c r="E8" s="7" t="s">
        <v>24</v>
      </c>
      <c r="F8" s="7" t="s">
        <v>25</v>
      </c>
    </row>
    <row r="9" customFormat="false" ht="99.75" hidden="false" customHeight="true" outlineLevel="0" collapsed="false">
      <c r="A9" s="8" t="s">
        <v>26</v>
      </c>
      <c r="B9" s="9" t="s">
        <v>27</v>
      </c>
      <c r="C9" s="9" t="s">
        <v>28</v>
      </c>
      <c r="D9" s="9" t="s">
        <v>29</v>
      </c>
      <c r="E9" s="9" t="s">
        <v>30</v>
      </c>
      <c r="F9" s="9" t="s">
        <v>31</v>
      </c>
    </row>
    <row r="10" customFormat="false" ht="99.75" hidden="false" customHeight="true" outlineLevel="0" collapsed="false">
      <c r="A10" s="6" t="s">
        <v>32</v>
      </c>
      <c r="B10" s="7" t="s">
        <v>33</v>
      </c>
      <c r="C10" s="7" t="s">
        <v>34</v>
      </c>
      <c r="D10" s="7" t="s">
        <v>35</v>
      </c>
      <c r="E10" s="7" t="s">
        <v>36</v>
      </c>
      <c r="F10" s="7" t="s">
        <v>37</v>
      </c>
    </row>
    <row r="12" customFormat="false" ht="15.75" hidden="false" customHeight="true" outlineLevel="0" collapsed="false">
      <c r="A12" s="10" t="s">
        <v>38</v>
      </c>
      <c r="B12" s="10"/>
      <c r="C12" s="10"/>
      <c r="D12" s="10"/>
      <c r="E12" s="10"/>
      <c r="F12" s="10"/>
    </row>
  </sheetData>
  <mergeCells count="3">
    <mergeCell ref="A2:F2"/>
    <mergeCell ref="A3:F3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6"/>
  </cols>
  <sheetData>
    <row r="1" customFormat="false" ht="13.5" hidden="false" customHeight="true" outlineLevel="0" collapsed="false">
      <c r="A1" s="1"/>
      <c r="B1" s="1"/>
      <c r="C1" s="1"/>
      <c r="D1" s="1"/>
      <c r="E1" s="1"/>
      <c r="F1" s="1"/>
    </row>
    <row r="2" customFormat="false" ht="31.5" hidden="false" customHeight="true" outlineLevel="0" collapsed="false">
      <c r="A2" s="11" t="s">
        <v>39</v>
      </c>
      <c r="B2" s="11"/>
      <c r="C2" s="11"/>
      <c r="D2" s="11"/>
      <c r="E2" s="11"/>
      <c r="F2" s="11"/>
    </row>
    <row r="3" customFormat="false" ht="15.75" hidden="false" customHeight="true" outlineLevel="0" collapsed="false">
      <c r="A3" s="3" t="s">
        <v>40</v>
      </c>
      <c r="B3" s="3"/>
      <c r="C3" s="3"/>
      <c r="D3" s="3"/>
      <c r="E3" s="3"/>
      <c r="F3" s="3"/>
    </row>
    <row r="4" customFormat="false" ht="36" hidden="false" customHeight="true" outlineLevel="0" collapsed="false">
      <c r="A4" s="12" t="s">
        <v>41</v>
      </c>
      <c r="B4" s="12" t="s">
        <v>42</v>
      </c>
      <c r="C4" s="12" t="s">
        <v>43</v>
      </c>
      <c r="D4" s="12" t="s">
        <v>44</v>
      </c>
      <c r="E4" s="12" t="s">
        <v>45</v>
      </c>
      <c r="F4" s="12" t="s">
        <v>46</v>
      </c>
    </row>
    <row r="5" customFormat="false" ht="19.5" hidden="false" customHeight="true" outlineLevel="0" collapsed="false">
      <c r="A5" s="13" t="s">
        <v>47</v>
      </c>
      <c r="B5" s="13"/>
      <c r="C5" s="13"/>
      <c r="D5" s="13"/>
      <c r="E5" s="13"/>
      <c r="F5" s="13"/>
    </row>
    <row r="6" customFormat="false" ht="21.75" hidden="false" customHeight="true" outlineLevel="0" collapsed="false">
      <c r="A6" s="9" t="s">
        <v>48</v>
      </c>
      <c r="B6" s="14" t="s">
        <v>49</v>
      </c>
      <c r="C6" s="14" t="s">
        <v>49</v>
      </c>
      <c r="D6" s="14" t="s">
        <v>50</v>
      </c>
      <c r="E6" s="14" t="s">
        <v>51</v>
      </c>
      <c r="F6" s="14" t="s">
        <v>52</v>
      </c>
    </row>
    <row r="7" customFormat="false" ht="21.75" hidden="false" customHeight="true" outlineLevel="0" collapsed="false">
      <c r="A7" s="15" t="s">
        <v>53</v>
      </c>
      <c r="B7" s="16" t="s">
        <v>54</v>
      </c>
      <c r="C7" s="16" t="s">
        <v>55</v>
      </c>
      <c r="D7" s="16" t="s">
        <v>56</v>
      </c>
      <c r="E7" s="16" t="s">
        <v>57</v>
      </c>
      <c r="F7" s="16" t="s">
        <v>57</v>
      </c>
    </row>
    <row r="8" customFormat="false" ht="21.75" hidden="false" customHeight="true" outlineLevel="0" collapsed="false">
      <c r="A8" s="9" t="s">
        <v>58</v>
      </c>
      <c r="B8" s="17" t="s">
        <v>59</v>
      </c>
      <c r="C8" s="17" t="s">
        <v>59</v>
      </c>
      <c r="D8" s="17" t="s">
        <v>59</v>
      </c>
      <c r="E8" s="17" t="s">
        <v>59</v>
      </c>
      <c r="F8" s="17" t="s">
        <v>59</v>
      </c>
    </row>
    <row r="9" customFormat="false" ht="19.5" hidden="false" customHeight="true" outlineLevel="0" collapsed="false">
      <c r="A9" s="13" t="s">
        <v>60</v>
      </c>
      <c r="B9" s="13"/>
      <c r="C9" s="13"/>
      <c r="D9" s="13"/>
      <c r="E9" s="13"/>
      <c r="F9" s="13"/>
    </row>
    <row r="10" customFormat="false" ht="21.75" hidden="false" customHeight="true" outlineLevel="0" collapsed="false">
      <c r="A10" s="9" t="s">
        <v>61</v>
      </c>
      <c r="B10" s="14" t="s">
        <v>62</v>
      </c>
      <c r="C10" s="14" t="s">
        <v>63</v>
      </c>
      <c r="D10" s="14" t="s">
        <v>64</v>
      </c>
      <c r="E10" s="14" t="s">
        <v>65</v>
      </c>
      <c r="F10" s="14" t="s">
        <v>66</v>
      </c>
    </row>
    <row r="11" customFormat="false" ht="21.75" hidden="false" customHeight="true" outlineLevel="0" collapsed="false">
      <c r="A11" s="15" t="s">
        <v>67</v>
      </c>
      <c r="B11" s="17" t="s">
        <v>59</v>
      </c>
      <c r="C11" s="17" t="s">
        <v>59</v>
      </c>
      <c r="D11" s="17" t="s">
        <v>59</v>
      </c>
      <c r="E11" s="17" t="s">
        <v>59</v>
      </c>
      <c r="F11" s="17" t="s">
        <v>59</v>
      </c>
    </row>
    <row r="12" customFormat="false" ht="21.75" hidden="false" customHeight="true" outlineLevel="0" collapsed="false">
      <c r="A12" s="9" t="s">
        <v>68</v>
      </c>
      <c r="B12" s="14" t="s">
        <v>69</v>
      </c>
      <c r="C12" s="18" t="s">
        <v>70</v>
      </c>
      <c r="D12" s="14" t="s">
        <v>71</v>
      </c>
      <c r="E12" s="14" t="s">
        <v>72</v>
      </c>
      <c r="F12" s="18" t="s">
        <v>70</v>
      </c>
    </row>
    <row r="13" customFormat="false" ht="21.75" hidden="false" customHeight="true" outlineLevel="0" collapsed="false">
      <c r="A13" s="15" t="s">
        <v>73</v>
      </c>
      <c r="B13" s="17" t="s">
        <v>59</v>
      </c>
      <c r="C13" s="19" t="s">
        <v>74</v>
      </c>
      <c r="D13" s="17" t="s">
        <v>59</v>
      </c>
      <c r="E13" s="17" t="s">
        <v>59</v>
      </c>
      <c r="F13" s="16" t="s">
        <v>75</v>
      </c>
    </row>
    <row r="14" customFormat="false" ht="21.75" hidden="false" customHeight="true" outlineLevel="0" collapsed="false">
      <c r="A14" s="9" t="s">
        <v>76</v>
      </c>
      <c r="B14" s="17" t="s">
        <v>59</v>
      </c>
      <c r="C14" s="17" t="s">
        <v>59</v>
      </c>
      <c r="D14" s="17" t="s">
        <v>59</v>
      </c>
      <c r="E14" s="17" t="s">
        <v>59</v>
      </c>
      <c r="F14" s="17" t="s">
        <v>59</v>
      </c>
    </row>
    <row r="15" customFormat="false" ht="21.75" hidden="false" customHeight="true" outlineLevel="0" collapsed="false">
      <c r="A15" s="15" t="s">
        <v>77</v>
      </c>
      <c r="B15" s="17" t="s">
        <v>59</v>
      </c>
      <c r="C15" s="16" t="s">
        <v>78</v>
      </c>
      <c r="D15" s="17" t="s">
        <v>59</v>
      </c>
      <c r="E15" s="17" t="s">
        <v>59</v>
      </c>
      <c r="F15" s="19" t="s">
        <v>79</v>
      </c>
    </row>
    <row r="16" customFormat="false" ht="19.5" hidden="false" customHeight="true" outlineLevel="0" collapsed="false">
      <c r="A16" s="13" t="s">
        <v>80</v>
      </c>
      <c r="B16" s="13"/>
      <c r="C16" s="13"/>
      <c r="D16" s="13"/>
      <c r="E16" s="13"/>
      <c r="F16" s="13"/>
    </row>
    <row r="17" customFormat="false" ht="21.75" hidden="false" customHeight="true" outlineLevel="0" collapsed="false">
      <c r="A17" s="15" t="s">
        <v>81</v>
      </c>
      <c r="B17" s="17" t="s">
        <v>59</v>
      </c>
      <c r="C17" s="17" t="s">
        <v>59</v>
      </c>
      <c r="D17" s="17" t="s">
        <v>59</v>
      </c>
      <c r="E17" s="17" t="s">
        <v>59</v>
      </c>
      <c r="F17" s="17" t="s">
        <v>59</v>
      </c>
    </row>
    <row r="18" customFormat="false" ht="21.75" hidden="false" customHeight="true" outlineLevel="0" collapsed="false">
      <c r="A18" s="9" t="s">
        <v>82</v>
      </c>
      <c r="B18" s="17" t="s">
        <v>59</v>
      </c>
      <c r="C18" s="17" t="s">
        <v>59</v>
      </c>
      <c r="D18" s="17" t="s">
        <v>59</v>
      </c>
      <c r="E18" s="17" t="s">
        <v>59</v>
      </c>
      <c r="F18" s="17" t="s">
        <v>59</v>
      </c>
    </row>
    <row r="19" customFormat="false" ht="21.75" hidden="false" customHeight="true" outlineLevel="0" collapsed="false">
      <c r="A19" s="15" t="s">
        <v>83</v>
      </c>
      <c r="B19" s="17" t="s">
        <v>59</v>
      </c>
      <c r="C19" s="19" t="s">
        <v>84</v>
      </c>
      <c r="D19" s="17" t="s">
        <v>59</v>
      </c>
      <c r="E19" s="17" t="s">
        <v>59</v>
      </c>
      <c r="F19" s="17" t="s">
        <v>59</v>
      </c>
    </row>
    <row r="20" customFormat="false" ht="21.75" hidden="false" customHeight="true" outlineLevel="0" collapsed="false">
      <c r="A20" s="9" t="s">
        <v>85</v>
      </c>
      <c r="B20" s="17" t="s">
        <v>59</v>
      </c>
      <c r="C20" s="17" t="s">
        <v>59</v>
      </c>
      <c r="D20" s="17" t="s">
        <v>59</v>
      </c>
      <c r="E20" s="17" t="s">
        <v>59</v>
      </c>
      <c r="F20" s="14" t="s">
        <v>86</v>
      </c>
    </row>
    <row r="21" customFormat="false" ht="21.75" hidden="false" customHeight="true" outlineLevel="0" collapsed="false">
      <c r="A21" s="15" t="s">
        <v>87</v>
      </c>
      <c r="B21" s="17" t="s">
        <v>59</v>
      </c>
      <c r="C21" s="17" t="s">
        <v>59</v>
      </c>
      <c r="D21" s="17" t="s">
        <v>59</v>
      </c>
      <c r="E21" s="17" t="s">
        <v>59</v>
      </c>
      <c r="F21" s="17" t="s">
        <v>59</v>
      </c>
    </row>
    <row r="22" customFormat="false" ht="21.75" hidden="false" customHeight="true" outlineLevel="0" collapsed="false">
      <c r="A22" s="9" t="s">
        <v>88</v>
      </c>
      <c r="B22" s="17" t="s">
        <v>59</v>
      </c>
      <c r="C22" s="17" t="s">
        <v>59</v>
      </c>
      <c r="D22" s="19" t="s">
        <v>79</v>
      </c>
      <c r="E22" s="17" t="s">
        <v>59</v>
      </c>
      <c r="F22" s="19" t="s">
        <v>79</v>
      </c>
    </row>
    <row r="23" customFormat="false" ht="19.5" hidden="false" customHeight="true" outlineLevel="0" collapsed="false">
      <c r="A23" s="13" t="s">
        <v>89</v>
      </c>
      <c r="B23" s="13"/>
      <c r="C23" s="13"/>
      <c r="D23" s="13"/>
      <c r="E23" s="13"/>
      <c r="F23" s="13"/>
    </row>
    <row r="24" customFormat="false" ht="21.75" hidden="false" customHeight="true" outlineLevel="0" collapsed="false">
      <c r="A24" s="9" t="s">
        <v>90</v>
      </c>
      <c r="B24" s="17" t="s">
        <v>59</v>
      </c>
      <c r="C24" s="17" t="s">
        <v>59</v>
      </c>
      <c r="D24" s="17" t="s">
        <v>59</v>
      </c>
      <c r="E24" s="17" t="s">
        <v>59</v>
      </c>
      <c r="F24" s="17" t="s">
        <v>59</v>
      </c>
    </row>
    <row r="25" customFormat="false" ht="21.75" hidden="false" customHeight="true" outlineLevel="0" collapsed="false">
      <c r="A25" s="15" t="s">
        <v>91</v>
      </c>
      <c r="B25" s="17" t="s">
        <v>59</v>
      </c>
      <c r="C25" s="17" t="s">
        <v>59</v>
      </c>
      <c r="D25" s="17" t="s">
        <v>59</v>
      </c>
      <c r="E25" s="17" t="s">
        <v>59</v>
      </c>
      <c r="F25" s="17" t="s">
        <v>59</v>
      </c>
    </row>
    <row r="26" customFormat="false" ht="21.75" hidden="false" customHeight="true" outlineLevel="0" collapsed="false">
      <c r="A26" s="9" t="s">
        <v>92</v>
      </c>
      <c r="B26" s="17" t="s">
        <v>59</v>
      </c>
      <c r="C26" s="17" t="s">
        <v>59</v>
      </c>
      <c r="D26" s="17" t="s">
        <v>59</v>
      </c>
      <c r="E26" s="17" t="s">
        <v>59</v>
      </c>
      <c r="F26" s="17" t="s">
        <v>59</v>
      </c>
    </row>
    <row r="27" customFormat="false" ht="21.75" hidden="false" customHeight="true" outlineLevel="0" collapsed="false">
      <c r="A27" s="15" t="s">
        <v>93</v>
      </c>
      <c r="B27" s="17" t="s">
        <v>59</v>
      </c>
      <c r="C27" s="19" t="s">
        <v>84</v>
      </c>
      <c r="D27" s="17" t="s">
        <v>59</v>
      </c>
      <c r="E27" s="17" t="s">
        <v>59</v>
      </c>
      <c r="F27" s="17" t="s">
        <v>59</v>
      </c>
    </row>
    <row r="28" customFormat="false" ht="19.5" hidden="false" customHeight="true" outlineLevel="0" collapsed="false">
      <c r="A28" s="13" t="s">
        <v>94</v>
      </c>
      <c r="B28" s="13"/>
      <c r="C28" s="13"/>
      <c r="D28" s="13"/>
      <c r="E28" s="13"/>
      <c r="F28" s="13"/>
    </row>
    <row r="29" customFormat="false" ht="21.75" hidden="false" customHeight="true" outlineLevel="0" collapsed="false">
      <c r="A29" s="15" t="s">
        <v>95</v>
      </c>
      <c r="B29" s="19" t="s">
        <v>79</v>
      </c>
      <c r="C29" s="19" t="s">
        <v>79</v>
      </c>
      <c r="D29" s="19" t="s">
        <v>79</v>
      </c>
      <c r="E29" s="16" t="s">
        <v>96</v>
      </c>
      <c r="F29" s="19" t="s">
        <v>79</v>
      </c>
    </row>
    <row r="30" customFormat="false" ht="21.75" hidden="false" customHeight="true" outlineLevel="0" collapsed="false">
      <c r="A30" s="9" t="s">
        <v>97</v>
      </c>
      <c r="B30" s="19" t="s">
        <v>79</v>
      </c>
      <c r="C30" s="19" t="s">
        <v>79</v>
      </c>
      <c r="D30" s="14" t="s">
        <v>96</v>
      </c>
      <c r="E30" s="19" t="s">
        <v>79</v>
      </c>
      <c r="F30" s="19" t="s">
        <v>79</v>
      </c>
    </row>
    <row r="31" customFormat="false" ht="21.75" hidden="false" customHeight="true" outlineLevel="0" collapsed="false">
      <c r="A31" s="15" t="s">
        <v>98</v>
      </c>
      <c r="B31" s="17" t="s">
        <v>59</v>
      </c>
      <c r="C31" s="17" t="s">
        <v>59</v>
      </c>
      <c r="D31" s="17" t="s">
        <v>59</v>
      </c>
      <c r="E31" s="17" t="s">
        <v>59</v>
      </c>
      <c r="F31" s="19" t="s">
        <v>79</v>
      </c>
    </row>
    <row r="32" customFormat="false" ht="21.75" hidden="false" customHeight="true" outlineLevel="0" collapsed="false">
      <c r="A32" s="9" t="s">
        <v>99</v>
      </c>
      <c r="B32" s="17" t="s">
        <v>59</v>
      </c>
      <c r="C32" s="17" t="s">
        <v>59</v>
      </c>
      <c r="D32" s="17" t="s">
        <v>59</v>
      </c>
      <c r="E32" s="17" t="s">
        <v>59</v>
      </c>
      <c r="F32" s="17" t="s">
        <v>59</v>
      </c>
    </row>
    <row r="33" customFormat="false" ht="21.75" hidden="false" customHeight="true" outlineLevel="0" collapsed="false">
      <c r="A33" s="15" t="s">
        <v>100</v>
      </c>
      <c r="B33" s="16" t="s">
        <v>101</v>
      </c>
      <c r="C33" s="19" t="s">
        <v>102</v>
      </c>
      <c r="D33" s="16" t="s">
        <v>103</v>
      </c>
      <c r="E33" s="16" t="s">
        <v>104</v>
      </c>
      <c r="F33" s="19" t="s">
        <v>79</v>
      </c>
    </row>
    <row r="34" customFormat="false" ht="19.5" hidden="false" customHeight="true" outlineLevel="0" collapsed="false">
      <c r="A34" s="13" t="s">
        <v>105</v>
      </c>
      <c r="B34" s="13"/>
      <c r="C34" s="13"/>
      <c r="D34" s="13"/>
      <c r="E34" s="13"/>
      <c r="F34" s="13"/>
    </row>
    <row r="35" customFormat="false" ht="21.75" hidden="false" customHeight="true" outlineLevel="0" collapsed="false">
      <c r="A35" s="15" t="s">
        <v>106</v>
      </c>
      <c r="B35" s="17" t="s">
        <v>59</v>
      </c>
      <c r="C35" s="16" t="s">
        <v>107</v>
      </c>
      <c r="D35" s="17" t="s">
        <v>59</v>
      </c>
      <c r="E35" s="17" t="s">
        <v>59</v>
      </c>
      <c r="F35" s="19" t="s">
        <v>79</v>
      </c>
    </row>
    <row r="36" customFormat="false" ht="21.75" hidden="false" customHeight="true" outlineLevel="0" collapsed="false">
      <c r="A36" s="9" t="s">
        <v>108</v>
      </c>
      <c r="B36" s="17" t="s">
        <v>59</v>
      </c>
      <c r="C36" s="19" t="s">
        <v>79</v>
      </c>
      <c r="D36" s="17" t="s">
        <v>59</v>
      </c>
      <c r="E36" s="17" t="s">
        <v>59</v>
      </c>
      <c r="F36" s="14" t="s">
        <v>109</v>
      </c>
    </row>
    <row r="37" customFormat="false" ht="21.75" hidden="false" customHeight="true" outlineLevel="0" collapsed="false">
      <c r="A37" s="15" t="s">
        <v>110</v>
      </c>
      <c r="B37" s="17" t="s">
        <v>59</v>
      </c>
      <c r="C37" s="18" t="s">
        <v>70</v>
      </c>
      <c r="D37" s="16" t="s">
        <v>111</v>
      </c>
      <c r="E37" s="17" t="s">
        <v>59</v>
      </c>
      <c r="F37" s="18" t="s">
        <v>70</v>
      </c>
    </row>
    <row r="38" customFormat="false" ht="21.75" hidden="false" customHeight="true" outlineLevel="0" collapsed="false">
      <c r="A38" s="9" t="s">
        <v>112</v>
      </c>
      <c r="B38" s="17" t="s">
        <v>59</v>
      </c>
      <c r="C38" s="17" t="s">
        <v>59</v>
      </c>
      <c r="D38" s="17" t="s">
        <v>59</v>
      </c>
      <c r="E38" s="17" t="s">
        <v>59</v>
      </c>
      <c r="F38" s="17" t="s">
        <v>59</v>
      </c>
    </row>
    <row r="39" customFormat="false" ht="21.75" hidden="false" customHeight="true" outlineLevel="0" collapsed="false">
      <c r="A39" s="15" t="s">
        <v>113</v>
      </c>
      <c r="B39" s="17" t="s">
        <v>59</v>
      </c>
      <c r="C39" s="18" t="s">
        <v>70</v>
      </c>
      <c r="D39" s="17" t="s">
        <v>59</v>
      </c>
      <c r="E39" s="16" t="s">
        <v>114</v>
      </c>
      <c r="F39" s="18" t="s">
        <v>70</v>
      </c>
    </row>
    <row r="41" customFormat="false" ht="15.75" hidden="false" customHeight="true" outlineLevel="0" collapsed="false">
      <c r="A41" s="10" t="s">
        <v>115</v>
      </c>
      <c r="B41" s="10"/>
      <c r="C41" s="10"/>
      <c r="D41" s="10"/>
      <c r="E41" s="10"/>
      <c r="F41" s="10"/>
    </row>
  </sheetData>
  <mergeCells count="3">
    <mergeCell ref="A2:F2"/>
    <mergeCell ref="A3:F3"/>
    <mergeCell ref="A41:F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22"/>
    <col collapsed="false" customWidth="true" hidden="false" outlineLevel="0" max="6" min="6" style="0" width="26"/>
  </cols>
  <sheetData>
    <row r="1" customFormat="false" ht="13.5" hidden="false" customHeight="true" outlineLevel="0" collapsed="false">
      <c r="A1" s="1"/>
      <c r="B1" s="1"/>
      <c r="C1" s="1"/>
      <c r="D1" s="1"/>
      <c r="E1" s="1"/>
      <c r="F1" s="1"/>
    </row>
    <row r="2" customFormat="false" ht="31.5" hidden="false" customHeight="true" outlineLevel="0" collapsed="false">
      <c r="A2" s="20" t="s">
        <v>116</v>
      </c>
      <c r="B2" s="20"/>
      <c r="C2" s="20"/>
      <c r="D2" s="20"/>
      <c r="E2" s="20"/>
      <c r="F2" s="20"/>
    </row>
    <row r="3" customFormat="false" ht="15.75" hidden="false" customHeight="true" outlineLevel="0" collapsed="false">
      <c r="A3" s="3" t="s">
        <v>117</v>
      </c>
      <c r="B3" s="3"/>
      <c r="C3" s="3"/>
      <c r="D3" s="3"/>
      <c r="E3" s="3"/>
      <c r="F3" s="3"/>
    </row>
    <row r="4" customFormat="false" ht="7.5" hidden="false" customHeight="true" outlineLevel="0" collapsed="false"/>
    <row r="5" customFormat="false" ht="27.75" hidden="false" customHeight="true" outlineLevel="0" collapsed="false">
      <c r="A5" s="21" t="s">
        <v>118</v>
      </c>
      <c r="B5" s="21"/>
      <c r="C5" s="22" t="n">
        <v>10</v>
      </c>
      <c r="D5" s="23" t="s">
        <v>119</v>
      </c>
      <c r="E5" s="23"/>
      <c r="F5" s="23"/>
    </row>
    <row r="7" customFormat="false" ht="31.5" hidden="false" customHeight="true" outlineLevel="0" collapsed="false">
      <c r="A7" s="12" t="s">
        <v>120</v>
      </c>
      <c r="B7" s="12" t="s">
        <v>121</v>
      </c>
      <c r="C7" s="12" t="s">
        <v>122</v>
      </c>
      <c r="D7" s="12" t="s">
        <v>123</v>
      </c>
      <c r="E7" s="12" t="s">
        <v>124</v>
      </c>
      <c r="F7" s="12" t="s">
        <v>125</v>
      </c>
    </row>
    <row r="8" customFormat="false" ht="39.75" hidden="false" customHeight="true" outlineLevel="0" collapsed="false">
      <c r="A8" s="24" t="s">
        <v>126</v>
      </c>
      <c r="B8" s="25" t="n">
        <v>19</v>
      </c>
      <c r="C8" s="26" t="n">
        <f aca="false">B8*12</f>
        <v>228</v>
      </c>
      <c r="D8" s="26" t="n">
        <f aca="false">B8*$C$5</f>
        <v>190</v>
      </c>
      <c r="E8" s="27" t="n">
        <f aca="false">C8*$C$5</f>
        <v>2280</v>
      </c>
      <c r="F8" s="28" t="s">
        <v>127</v>
      </c>
    </row>
    <row r="9" customFormat="false" ht="39.75" hidden="false" customHeight="true" outlineLevel="0" collapsed="false">
      <c r="A9" s="29" t="s">
        <v>128</v>
      </c>
      <c r="B9" s="30" t="n">
        <v>19</v>
      </c>
      <c r="C9" s="31" t="n">
        <f aca="false">B9*12</f>
        <v>228</v>
      </c>
      <c r="D9" s="31" t="n">
        <f aca="false">B9*$C$5</f>
        <v>190</v>
      </c>
      <c r="E9" s="32" t="n">
        <f aca="false">C9*$C$5</f>
        <v>2280</v>
      </c>
      <c r="F9" s="33" t="s">
        <v>129</v>
      </c>
    </row>
    <row r="10" customFormat="false" ht="39.75" hidden="false" customHeight="true" outlineLevel="0" collapsed="false">
      <c r="A10" s="24" t="s">
        <v>130</v>
      </c>
      <c r="B10" s="25" t="n">
        <v>15</v>
      </c>
      <c r="C10" s="26" t="n">
        <f aca="false">B10*12</f>
        <v>180</v>
      </c>
      <c r="D10" s="26" t="n">
        <f aca="false">B10*$C$5</f>
        <v>150</v>
      </c>
      <c r="E10" s="27" t="n">
        <f aca="false">C10*$C$5</f>
        <v>1800</v>
      </c>
      <c r="F10" s="28" t="s">
        <v>131</v>
      </c>
    </row>
    <row r="11" customFormat="false" ht="39.75" hidden="false" customHeight="true" outlineLevel="0" collapsed="false">
      <c r="A11" s="29" t="s">
        <v>132</v>
      </c>
      <c r="B11" s="30" t="n">
        <v>16</v>
      </c>
      <c r="C11" s="31" t="n">
        <f aca="false">B11*12</f>
        <v>192</v>
      </c>
      <c r="D11" s="31" t="n">
        <f aca="false">B11*$C$5</f>
        <v>160</v>
      </c>
      <c r="E11" s="32" t="n">
        <f aca="false">C11*$C$5</f>
        <v>1920</v>
      </c>
      <c r="F11" s="33" t="s">
        <v>133</v>
      </c>
    </row>
    <row r="12" customFormat="false" ht="39.75" hidden="false" customHeight="true" outlineLevel="0" collapsed="false">
      <c r="A12" s="24" t="s">
        <v>134</v>
      </c>
      <c r="B12" s="25" t="n">
        <v>30</v>
      </c>
      <c r="C12" s="26" t="n">
        <f aca="false">B12*12</f>
        <v>360</v>
      </c>
      <c r="D12" s="26" t="n">
        <f aca="false">B12*$C$5</f>
        <v>300</v>
      </c>
      <c r="E12" s="27" t="n">
        <f aca="false">C12*$C$5</f>
        <v>3600</v>
      </c>
      <c r="F12" s="28" t="s">
        <v>135</v>
      </c>
    </row>
    <row r="14" customFormat="false" ht="19.5" hidden="false" customHeight="true" outlineLevel="0" collapsed="false">
      <c r="A14" s="23" t="s">
        <v>136</v>
      </c>
      <c r="B14" s="23"/>
      <c r="C14" s="23"/>
      <c r="D14" s="23"/>
      <c r="E14" s="23"/>
      <c r="F14" s="23"/>
    </row>
  </sheetData>
  <mergeCells count="5">
    <mergeCell ref="A2:F2"/>
    <mergeCell ref="A3:F3"/>
    <mergeCell ref="A5:B5"/>
    <mergeCell ref="D5:F5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2026-03-16T11:55:00Z</dcterms:created>
  <dc:creator>openpyxl</dc:creator>
  <dc:description/>
  <dc:language>en-US</dc:language>
  <cp:lastModifiedBy/>
  <dcterms:modified xsi:type="dcterms:W3CDTF">2026-03-16T11:55:00Z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