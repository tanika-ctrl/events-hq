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tanikafacey/Desktop/Cowork/"/>
    </mc:Choice>
  </mc:AlternateContent>
  <xr:revisionPtr revIDLastSave="0" documentId="8_{EB8F4C84-8E4C-254C-853D-52E6D1176381}" xr6:coauthVersionLast="47" xr6:coauthVersionMax="47" xr10:uidLastSave="{00000000-0000-0000-0000-000000000000}"/>
  <bookViews>
    <workbookView xWindow="0" yWindow="760" windowWidth="29400" windowHeight="17120" activeTab="4" xr2:uid="{00000000-000D-0000-FFFF-FFFF00000000}"/>
  </bookViews>
  <sheets>
    <sheet name="Allied" sheetId="13" r:id="rId1"/>
    <sheet name="Bore Logic " sheetId="18" r:id="rId2"/>
    <sheet name="MSB" sheetId="7" r:id="rId3"/>
    <sheet name="Hydrotec " sheetId="8" r:id="rId4"/>
    <sheet name="DBR" sheetId="19" r:id="rId5"/>
    <sheet name="Subsurface" sheetId="20" r:id="rId6"/>
    <sheet name="Future Drilling" sheetId="9" r:id="rId7"/>
    <sheet name="Thermogrout" sheetId="10" r:id="rId8"/>
    <sheet name="Rates" sheetId="12" r:id="rId9"/>
    <sheet name="Lookup" sheetId="5" r:id="rId10"/>
  </sheets>
  <definedNames>
    <definedName name="_xlnm._FilterDatabase" localSheetId="4" hidden="1">DBR!$A$1:$K$401</definedName>
    <definedName name="_xlnm._FilterDatabase" localSheetId="6" hidden="1">'Future Drilling'!$A$1:$J$1</definedName>
    <definedName name="_xlnm._FilterDatabase" localSheetId="3" hidden="1">'Hydrotec '!$A$1:$Q$435</definedName>
    <definedName name="_xlnm._FilterDatabase" localSheetId="2" hidden="1">MSB!$A$1:$K$210</definedName>
    <definedName name="_xlnm._FilterDatabase" localSheetId="7" hidden="1">Thermogrout!$A$1:$K$275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5" i="19" l="1" a="1"/>
  <c r="I525" i="19" s="1"/>
  <c r="J525" i="19" a="1"/>
  <c r="J525" i="19" s="1"/>
  <c r="K525" i="19" a="1"/>
  <c r="K525" i="19" s="1"/>
  <c r="I524" i="19" a="1"/>
  <c r="I524" i="19" s="1"/>
  <c r="J524" i="19" a="1"/>
  <c r="J524" i="19" s="1"/>
  <c r="K524" i="19" a="1"/>
  <c r="K524" i="19" s="1"/>
  <c r="I523" i="19" a="1"/>
  <c r="I523" i="19" s="1"/>
  <c r="J523" i="19" a="1"/>
  <c r="J523" i="19" s="1"/>
  <c r="K523" i="19" a="1"/>
  <c r="K523" i="19" s="1"/>
  <c r="I522" i="19" a="1"/>
  <c r="I522" i="19" s="1"/>
  <c r="J522" i="19" a="1"/>
  <c r="J522" i="19" s="1"/>
  <c r="K522" i="19" a="1"/>
  <c r="K522" i="19" s="1"/>
  <c r="I521" i="19" a="1"/>
  <c r="I521" i="19" s="1"/>
  <c r="J521" i="19" a="1"/>
  <c r="J521" i="19" s="1"/>
  <c r="K521" i="19" a="1"/>
  <c r="K521" i="19" s="1"/>
  <c r="I504" i="19" a="1"/>
  <c r="I504" i="19" s="1"/>
  <c r="J504" i="19" a="1"/>
  <c r="J504" i="19" s="1"/>
  <c r="K504" i="19" a="1"/>
  <c r="K504" i="19" s="1"/>
  <c r="I503" i="19" a="1"/>
  <c r="I503" i="19" s="1"/>
  <c r="J503" i="19" a="1"/>
  <c r="J503" i="19" s="1"/>
  <c r="K503" i="19" a="1"/>
  <c r="K503" i="19" s="1"/>
  <c r="I502" i="19" a="1"/>
  <c r="I502" i="19" s="1"/>
  <c r="J502" i="19" a="1"/>
  <c r="J502" i="19" s="1"/>
  <c r="K502" i="19" a="1"/>
  <c r="K502" i="19" s="1"/>
  <c r="I492" i="19" a="1"/>
  <c r="I492" i="19" s="1"/>
  <c r="J492" i="19" a="1"/>
  <c r="J492" i="19" s="1"/>
  <c r="K492" i="19" a="1"/>
  <c r="K492" i="19" s="1"/>
  <c r="I491" i="19" a="1"/>
  <c r="I491" i="19" s="1"/>
  <c r="J491" i="19" a="1"/>
  <c r="J491" i="19" s="1"/>
  <c r="K491" i="19" a="1"/>
  <c r="K491" i="19" s="1"/>
  <c r="I490" i="19" a="1"/>
  <c r="I490" i="19" s="1"/>
  <c r="J490" i="19" a="1"/>
  <c r="J490" i="19" s="1"/>
  <c r="K490" i="19" a="1"/>
  <c r="K490" i="19" s="1"/>
  <c r="I489" i="19" a="1"/>
  <c r="I489" i="19" s="1"/>
  <c r="J489" i="19" a="1"/>
  <c r="J489" i="19" s="1"/>
  <c r="K489" i="19" a="1"/>
  <c r="K489" i="19" s="1"/>
  <c r="I488" i="19" a="1"/>
  <c r="I488" i="19" s="1"/>
  <c r="J488" i="19" a="1"/>
  <c r="J488" i="19" s="1"/>
  <c r="K488" i="19" a="1"/>
  <c r="K488" i="19" s="1"/>
  <c r="K484" i="19" a="1"/>
  <c r="K484" i="19" s="1"/>
  <c r="K485" i="19" a="1"/>
  <c r="K485" i="19" s="1"/>
  <c r="K486" i="19" a="1"/>
  <c r="K486" i="19" s="1"/>
  <c r="K487" i="19" a="1"/>
  <c r="K487" i="19" s="1"/>
  <c r="J484" i="19" a="1"/>
  <c r="J484" i="19" s="1"/>
  <c r="J485" i="19" a="1"/>
  <c r="J485" i="19" s="1"/>
  <c r="J486" i="19" a="1"/>
  <c r="J486" i="19" s="1"/>
  <c r="J487" i="19" a="1"/>
  <c r="J487" i="19" s="1"/>
  <c r="I484" i="19" a="1"/>
  <c r="I484" i="19" s="1"/>
  <c r="I485" i="19" a="1"/>
  <c r="I485" i="19" s="1"/>
  <c r="I486" i="19" a="1"/>
  <c r="I486" i="19" s="1"/>
  <c r="I487" i="19" a="1"/>
  <c r="I487" i="19" s="1"/>
  <c r="K479" i="19" a="1"/>
  <c r="K479" i="19" s="1"/>
  <c r="J479" i="19" a="1"/>
  <c r="J479" i="19" s="1"/>
  <c r="I479" i="19" a="1"/>
  <c r="I479" i="19" s="1"/>
  <c r="I478" i="19" a="1"/>
  <c r="I478" i="19" s="1"/>
  <c r="J478" i="19" a="1"/>
  <c r="J478" i="19" s="1"/>
  <c r="K478" i="19" a="1"/>
  <c r="K478" i="19" s="1"/>
  <c r="I477" i="19" a="1"/>
  <c r="I477" i="19" s="1"/>
  <c r="J477" i="19" a="1"/>
  <c r="J477" i="19" s="1"/>
  <c r="K477" i="19" a="1"/>
  <c r="K477" i="19" s="1"/>
  <c r="I474" i="19" a="1"/>
  <c r="I474" i="19" s="1"/>
  <c r="J474" i="19" a="1"/>
  <c r="J474" i="19" s="1"/>
  <c r="K474" i="19" a="1"/>
  <c r="K474" i="19" s="1"/>
  <c r="I473" i="19" a="1"/>
  <c r="I473" i="19" s="1"/>
  <c r="J473" i="19" a="1"/>
  <c r="J473" i="19" s="1"/>
  <c r="K473" i="19" a="1"/>
  <c r="K473" i="19" s="1"/>
  <c r="I470" i="19" a="1"/>
  <c r="I470" i="19" s="1"/>
  <c r="J470" i="19" a="1"/>
  <c r="J470" i="19" s="1"/>
  <c r="K470" i="19" a="1"/>
  <c r="K470" i="19" s="1"/>
  <c r="I465" i="19" a="1"/>
  <c r="I465" i="19" s="1"/>
  <c r="J465" i="19" a="1"/>
  <c r="J465" i="19" s="1"/>
  <c r="K465" i="19" a="1"/>
  <c r="K465" i="19" s="1"/>
  <c r="I464" i="19" a="1"/>
  <c r="I464" i="19" s="1"/>
  <c r="J464" i="19" a="1"/>
  <c r="J464" i="19" s="1"/>
  <c r="K464" i="19" a="1"/>
  <c r="K464" i="19" s="1"/>
  <c r="I463" i="19" a="1"/>
  <c r="I463" i="19" s="1"/>
  <c r="J463" i="19" a="1"/>
  <c r="J463" i="19" s="1"/>
  <c r="K463" i="19" a="1"/>
  <c r="K463" i="19" s="1"/>
  <c r="K462" i="19" a="1"/>
  <c r="K462" i="19" s="1"/>
  <c r="J462" i="19" a="1"/>
  <c r="J462" i="19" s="1"/>
  <c r="I462" i="19" a="1"/>
  <c r="I462" i="19" s="1"/>
  <c r="I461" i="19" a="1"/>
  <c r="I461" i="19" s="1"/>
  <c r="J461" i="19" a="1"/>
  <c r="J461" i="19" s="1"/>
  <c r="K461" i="19" a="1"/>
  <c r="K461" i="19" s="1"/>
  <c r="I455" i="19" a="1"/>
  <c r="I455" i="19" s="1"/>
  <c r="J455" i="19" a="1"/>
  <c r="J455" i="19" s="1"/>
  <c r="K455" i="19" a="1"/>
  <c r="K455" i="19" s="1"/>
  <c r="I454" i="19" a="1"/>
  <c r="I454" i="19" s="1"/>
  <c r="J454" i="19" a="1"/>
  <c r="J454" i="19" s="1"/>
  <c r="K454" i="19" a="1"/>
  <c r="K454" i="19" s="1"/>
  <c r="I520" i="19" a="1"/>
  <c r="I520" i="19" s="1"/>
  <c r="J520" i="19" a="1"/>
  <c r="J520" i="19" s="1"/>
  <c r="K520" i="19" a="1"/>
  <c r="K520" i="19" s="1"/>
  <c r="I519" i="19" a="1"/>
  <c r="I519" i="19" s="1"/>
  <c r="J519" i="19" a="1"/>
  <c r="J519" i="19" s="1"/>
  <c r="K519" i="19" a="1"/>
  <c r="K519" i="19" s="1"/>
  <c r="I518" i="19" a="1"/>
  <c r="I518" i="19" s="1"/>
  <c r="J518" i="19" a="1"/>
  <c r="J518" i="19" s="1"/>
  <c r="K518" i="19" a="1"/>
  <c r="K518" i="19" s="1"/>
  <c r="I515" i="19" a="1"/>
  <c r="I515" i="19" s="1"/>
  <c r="J515" i="19" a="1"/>
  <c r="J515" i="19" s="1"/>
  <c r="K515" i="19" a="1"/>
  <c r="K515" i="19" s="1"/>
  <c r="I514" i="19" a="1"/>
  <c r="I514" i="19" s="1"/>
  <c r="J514" i="19" a="1"/>
  <c r="J514" i="19" s="1"/>
  <c r="K514" i="19" a="1"/>
  <c r="K514" i="19" s="1"/>
  <c r="I513" i="19" a="1"/>
  <c r="I513" i="19" s="1"/>
  <c r="J513" i="19" a="1"/>
  <c r="J513" i="19" s="1"/>
  <c r="K513" i="19" a="1"/>
  <c r="K513" i="19" s="1"/>
  <c r="I516" i="19" a="1"/>
  <c r="I516" i="19" s="1"/>
  <c r="J516" i="19" a="1"/>
  <c r="J516" i="19" s="1"/>
  <c r="K516" i="19" a="1"/>
  <c r="K516" i="19" s="1"/>
  <c r="I517" i="19" a="1"/>
  <c r="I517" i="19" s="1"/>
  <c r="J517" i="19" a="1"/>
  <c r="J517" i="19" s="1"/>
  <c r="K517" i="19" a="1"/>
  <c r="K517" i="19" s="1"/>
  <c r="I483" i="19" a="1"/>
  <c r="I483" i="19" s="1"/>
  <c r="J483" i="19" a="1"/>
  <c r="J483" i="19" s="1"/>
  <c r="K483" i="19" a="1"/>
  <c r="K483" i="19" s="1"/>
  <c r="I475" i="19" a="1"/>
  <c r="I475" i="19" s="1"/>
  <c r="J475" i="19" a="1"/>
  <c r="J475" i="19" s="1"/>
  <c r="K475" i="19" a="1"/>
  <c r="K475" i="19" s="1"/>
  <c r="I471" i="19" a="1"/>
  <c r="I471" i="19" s="1"/>
  <c r="J471" i="19" a="1"/>
  <c r="J471" i="19" s="1"/>
  <c r="K471" i="19" a="1"/>
  <c r="K471" i="19" s="1"/>
  <c r="I469" i="19" a="1"/>
  <c r="I469" i="19" s="1"/>
  <c r="J469" i="19" a="1"/>
  <c r="J469" i="19" s="1"/>
  <c r="K469" i="19" a="1"/>
  <c r="K469" i="19" s="1"/>
  <c r="I259" i="7" a="1"/>
  <c r="I259" i="7" s="1"/>
  <c r="I260" i="7" a="1"/>
  <c r="I260" i="7" s="1"/>
  <c r="I261" i="7" a="1"/>
  <c r="I261" i="7" s="1"/>
  <c r="I262" i="7" a="1"/>
  <c r="I262" i="7" s="1"/>
  <c r="I258" i="7" a="1"/>
  <c r="I258" i="7" s="1"/>
  <c r="I257" i="7" a="1"/>
  <c r="I257" i="7" s="1"/>
  <c r="I256" i="7" a="1"/>
  <c r="I256" i="7" s="1"/>
  <c r="I255" i="7" a="1"/>
  <c r="I255" i="7" s="1"/>
  <c r="I254" i="7" a="1"/>
  <c r="I254" i="7" s="1"/>
  <c r="I512" i="19" a="1"/>
  <c r="I512" i="19" s="1"/>
  <c r="J512" i="19" a="1"/>
  <c r="J512" i="19" s="1"/>
  <c r="K512" i="19" a="1"/>
  <c r="K512" i="19" s="1"/>
  <c r="I511" i="19" a="1"/>
  <c r="I511" i="19" s="1"/>
  <c r="J511" i="19" a="1"/>
  <c r="J511" i="19" s="1"/>
  <c r="K511" i="19" a="1"/>
  <c r="K511" i="19" s="1"/>
  <c r="I510" i="19" a="1"/>
  <c r="I510" i="19" s="1"/>
  <c r="J510" i="19" a="1"/>
  <c r="J510" i="19" s="1"/>
  <c r="K510" i="19" a="1"/>
  <c r="K510" i="19" s="1"/>
  <c r="I509" i="19" a="1"/>
  <c r="I509" i="19" s="1"/>
  <c r="J509" i="19" a="1"/>
  <c r="J509" i="19" s="1"/>
  <c r="K509" i="19" a="1"/>
  <c r="K509" i="19" s="1"/>
  <c r="I508" i="19" a="1"/>
  <c r="I508" i="19" s="1"/>
  <c r="J508" i="19" a="1"/>
  <c r="J508" i="19" s="1"/>
  <c r="K508" i="19" a="1"/>
  <c r="K508" i="19" s="1"/>
  <c r="I507" i="19" a="1"/>
  <c r="I507" i="19" s="1"/>
  <c r="J507" i="19" a="1"/>
  <c r="J507" i="19" s="1"/>
  <c r="K507" i="19" a="1"/>
  <c r="K507" i="19" s="1"/>
  <c r="I506" i="19" a="1"/>
  <c r="I506" i="19" s="1"/>
  <c r="J506" i="19" a="1"/>
  <c r="J506" i="19" s="1"/>
  <c r="K506" i="19" a="1"/>
  <c r="K506" i="19" s="1"/>
  <c r="I505" i="19" a="1"/>
  <c r="I505" i="19" s="1"/>
  <c r="J505" i="19" a="1"/>
  <c r="J505" i="19" s="1"/>
  <c r="K505" i="19" a="1"/>
  <c r="K505" i="19" s="1"/>
  <c r="I501" i="19" a="1"/>
  <c r="I501" i="19" s="1"/>
  <c r="J501" i="19" a="1"/>
  <c r="J501" i="19" s="1"/>
  <c r="K501" i="19" a="1"/>
  <c r="K501" i="19" s="1"/>
  <c r="I500" i="19" a="1"/>
  <c r="I500" i="19" s="1"/>
  <c r="J500" i="19" a="1"/>
  <c r="J500" i="19" s="1"/>
  <c r="K500" i="19" a="1"/>
  <c r="K500" i="19" s="1"/>
  <c r="I499" i="19" a="1"/>
  <c r="I499" i="19" s="1"/>
  <c r="J499" i="19" a="1"/>
  <c r="J499" i="19" s="1"/>
  <c r="K499" i="19" a="1"/>
  <c r="K499" i="19" s="1"/>
  <c r="I498" i="19" a="1"/>
  <c r="I498" i="19" s="1"/>
  <c r="J498" i="19" a="1"/>
  <c r="J498" i="19" s="1"/>
  <c r="K498" i="19" a="1"/>
  <c r="K498" i="19" s="1"/>
  <c r="I497" i="19" a="1"/>
  <c r="I497" i="19" s="1"/>
  <c r="J497" i="19" a="1"/>
  <c r="J497" i="19" s="1"/>
  <c r="K497" i="19" a="1"/>
  <c r="K497" i="19" s="1"/>
  <c r="I496" i="19" a="1"/>
  <c r="I496" i="19" s="1"/>
  <c r="J496" i="19" a="1"/>
  <c r="J496" i="19" s="1"/>
  <c r="K496" i="19" a="1"/>
  <c r="K496" i="19" s="1"/>
  <c r="I495" i="19" a="1"/>
  <c r="I495" i="19" s="1"/>
  <c r="J495" i="19" a="1"/>
  <c r="J495" i="19" s="1"/>
  <c r="K495" i="19" a="1"/>
  <c r="K495" i="19" s="1"/>
  <c r="I494" i="19" a="1"/>
  <c r="I494" i="19" s="1"/>
  <c r="J494" i="19" a="1"/>
  <c r="J494" i="19" s="1"/>
  <c r="K494" i="19" a="1"/>
  <c r="K494" i="19" s="1"/>
  <c r="I493" i="19" a="1"/>
  <c r="I493" i="19" s="1"/>
  <c r="K493" i="19" a="1"/>
  <c r="K493" i="19" s="1"/>
  <c r="K482" i="19" a="1"/>
  <c r="K482" i="19" s="1"/>
  <c r="K481" i="19" a="1"/>
  <c r="K481" i="19" s="1"/>
  <c r="I432" i="19" a="1"/>
  <c r="I432" i="19" s="1"/>
  <c r="J432" i="19" a="1"/>
  <c r="J432" i="19" s="1"/>
  <c r="K432" i="19" a="1"/>
  <c r="K432" i="19" s="1"/>
  <c r="I431" i="19" a="1"/>
  <c r="I431" i="19" s="1"/>
  <c r="J431" i="19" a="1"/>
  <c r="J431" i="19" s="1"/>
  <c r="K431" i="19" a="1"/>
  <c r="K431" i="19" s="1"/>
  <c r="I427" i="19" a="1"/>
  <c r="I427" i="19" s="1"/>
  <c r="J427" i="19" a="1"/>
  <c r="J427" i="19" s="1"/>
  <c r="K427" i="19" a="1"/>
  <c r="K427" i="19" s="1"/>
  <c r="I426" i="19" a="1"/>
  <c r="I426" i="19" s="1"/>
  <c r="J426" i="19" a="1"/>
  <c r="J426" i="19" s="1"/>
  <c r="K426" i="19" a="1"/>
  <c r="K426" i="19" s="1"/>
  <c r="I424" i="19" a="1"/>
  <c r="I424" i="19" s="1"/>
  <c r="J424" i="19" a="1"/>
  <c r="J424" i="19" s="1"/>
  <c r="K424" i="19" a="1"/>
  <c r="K424" i="19" s="1"/>
  <c r="I423" i="19" a="1"/>
  <c r="I423" i="19" s="1"/>
  <c r="J423" i="19" a="1"/>
  <c r="J423" i="19" s="1"/>
  <c r="K423" i="19" a="1"/>
  <c r="K423" i="19" s="1"/>
  <c r="I422" i="19" a="1"/>
  <c r="I422" i="19" s="1"/>
  <c r="J422" i="19" a="1"/>
  <c r="J422" i="19" s="1"/>
  <c r="K422" i="19" a="1"/>
  <c r="K422" i="19" s="1"/>
  <c r="I421" i="19" a="1"/>
  <c r="I421" i="19" s="1"/>
  <c r="J421" i="19" a="1"/>
  <c r="J421" i="19" s="1"/>
  <c r="K421" i="19" a="1"/>
  <c r="K421" i="19" s="1"/>
  <c r="K457" i="19" a="1"/>
  <c r="K457" i="19" s="1"/>
  <c r="K458" i="19" a="1"/>
  <c r="K458" i="19" s="1"/>
  <c r="K459" i="19" a="1"/>
  <c r="K459" i="19" s="1"/>
  <c r="K460" i="19" a="1"/>
  <c r="K460" i="19" s="1"/>
  <c r="K466" i="19" a="1"/>
  <c r="K466" i="19" s="1"/>
  <c r="K467" i="19" a="1"/>
  <c r="K467" i="19" s="1"/>
  <c r="K468" i="19" a="1"/>
  <c r="K468" i="19" s="1"/>
  <c r="K472" i="19" a="1"/>
  <c r="K472" i="19" s="1"/>
  <c r="K476" i="19" a="1"/>
  <c r="K476" i="19" s="1"/>
  <c r="K480" i="19" a="1"/>
  <c r="K480" i="19" s="1"/>
  <c r="J457" i="19" a="1"/>
  <c r="J457" i="19" s="1"/>
  <c r="J458" i="19" a="1"/>
  <c r="J458" i="19" s="1"/>
  <c r="J459" i="19" a="1"/>
  <c r="J459" i="19" s="1"/>
  <c r="J460" i="19" a="1"/>
  <c r="J460" i="19" s="1"/>
  <c r="J466" i="19" a="1"/>
  <c r="J466" i="19" s="1"/>
  <c r="J467" i="19" a="1"/>
  <c r="J467" i="19" s="1"/>
  <c r="J468" i="19" a="1"/>
  <c r="J468" i="19" s="1"/>
  <c r="J472" i="19" a="1"/>
  <c r="J472" i="19" s="1"/>
  <c r="J476" i="19" a="1"/>
  <c r="J476" i="19" s="1"/>
  <c r="J480" i="19" a="1"/>
  <c r="J480" i="19" s="1"/>
  <c r="J481" i="19" a="1"/>
  <c r="J481" i="19" s="1"/>
  <c r="J482" i="19" a="1"/>
  <c r="J482" i="19" s="1"/>
  <c r="J493" i="19" a="1"/>
  <c r="J493" i="19" s="1"/>
  <c r="I457" i="19" a="1"/>
  <c r="I457" i="19" s="1"/>
  <c r="I458" i="19" a="1"/>
  <c r="I458" i="19" s="1"/>
  <c r="I459" i="19" a="1"/>
  <c r="I459" i="19" s="1"/>
  <c r="I460" i="19" a="1"/>
  <c r="I460" i="19" s="1"/>
  <c r="I466" i="19" a="1"/>
  <c r="I466" i="19" s="1"/>
  <c r="I467" i="19" a="1"/>
  <c r="I467" i="19" s="1"/>
  <c r="I468" i="19" a="1"/>
  <c r="I468" i="19" s="1"/>
  <c r="I472" i="19" a="1"/>
  <c r="I472" i="19" s="1"/>
  <c r="I476" i="19" a="1"/>
  <c r="I476" i="19" s="1"/>
  <c r="I480" i="19" a="1"/>
  <c r="I480" i="19" s="1"/>
  <c r="I481" i="19" a="1"/>
  <c r="I481" i="19" s="1"/>
  <c r="I482" i="19" a="1"/>
  <c r="I482" i="19" s="1"/>
  <c r="K450" i="19" a="1"/>
  <c r="K450" i="19" s="1"/>
  <c r="J450" i="19" a="1"/>
  <c r="J450" i="19" s="1"/>
  <c r="I450" i="19" a="1"/>
  <c r="I450" i="19" s="1"/>
  <c r="I449" i="19" a="1"/>
  <c r="I449" i="19" s="1"/>
  <c r="J449" i="19" a="1"/>
  <c r="J449" i="19" s="1"/>
  <c r="K449" i="19" a="1"/>
  <c r="K449" i="19" s="1"/>
  <c r="I448" i="19" a="1"/>
  <c r="I448" i="19" s="1"/>
  <c r="J448" i="19" a="1"/>
  <c r="J448" i="19" s="1"/>
  <c r="K448" i="19" a="1"/>
  <c r="K448" i="19" s="1"/>
  <c r="I447" i="19" a="1"/>
  <c r="I447" i="19" s="1"/>
  <c r="J447" i="19" a="1"/>
  <c r="J447" i="19" s="1"/>
  <c r="K447" i="19" a="1"/>
  <c r="K447" i="19" s="1"/>
  <c r="I445" i="19" a="1"/>
  <c r="I445" i="19" s="1"/>
  <c r="J445" i="19" a="1"/>
  <c r="J445" i="19" s="1"/>
  <c r="K445" i="19" a="1"/>
  <c r="K445" i="19" s="1"/>
  <c r="I425" i="19" a="1"/>
  <c r="I425" i="19" s="1"/>
  <c r="J425" i="19" a="1"/>
  <c r="J425" i="19" s="1"/>
  <c r="K425" i="19" a="1"/>
  <c r="K425" i="19" s="1"/>
  <c r="I430" i="19" a="1"/>
  <c r="I430" i="19" s="1"/>
  <c r="J430" i="19" a="1"/>
  <c r="J430" i="19" s="1"/>
  <c r="K430" i="19" a="1"/>
  <c r="K430" i="19" s="1"/>
  <c r="I429" i="19" a="1"/>
  <c r="I429" i="19" s="1"/>
  <c r="J429" i="19" a="1"/>
  <c r="J429" i="19" s="1"/>
  <c r="K429" i="19" a="1"/>
  <c r="K429" i="19" s="1"/>
  <c r="I413" i="19" a="1"/>
  <c r="I413" i="19" s="1"/>
  <c r="J413" i="19" a="1"/>
  <c r="J413" i="19" s="1"/>
  <c r="K413" i="19" a="1"/>
  <c r="K413" i="19" s="1"/>
  <c r="I412" i="19" a="1"/>
  <c r="I412" i="19" s="1"/>
  <c r="J412" i="19" a="1"/>
  <c r="J412" i="19" s="1"/>
  <c r="K412" i="19" a="1"/>
  <c r="K412" i="19" s="1"/>
  <c r="I417" i="19" a="1"/>
  <c r="I417" i="19" s="1"/>
  <c r="J417" i="19" a="1"/>
  <c r="J417" i="19" s="1"/>
  <c r="K417" i="19" a="1"/>
  <c r="K417" i="19" s="1"/>
  <c r="I416" i="19" a="1"/>
  <c r="I416" i="19" s="1"/>
  <c r="J416" i="19" a="1"/>
  <c r="J416" i="19" s="1"/>
  <c r="K416" i="19" a="1"/>
  <c r="K416" i="19" s="1"/>
  <c r="X6" i="7"/>
  <c r="W6" i="7"/>
  <c r="W5" i="7"/>
  <c r="I249" i="7" a="1"/>
  <c r="I249" i="7" s="1"/>
  <c r="I250" i="7" a="1"/>
  <c r="I250" i="7" s="1"/>
  <c r="I251" i="7" a="1"/>
  <c r="I251" i="7" s="1"/>
  <c r="I252" i="7" a="1"/>
  <c r="I252" i="7" s="1"/>
  <c r="I253" i="7" a="1"/>
  <c r="I253" i="7" s="1"/>
  <c r="I246" i="7" a="1"/>
  <c r="I246" i="7" s="1"/>
  <c r="I247" i="7" a="1"/>
  <c r="I247" i="7" s="1"/>
  <c r="I248" i="7" a="1"/>
  <c r="I248" i="7" s="1"/>
  <c r="I244" i="7" a="1"/>
  <c r="I244" i="7" s="1"/>
  <c r="I245" i="7" a="1"/>
  <c r="I245" i="7" s="1"/>
  <c r="I241" i="7" a="1"/>
  <c r="I241" i="7" s="1"/>
  <c r="I242" i="7" a="1"/>
  <c r="I242" i="7" s="1"/>
  <c r="I243" i="7" a="1"/>
  <c r="I243" i="7" s="1"/>
  <c r="I233" i="7" a="1"/>
  <c r="I233" i="7" s="1"/>
  <c r="I234" i="7" a="1"/>
  <c r="I234" i="7" s="1"/>
  <c r="I235" i="7" a="1"/>
  <c r="I235" i="7" s="1"/>
  <c r="I236" i="7" a="1"/>
  <c r="I236" i="7" s="1"/>
  <c r="I237" i="7" a="1"/>
  <c r="I237" i="7" s="1"/>
  <c r="I238" i="7" a="1"/>
  <c r="I238" i="7" s="1"/>
  <c r="I239" i="7" a="1"/>
  <c r="I239" i="7" s="1"/>
  <c r="I240" i="7" a="1"/>
  <c r="I240" i="7" s="1"/>
  <c r="I230" i="7" a="1"/>
  <c r="I230" i="7" s="1"/>
  <c r="I231" i="7" a="1"/>
  <c r="I231" i="7" s="1"/>
  <c r="I232" i="7" a="1"/>
  <c r="I232" i="7" s="1"/>
  <c r="I229" i="7" a="1"/>
  <c r="I229" i="7" s="1"/>
  <c r="I228" i="7" a="1"/>
  <c r="I228" i="7" s="1"/>
  <c r="K252" i="7" a="1"/>
  <c r="K252" i="7" s="1"/>
  <c r="J252" i="7" a="1"/>
  <c r="J252" i="7" s="1"/>
  <c r="K247" i="7" a="1"/>
  <c r="K247" i="7" s="1"/>
  <c r="K248" i="7" a="1"/>
  <c r="K248" i="7" s="1"/>
  <c r="J247" i="7" a="1"/>
  <c r="J247" i="7" s="1"/>
  <c r="J248" i="7" a="1"/>
  <c r="J248" i="7" s="1"/>
  <c r="K242" i="7" a="1"/>
  <c r="K242" i="7" s="1"/>
  <c r="K243" i="7" a="1"/>
  <c r="K243" i="7" s="1"/>
  <c r="K244" i="7" a="1"/>
  <c r="K244" i="7" s="1"/>
  <c r="J242" i="7" a="1"/>
  <c r="J242" i="7" s="1"/>
  <c r="J243" i="7" a="1"/>
  <c r="J243" i="7" s="1"/>
  <c r="J244" i="7" a="1"/>
  <c r="J244" i="7" s="1"/>
  <c r="K229" i="7" a="1"/>
  <c r="K229" i="7" s="1"/>
  <c r="K230" i="7" a="1"/>
  <c r="K230" i="7" s="1"/>
  <c r="K231" i="7" a="1"/>
  <c r="K231" i="7" s="1"/>
  <c r="K232" i="7" a="1"/>
  <c r="K232" i="7" s="1"/>
  <c r="K233" i="7" a="1"/>
  <c r="K233" i="7" s="1"/>
  <c r="K234" i="7" a="1"/>
  <c r="K234" i="7" s="1"/>
  <c r="K235" i="7" a="1"/>
  <c r="K235" i="7" s="1"/>
  <c r="K236" i="7" a="1"/>
  <c r="K236" i="7" s="1"/>
  <c r="K237" i="7" a="1"/>
  <c r="K237" i="7" s="1"/>
  <c r="K238" i="7" a="1"/>
  <c r="K238" i="7" s="1"/>
  <c r="K239" i="7" a="1"/>
  <c r="K239" i="7" s="1"/>
  <c r="K240" i="7" a="1"/>
  <c r="K240" i="7" s="1"/>
  <c r="J229" i="7" a="1"/>
  <c r="J229" i="7" s="1"/>
  <c r="J230" i="7" a="1"/>
  <c r="J230" i="7" s="1"/>
  <c r="J231" i="7" a="1"/>
  <c r="J231" i="7" s="1"/>
  <c r="J232" i="7" a="1"/>
  <c r="J232" i="7"/>
  <c r="J233" i="7" a="1"/>
  <c r="J233" i="7" s="1"/>
  <c r="J234" i="7" a="1"/>
  <c r="J234" i="7" s="1"/>
  <c r="J235" i="7" a="1"/>
  <c r="J235" i="7" s="1"/>
  <c r="J236" i="7" a="1"/>
  <c r="J236" i="7" s="1"/>
  <c r="J237" i="7" a="1"/>
  <c r="J237" i="7" s="1"/>
  <c r="J238" i="7" a="1"/>
  <c r="J238" i="7" s="1"/>
  <c r="J239" i="7" a="1"/>
  <c r="J239" i="7" s="1"/>
  <c r="J240" i="7" a="1"/>
  <c r="J240" i="7" s="1"/>
  <c r="K443" i="19" a="1"/>
  <c r="K443" i="19" s="1"/>
  <c r="K444" i="19" a="1"/>
  <c r="K444" i="19" s="1"/>
  <c r="K446" i="19" a="1"/>
  <c r="K446" i="19" s="1"/>
  <c r="K451" i="19" a="1"/>
  <c r="K451" i="19" s="1"/>
  <c r="K452" i="19" a="1"/>
  <c r="K452" i="19" s="1"/>
  <c r="K453" i="19" a="1"/>
  <c r="K453" i="19" s="1"/>
  <c r="K456" i="19" a="1"/>
  <c r="K456" i="19" s="1"/>
  <c r="J443" i="19" a="1"/>
  <c r="J443" i="19" s="1"/>
  <c r="J444" i="19" a="1"/>
  <c r="J444" i="19" s="1"/>
  <c r="J446" i="19" a="1"/>
  <c r="J446" i="19" s="1"/>
  <c r="J451" i="19" a="1"/>
  <c r="J451" i="19" s="1"/>
  <c r="J452" i="19" a="1"/>
  <c r="J452" i="19" s="1"/>
  <c r="J453" i="19" a="1"/>
  <c r="J453" i="19" s="1"/>
  <c r="J456" i="19" a="1"/>
  <c r="J456" i="19" s="1"/>
  <c r="I443" i="19" a="1"/>
  <c r="I443" i="19" s="1"/>
  <c r="I444" i="19" a="1"/>
  <c r="I444" i="19" s="1"/>
  <c r="I446" i="19" a="1"/>
  <c r="I446" i="19" s="1"/>
  <c r="I451" i="19" a="1"/>
  <c r="I451" i="19" s="1"/>
  <c r="I452" i="19" a="1"/>
  <c r="I452" i="19" s="1"/>
  <c r="I453" i="19" a="1"/>
  <c r="I453" i="19" s="1"/>
  <c r="I456" i="19" a="1"/>
  <c r="I456" i="19" s="1"/>
  <c r="I442" i="19" a="1"/>
  <c r="I442" i="19" s="1"/>
  <c r="J442" i="19" a="1"/>
  <c r="J442" i="19" s="1"/>
  <c r="K442" i="19" a="1"/>
  <c r="K442" i="19" s="1"/>
  <c r="I441" i="19" a="1"/>
  <c r="I441" i="19" s="1"/>
  <c r="J441" i="19" a="1"/>
  <c r="J441" i="19" s="1"/>
  <c r="K441" i="19" a="1"/>
  <c r="K441" i="19" s="1"/>
  <c r="I440" i="19" a="1"/>
  <c r="I440" i="19" s="1"/>
  <c r="J440" i="19" a="1"/>
  <c r="J440" i="19" s="1"/>
  <c r="K440" i="19" a="1"/>
  <c r="K440" i="19" s="1"/>
  <c r="I439" i="19" a="1"/>
  <c r="I439" i="19" s="1"/>
  <c r="J439" i="19" a="1"/>
  <c r="J439" i="19" s="1"/>
  <c r="K439" i="19" a="1"/>
  <c r="K439" i="19" s="1"/>
  <c r="I438" i="19" a="1"/>
  <c r="I438" i="19" s="1"/>
  <c r="J438" i="19" a="1"/>
  <c r="J438" i="19" s="1"/>
  <c r="K438" i="19" a="1"/>
  <c r="K438" i="19" s="1"/>
  <c r="I437" i="19" a="1"/>
  <c r="I437" i="19" s="1"/>
  <c r="J437" i="19" a="1"/>
  <c r="J437" i="19" s="1"/>
  <c r="K437" i="19" a="1"/>
  <c r="K437" i="19" s="1"/>
  <c r="I436" i="19" a="1"/>
  <c r="I436" i="19" s="1"/>
  <c r="J436" i="19" a="1"/>
  <c r="J436" i="19" s="1"/>
  <c r="K436" i="19" a="1"/>
  <c r="K436" i="19" s="1"/>
  <c r="I435" i="19" a="1"/>
  <c r="I435" i="19" s="1"/>
  <c r="J435" i="19" a="1"/>
  <c r="J435" i="19" s="1"/>
  <c r="K435" i="19" a="1"/>
  <c r="K435" i="19" s="1"/>
  <c r="I434" i="19" a="1"/>
  <c r="I434" i="19" s="1"/>
  <c r="J434" i="19" a="1"/>
  <c r="J434" i="19" s="1"/>
  <c r="K434" i="19" a="1"/>
  <c r="K434" i="19" s="1"/>
  <c r="I428" i="19" a="1"/>
  <c r="I428" i="19" s="1"/>
  <c r="J428" i="19" a="1"/>
  <c r="J428" i="19" s="1"/>
  <c r="K428" i="19" a="1"/>
  <c r="K428" i="19" s="1"/>
  <c r="I409" i="19" a="1"/>
  <c r="I409" i="19" s="1"/>
  <c r="J409" i="19" a="1"/>
  <c r="J409" i="19" s="1"/>
  <c r="K409" i="19" a="1"/>
  <c r="K409" i="19" s="1"/>
  <c r="I404" i="19" a="1"/>
  <c r="I404" i="19" s="1"/>
  <c r="J404" i="19" a="1"/>
  <c r="J404" i="19" s="1"/>
  <c r="K404" i="19" a="1"/>
  <c r="K404" i="19" s="1"/>
  <c r="I433" i="19" a="1"/>
  <c r="I433" i="19" s="1"/>
  <c r="J433" i="19" a="1"/>
  <c r="J433" i="19" s="1"/>
  <c r="K433" i="19" a="1"/>
  <c r="K433" i="19" s="1"/>
  <c r="K390" i="19" a="1"/>
  <c r="K390" i="19" s="1"/>
  <c r="K391" i="19" a="1"/>
  <c r="K391" i="19" s="1"/>
  <c r="K392" i="19" a="1"/>
  <c r="K392" i="19" s="1"/>
  <c r="K393" i="19" a="1"/>
  <c r="K393" i="19" s="1"/>
  <c r="K394" i="19" a="1"/>
  <c r="K394" i="19" s="1"/>
  <c r="K395" i="19" a="1"/>
  <c r="K395" i="19" s="1"/>
  <c r="K396" i="19" a="1"/>
  <c r="K396" i="19" s="1"/>
  <c r="K397" i="19" a="1"/>
  <c r="K397" i="19" s="1"/>
  <c r="K398" i="19" a="1"/>
  <c r="K398" i="19" s="1"/>
  <c r="K399" i="19" a="1"/>
  <c r="K399" i="19" s="1"/>
  <c r="K400" i="19" a="1"/>
  <c r="K400" i="19" s="1"/>
  <c r="K401" i="19" a="1"/>
  <c r="K401" i="19" s="1"/>
  <c r="K402" i="19" a="1"/>
  <c r="K402" i="19" s="1"/>
  <c r="K403" i="19" a="1"/>
  <c r="K403" i="19" s="1"/>
  <c r="K405" i="19" a="1"/>
  <c r="K405" i="19" s="1"/>
  <c r="K406" i="19" a="1"/>
  <c r="K406" i="19" s="1"/>
  <c r="K407" i="19" a="1"/>
  <c r="K407" i="19" s="1"/>
  <c r="K408" i="19" a="1"/>
  <c r="K408" i="19" s="1"/>
  <c r="K410" i="19" a="1"/>
  <c r="K410" i="19" s="1"/>
  <c r="K411" i="19" a="1"/>
  <c r="K411" i="19" s="1"/>
  <c r="K414" i="19" a="1"/>
  <c r="K414" i="19" s="1"/>
  <c r="K415" i="19" a="1"/>
  <c r="K415" i="19" s="1"/>
  <c r="K418" i="19" a="1"/>
  <c r="K418" i="19" s="1"/>
  <c r="K419" i="19" a="1"/>
  <c r="K419" i="19" s="1"/>
  <c r="K420" i="19" a="1"/>
  <c r="K420" i="19" s="1"/>
  <c r="J390" i="19" a="1"/>
  <c r="J390" i="19" s="1"/>
  <c r="J391" i="19" a="1"/>
  <c r="J391" i="19" s="1"/>
  <c r="J392" i="19" a="1"/>
  <c r="J392" i="19" s="1"/>
  <c r="J393" i="19" a="1"/>
  <c r="J393" i="19" s="1"/>
  <c r="J394" i="19" a="1"/>
  <c r="J394" i="19" s="1"/>
  <c r="J395" i="19" a="1"/>
  <c r="J395" i="19" s="1"/>
  <c r="J396" i="19" a="1"/>
  <c r="J396" i="19" s="1"/>
  <c r="J397" i="19" a="1"/>
  <c r="J397" i="19" s="1"/>
  <c r="J398" i="19" a="1"/>
  <c r="J398" i="19" s="1"/>
  <c r="J399" i="19" a="1"/>
  <c r="J399" i="19" s="1"/>
  <c r="J400" i="19" a="1"/>
  <c r="J400" i="19" s="1"/>
  <c r="J401" i="19" a="1"/>
  <c r="J401" i="19" s="1"/>
  <c r="J402" i="19" a="1"/>
  <c r="J402" i="19" s="1"/>
  <c r="J403" i="19" a="1"/>
  <c r="J403" i="19" s="1"/>
  <c r="J405" i="19" a="1"/>
  <c r="J405" i="19" s="1"/>
  <c r="J406" i="19" a="1"/>
  <c r="J406" i="19" s="1"/>
  <c r="J407" i="19" a="1"/>
  <c r="J407" i="19" s="1"/>
  <c r="J408" i="19" a="1"/>
  <c r="J408" i="19" s="1"/>
  <c r="J410" i="19" a="1"/>
  <c r="J410" i="19" s="1"/>
  <c r="J411" i="19" a="1"/>
  <c r="J411" i="19" s="1"/>
  <c r="J414" i="19" a="1"/>
  <c r="J414" i="19" s="1"/>
  <c r="J415" i="19" a="1"/>
  <c r="J415" i="19" s="1"/>
  <c r="J418" i="19" a="1"/>
  <c r="J418" i="19" s="1"/>
  <c r="J419" i="19" a="1"/>
  <c r="J419" i="19" s="1"/>
  <c r="J420" i="19" a="1"/>
  <c r="J420" i="19" s="1"/>
  <c r="I394" i="19" a="1"/>
  <c r="I394" i="19" s="1"/>
  <c r="I395" i="19" a="1"/>
  <c r="I395" i="19" s="1"/>
  <c r="I396" i="19" a="1"/>
  <c r="I396" i="19" s="1"/>
  <c r="I397" i="19" a="1"/>
  <c r="I397" i="19" s="1"/>
  <c r="I398" i="19" a="1"/>
  <c r="I398" i="19" s="1"/>
  <c r="I399" i="19" a="1"/>
  <c r="I399" i="19" s="1"/>
  <c r="I400" i="19" a="1"/>
  <c r="I400" i="19" s="1"/>
  <c r="I401" i="19" a="1"/>
  <c r="I401" i="19" s="1"/>
  <c r="I402" i="19" a="1"/>
  <c r="I402" i="19" s="1"/>
  <c r="I403" i="19" a="1"/>
  <c r="I403" i="19" s="1"/>
  <c r="I405" i="19" a="1"/>
  <c r="I405" i="19" s="1"/>
  <c r="I406" i="19" a="1"/>
  <c r="I406" i="19" s="1"/>
  <c r="I407" i="19" a="1"/>
  <c r="I407" i="19" s="1"/>
  <c r="I408" i="19" a="1"/>
  <c r="I408" i="19" s="1"/>
  <c r="I410" i="19" a="1"/>
  <c r="I410" i="19" s="1"/>
  <c r="I411" i="19" a="1"/>
  <c r="I411" i="19" s="1"/>
  <c r="I414" i="19" a="1"/>
  <c r="I414" i="19" s="1"/>
  <c r="I415" i="19" a="1"/>
  <c r="I415" i="19" s="1"/>
  <c r="I418" i="19" a="1"/>
  <c r="I418" i="19" s="1"/>
  <c r="I419" i="19" a="1"/>
  <c r="I419" i="19" s="1"/>
  <c r="I420" i="19" a="1"/>
  <c r="I420" i="19" s="1"/>
  <c r="I390" i="19" a="1"/>
  <c r="I390" i="19" s="1"/>
  <c r="I391" i="19" a="1"/>
  <c r="I391" i="19" s="1"/>
  <c r="I392" i="19" a="1"/>
  <c r="I392" i="19" s="1"/>
  <c r="J389" i="19" a="1"/>
  <c r="J389" i="19" s="1"/>
  <c r="K389" i="19" a="1"/>
  <c r="K389" i="19" s="1"/>
  <c r="K388" i="19" a="1"/>
  <c r="K388" i="19" s="1"/>
  <c r="I380" i="19" a="1"/>
  <c r="I380" i="19" s="1"/>
  <c r="J380" i="19" a="1"/>
  <c r="J380" i="19" s="1"/>
  <c r="K380" i="19" a="1"/>
  <c r="K380" i="19" s="1"/>
  <c r="I379" i="19" a="1"/>
  <c r="I379" i="19" s="1"/>
  <c r="J379" i="19" a="1"/>
  <c r="J379" i="19" s="1"/>
  <c r="K379" i="19" a="1"/>
  <c r="K379" i="19" s="1"/>
  <c r="I377" i="19" a="1"/>
  <c r="I377" i="19" s="1"/>
  <c r="J377" i="19" a="1"/>
  <c r="J377" i="19" s="1"/>
  <c r="K377" i="19" a="1"/>
  <c r="K377" i="19" s="1"/>
  <c r="I369" i="19" a="1"/>
  <c r="I369" i="19" s="1"/>
  <c r="J369" i="19" a="1"/>
  <c r="J369" i="19" s="1"/>
  <c r="K369" i="19" a="1"/>
  <c r="K369" i="19" s="1"/>
  <c r="I368" i="19" a="1"/>
  <c r="I368" i="19" s="1"/>
  <c r="J368" i="19" a="1"/>
  <c r="J368" i="19" s="1"/>
  <c r="K368" i="19" a="1"/>
  <c r="K368" i="19" s="1"/>
  <c r="I375" i="19" a="1"/>
  <c r="I375" i="19" s="1"/>
  <c r="J375" i="19" a="1"/>
  <c r="J375" i="19" s="1"/>
  <c r="K375" i="19" a="1"/>
  <c r="K375" i="19" s="1"/>
  <c r="I376" i="19" a="1"/>
  <c r="I376" i="19" s="1"/>
  <c r="J376" i="19" a="1"/>
  <c r="J376" i="19" s="1"/>
  <c r="K376" i="19" a="1"/>
  <c r="K376" i="19" s="1"/>
  <c r="K357" i="19" a="1"/>
  <c r="K357" i="19" s="1"/>
  <c r="K358" i="19" a="1"/>
  <c r="K358" i="19" s="1"/>
  <c r="K359" i="19" a="1"/>
  <c r="K359" i="19" s="1"/>
  <c r="J357" i="19" a="1"/>
  <c r="J357" i="19" s="1"/>
  <c r="J358" i="19" a="1"/>
  <c r="J358" i="19" s="1"/>
  <c r="J359" i="19" a="1"/>
  <c r="J359" i="19" s="1"/>
  <c r="I357" i="19" a="1"/>
  <c r="I357" i="19" s="1"/>
  <c r="I358" i="19" a="1"/>
  <c r="I358" i="19" s="1"/>
  <c r="I359" i="19" a="1"/>
  <c r="I359" i="19" s="1"/>
  <c r="I356" i="19" a="1"/>
  <c r="I356" i="19" s="1"/>
  <c r="J356" i="19" a="1"/>
  <c r="J356" i="19" s="1"/>
  <c r="K356" i="19" a="1"/>
  <c r="K356" i="19" s="1"/>
  <c r="I355" i="19" a="1"/>
  <c r="I355" i="19" s="1"/>
  <c r="J355" i="19" a="1"/>
  <c r="J355" i="19" s="1"/>
  <c r="K355" i="19" a="1"/>
  <c r="K355" i="19" s="1"/>
  <c r="I354" i="19" a="1"/>
  <c r="I354" i="19" s="1"/>
  <c r="J354" i="19" a="1"/>
  <c r="J354" i="19" s="1"/>
  <c r="K354" i="19" a="1"/>
  <c r="K354" i="19" s="1"/>
  <c r="J366" i="19" a="1"/>
  <c r="J366" i="19" s="1"/>
  <c r="J367" i="19" a="1"/>
  <c r="J367" i="19" s="1"/>
  <c r="J370" i="19" a="1"/>
  <c r="J370" i="19" s="1"/>
  <c r="J371" i="19" a="1"/>
  <c r="J371" i="19" s="1"/>
  <c r="J372" i="19" a="1"/>
  <c r="J372" i="19" s="1"/>
  <c r="J373" i="19" a="1"/>
  <c r="J373" i="19" s="1"/>
  <c r="J374" i="19" a="1"/>
  <c r="J374" i="19" s="1"/>
  <c r="J378" i="19" a="1"/>
  <c r="J378" i="19" s="1"/>
  <c r="J381" i="19" a="1"/>
  <c r="J381" i="19" s="1"/>
  <c r="J382" i="19" a="1"/>
  <c r="J382" i="19" s="1"/>
  <c r="J383" i="19" a="1"/>
  <c r="J383" i="19" s="1"/>
  <c r="J384" i="19" a="1"/>
  <c r="J384" i="19" s="1"/>
  <c r="J385" i="19" a="1"/>
  <c r="J385" i="19" s="1"/>
  <c r="J386" i="19" a="1"/>
  <c r="J386" i="19" s="1"/>
  <c r="J387" i="19" a="1"/>
  <c r="J387" i="19" s="1"/>
  <c r="J388" i="19" a="1"/>
  <c r="J388" i="19" s="1"/>
  <c r="I366" i="19" a="1"/>
  <c r="I366" i="19" s="1"/>
  <c r="I367" i="19" a="1"/>
  <c r="I367" i="19" s="1"/>
  <c r="I370" i="19" a="1"/>
  <c r="I370" i="19" s="1"/>
  <c r="I371" i="19" a="1"/>
  <c r="I371" i="19" s="1"/>
  <c r="I372" i="19" a="1"/>
  <c r="I372" i="19" s="1"/>
  <c r="I373" i="19" a="1"/>
  <c r="I373" i="19" s="1"/>
  <c r="I374" i="19" a="1"/>
  <c r="I374" i="19" s="1"/>
  <c r="I378" i="19" a="1"/>
  <c r="I378" i="19" s="1"/>
  <c r="I381" i="19" a="1"/>
  <c r="I381" i="19" s="1"/>
  <c r="I382" i="19" a="1"/>
  <c r="I382" i="19" s="1"/>
  <c r="I383" i="19" a="1"/>
  <c r="I383" i="19" s="1"/>
  <c r="I384" i="19" a="1"/>
  <c r="I384" i="19" s="1"/>
  <c r="I385" i="19" a="1"/>
  <c r="I385" i="19" s="1"/>
  <c r="I386" i="19" a="1"/>
  <c r="I386" i="19" s="1"/>
  <c r="I387" i="19" a="1"/>
  <c r="I387" i="19" s="1"/>
  <c r="I388" i="19" a="1"/>
  <c r="I388" i="19" s="1"/>
  <c r="I389" i="19" a="1"/>
  <c r="I389" i="19" s="1"/>
  <c r="I393" i="19" a="1"/>
  <c r="I393" i="19" s="1"/>
  <c r="I365" i="19" a="1"/>
  <c r="I365" i="19" s="1"/>
  <c r="J365" i="19" a="1"/>
  <c r="J365" i="19" s="1"/>
  <c r="K346" i="19" a="1"/>
  <c r="K346" i="19" s="1"/>
  <c r="K347" i="19" a="1"/>
  <c r="K347" i="19" s="1"/>
  <c r="K348" i="19" a="1"/>
  <c r="K348" i="19" s="1"/>
  <c r="K349" i="19" a="1"/>
  <c r="K349" i="19" s="1"/>
  <c r="K350" i="19" a="1"/>
  <c r="K350" i="19" s="1"/>
  <c r="K351" i="19" a="1"/>
  <c r="K351" i="19" s="1"/>
  <c r="K352" i="19" a="1"/>
  <c r="K352" i="19" s="1"/>
  <c r="K353" i="19" a="1"/>
  <c r="K353" i="19" s="1"/>
  <c r="K360" i="19" a="1"/>
  <c r="K360" i="19" s="1"/>
  <c r="K361" i="19" a="1"/>
  <c r="K361" i="19" s="1"/>
  <c r="K362" i="19" a="1"/>
  <c r="K362" i="19" s="1"/>
  <c r="K363" i="19" a="1"/>
  <c r="K363" i="19" s="1"/>
  <c r="K364" i="19" a="1"/>
  <c r="K364" i="19" s="1"/>
  <c r="K365" i="19" a="1"/>
  <c r="K365" i="19" s="1"/>
  <c r="K366" i="19" a="1"/>
  <c r="K366" i="19" s="1"/>
  <c r="K367" i="19" a="1"/>
  <c r="K367" i="19" s="1"/>
  <c r="K370" i="19" a="1"/>
  <c r="K370" i="19" s="1"/>
  <c r="K371" i="19" a="1"/>
  <c r="K371" i="19" s="1"/>
  <c r="K372" i="19" a="1"/>
  <c r="K372" i="19" s="1"/>
  <c r="K373" i="19" a="1"/>
  <c r="K373" i="19" s="1"/>
  <c r="K374" i="19" a="1"/>
  <c r="K374" i="19" s="1"/>
  <c r="K378" i="19" a="1"/>
  <c r="K378" i="19" s="1"/>
  <c r="K381" i="19" a="1"/>
  <c r="K381" i="19" s="1"/>
  <c r="K382" i="19" a="1"/>
  <c r="K382" i="19" s="1"/>
  <c r="K383" i="19" a="1"/>
  <c r="K383" i="19" s="1"/>
  <c r="K384" i="19" a="1"/>
  <c r="K384" i="19" s="1"/>
  <c r="K385" i="19" a="1"/>
  <c r="K385" i="19" s="1"/>
  <c r="K386" i="19" a="1"/>
  <c r="K386" i="19" s="1"/>
  <c r="K387" i="19" a="1"/>
  <c r="K387" i="19" s="1"/>
  <c r="I364" i="19" a="1"/>
  <c r="I364" i="19" s="1"/>
  <c r="J364" i="19" a="1"/>
  <c r="J364" i="19" s="1"/>
  <c r="I363" i="19" a="1"/>
  <c r="I363" i="19" s="1"/>
  <c r="J363" i="19" a="1"/>
  <c r="J363" i="19" s="1"/>
  <c r="I362" i="19" a="1"/>
  <c r="I362" i="19" s="1"/>
  <c r="J362" i="19" a="1"/>
  <c r="J362" i="19" s="1"/>
  <c r="I361" i="19" a="1"/>
  <c r="I361" i="19" s="1"/>
  <c r="J361" i="19" a="1"/>
  <c r="J361" i="19" s="1"/>
  <c r="I360" i="19" a="1"/>
  <c r="I360" i="19" s="1"/>
  <c r="J360" i="19" a="1"/>
  <c r="J360" i="19" s="1"/>
  <c r="I353" i="19" a="1"/>
  <c r="I353" i="19" s="1"/>
  <c r="J353" i="19" a="1"/>
  <c r="J353" i="19" s="1"/>
  <c r="I352" i="19" a="1"/>
  <c r="I352" i="19" s="1"/>
  <c r="J352" i="19" a="1"/>
  <c r="J352" i="19" s="1"/>
  <c r="I351" i="19" a="1"/>
  <c r="I351" i="19" s="1"/>
  <c r="I350" i="19" a="1"/>
  <c r="I350" i="19" s="1"/>
  <c r="I349" i="19" a="1"/>
  <c r="I349" i="19" s="1"/>
  <c r="I348" i="19" a="1"/>
  <c r="I348" i="19" s="1"/>
  <c r="I341" i="19" a="1"/>
  <c r="I341" i="19" s="1"/>
  <c r="J341" i="19" a="1"/>
  <c r="J341" i="19" s="1"/>
  <c r="K341" i="19" a="1"/>
  <c r="K341" i="19" s="1"/>
  <c r="I340" i="19" a="1"/>
  <c r="I340" i="19" s="1"/>
  <c r="J340" i="19" a="1"/>
  <c r="J340" i="19" s="1"/>
  <c r="K340" i="19" a="1"/>
  <c r="K340" i="19" s="1"/>
  <c r="I339" i="19" a="1"/>
  <c r="I339" i="19" s="1"/>
  <c r="J339" i="19" a="1"/>
  <c r="J339" i="19" s="1"/>
  <c r="K339" i="19" a="1"/>
  <c r="K339" i="19" s="1"/>
  <c r="L79" i="10" a="1"/>
  <c r="L79" i="10" s="1"/>
  <c r="K79" i="10" a="1"/>
  <c r="K79" i="10" s="1"/>
  <c r="J79" i="10" a="1"/>
  <c r="J79" i="10" s="1"/>
  <c r="L82" i="10" a="1"/>
  <c r="L82" i="10" s="1"/>
  <c r="K82" i="10" a="1"/>
  <c r="K82" i="10" s="1"/>
  <c r="J82" i="10" a="1"/>
  <c r="J82" i="10" s="1"/>
  <c r="L29" i="10" a="1"/>
  <c r="L29" i="10" s="1"/>
  <c r="K29" i="10" a="1"/>
  <c r="K29" i="10" s="1"/>
  <c r="J29" i="10" a="1"/>
  <c r="J29" i="10" s="1"/>
  <c r="L30" i="10" a="1"/>
  <c r="L30" i="10" s="1"/>
  <c r="K30" i="10" a="1"/>
  <c r="K30" i="10" s="1"/>
  <c r="J30" i="10" a="1"/>
  <c r="J30" i="10" s="1"/>
  <c r="I335" i="19" a="1"/>
  <c r="I335" i="19" s="1"/>
  <c r="J335" i="19" a="1"/>
  <c r="J335" i="19" s="1"/>
  <c r="K335" i="19" a="1"/>
  <c r="K335" i="19" s="1"/>
  <c r="K345" i="19" a="1"/>
  <c r="K345" i="19" s="1"/>
  <c r="K344" i="19" a="1"/>
  <c r="K344" i="19" s="1"/>
  <c r="I324" i="19" a="1"/>
  <c r="I324" i="19" s="1"/>
  <c r="J324" i="19" a="1"/>
  <c r="J324" i="19" s="1"/>
  <c r="K324" i="19" a="1"/>
  <c r="K324" i="19" s="1"/>
  <c r="I323" i="19" a="1"/>
  <c r="I323" i="19" s="1"/>
  <c r="J323" i="19" a="1"/>
  <c r="J323" i="19" s="1"/>
  <c r="K323" i="19" a="1"/>
  <c r="K323" i="19" s="1"/>
  <c r="I322" i="19" a="1"/>
  <c r="I322" i="19" s="1"/>
  <c r="J322" i="19" a="1"/>
  <c r="J322" i="19" s="1"/>
  <c r="K322" i="19" a="1"/>
  <c r="K322" i="19" s="1"/>
  <c r="K328" i="19" a="1"/>
  <c r="K328" i="19" s="1"/>
  <c r="K329" i="19" a="1"/>
  <c r="K329" i="19" s="1"/>
  <c r="K330" i="19" a="1"/>
  <c r="K330" i="19" s="1"/>
  <c r="K331" i="19" a="1"/>
  <c r="K331" i="19" s="1"/>
  <c r="K332" i="19" a="1"/>
  <c r="K332" i="19" s="1"/>
  <c r="K333" i="19" a="1"/>
  <c r="K333" i="19" s="1"/>
  <c r="K334" i="19" a="1"/>
  <c r="K334" i="19" s="1"/>
  <c r="K336" i="19" a="1"/>
  <c r="K336" i="19" s="1"/>
  <c r="K337" i="19" a="1"/>
  <c r="K337" i="19" s="1"/>
  <c r="K338" i="19" a="1"/>
  <c r="K338" i="19" s="1"/>
  <c r="K342" i="19" a="1"/>
  <c r="K342" i="19" s="1"/>
  <c r="K343" i="19" a="1"/>
  <c r="K343" i="19" s="1"/>
  <c r="J325" i="19" a="1"/>
  <c r="J325" i="19" s="1"/>
  <c r="J326" i="19" a="1"/>
  <c r="J326" i="19" s="1"/>
  <c r="J327" i="19" a="1"/>
  <c r="J327" i="19" s="1"/>
  <c r="J328" i="19" a="1"/>
  <c r="J328" i="19" s="1"/>
  <c r="J329" i="19" a="1"/>
  <c r="J329" i="19" s="1"/>
  <c r="J330" i="19" a="1"/>
  <c r="J330" i="19" s="1"/>
  <c r="J331" i="19" a="1"/>
  <c r="J331" i="19" s="1"/>
  <c r="J332" i="19" a="1"/>
  <c r="J332" i="19" s="1"/>
  <c r="J333" i="19" a="1"/>
  <c r="J333" i="19" s="1"/>
  <c r="J334" i="19" a="1"/>
  <c r="J334" i="19" s="1"/>
  <c r="J336" i="19" a="1"/>
  <c r="J336" i="19" s="1"/>
  <c r="J337" i="19" a="1"/>
  <c r="J337" i="19" s="1"/>
  <c r="J338" i="19" a="1"/>
  <c r="J338" i="19" s="1"/>
  <c r="J342" i="19" a="1"/>
  <c r="J342" i="19" s="1"/>
  <c r="J343" i="19" a="1"/>
  <c r="J343" i="19" s="1"/>
  <c r="J344" i="19" a="1"/>
  <c r="J344" i="19" s="1"/>
  <c r="J345" i="19" a="1"/>
  <c r="J345" i="19" s="1"/>
  <c r="J346" i="19" a="1"/>
  <c r="J346" i="19" s="1"/>
  <c r="J347" i="19" a="1"/>
  <c r="J347" i="19" s="1"/>
  <c r="J348" i="19" a="1"/>
  <c r="J348" i="19" s="1"/>
  <c r="J349" i="19" a="1"/>
  <c r="J349" i="19" s="1"/>
  <c r="J350" i="19" a="1"/>
  <c r="J350" i="19" s="1"/>
  <c r="J351" i="19" a="1"/>
  <c r="J351" i="19" s="1"/>
  <c r="I325" i="19" a="1"/>
  <c r="I325" i="19" s="1"/>
  <c r="I326" i="19" a="1"/>
  <c r="I326" i="19" s="1"/>
  <c r="I327" i="19" a="1"/>
  <c r="I327" i="19" s="1"/>
  <c r="I328" i="19" a="1"/>
  <c r="I328" i="19" s="1"/>
  <c r="I329" i="19" a="1"/>
  <c r="I329" i="19" s="1"/>
  <c r="I330" i="19" a="1"/>
  <c r="I330" i="19" s="1"/>
  <c r="I331" i="19" a="1"/>
  <c r="I331" i="19" s="1"/>
  <c r="I332" i="19" a="1"/>
  <c r="I332" i="19" s="1"/>
  <c r="I333" i="19" a="1"/>
  <c r="I333" i="19" s="1"/>
  <c r="I334" i="19" a="1"/>
  <c r="I334" i="19" s="1"/>
  <c r="I336" i="19" a="1"/>
  <c r="I336" i="19" s="1"/>
  <c r="I337" i="19" a="1"/>
  <c r="I337" i="19" s="1"/>
  <c r="I338" i="19" a="1"/>
  <c r="I338" i="19" s="1"/>
  <c r="I342" i="19" a="1"/>
  <c r="I342" i="19" s="1"/>
  <c r="I343" i="19" a="1"/>
  <c r="I343" i="19" s="1"/>
  <c r="I344" i="19" a="1"/>
  <c r="I344" i="19" s="1"/>
  <c r="I345" i="19" a="1"/>
  <c r="I345" i="19" s="1"/>
  <c r="I346" i="19" a="1"/>
  <c r="I346" i="19" s="1"/>
  <c r="I347" i="19" a="1"/>
  <c r="I347" i="19" s="1"/>
  <c r="I321" i="19" a="1"/>
  <c r="I321" i="19" s="1"/>
  <c r="J321" i="19" a="1"/>
  <c r="J321" i="19" s="1"/>
  <c r="I320" i="19" a="1"/>
  <c r="I320" i="19" s="1"/>
  <c r="J320" i="19" a="1"/>
  <c r="J320" i="19" s="1"/>
  <c r="I319" i="19" a="1"/>
  <c r="I319" i="19" s="1"/>
  <c r="J319" i="19" a="1"/>
  <c r="J319" i="19" s="1"/>
  <c r="I318" i="19" a="1"/>
  <c r="I318" i="19" s="1"/>
  <c r="J318" i="19" a="1"/>
  <c r="J318" i="19" s="1"/>
  <c r="I317" i="19" a="1"/>
  <c r="I317" i="19" s="1"/>
  <c r="J317" i="19" a="1"/>
  <c r="J317" i="19" s="1"/>
  <c r="I316" i="19" a="1"/>
  <c r="I316" i="19" s="1"/>
  <c r="J316" i="19" a="1"/>
  <c r="J316" i="19" s="1"/>
  <c r="I315" i="19" a="1"/>
  <c r="I315" i="19" s="1"/>
  <c r="J315" i="19" a="1"/>
  <c r="J315" i="19" s="1"/>
  <c r="I314" i="19" a="1"/>
  <c r="I314" i="19" s="1"/>
  <c r="J314" i="19" a="1"/>
  <c r="J314" i="19" s="1"/>
  <c r="I313" i="19" a="1"/>
  <c r="I313" i="19" s="1"/>
  <c r="J313" i="19" a="1"/>
  <c r="J313" i="19" s="1"/>
  <c r="I312" i="19" a="1"/>
  <c r="I312" i="19" s="1"/>
  <c r="J312" i="19" a="1"/>
  <c r="J312" i="19" s="1"/>
  <c r="J310" i="19" a="1"/>
  <c r="J310" i="19" s="1"/>
  <c r="J311" i="19" a="1"/>
  <c r="J311" i="19" s="1"/>
  <c r="I310" i="19" a="1"/>
  <c r="I310" i="19" s="1"/>
  <c r="I311" i="19" a="1"/>
  <c r="I311" i="19" s="1"/>
  <c r="I309" i="19" a="1"/>
  <c r="I309" i="19" s="1"/>
  <c r="J309" i="19" a="1"/>
  <c r="J309" i="19" s="1"/>
  <c r="I308" i="19" a="1"/>
  <c r="I308" i="19" s="1"/>
  <c r="J308" i="19" a="1"/>
  <c r="J308" i="19" s="1"/>
  <c r="I307" i="19" a="1"/>
  <c r="I307" i="19" s="1"/>
  <c r="J307" i="19" a="1"/>
  <c r="J307" i="19" s="1"/>
  <c r="I306" i="19" a="1"/>
  <c r="I306" i="19" s="1"/>
  <c r="J306" i="19" a="1"/>
  <c r="J306" i="19" s="1"/>
  <c r="I305" i="19" a="1"/>
  <c r="I305" i="19" s="1"/>
  <c r="J305" i="19" a="1"/>
  <c r="J305" i="19" s="1"/>
  <c r="I296" i="19" a="1"/>
  <c r="I296" i="19" s="1"/>
  <c r="J296" i="19" a="1"/>
  <c r="J296" i="19" s="1"/>
  <c r="K296" i="19" a="1"/>
  <c r="K296" i="19" s="1"/>
  <c r="I297" i="19" a="1"/>
  <c r="I297" i="19" s="1"/>
  <c r="J297" i="19" a="1"/>
  <c r="J297" i="19" s="1"/>
  <c r="K297" i="19" a="1"/>
  <c r="K297" i="19" s="1"/>
  <c r="I295" i="19" a="1"/>
  <c r="I295" i="19" s="1"/>
  <c r="J295" i="19" a="1"/>
  <c r="J295" i="19" s="1"/>
  <c r="K295" i="19" a="1"/>
  <c r="K295" i="19" s="1"/>
  <c r="I289" i="19" a="1"/>
  <c r="I289" i="19" s="1"/>
  <c r="J289" i="19" a="1"/>
  <c r="J289" i="19" s="1"/>
  <c r="K289" i="19" a="1"/>
  <c r="K289" i="19" s="1"/>
  <c r="I288" i="19" a="1"/>
  <c r="I288" i="19" s="1"/>
  <c r="J288" i="19" a="1"/>
  <c r="J288" i="19" s="1"/>
  <c r="K288" i="19" a="1"/>
  <c r="K288" i="19" s="1"/>
  <c r="O1" i="20" l="1"/>
  <c r="I304" i="19" l="1" a="1"/>
  <c r="I304" i="19" s="1"/>
  <c r="J304" i="19" a="1"/>
  <c r="J304" i="19" s="1"/>
  <c r="I303" i="19" a="1"/>
  <c r="I303" i="19" s="1"/>
  <c r="J303" i="19" a="1"/>
  <c r="J303" i="19" s="1"/>
  <c r="I302" i="19" a="1"/>
  <c r="I302" i="19" s="1"/>
  <c r="I301" i="19" a="1"/>
  <c r="I301" i="19" s="1"/>
  <c r="I300" i="19" a="1"/>
  <c r="I300" i="19" s="1"/>
  <c r="J286" i="19" a="1"/>
  <c r="J286" i="19" s="1"/>
  <c r="J287" i="19" a="1"/>
  <c r="J287" i="19" s="1"/>
  <c r="J290" i="19" a="1"/>
  <c r="J290" i="19" s="1"/>
  <c r="J291" i="19" a="1"/>
  <c r="J291" i="19" s="1"/>
  <c r="J292" i="19" a="1"/>
  <c r="J292" i="19" s="1"/>
  <c r="J293" i="19" a="1"/>
  <c r="J293" i="19" s="1"/>
  <c r="J294" i="19" a="1"/>
  <c r="J294" i="19" s="1"/>
  <c r="J298" i="19" a="1"/>
  <c r="J298" i="19" s="1"/>
  <c r="J299" i="19" a="1"/>
  <c r="J299" i="19" s="1"/>
  <c r="J300" i="19" a="1"/>
  <c r="J300" i="19" s="1"/>
  <c r="J301" i="19" a="1"/>
  <c r="J301" i="19" s="1"/>
  <c r="J302" i="19" a="1"/>
  <c r="J302" i="19" s="1"/>
  <c r="I286" i="19" a="1"/>
  <c r="I286" i="19" s="1"/>
  <c r="I287" i="19" a="1"/>
  <c r="I287" i="19" s="1"/>
  <c r="I290" i="19" a="1"/>
  <c r="I290" i="19" s="1"/>
  <c r="I291" i="19" a="1"/>
  <c r="I291" i="19" s="1"/>
  <c r="I292" i="19" a="1"/>
  <c r="I292" i="19" s="1"/>
  <c r="I293" i="19" a="1"/>
  <c r="I293" i="19" s="1"/>
  <c r="I294" i="19" a="1"/>
  <c r="I294" i="19" s="1"/>
  <c r="I298" i="19" a="1"/>
  <c r="I298" i="19" s="1"/>
  <c r="I299" i="19" a="1"/>
  <c r="I299" i="19" s="1"/>
  <c r="I285" i="19" a="1"/>
  <c r="I285" i="19" s="1"/>
  <c r="J285" i="19" a="1"/>
  <c r="J285" i="19" s="1"/>
  <c r="I284" i="19" a="1"/>
  <c r="I284" i="19" s="1"/>
  <c r="J284" i="19" a="1"/>
  <c r="J284" i="19" s="1"/>
  <c r="I283" i="19" a="1"/>
  <c r="I283" i="19" s="1"/>
  <c r="J283" i="19" a="1"/>
  <c r="J283" i="19" s="1"/>
  <c r="I282" i="19" a="1"/>
  <c r="I282" i="19" s="1"/>
  <c r="J282" i="19" a="1"/>
  <c r="J282" i="19" s="1"/>
  <c r="I281" i="19" a="1"/>
  <c r="I281" i="19" s="1"/>
  <c r="J281" i="19" a="1"/>
  <c r="J281" i="19" s="1"/>
  <c r="J280" i="19" a="1"/>
  <c r="J280" i="19" s="1"/>
  <c r="K275" i="19" a="1"/>
  <c r="K275" i="19" s="1"/>
  <c r="K276" i="19" a="1"/>
  <c r="K276" i="19" s="1"/>
  <c r="J275" i="19" a="1"/>
  <c r="J275" i="19" s="1"/>
  <c r="J276" i="19" a="1"/>
  <c r="J276" i="19" s="1"/>
  <c r="I276" i="19" a="1"/>
  <c r="I276" i="19" s="1"/>
  <c r="I275" i="19" a="1"/>
  <c r="I275" i="19" s="1"/>
  <c r="I274" i="19" a="1"/>
  <c r="I274" i="19" s="1"/>
  <c r="J274" i="19" a="1"/>
  <c r="J274" i="19" s="1"/>
  <c r="K274" i="19" a="1"/>
  <c r="K274" i="19" s="1"/>
  <c r="I270" i="19" a="1"/>
  <c r="I270" i="19" s="1"/>
  <c r="J270" i="19" a="1"/>
  <c r="J270" i="19" s="1"/>
  <c r="K270" i="19" a="1"/>
  <c r="K270" i="19" s="1"/>
  <c r="I269" i="19" a="1"/>
  <c r="I269" i="19" s="1"/>
  <c r="J269" i="19" a="1"/>
  <c r="J269" i="19" s="1"/>
  <c r="K269" i="19" a="1"/>
  <c r="K269" i="19" s="1"/>
  <c r="K257" i="19" a="1"/>
  <c r="K257" i="19" s="1"/>
  <c r="K258" i="19" a="1"/>
  <c r="K258" i="19" s="1"/>
  <c r="K259" i="19" a="1"/>
  <c r="K259" i="19" s="1"/>
  <c r="J257" i="19" a="1"/>
  <c r="J257" i="19" s="1"/>
  <c r="J258" i="19" a="1"/>
  <c r="J258" i="19" s="1"/>
  <c r="J259" i="19" a="1"/>
  <c r="J259" i="19" s="1"/>
  <c r="J260" i="19" a="1"/>
  <c r="J260" i="19" s="1"/>
  <c r="J261" i="19" a="1"/>
  <c r="J261" i="19" s="1"/>
  <c r="J262" i="19" a="1"/>
  <c r="J262" i="19" s="1"/>
  <c r="J263" i="19" a="1"/>
  <c r="J263" i="19" s="1"/>
  <c r="J264" i="19" a="1"/>
  <c r="J264" i="19" s="1"/>
  <c r="J265" i="19" a="1"/>
  <c r="J265" i="19" s="1"/>
  <c r="J266" i="19" a="1"/>
  <c r="J266" i="19" s="1"/>
  <c r="J267" i="19" a="1"/>
  <c r="J267" i="19" s="1"/>
  <c r="J268" i="19" a="1"/>
  <c r="J268" i="19" s="1"/>
  <c r="J271" i="19" a="1"/>
  <c r="J271" i="19" s="1"/>
  <c r="J272" i="19" a="1"/>
  <c r="J272" i="19" s="1"/>
  <c r="J273" i="19" a="1"/>
  <c r="J273" i="19" s="1"/>
  <c r="J277" i="19" a="1"/>
  <c r="J277" i="19" s="1"/>
  <c r="J278" i="19" a="1"/>
  <c r="J278" i="19" s="1"/>
  <c r="J279" i="19" a="1"/>
  <c r="J279" i="19" s="1"/>
  <c r="I257" i="19" a="1"/>
  <c r="I257" i="19" s="1"/>
  <c r="I258" i="19" a="1"/>
  <c r="I258" i="19" s="1"/>
  <c r="I259" i="19" a="1"/>
  <c r="I259" i="19" s="1"/>
  <c r="I260" i="19" a="1"/>
  <c r="I260" i="19" s="1"/>
  <c r="I261" i="19" a="1"/>
  <c r="I261" i="19" s="1"/>
  <c r="I262" i="19" a="1"/>
  <c r="I262" i="19" s="1"/>
  <c r="I263" i="19" a="1"/>
  <c r="I263" i="19" s="1"/>
  <c r="I264" i="19" a="1"/>
  <c r="I264" i="19" s="1"/>
  <c r="I265" i="19" a="1"/>
  <c r="I265" i="19" s="1"/>
  <c r="I266" i="19" a="1"/>
  <c r="I266" i="19" s="1"/>
  <c r="I267" i="19" a="1"/>
  <c r="I267" i="19" s="1"/>
  <c r="I268" i="19" a="1"/>
  <c r="I268" i="19" s="1"/>
  <c r="I271" i="19" a="1"/>
  <c r="I271" i="19" s="1"/>
  <c r="I272" i="19" a="1"/>
  <c r="I272" i="19" s="1"/>
  <c r="I273" i="19" a="1"/>
  <c r="I273" i="19" s="1"/>
  <c r="I277" i="19" a="1"/>
  <c r="I277" i="19" s="1"/>
  <c r="I278" i="19" a="1"/>
  <c r="I278" i="19" s="1"/>
  <c r="I279" i="19" a="1"/>
  <c r="I279" i="19" s="1"/>
  <c r="I280" i="19" a="1"/>
  <c r="I280" i="19" s="1"/>
  <c r="I253" i="19" a="1"/>
  <c r="I253" i="19" s="1"/>
  <c r="J253" i="19" a="1"/>
  <c r="J253" i="19" s="1"/>
  <c r="K253" i="19" a="1"/>
  <c r="K253" i="19" s="1"/>
  <c r="I252" i="19" a="1"/>
  <c r="I252" i="19" s="1"/>
  <c r="J252" i="19" a="1"/>
  <c r="J252" i="19" s="1"/>
  <c r="K252" i="19" a="1"/>
  <c r="K252" i="19" s="1"/>
  <c r="I256" i="19" a="1"/>
  <c r="I256" i="19" s="1"/>
  <c r="J256" i="19" a="1"/>
  <c r="J256" i="19" s="1"/>
  <c r="K256" i="19" a="1"/>
  <c r="K256" i="19" s="1"/>
  <c r="I255" i="19" a="1"/>
  <c r="I255" i="19" s="1"/>
  <c r="J255" i="19" a="1"/>
  <c r="J255" i="19" s="1"/>
  <c r="K255" i="19" a="1"/>
  <c r="K255" i="19" s="1"/>
  <c r="I254" i="19" a="1"/>
  <c r="I254" i="19" s="1"/>
  <c r="J254" i="19" a="1"/>
  <c r="J254" i="19" s="1"/>
  <c r="K254" i="19" a="1"/>
  <c r="K254" i="19" s="1"/>
  <c r="I251" i="19" a="1"/>
  <c r="I251" i="19" s="1"/>
  <c r="J251" i="19" a="1"/>
  <c r="J251" i="19" s="1"/>
  <c r="K251" i="19" a="1"/>
  <c r="K251" i="19" s="1"/>
  <c r="I250" i="19" a="1"/>
  <c r="I250" i="19" s="1"/>
  <c r="J250" i="19" a="1"/>
  <c r="J250" i="19" s="1"/>
  <c r="K250" i="19" a="1"/>
  <c r="K250" i="19" s="1"/>
  <c r="I249" i="19" a="1"/>
  <c r="I249" i="19" s="1"/>
  <c r="J249" i="19" a="1"/>
  <c r="J249" i="19" s="1"/>
  <c r="K249" i="19" a="1"/>
  <c r="K249" i="19" s="1"/>
  <c r="I248" i="19" a="1"/>
  <c r="I248" i="19" s="1"/>
  <c r="J248" i="19" a="1"/>
  <c r="J248" i="19" s="1"/>
  <c r="K248" i="19" a="1"/>
  <c r="K248" i="19" s="1"/>
  <c r="I247" i="19" a="1"/>
  <c r="I247" i="19" s="1"/>
  <c r="J247" i="19" a="1"/>
  <c r="J247" i="19" s="1"/>
  <c r="K247" i="19" a="1"/>
  <c r="K247" i="19" s="1"/>
  <c r="I246" i="19" a="1"/>
  <c r="I246" i="19" s="1"/>
  <c r="J246" i="19" a="1"/>
  <c r="J246" i="19" s="1"/>
  <c r="K246" i="19" a="1"/>
  <c r="K246" i="19" s="1"/>
  <c r="I245" i="19" a="1"/>
  <c r="I245" i="19" s="1"/>
  <c r="J245" i="19" a="1"/>
  <c r="J245" i="19" s="1"/>
  <c r="K245" i="19" a="1"/>
  <c r="K245" i="19" s="1"/>
  <c r="I244" i="19" a="1"/>
  <c r="I244" i="19" s="1"/>
  <c r="J244" i="19" a="1"/>
  <c r="J244" i="19" s="1"/>
  <c r="K244" i="19" a="1"/>
  <c r="K244" i="19" s="1"/>
  <c r="I243" i="19" a="1"/>
  <c r="I243" i="19" s="1"/>
  <c r="J243" i="19" a="1"/>
  <c r="J243" i="19" s="1"/>
  <c r="K243" i="19" a="1"/>
  <c r="K243" i="19" s="1"/>
  <c r="I242" i="19" a="1"/>
  <c r="I242" i="19" s="1"/>
  <c r="J242" i="19" a="1"/>
  <c r="J242" i="19" s="1"/>
  <c r="K242" i="19" a="1"/>
  <c r="K242" i="19" s="1"/>
  <c r="I241" i="19" a="1"/>
  <c r="I241" i="19" s="1"/>
  <c r="J241" i="19" a="1"/>
  <c r="J241" i="19" s="1"/>
  <c r="K241" i="19" a="1"/>
  <c r="K241" i="19" s="1"/>
  <c r="I240" i="19" a="1"/>
  <c r="I240" i="19" s="1"/>
  <c r="J240" i="19" a="1"/>
  <c r="J240" i="19" s="1"/>
  <c r="K240" i="19" a="1"/>
  <c r="K240" i="19" s="1"/>
  <c r="I239" i="19" a="1"/>
  <c r="I239" i="19" s="1"/>
  <c r="J239" i="19" a="1"/>
  <c r="J239" i="19" s="1"/>
  <c r="K239" i="19" a="1"/>
  <c r="K239" i="19" s="1"/>
  <c r="I238" i="19" a="1"/>
  <c r="I238" i="19" s="1"/>
  <c r="J238" i="19" a="1"/>
  <c r="J238" i="19" s="1"/>
  <c r="K238" i="19" a="1"/>
  <c r="K238" i="19" s="1"/>
  <c r="I237" i="19" a="1"/>
  <c r="I237" i="19" s="1"/>
  <c r="J237" i="19" a="1"/>
  <c r="J237" i="19" s="1"/>
  <c r="K237" i="19" a="1"/>
  <c r="K237" i="19" s="1"/>
  <c r="I236" i="19" a="1"/>
  <c r="I236" i="19" s="1"/>
  <c r="J236" i="19" a="1"/>
  <c r="J236" i="19" s="1"/>
  <c r="K236" i="19" a="1"/>
  <c r="K236" i="19" s="1"/>
  <c r="I235" i="19" a="1"/>
  <c r="I235" i="19" s="1"/>
  <c r="J235" i="19" a="1"/>
  <c r="J235" i="19" s="1"/>
  <c r="K235" i="19" a="1"/>
  <c r="K235" i="19" s="1"/>
  <c r="I234" i="19" a="1"/>
  <c r="I234" i="19" s="1"/>
  <c r="J234" i="19" a="1"/>
  <c r="J234" i="19" s="1"/>
  <c r="K234" i="19" a="1"/>
  <c r="K234" i="19" s="1"/>
  <c r="I233" i="19" a="1"/>
  <c r="I233" i="19" s="1"/>
  <c r="J233" i="19" a="1"/>
  <c r="J233" i="19" s="1"/>
  <c r="K233" i="19" a="1"/>
  <c r="K233" i="19" s="1"/>
  <c r="I232" i="19" a="1"/>
  <c r="I232" i="19" s="1"/>
  <c r="J232" i="19" a="1"/>
  <c r="J232" i="19" s="1"/>
  <c r="K232" i="19" a="1"/>
  <c r="K232" i="19" s="1"/>
  <c r="I231" i="19" a="1"/>
  <c r="I231" i="19" s="1"/>
  <c r="J231" i="19" a="1"/>
  <c r="J231" i="19" s="1"/>
  <c r="K231" i="19" a="1"/>
  <c r="K231" i="19" s="1"/>
  <c r="I223" i="19" a="1"/>
  <c r="I223" i="19" s="1"/>
  <c r="J223" i="19" a="1"/>
  <c r="J223" i="19" s="1"/>
  <c r="K223" i="19" a="1"/>
  <c r="K223" i="19" s="1"/>
  <c r="I222" i="19" a="1"/>
  <c r="I222" i="19" s="1"/>
  <c r="J222" i="19" a="1"/>
  <c r="J222" i="19" s="1"/>
  <c r="K222" i="19" a="1"/>
  <c r="K222" i="19" s="1"/>
  <c r="I221" i="19" a="1"/>
  <c r="I221" i="19" s="1"/>
  <c r="J221" i="19" a="1"/>
  <c r="J221" i="19" s="1"/>
  <c r="K221" i="19" a="1"/>
  <c r="K221" i="19" s="1"/>
  <c r="I220" i="19" a="1"/>
  <c r="I220" i="19" s="1"/>
  <c r="J220" i="19" a="1"/>
  <c r="J220" i="19" s="1"/>
  <c r="K220" i="19" a="1"/>
  <c r="K220" i="19" s="1"/>
  <c r="I219" i="19" a="1"/>
  <c r="I219" i="19" s="1"/>
  <c r="J219" i="19" a="1"/>
  <c r="J219" i="19" s="1"/>
  <c r="K219" i="19" a="1"/>
  <c r="K219" i="19" s="1"/>
  <c r="I216" i="19" a="1"/>
  <c r="I216" i="19" s="1"/>
  <c r="J216" i="19" a="1"/>
  <c r="J216" i="19" s="1"/>
  <c r="K216" i="19" a="1"/>
  <c r="K216" i="19" s="1"/>
  <c r="I215" i="19" a="1"/>
  <c r="I215" i="19" s="1"/>
  <c r="J215" i="19" a="1"/>
  <c r="J215" i="19" s="1"/>
  <c r="K215" i="19" a="1"/>
  <c r="K215" i="19" s="1"/>
  <c r="I214" i="19" a="1"/>
  <c r="I214" i="19" s="1"/>
  <c r="J214" i="19" a="1"/>
  <c r="J214" i="19" s="1"/>
  <c r="K214" i="19" a="1"/>
  <c r="K214" i="19" s="1"/>
  <c r="I213" i="19" a="1"/>
  <c r="I213" i="19" s="1"/>
  <c r="J213" i="19" a="1"/>
  <c r="J213" i="19" s="1"/>
  <c r="K213" i="19" a="1"/>
  <c r="K213" i="19" s="1"/>
  <c r="I212" i="19" a="1"/>
  <c r="I212" i="19" s="1"/>
  <c r="J212" i="19" a="1"/>
  <c r="J212" i="19" s="1"/>
  <c r="K212" i="19" a="1"/>
  <c r="K212" i="19" s="1"/>
  <c r="I209" i="19" a="1"/>
  <c r="I209" i="19" s="1"/>
  <c r="J209" i="19" a="1"/>
  <c r="J209" i="19" s="1"/>
  <c r="K209" i="19" a="1"/>
  <c r="K209" i="19" s="1"/>
  <c r="I208" i="19" a="1"/>
  <c r="I208" i="19" s="1"/>
  <c r="J208" i="19" a="1"/>
  <c r="J208" i="19" s="1"/>
  <c r="K208" i="19" a="1"/>
  <c r="K208" i="19" s="1"/>
  <c r="I207" i="19" a="1"/>
  <c r="I207" i="19" s="1"/>
  <c r="J207" i="19" a="1"/>
  <c r="J207" i="19" s="1"/>
  <c r="K207" i="19" a="1"/>
  <c r="K207" i="19" s="1"/>
  <c r="I206" i="19" a="1"/>
  <c r="I206" i="19" s="1"/>
  <c r="J206" i="19" a="1"/>
  <c r="J206" i="19" s="1"/>
  <c r="K206" i="19" a="1"/>
  <c r="K206" i="19" s="1"/>
  <c r="I205" i="19" a="1"/>
  <c r="I205" i="19" s="1"/>
  <c r="J205" i="19" a="1"/>
  <c r="J205" i="19" s="1"/>
  <c r="K205" i="19" a="1"/>
  <c r="K205" i="19" s="1"/>
  <c r="K183" i="19" a="1"/>
  <c r="K183" i="19" s="1"/>
  <c r="K184" i="19" a="1"/>
  <c r="K184" i="19" s="1"/>
  <c r="K185" i="19" a="1"/>
  <c r="K185" i="19" s="1"/>
  <c r="K186" i="19" a="1"/>
  <c r="K186" i="19" s="1"/>
  <c r="K187" i="19" a="1"/>
  <c r="K187" i="19" s="1"/>
  <c r="K188" i="19" a="1"/>
  <c r="K188" i="19" s="1"/>
  <c r="K189" i="19" a="1"/>
  <c r="K189" i="19" s="1"/>
  <c r="J183" i="19" a="1"/>
  <c r="J183" i="19" s="1"/>
  <c r="J184" i="19" a="1"/>
  <c r="J184" i="19" s="1"/>
  <c r="J185" i="19" a="1"/>
  <c r="J185" i="19" s="1"/>
  <c r="J186" i="19" a="1"/>
  <c r="J186" i="19" s="1"/>
  <c r="J187" i="19" a="1"/>
  <c r="J187" i="19" s="1"/>
  <c r="J188" i="19" a="1"/>
  <c r="J188" i="19" s="1"/>
  <c r="J189" i="19" a="1"/>
  <c r="J189" i="19" s="1"/>
  <c r="I184" i="19" a="1"/>
  <c r="I184" i="19" s="1"/>
  <c r="I185" i="19" a="1"/>
  <c r="I185" i="19" s="1"/>
  <c r="I186" i="19" a="1"/>
  <c r="I186" i="19" s="1"/>
  <c r="I187" i="19" a="1"/>
  <c r="I187" i="19" s="1"/>
  <c r="I188" i="19" a="1"/>
  <c r="I188" i="19" s="1"/>
  <c r="I189" i="19" a="1"/>
  <c r="I189" i="19" s="1"/>
  <c r="I200" i="19" a="1"/>
  <c r="I200" i="19" s="1"/>
  <c r="J200" i="19" a="1"/>
  <c r="J200" i="19" s="1"/>
  <c r="K200" i="19" a="1"/>
  <c r="K200" i="19" s="1"/>
  <c r="I199" i="19" a="1"/>
  <c r="I199" i="19" s="1"/>
  <c r="J199" i="19" a="1"/>
  <c r="J199" i="19" s="1"/>
  <c r="K199" i="19" a="1"/>
  <c r="K199" i="19" s="1"/>
  <c r="I198" i="19" a="1"/>
  <c r="I198" i="19" s="1"/>
  <c r="J198" i="19" a="1"/>
  <c r="J198" i="19" s="1"/>
  <c r="K198" i="19" a="1"/>
  <c r="K198" i="19" s="1"/>
  <c r="I197" i="19" a="1"/>
  <c r="I197" i="19" s="1"/>
  <c r="J197" i="19" a="1"/>
  <c r="J197" i="19" s="1"/>
  <c r="K197" i="19" a="1"/>
  <c r="K197" i="19" s="1"/>
  <c r="I183" i="19" l="1" a="1"/>
  <c r="I183" i="19" s="1"/>
  <c r="I230" i="19" a="1"/>
  <c r="I230" i="19" s="1"/>
  <c r="J230" i="19" a="1"/>
  <c r="J230" i="19" s="1"/>
  <c r="K230" i="19" a="1"/>
  <c r="K230" i="19" s="1"/>
  <c r="I229" i="19" a="1"/>
  <c r="I229" i="19" s="1"/>
  <c r="J229" i="19" a="1"/>
  <c r="J229" i="19" s="1"/>
  <c r="K229" i="19" a="1"/>
  <c r="K229" i="19" s="1"/>
  <c r="I228" i="19" a="1"/>
  <c r="I228" i="19" s="1"/>
  <c r="J228" i="19" a="1"/>
  <c r="J228" i="19" s="1"/>
  <c r="K228" i="19" a="1"/>
  <c r="K228" i="19" s="1"/>
  <c r="I227" i="19" a="1"/>
  <c r="I227" i="19" s="1"/>
  <c r="J227" i="19" a="1"/>
  <c r="J227" i="19" s="1"/>
  <c r="K227" i="19" a="1"/>
  <c r="K227" i="19" s="1"/>
  <c r="I226" i="19" a="1"/>
  <c r="I226" i="19" s="1"/>
  <c r="J226" i="19" a="1"/>
  <c r="J226" i="19" s="1"/>
  <c r="K226" i="19" a="1"/>
  <c r="K226" i="19" s="1"/>
  <c r="I225" i="19" a="1"/>
  <c r="I225" i="19" s="1"/>
  <c r="J225" i="19" a="1"/>
  <c r="J225" i="19" s="1"/>
  <c r="K225" i="19" a="1"/>
  <c r="K225" i="19" s="1"/>
  <c r="I224" i="19" a="1"/>
  <c r="I224" i="19" s="1"/>
  <c r="J224" i="19" a="1"/>
  <c r="J224" i="19" s="1"/>
  <c r="K224" i="19" a="1"/>
  <c r="K224" i="19" s="1"/>
  <c r="I218" i="19" a="1"/>
  <c r="I218" i="19" s="1"/>
  <c r="J218" i="19" a="1"/>
  <c r="J218" i="19" s="1"/>
  <c r="K218" i="19" a="1"/>
  <c r="K218" i="19" s="1"/>
  <c r="I217" i="19" a="1"/>
  <c r="I217" i="19" s="1"/>
  <c r="J217" i="19" a="1"/>
  <c r="J217" i="19" s="1"/>
  <c r="K217" i="19" a="1"/>
  <c r="K217" i="19" s="1"/>
  <c r="I211" i="19" a="1"/>
  <c r="I211" i="19" s="1"/>
  <c r="J211" i="19" a="1"/>
  <c r="J211" i="19" s="1"/>
  <c r="K211" i="19" a="1"/>
  <c r="K211" i="19" s="1"/>
  <c r="I210" i="19" a="1"/>
  <c r="I210" i="19" s="1"/>
  <c r="J210" i="19" a="1"/>
  <c r="J210" i="19" s="1"/>
  <c r="K210" i="19" a="1"/>
  <c r="K210" i="19" s="1"/>
  <c r="I204" i="19" a="1"/>
  <c r="I204" i="19" s="1"/>
  <c r="J204" i="19" a="1"/>
  <c r="J204" i="19" s="1"/>
  <c r="K204" i="19" a="1"/>
  <c r="K204" i="19" s="1"/>
  <c r="I203" i="19" a="1"/>
  <c r="I203" i="19" s="1"/>
  <c r="J203" i="19" a="1"/>
  <c r="J203" i="19" s="1"/>
  <c r="K203" i="19" a="1"/>
  <c r="K203" i="19" s="1"/>
  <c r="I202" i="19" a="1"/>
  <c r="I202" i="19" s="1"/>
  <c r="J202" i="19" a="1"/>
  <c r="J202" i="19" s="1"/>
  <c r="K202" i="19" a="1"/>
  <c r="K202" i="19" s="1"/>
  <c r="I201" i="19" a="1"/>
  <c r="I201" i="19" s="1"/>
  <c r="J201" i="19" a="1"/>
  <c r="J201" i="19" s="1"/>
  <c r="K201" i="19" a="1"/>
  <c r="K201" i="19" s="1"/>
  <c r="K66" i="19" a="1"/>
  <c r="K66" i="19" s="1"/>
  <c r="J66" i="19" a="1"/>
  <c r="J66" i="19" s="1"/>
  <c r="I66" i="19" a="1"/>
  <c r="I66" i="19" s="1"/>
  <c r="K65" i="19" a="1"/>
  <c r="K65" i="19" s="1"/>
  <c r="J65" i="19" a="1"/>
  <c r="J65" i="19" s="1"/>
  <c r="I65" i="19" a="1"/>
  <c r="I65" i="19" s="1"/>
  <c r="K64" i="19" a="1"/>
  <c r="K64" i="19" s="1"/>
  <c r="J64" i="19" a="1"/>
  <c r="J64" i="19" s="1"/>
  <c r="I64" i="19" a="1"/>
  <c r="I64" i="19" s="1"/>
  <c r="K63" i="19" a="1"/>
  <c r="K63" i="19" s="1"/>
  <c r="J63" i="19" a="1"/>
  <c r="J63" i="19" s="1"/>
  <c r="I63" i="19" a="1"/>
  <c r="I63" i="19" s="1"/>
  <c r="K62" i="19" a="1"/>
  <c r="K62" i="19" s="1"/>
  <c r="J62" i="19" a="1"/>
  <c r="J62" i="19" s="1"/>
  <c r="I62" i="19" a="1"/>
  <c r="I62" i="19" s="1"/>
  <c r="K61" i="19" a="1"/>
  <c r="K61" i="19" s="1"/>
  <c r="J61" i="19" a="1"/>
  <c r="J61" i="19" s="1"/>
  <c r="I61" i="19" a="1"/>
  <c r="I61" i="19" s="1"/>
  <c r="K60" i="19" a="1"/>
  <c r="K60" i="19" s="1"/>
  <c r="J60" i="19" a="1"/>
  <c r="J60" i="19" s="1"/>
  <c r="I60" i="19" a="1"/>
  <c r="I60" i="19" s="1"/>
  <c r="AA18" i="19"/>
  <c r="AA20" i="19"/>
  <c r="Z10" i="19"/>
  <c r="Z11" i="19"/>
  <c r="Z12" i="19"/>
  <c r="Z13" i="19"/>
  <c r="Z14" i="19"/>
  <c r="Z15" i="19"/>
  <c r="Z16" i="19"/>
  <c r="Z17" i="19"/>
  <c r="Z18" i="19"/>
  <c r="Z19" i="19"/>
  <c r="Z20" i="19"/>
  <c r="Z9" i="19"/>
  <c r="AA3" i="19"/>
  <c r="AA4" i="19"/>
  <c r="AA5" i="19"/>
  <c r="AA2" i="19"/>
  <c r="Z5" i="19"/>
  <c r="Z4" i="19"/>
  <c r="Z3" i="19"/>
  <c r="Z2" i="19"/>
  <c r="I3" i="19" a="1"/>
  <c r="I3" i="19" s="1"/>
  <c r="J3" i="19" a="1"/>
  <c r="J3" i="19" s="1"/>
  <c r="K3" i="19" a="1"/>
  <c r="K3" i="19" s="1"/>
  <c r="I16" i="19" a="1"/>
  <c r="I16" i="19" s="1"/>
  <c r="J16" i="19" a="1"/>
  <c r="J16" i="19" s="1"/>
  <c r="K16" i="19" a="1"/>
  <c r="K16" i="19" s="1"/>
  <c r="I2" i="19" a="1"/>
  <c r="I2" i="19" s="1"/>
  <c r="J2" i="19" a="1"/>
  <c r="J2" i="19" s="1"/>
  <c r="K2" i="19" a="1"/>
  <c r="K2" i="19" s="1"/>
  <c r="I8" i="19" a="1"/>
  <c r="I8" i="19" s="1"/>
  <c r="J8" i="19" a="1"/>
  <c r="J8" i="19" s="1"/>
  <c r="K8" i="19" a="1"/>
  <c r="K8" i="19" s="1"/>
  <c r="I4" i="19" a="1"/>
  <c r="I4" i="19" s="1"/>
  <c r="J4" i="19" a="1"/>
  <c r="J4" i="19" s="1"/>
  <c r="K4" i="19" a="1"/>
  <c r="K4" i="19" s="1"/>
  <c r="I5" i="19" a="1"/>
  <c r="I5" i="19" s="1"/>
  <c r="J5" i="19" a="1"/>
  <c r="J5" i="19" s="1"/>
  <c r="K5" i="19" a="1"/>
  <c r="K5" i="19" s="1"/>
  <c r="I6" i="19" a="1"/>
  <c r="I6" i="19" s="1"/>
  <c r="J6" i="19" a="1"/>
  <c r="J6" i="19" s="1"/>
  <c r="K6" i="19" a="1"/>
  <c r="K6" i="19" s="1"/>
  <c r="I9" i="19" a="1"/>
  <c r="I9" i="19" s="1"/>
  <c r="J9" i="19" a="1"/>
  <c r="J9" i="19" s="1"/>
  <c r="K9" i="19" a="1"/>
  <c r="K9" i="19" s="1"/>
  <c r="I10" i="19" a="1"/>
  <c r="I10" i="19" s="1"/>
  <c r="J10" i="19" a="1"/>
  <c r="J10" i="19" s="1"/>
  <c r="K10" i="19" a="1"/>
  <c r="K10" i="19" s="1"/>
  <c r="I11" i="19" a="1"/>
  <c r="I11" i="19" s="1"/>
  <c r="J11" i="19" a="1"/>
  <c r="J11" i="19" s="1"/>
  <c r="K11" i="19" a="1"/>
  <c r="K11" i="19" s="1"/>
  <c r="I12" i="19" a="1"/>
  <c r="I12" i="19" s="1"/>
  <c r="J12" i="19" a="1"/>
  <c r="J12" i="19" s="1"/>
  <c r="K12" i="19" a="1"/>
  <c r="K12" i="19" s="1"/>
  <c r="I13" i="19" a="1"/>
  <c r="I13" i="19" s="1"/>
  <c r="J13" i="19" a="1"/>
  <c r="J13" i="19" s="1"/>
  <c r="K13" i="19" a="1"/>
  <c r="K13" i="19" s="1"/>
  <c r="I14" i="19" a="1"/>
  <c r="I14" i="19" s="1"/>
  <c r="J14" i="19" a="1"/>
  <c r="J14" i="19" s="1"/>
  <c r="K14" i="19" a="1"/>
  <c r="K14" i="19" s="1"/>
  <c r="I15" i="19" a="1"/>
  <c r="I15" i="19" s="1"/>
  <c r="J15" i="19" a="1"/>
  <c r="J15" i="19" s="1"/>
  <c r="K15" i="19" a="1"/>
  <c r="K15" i="19" s="1"/>
  <c r="I17" i="19" a="1"/>
  <c r="I17" i="19" s="1"/>
  <c r="J17" i="19" a="1"/>
  <c r="J17" i="19" s="1"/>
  <c r="K17" i="19" a="1"/>
  <c r="K17" i="19" s="1"/>
  <c r="I18" i="19" a="1"/>
  <c r="I18" i="19" s="1"/>
  <c r="J18" i="19" a="1"/>
  <c r="J18" i="19" s="1"/>
  <c r="K18" i="19" a="1"/>
  <c r="K18" i="19" s="1"/>
  <c r="I19" i="19" a="1"/>
  <c r="I19" i="19" s="1"/>
  <c r="J19" i="19" a="1"/>
  <c r="J19" i="19" s="1"/>
  <c r="K19" i="19" a="1"/>
  <c r="K19" i="19" s="1"/>
  <c r="I20" i="19" a="1"/>
  <c r="I20" i="19" s="1"/>
  <c r="J20" i="19" a="1"/>
  <c r="J20" i="19" s="1"/>
  <c r="K20" i="19" a="1"/>
  <c r="K20" i="19" s="1"/>
  <c r="I21" i="19" a="1"/>
  <c r="I21" i="19" s="1"/>
  <c r="J21" i="19" a="1"/>
  <c r="J21" i="19" s="1"/>
  <c r="K21" i="19" a="1"/>
  <c r="K21" i="19" s="1"/>
  <c r="I22" i="19" a="1"/>
  <c r="I22" i="19" s="1"/>
  <c r="J22" i="19" a="1"/>
  <c r="J22" i="19" s="1"/>
  <c r="K22" i="19" a="1"/>
  <c r="K22" i="19" s="1"/>
  <c r="I23" i="19" a="1"/>
  <c r="I23" i="19" s="1"/>
  <c r="J23" i="19" a="1"/>
  <c r="J23" i="19" s="1"/>
  <c r="K23" i="19" a="1"/>
  <c r="K23" i="19" s="1"/>
  <c r="I24" i="19" a="1"/>
  <c r="I24" i="19" s="1"/>
  <c r="J24" i="19" a="1"/>
  <c r="J24" i="19" s="1"/>
  <c r="K24" i="19" a="1"/>
  <c r="K24" i="19" s="1"/>
  <c r="I25" i="19" a="1"/>
  <c r="I25" i="19" s="1"/>
  <c r="J25" i="19" a="1"/>
  <c r="J25" i="19" s="1"/>
  <c r="K25" i="19" a="1"/>
  <c r="K25" i="19" s="1"/>
  <c r="I26" i="19" a="1"/>
  <c r="I26" i="19" s="1"/>
  <c r="J26" i="19" a="1"/>
  <c r="J26" i="19" s="1"/>
  <c r="K26" i="19" a="1"/>
  <c r="K26" i="19" s="1"/>
  <c r="I27" i="19" a="1"/>
  <c r="I27" i="19" s="1"/>
  <c r="J27" i="19" a="1"/>
  <c r="J27" i="19" s="1"/>
  <c r="K27" i="19" a="1"/>
  <c r="K27" i="19" s="1"/>
  <c r="I28" i="19" a="1"/>
  <c r="I28" i="19" s="1"/>
  <c r="J28" i="19" a="1"/>
  <c r="J28" i="19" s="1"/>
  <c r="K28" i="19" a="1"/>
  <c r="K28" i="19" s="1"/>
  <c r="I29" i="19" a="1"/>
  <c r="I29" i="19" s="1"/>
  <c r="J29" i="19" a="1"/>
  <c r="J29" i="19" s="1"/>
  <c r="K29" i="19" a="1"/>
  <c r="K29" i="19" s="1"/>
  <c r="I30" i="19" a="1"/>
  <c r="I30" i="19" s="1"/>
  <c r="J30" i="19" a="1"/>
  <c r="J30" i="19" s="1"/>
  <c r="K30" i="19" a="1"/>
  <c r="K30" i="19" s="1"/>
  <c r="I31" i="19" a="1"/>
  <c r="I31" i="19" s="1"/>
  <c r="J31" i="19" a="1"/>
  <c r="J31" i="19" s="1"/>
  <c r="K31" i="19" a="1"/>
  <c r="K31" i="19" s="1"/>
  <c r="I32" i="19" a="1"/>
  <c r="I32" i="19" s="1"/>
  <c r="J32" i="19" a="1"/>
  <c r="J32" i="19" s="1"/>
  <c r="K32" i="19" a="1"/>
  <c r="K32" i="19" s="1"/>
  <c r="I34" i="19" a="1"/>
  <c r="I34" i="19" s="1"/>
  <c r="J34" i="19" a="1"/>
  <c r="J34" i="19" s="1"/>
  <c r="K34" i="19" a="1"/>
  <c r="K34" i="19" s="1"/>
  <c r="I42" i="19" a="1"/>
  <c r="I42" i="19" s="1"/>
  <c r="J42" i="19" a="1"/>
  <c r="J42" i="19" s="1"/>
  <c r="K42" i="19" a="1"/>
  <c r="K42" i="19" s="1"/>
  <c r="I43" i="19" a="1"/>
  <c r="I43" i="19" s="1"/>
  <c r="J43" i="19" a="1"/>
  <c r="J43" i="19" s="1"/>
  <c r="K43" i="19" a="1"/>
  <c r="K43" i="19" s="1"/>
  <c r="I44" i="19" a="1"/>
  <c r="I44" i="19" s="1"/>
  <c r="J44" i="19" a="1"/>
  <c r="J44" i="19" s="1"/>
  <c r="K44" i="19" a="1"/>
  <c r="K44" i="19" s="1"/>
  <c r="I45" i="19" a="1"/>
  <c r="I45" i="19" s="1"/>
  <c r="J45" i="19" a="1"/>
  <c r="J45" i="19" s="1"/>
  <c r="K45" i="19" a="1"/>
  <c r="K45" i="19" s="1"/>
  <c r="I46" i="19" a="1"/>
  <c r="I46" i="19" s="1"/>
  <c r="J46" i="19" a="1"/>
  <c r="J46" i="19" s="1"/>
  <c r="K46" i="19" a="1"/>
  <c r="K46" i="19" s="1"/>
  <c r="I52" i="19" a="1"/>
  <c r="I52" i="19" s="1"/>
  <c r="J52" i="19" a="1"/>
  <c r="J52" i="19" s="1"/>
  <c r="K52" i="19" a="1"/>
  <c r="K52" i="19" s="1"/>
  <c r="I53" i="19" a="1"/>
  <c r="I53" i="19" s="1"/>
  <c r="J53" i="19" a="1"/>
  <c r="J53" i="19" s="1"/>
  <c r="K53" i="19" a="1"/>
  <c r="K53" i="19" s="1"/>
  <c r="I54" i="19" a="1"/>
  <c r="I54" i="19" s="1"/>
  <c r="J54" i="19" a="1"/>
  <c r="J54" i="19" s="1"/>
  <c r="K54" i="19" a="1"/>
  <c r="K54" i="19" s="1"/>
  <c r="I47" i="19" a="1"/>
  <c r="I47" i="19" s="1"/>
  <c r="J47" i="19" a="1"/>
  <c r="J47" i="19" s="1"/>
  <c r="K47" i="19" a="1"/>
  <c r="K47" i="19" s="1"/>
  <c r="I48" i="19" a="1"/>
  <c r="I48" i="19" s="1"/>
  <c r="J48" i="19" a="1"/>
  <c r="J48" i="19" s="1"/>
  <c r="K48" i="19" a="1"/>
  <c r="K48" i="19" s="1"/>
  <c r="I49" i="19" a="1"/>
  <c r="I49" i="19" s="1"/>
  <c r="J49" i="19" a="1"/>
  <c r="J49" i="19" s="1"/>
  <c r="K49" i="19" a="1"/>
  <c r="K49" i="19" s="1"/>
  <c r="I55" i="19" a="1"/>
  <c r="I55" i="19" s="1"/>
  <c r="J55" i="19" a="1"/>
  <c r="J55" i="19" s="1"/>
  <c r="K55" i="19" a="1"/>
  <c r="K55" i="19" s="1"/>
  <c r="I56" i="19" a="1"/>
  <c r="I56" i="19" s="1"/>
  <c r="J56" i="19" a="1"/>
  <c r="J56" i="19" s="1"/>
  <c r="K56" i="19" a="1"/>
  <c r="K56" i="19" s="1"/>
  <c r="I57" i="19" a="1"/>
  <c r="I57" i="19" s="1"/>
  <c r="J57" i="19" a="1"/>
  <c r="J57" i="19" s="1"/>
  <c r="K57" i="19" a="1"/>
  <c r="K57" i="19" s="1"/>
  <c r="I58" i="19" a="1"/>
  <c r="I58" i="19" s="1"/>
  <c r="J58" i="19" a="1"/>
  <c r="J58" i="19" s="1"/>
  <c r="K58" i="19" a="1"/>
  <c r="K58" i="19" s="1"/>
  <c r="I59" i="19" a="1"/>
  <c r="I59" i="19" s="1"/>
  <c r="J59" i="19" a="1"/>
  <c r="J59" i="19" s="1"/>
  <c r="K59" i="19" a="1"/>
  <c r="K59" i="19" s="1"/>
  <c r="I67" i="19" a="1"/>
  <c r="I67" i="19" s="1"/>
  <c r="J67" i="19" a="1"/>
  <c r="J67" i="19" s="1"/>
  <c r="K67" i="19" a="1"/>
  <c r="K67" i="19" s="1"/>
  <c r="I68" i="19" a="1"/>
  <c r="I68" i="19" s="1"/>
  <c r="J68" i="19" a="1"/>
  <c r="J68" i="19" s="1"/>
  <c r="K68" i="19" a="1"/>
  <c r="K68" i="19" s="1"/>
  <c r="I69" i="19" a="1"/>
  <c r="I69" i="19" s="1"/>
  <c r="J69" i="19" a="1"/>
  <c r="J69" i="19" s="1"/>
  <c r="K69" i="19" a="1"/>
  <c r="K69" i="19" s="1"/>
  <c r="I70" i="19" a="1"/>
  <c r="I70" i="19" s="1"/>
  <c r="J70" i="19" a="1"/>
  <c r="J70" i="19" s="1"/>
  <c r="K70" i="19" a="1"/>
  <c r="K70" i="19" s="1"/>
  <c r="I73" i="19" a="1"/>
  <c r="I73" i="19" s="1"/>
  <c r="J73" i="19" a="1"/>
  <c r="J73" i="19" s="1"/>
  <c r="K73" i="19" a="1"/>
  <c r="K73" i="19" s="1"/>
  <c r="I74" i="19" a="1"/>
  <c r="I74" i="19" s="1"/>
  <c r="J74" i="19" a="1"/>
  <c r="J74" i="19" s="1"/>
  <c r="K74" i="19" a="1"/>
  <c r="K74" i="19" s="1"/>
  <c r="I75" i="19" a="1"/>
  <c r="I75" i="19" s="1"/>
  <c r="J75" i="19" a="1"/>
  <c r="J75" i="19" s="1"/>
  <c r="K75" i="19" a="1"/>
  <c r="K75" i="19" s="1"/>
  <c r="I76" i="19" a="1"/>
  <c r="I76" i="19" s="1"/>
  <c r="J76" i="19" a="1"/>
  <c r="J76" i="19" s="1"/>
  <c r="K76" i="19" a="1"/>
  <c r="K76" i="19" s="1"/>
  <c r="I77" i="19" a="1"/>
  <c r="I77" i="19" s="1"/>
  <c r="J77" i="19" a="1"/>
  <c r="J77" i="19" s="1"/>
  <c r="K77" i="19" a="1"/>
  <c r="K77" i="19" s="1"/>
  <c r="I78" i="19" a="1"/>
  <c r="I78" i="19" s="1"/>
  <c r="J78" i="19" a="1"/>
  <c r="J78" i="19" s="1"/>
  <c r="K78" i="19" a="1"/>
  <c r="K78" i="19" s="1"/>
  <c r="I79" i="19" a="1"/>
  <c r="I79" i="19" s="1"/>
  <c r="J79" i="19" a="1"/>
  <c r="J79" i="19" s="1"/>
  <c r="K79" i="19" a="1"/>
  <c r="K79" i="19" s="1"/>
  <c r="I81" i="19" a="1"/>
  <c r="I81" i="19" s="1"/>
  <c r="J81" i="19" a="1"/>
  <c r="J81" i="19" s="1"/>
  <c r="K81" i="19" a="1"/>
  <c r="K81" i="19" s="1"/>
  <c r="I82" i="19" a="1"/>
  <c r="I82" i="19" s="1"/>
  <c r="J82" i="19" a="1"/>
  <c r="J82" i="19" s="1"/>
  <c r="K82" i="19" a="1"/>
  <c r="K82" i="19" s="1"/>
  <c r="I136" i="19" a="1"/>
  <c r="I136" i="19" s="1"/>
  <c r="J136" i="19" a="1"/>
  <c r="J136" i="19" s="1"/>
  <c r="K136" i="19" a="1"/>
  <c r="K136" i="19" s="1"/>
  <c r="I137" i="19" a="1"/>
  <c r="I137" i="19" s="1"/>
  <c r="J137" i="19" a="1"/>
  <c r="J137" i="19" s="1"/>
  <c r="K137" i="19" a="1"/>
  <c r="K137" i="19" s="1"/>
  <c r="I138" i="19" a="1"/>
  <c r="I138" i="19" s="1"/>
  <c r="J138" i="19" a="1"/>
  <c r="J138" i="19" s="1"/>
  <c r="K138" i="19" a="1"/>
  <c r="K138" i="19" s="1"/>
  <c r="I139" i="19" a="1"/>
  <c r="I139" i="19" s="1"/>
  <c r="J139" i="19" a="1"/>
  <c r="J139" i="19" s="1"/>
  <c r="K139" i="19" a="1"/>
  <c r="K139" i="19" s="1"/>
  <c r="I143" i="19" a="1"/>
  <c r="I143" i="19" s="1"/>
  <c r="J143" i="19" a="1"/>
  <c r="J143" i="19" s="1"/>
  <c r="K143" i="19" a="1"/>
  <c r="K143" i="19" s="1"/>
  <c r="I33" i="19" a="1"/>
  <c r="I33" i="19" s="1"/>
  <c r="J33" i="19" a="1"/>
  <c r="J33" i="19" s="1"/>
  <c r="K33" i="19" a="1"/>
  <c r="K33" i="19" s="1"/>
  <c r="I35" i="19" a="1"/>
  <c r="I35" i="19" s="1"/>
  <c r="J35" i="19" a="1"/>
  <c r="J35" i="19" s="1"/>
  <c r="K35" i="19" a="1"/>
  <c r="K35" i="19" s="1"/>
  <c r="I50" i="19" a="1"/>
  <c r="I50" i="19" s="1"/>
  <c r="J50" i="19" a="1"/>
  <c r="J50" i="19" s="1"/>
  <c r="K50" i="19" a="1"/>
  <c r="K50" i="19" s="1"/>
  <c r="I51" i="19" a="1"/>
  <c r="I51" i="19" s="1"/>
  <c r="J51" i="19" a="1"/>
  <c r="J51" i="19" s="1"/>
  <c r="K51" i="19" a="1"/>
  <c r="K51" i="19" s="1"/>
  <c r="I71" i="19" a="1"/>
  <c r="I71" i="19" s="1"/>
  <c r="J71" i="19" a="1"/>
  <c r="J71" i="19" s="1"/>
  <c r="K71" i="19" a="1"/>
  <c r="K71" i="19" s="1"/>
  <c r="I72" i="19" a="1"/>
  <c r="I72" i="19" s="1"/>
  <c r="J72" i="19" a="1"/>
  <c r="J72" i="19" s="1"/>
  <c r="K72" i="19" a="1"/>
  <c r="K72" i="19" s="1"/>
  <c r="I89" i="19" a="1"/>
  <c r="I89" i="19" s="1"/>
  <c r="J89" i="19" a="1"/>
  <c r="J89" i="19" s="1"/>
  <c r="K89" i="19" a="1"/>
  <c r="K89" i="19" s="1"/>
  <c r="I90" i="19" a="1"/>
  <c r="I90" i="19" s="1"/>
  <c r="J90" i="19" a="1"/>
  <c r="J90" i="19" s="1"/>
  <c r="K90" i="19" a="1"/>
  <c r="K90" i="19" s="1"/>
  <c r="I91" i="19" a="1"/>
  <c r="I91" i="19" s="1"/>
  <c r="J91" i="19" a="1"/>
  <c r="J91" i="19" s="1"/>
  <c r="K91" i="19" a="1"/>
  <c r="K91" i="19" s="1"/>
  <c r="I92" i="19" a="1"/>
  <c r="I92" i="19" s="1"/>
  <c r="J92" i="19" a="1"/>
  <c r="J92" i="19" s="1"/>
  <c r="K92" i="19" a="1"/>
  <c r="K92" i="19" s="1"/>
  <c r="I93" i="19" a="1"/>
  <c r="I93" i="19" s="1"/>
  <c r="J93" i="19" a="1"/>
  <c r="J93" i="19" s="1"/>
  <c r="K93" i="19" a="1"/>
  <c r="K93" i="19" s="1"/>
  <c r="I94" i="19" a="1"/>
  <c r="I94" i="19" s="1"/>
  <c r="J94" i="19" a="1"/>
  <c r="J94" i="19" s="1"/>
  <c r="K94" i="19" a="1"/>
  <c r="K94" i="19" s="1"/>
  <c r="I95" i="19" a="1"/>
  <c r="I95" i="19" s="1"/>
  <c r="J95" i="19" a="1"/>
  <c r="J95" i="19" s="1"/>
  <c r="K95" i="19" a="1"/>
  <c r="K95" i="19" s="1"/>
  <c r="I96" i="19" a="1"/>
  <c r="I96" i="19" s="1"/>
  <c r="J96" i="19" a="1"/>
  <c r="J96" i="19" s="1"/>
  <c r="K96" i="19" a="1"/>
  <c r="K96" i="19" s="1"/>
  <c r="I97" i="19" a="1"/>
  <c r="I97" i="19" s="1"/>
  <c r="J97" i="19" a="1"/>
  <c r="J97" i="19" s="1"/>
  <c r="K97" i="19" a="1"/>
  <c r="K97" i="19" s="1"/>
  <c r="I80" i="19" a="1"/>
  <c r="I80" i="19" s="1"/>
  <c r="J80" i="19" a="1"/>
  <c r="J80" i="19" s="1"/>
  <c r="K80" i="19" a="1"/>
  <c r="K80" i="19" s="1"/>
  <c r="I98" i="19" a="1"/>
  <c r="I98" i="19" s="1"/>
  <c r="J98" i="19" a="1"/>
  <c r="J98" i="19" s="1"/>
  <c r="K98" i="19" a="1"/>
  <c r="K98" i="19" s="1"/>
  <c r="I99" i="19" a="1"/>
  <c r="I99" i="19" s="1"/>
  <c r="J99" i="19" a="1"/>
  <c r="J99" i="19" s="1"/>
  <c r="K99" i="19" a="1"/>
  <c r="K99" i="19" s="1"/>
  <c r="I100" i="19" a="1"/>
  <c r="I100" i="19" s="1"/>
  <c r="J100" i="19" a="1"/>
  <c r="J100" i="19" s="1"/>
  <c r="K100" i="19" a="1"/>
  <c r="K100" i="19" s="1"/>
  <c r="I101" i="19" a="1"/>
  <c r="I101" i="19" s="1"/>
  <c r="J101" i="19" a="1"/>
  <c r="J101" i="19" s="1"/>
  <c r="K101" i="19" a="1"/>
  <c r="K101" i="19" s="1"/>
  <c r="I102" i="19" a="1"/>
  <c r="I102" i="19" s="1"/>
  <c r="J102" i="19" a="1"/>
  <c r="J102" i="19" s="1"/>
  <c r="K102" i="19" a="1"/>
  <c r="K102" i="19" s="1"/>
  <c r="I103" i="19" a="1"/>
  <c r="I103" i="19" s="1"/>
  <c r="J103" i="19" a="1"/>
  <c r="J103" i="19" s="1"/>
  <c r="K103" i="19" a="1"/>
  <c r="K103" i="19" s="1"/>
  <c r="I104" i="19" a="1"/>
  <c r="I104" i="19" s="1"/>
  <c r="J104" i="19" a="1"/>
  <c r="J104" i="19" s="1"/>
  <c r="K104" i="19" a="1"/>
  <c r="K104" i="19" s="1"/>
  <c r="I105" i="19" a="1"/>
  <c r="I105" i="19" s="1"/>
  <c r="J105" i="19" a="1"/>
  <c r="J105" i="19" s="1"/>
  <c r="K105" i="19" a="1"/>
  <c r="K105" i="19" s="1"/>
  <c r="I83" i="19" a="1"/>
  <c r="I83" i="19" s="1"/>
  <c r="J83" i="19" a="1"/>
  <c r="J83" i="19" s="1"/>
  <c r="K83" i="19" a="1"/>
  <c r="K83" i="19" s="1"/>
  <c r="I84" i="19" a="1"/>
  <c r="I84" i="19" s="1"/>
  <c r="J84" i="19" a="1"/>
  <c r="J84" i="19" s="1"/>
  <c r="K84" i="19" a="1"/>
  <c r="K84" i="19" s="1"/>
  <c r="I85" i="19" a="1"/>
  <c r="I85" i="19" s="1"/>
  <c r="J85" i="19" a="1"/>
  <c r="J85" i="19" s="1"/>
  <c r="K85" i="19" a="1"/>
  <c r="K85" i="19" s="1"/>
  <c r="I86" i="19" a="1"/>
  <c r="I86" i="19" s="1"/>
  <c r="J86" i="19" a="1"/>
  <c r="J86" i="19" s="1"/>
  <c r="K86" i="19" a="1"/>
  <c r="K86" i="19" s="1"/>
  <c r="I87" i="19" a="1"/>
  <c r="I87" i="19" s="1"/>
  <c r="J87" i="19" a="1"/>
  <c r="J87" i="19" s="1"/>
  <c r="K87" i="19" a="1"/>
  <c r="K87" i="19" s="1"/>
  <c r="I88" i="19" a="1"/>
  <c r="I88" i="19" s="1"/>
  <c r="J88" i="19" a="1"/>
  <c r="J88" i="19" s="1"/>
  <c r="K88" i="19" a="1"/>
  <c r="K88" i="19" s="1"/>
  <c r="I140" i="19" a="1"/>
  <c r="I140" i="19" s="1"/>
  <c r="J140" i="19" a="1"/>
  <c r="J140" i="19" s="1"/>
  <c r="K140" i="19" a="1"/>
  <c r="K140" i="19" s="1"/>
  <c r="I141" i="19" a="1"/>
  <c r="I141" i="19" s="1"/>
  <c r="J141" i="19" a="1"/>
  <c r="J141" i="19" s="1"/>
  <c r="K141" i="19" a="1"/>
  <c r="K141" i="19" s="1"/>
  <c r="I106" i="19" a="1"/>
  <c r="I106" i="19" s="1"/>
  <c r="J106" i="19" a="1"/>
  <c r="J106" i="19" s="1"/>
  <c r="K106" i="19" a="1"/>
  <c r="K106" i="19" s="1"/>
  <c r="I107" i="19" a="1"/>
  <c r="I107" i="19" s="1"/>
  <c r="J107" i="19" a="1"/>
  <c r="J107" i="19" s="1"/>
  <c r="K107" i="19" a="1"/>
  <c r="K107" i="19" s="1"/>
  <c r="I108" i="19" a="1"/>
  <c r="I108" i="19" s="1"/>
  <c r="J108" i="19" a="1"/>
  <c r="J108" i="19" s="1"/>
  <c r="K108" i="19" a="1"/>
  <c r="K108" i="19" s="1"/>
  <c r="I109" i="19" a="1"/>
  <c r="I109" i="19" s="1"/>
  <c r="J109" i="19" a="1"/>
  <c r="J109" i="19" s="1"/>
  <c r="K109" i="19" a="1"/>
  <c r="K109" i="19" s="1"/>
  <c r="I110" i="19" a="1"/>
  <c r="I110" i="19" s="1"/>
  <c r="J110" i="19" a="1"/>
  <c r="J110" i="19" s="1"/>
  <c r="K110" i="19" a="1"/>
  <c r="K110" i="19" s="1"/>
  <c r="I111" i="19" a="1"/>
  <c r="I111" i="19" s="1"/>
  <c r="J111" i="19" a="1"/>
  <c r="J111" i="19" s="1"/>
  <c r="K111" i="19" a="1"/>
  <c r="K111" i="19" s="1"/>
  <c r="I112" i="19" a="1"/>
  <c r="I112" i="19" s="1"/>
  <c r="J112" i="19" a="1"/>
  <c r="J112" i="19" s="1"/>
  <c r="K112" i="19" a="1"/>
  <c r="K112" i="19" s="1"/>
  <c r="I113" i="19" a="1"/>
  <c r="I113" i="19" s="1"/>
  <c r="J113" i="19" a="1"/>
  <c r="J113" i="19" s="1"/>
  <c r="K113" i="19" a="1"/>
  <c r="K113" i="19" s="1"/>
  <c r="I114" i="19" a="1"/>
  <c r="I114" i="19" s="1"/>
  <c r="J114" i="19" a="1"/>
  <c r="J114" i="19" s="1"/>
  <c r="K114" i="19" a="1"/>
  <c r="K114" i="19" s="1"/>
  <c r="I115" i="19" a="1"/>
  <c r="I115" i="19" s="1"/>
  <c r="J115" i="19" a="1"/>
  <c r="J115" i="19" s="1"/>
  <c r="K115" i="19" a="1"/>
  <c r="K115" i="19" s="1"/>
  <c r="I116" i="19" a="1"/>
  <c r="I116" i="19" s="1"/>
  <c r="J116" i="19" a="1"/>
  <c r="J116" i="19" s="1"/>
  <c r="K116" i="19" a="1"/>
  <c r="K116" i="19" s="1"/>
  <c r="I117" i="19" a="1"/>
  <c r="I117" i="19" s="1"/>
  <c r="J117" i="19" a="1"/>
  <c r="J117" i="19" s="1"/>
  <c r="K117" i="19" a="1"/>
  <c r="K117" i="19" s="1"/>
  <c r="I118" i="19" a="1"/>
  <c r="I118" i="19" s="1"/>
  <c r="J118" i="19" a="1"/>
  <c r="J118" i="19" s="1"/>
  <c r="K118" i="19" a="1"/>
  <c r="K118" i="19" s="1"/>
  <c r="I119" i="19" a="1"/>
  <c r="I119" i="19" s="1"/>
  <c r="J119" i="19" a="1"/>
  <c r="J119" i="19" s="1"/>
  <c r="K119" i="19" a="1"/>
  <c r="K119" i="19" s="1"/>
  <c r="I120" i="19" a="1"/>
  <c r="I120" i="19" s="1"/>
  <c r="J120" i="19" a="1"/>
  <c r="J120" i="19" s="1"/>
  <c r="K120" i="19" a="1"/>
  <c r="K120" i="19" s="1"/>
  <c r="I121" i="19" a="1"/>
  <c r="I121" i="19" s="1"/>
  <c r="J121" i="19" a="1"/>
  <c r="J121" i="19" s="1"/>
  <c r="K121" i="19" a="1"/>
  <c r="K121" i="19" s="1"/>
  <c r="I122" i="19" a="1"/>
  <c r="I122" i="19" s="1"/>
  <c r="J122" i="19" a="1"/>
  <c r="J122" i="19" s="1"/>
  <c r="K122" i="19" a="1"/>
  <c r="K122" i="19" s="1"/>
  <c r="I123" i="19" a="1"/>
  <c r="I123" i="19" s="1"/>
  <c r="J123" i="19" a="1"/>
  <c r="J123" i="19" s="1"/>
  <c r="K123" i="19" a="1"/>
  <c r="K123" i="19" s="1"/>
  <c r="I124" i="19" a="1"/>
  <c r="I124" i="19" s="1"/>
  <c r="J124" i="19" a="1"/>
  <c r="J124" i="19" s="1"/>
  <c r="K124" i="19" a="1"/>
  <c r="K124" i="19" s="1"/>
  <c r="I125" i="19" a="1"/>
  <c r="I125" i="19" s="1"/>
  <c r="J125" i="19" a="1"/>
  <c r="J125" i="19" s="1"/>
  <c r="K125" i="19" a="1"/>
  <c r="K125" i="19" s="1"/>
  <c r="I126" i="19" a="1"/>
  <c r="I126" i="19" s="1"/>
  <c r="J126" i="19" a="1"/>
  <c r="J126" i="19" s="1"/>
  <c r="K126" i="19" a="1"/>
  <c r="K126" i="19" s="1"/>
  <c r="I127" i="19" a="1"/>
  <c r="I127" i="19" s="1"/>
  <c r="J127" i="19" a="1"/>
  <c r="J127" i="19" s="1"/>
  <c r="K127" i="19" a="1"/>
  <c r="K127" i="19" s="1"/>
  <c r="I196" i="19" a="1"/>
  <c r="I196" i="19" s="1"/>
  <c r="J196" i="19" a="1"/>
  <c r="J196" i="19" s="1"/>
  <c r="K196" i="19" a="1"/>
  <c r="K196" i="19" s="1"/>
  <c r="I128" i="19" a="1"/>
  <c r="I128" i="19" s="1"/>
  <c r="J128" i="19" a="1"/>
  <c r="J128" i="19" s="1"/>
  <c r="K128" i="19" a="1"/>
  <c r="K128" i="19" s="1"/>
  <c r="I129" i="19" a="1"/>
  <c r="I129" i="19" s="1"/>
  <c r="J129" i="19" a="1"/>
  <c r="J129" i="19" s="1"/>
  <c r="K129" i="19" a="1"/>
  <c r="K129" i="19" s="1"/>
  <c r="I130" i="19" a="1"/>
  <c r="I130" i="19" s="1"/>
  <c r="J130" i="19" a="1"/>
  <c r="J130" i="19" s="1"/>
  <c r="K130" i="19" a="1"/>
  <c r="K130" i="19" s="1"/>
  <c r="I131" i="19" a="1"/>
  <c r="I131" i="19" s="1"/>
  <c r="J131" i="19" a="1"/>
  <c r="J131" i="19" s="1"/>
  <c r="K131" i="19" a="1"/>
  <c r="K131" i="19" s="1"/>
  <c r="I132" i="19" a="1"/>
  <c r="I132" i="19" s="1"/>
  <c r="J132" i="19" a="1"/>
  <c r="J132" i="19" s="1"/>
  <c r="K132" i="19" a="1"/>
  <c r="K132" i="19" s="1"/>
  <c r="I7" i="19" a="1"/>
  <c r="I7" i="19" s="1"/>
  <c r="J7" i="19" a="1"/>
  <c r="J7" i="19" s="1"/>
  <c r="K7" i="19" a="1"/>
  <c r="K7" i="19" s="1"/>
  <c r="L469" i="8"/>
  <c r="L468" i="8"/>
  <c r="I470" i="8" a="1"/>
  <c r="I470" i="8" s="1"/>
  <c r="J470" i="8" a="1"/>
  <c r="J470" i="8" s="1"/>
  <c r="K470" i="8" a="1"/>
  <c r="K470" i="8" s="1"/>
  <c r="L470" i="8"/>
  <c r="L451" i="8"/>
  <c r="L442" i="8"/>
  <c r="L440" i="8"/>
  <c r="L244" i="8"/>
  <c r="K244" i="8" a="1"/>
  <c r="K244" i="8" s="1"/>
  <c r="J244" i="8" a="1"/>
  <c r="J244" i="8" s="1"/>
  <c r="I244" i="8" a="1"/>
  <c r="I244" i="8" s="1"/>
  <c r="L437" i="8"/>
  <c r="L435" i="8"/>
  <c r="L434" i="8"/>
  <c r="L433" i="8"/>
  <c r="L432" i="8"/>
  <c r="L431" i="8"/>
  <c r="L428" i="8"/>
  <c r="L425" i="8"/>
  <c r="I195" i="19" a="1"/>
  <c r="I195" i="19" s="1"/>
  <c r="J195" i="19" a="1"/>
  <c r="J195" i="19" s="1"/>
  <c r="I194" i="19" a="1"/>
  <c r="I194" i="19" s="1"/>
  <c r="J194" i="19" a="1"/>
  <c r="J194" i="19" s="1"/>
  <c r="I193" i="19" a="1"/>
  <c r="I193" i="19" s="1"/>
  <c r="J193" i="19" a="1"/>
  <c r="J193" i="19" s="1"/>
  <c r="I192" i="19" a="1"/>
  <c r="I192" i="19" s="1"/>
  <c r="J192" i="19" a="1"/>
  <c r="J192" i="19" s="1"/>
  <c r="I191" i="19" a="1"/>
  <c r="I191" i="19" s="1"/>
  <c r="I190" i="19" a="1"/>
  <c r="I190" i="19" s="1"/>
  <c r="I182" i="19" a="1"/>
  <c r="I182" i="19" s="1"/>
  <c r="I181" i="19" a="1"/>
  <c r="I181" i="19" s="1"/>
  <c r="I180" i="19" a="1"/>
  <c r="I180" i="19" s="1"/>
  <c r="J243" i="8" a="1"/>
  <c r="J243" i="8" s="1"/>
  <c r="I243" i="8" a="1"/>
  <c r="I243" i="8" s="1"/>
  <c r="K243" i="8" a="1"/>
  <c r="K243" i="8" s="1"/>
  <c r="K245" i="8" a="1"/>
  <c r="K245" i="8" s="1"/>
  <c r="K246" i="8" a="1"/>
  <c r="K246" i="8" s="1"/>
  <c r="K247" i="8" a="1"/>
  <c r="K247" i="8" s="1"/>
  <c r="K248" i="8" a="1"/>
  <c r="K248" i="8" s="1"/>
  <c r="K471" i="8" a="1"/>
  <c r="K471" i="8" s="1"/>
  <c r="K472" i="8" a="1"/>
  <c r="K472" i="8" s="1"/>
  <c r="K473" i="8" a="1"/>
  <c r="K473" i="8" s="1"/>
  <c r="K474" i="8" a="1"/>
  <c r="K474" i="8" s="1"/>
  <c r="K475" i="8" a="1"/>
  <c r="K475" i="8" s="1"/>
  <c r="K476" i="8" a="1"/>
  <c r="K476" i="8" s="1"/>
  <c r="K477" i="8" a="1"/>
  <c r="K477" i="8" s="1"/>
  <c r="K478" i="8" a="1"/>
  <c r="K478" i="8" s="1"/>
  <c r="K479" i="8" a="1"/>
  <c r="K479" i="8" s="1"/>
  <c r="K480" i="8" a="1"/>
  <c r="K480" i="8" s="1"/>
  <c r="K481" i="8" a="1"/>
  <c r="K481" i="8" s="1"/>
  <c r="K482" i="8" a="1"/>
  <c r="K482" i="8" s="1"/>
  <c r="K483" i="8" a="1"/>
  <c r="K483" i="8" s="1"/>
  <c r="K484" i="8" a="1"/>
  <c r="K484" i="8" s="1"/>
  <c r="K485" i="8" a="1"/>
  <c r="K485" i="8" s="1"/>
  <c r="K486" i="8" a="1"/>
  <c r="K486" i="8" s="1"/>
  <c r="K487" i="8" a="1"/>
  <c r="K487" i="8" s="1"/>
  <c r="K488" i="8" a="1"/>
  <c r="K488" i="8" s="1"/>
  <c r="K489" i="8" a="1"/>
  <c r="K489" i="8" s="1"/>
  <c r="K490" i="8" a="1"/>
  <c r="K490" i="8" s="1"/>
  <c r="K491" i="8" a="1"/>
  <c r="K491" i="8" s="1"/>
  <c r="K492" i="8" a="1"/>
  <c r="K492" i="8" s="1"/>
  <c r="K493" i="8" a="1"/>
  <c r="K493" i="8" s="1"/>
  <c r="K494" i="8" a="1"/>
  <c r="K494" i="8" s="1"/>
  <c r="K495" i="8" a="1"/>
  <c r="K495" i="8" s="1"/>
  <c r="K496" i="8" a="1"/>
  <c r="K496" i="8" s="1"/>
  <c r="K497" i="8" a="1"/>
  <c r="K497" i="8" s="1"/>
  <c r="K498" i="8" a="1"/>
  <c r="K498" i="8" s="1"/>
  <c r="K499" i="8" a="1"/>
  <c r="K499" i="8" s="1"/>
  <c r="K500" i="8" a="1"/>
  <c r="K500" i="8" s="1"/>
  <c r="K501" i="8" a="1"/>
  <c r="K501" i="8" s="1"/>
  <c r="K502" i="8" a="1"/>
  <c r="K502" i="8" s="1"/>
  <c r="K503" i="8" a="1"/>
  <c r="K503" i="8" s="1"/>
  <c r="K504" i="8" a="1"/>
  <c r="K504" i="8" s="1"/>
  <c r="K505" i="8" a="1"/>
  <c r="K505" i="8" s="1"/>
  <c r="K506" i="8" a="1"/>
  <c r="K506" i="8" s="1"/>
  <c r="K507" i="8" a="1"/>
  <c r="K507" i="8" s="1"/>
  <c r="K508" i="8" a="1"/>
  <c r="K508" i="8" s="1"/>
  <c r="K509" i="8" a="1"/>
  <c r="K509" i="8" s="1"/>
  <c r="K510" i="8" a="1"/>
  <c r="K510" i="8" s="1"/>
  <c r="K511" i="8" a="1"/>
  <c r="K511" i="8" s="1"/>
  <c r="K512" i="8" a="1"/>
  <c r="K512" i="8" s="1"/>
  <c r="K513" i="8" a="1"/>
  <c r="K513" i="8" s="1"/>
  <c r="K514" i="8" a="1"/>
  <c r="K514" i="8" s="1"/>
  <c r="K515" i="8" a="1"/>
  <c r="K515" i="8" s="1"/>
  <c r="K516" i="8" a="1"/>
  <c r="K516" i="8" s="1"/>
  <c r="K517" i="8" a="1"/>
  <c r="K517" i="8" s="1"/>
  <c r="K518" i="8" a="1"/>
  <c r="K518" i="8" s="1"/>
  <c r="K519" i="8" a="1"/>
  <c r="K519" i="8" s="1"/>
  <c r="K520" i="8" a="1"/>
  <c r="K520" i="8" s="1"/>
  <c r="K521" i="8" a="1"/>
  <c r="K521" i="8" s="1"/>
  <c r="K522" i="8" a="1"/>
  <c r="K522" i="8" s="1"/>
  <c r="K523" i="8" a="1"/>
  <c r="K523" i="8" s="1"/>
  <c r="K524" i="8" a="1"/>
  <c r="K524" i="8" s="1"/>
  <c r="K525" i="8" a="1"/>
  <c r="K525" i="8" s="1"/>
  <c r="K526" i="8" a="1"/>
  <c r="K526" i="8" s="1"/>
  <c r="K527" i="8" a="1"/>
  <c r="K527" i="8" s="1"/>
  <c r="K528" i="8" a="1"/>
  <c r="K528" i="8" s="1"/>
  <c r="K529" i="8" a="1"/>
  <c r="K529" i="8" s="1"/>
  <c r="K530" i="8" a="1"/>
  <c r="K530" i="8" s="1"/>
  <c r="K531" i="8" a="1"/>
  <c r="K531" i="8" s="1"/>
  <c r="K532" i="8" a="1"/>
  <c r="K532" i="8" s="1"/>
  <c r="K533" i="8" a="1"/>
  <c r="K533" i="8" s="1"/>
  <c r="K534" i="8" a="1"/>
  <c r="K534" i="8" s="1"/>
  <c r="K535" i="8" a="1"/>
  <c r="K535" i="8" s="1"/>
  <c r="K536" i="8" a="1"/>
  <c r="K536" i="8" s="1"/>
  <c r="K537" i="8" a="1"/>
  <c r="K537" i="8" s="1"/>
  <c r="K538" i="8" a="1"/>
  <c r="K538" i="8" s="1"/>
  <c r="K539" i="8" a="1"/>
  <c r="K539" i="8" s="1"/>
  <c r="K540" i="8" a="1"/>
  <c r="K540" i="8" s="1"/>
  <c r="K541" i="8" a="1"/>
  <c r="K541" i="8" s="1"/>
  <c r="K542" i="8" a="1"/>
  <c r="K542" i="8" s="1"/>
  <c r="K543" i="8" a="1"/>
  <c r="K543" i="8" s="1"/>
  <c r="K544" i="8" a="1"/>
  <c r="K544" i="8" s="1"/>
  <c r="K545" i="8" a="1"/>
  <c r="K545" i="8" s="1"/>
  <c r="K546" i="8" a="1"/>
  <c r="K546" i="8" s="1"/>
  <c r="K547" i="8" a="1"/>
  <c r="K547" i="8" s="1"/>
  <c r="K548" i="8" a="1"/>
  <c r="K548" i="8" s="1"/>
  <c r="K549" i="8" a="1"/>
  <c r="K549" i="8" s="1"/>
  <c r="K550" i="8" a="1"/>
  <c r="K550" i="8" s="1"/>
  <c r="K551" i="8" a="1"/>
  <c r="K551" i="8" s="1"/>
  <c r="K552" i="8" a="1"/>
  <c r="K552" i="8" s="1"/>
  <c r="K553" i="8" a="1"/>
  <c r="K553" i="8" s="1"/>
  <c r="K554" i="8" a="1"/>
  <c r="K554" i="8" s="1"/>
  <c r="K555" i="8" a="1"/>
  <c r="K555" i="8" s="1"/>
  <c r="K556" i="8" a="1"/>
  <c r="K556" i="8" s="1"/>
  <c r="K557" i="8" a="1"/>
  <c r="K557" i="8" s="1"/>
  <c r="K558" i="8" a="1"/>
  <c r="K558" i="8" s="1"/>
  <c r="J245" i="8" a="1"/>
  <c r="J245" i="8" s="1"/>
  <c r="J246" i="8" a="1"/>
  <c r="J246" i="8" s="1"/>
  <c r="J247" i="8" a="1"/>
  <c r="J247" i="8" s="1"/>
  <c r="J248" i="8" a="1"/>
  <c r="J248" i="8" s="1"/>
  <c r="J471" i="8" a="1"/>
  <c r="J471" i="8" s="1"/>
  <c r="J472" i="8" a="1"/>
  <c r="J472" i="8" s="1"/>
  <c r="J473" i="8" a="1"/>
  <c r="J473" i="8" s="1"/>
  <c r="J474" i="8" a="1"/>
  <c r="J474" i="8" s="1"/>
  <c r="J475" i="8" a="1"/>
  <c r="J475" i="8" s="1"/>
  <c r="J476" i="8" a="1"/>
  <c r="J476" i="8" s="1"/>
  <c r="J477" i="8" a="1"/>
  <c r="J477" i="8" s="1"/>
  <c r="J478" i="8" a="1"/>
  <c r="J478" i="8" s="1"/>
  <c r="I245" i="8" a="1"/>
  <c r="I245" i="8" s="1"/>
  <c r="I246" i="8" a="1"/>
  <c r="I246" i="8" s="1"/>
  <c r="I247" i="8" a="1"/>
  <c r="I247" i="8" s="1"/>
  <c r="I248" i="8" a="1"/>
  <c r="I248" i="8" s="1"/>
  <c r="I471" i="8" a="1"/>
  <c r="I471" i="8" s="1"/>
  <c r="I472" i="8" a="1"/>
  <c r="I472" i="8" s="1"/>
  <c r="I473" i="8" a="1"/>
  <c r="I473" i="8" s="1"/>
  <c r="I474" i="8" a="1"/>
  <c r="I474" i="8" s="1"/>
  <c r="I475" i="8" a="1"/>
  <c r="I475" i="8" s="1"/>
  <c r="J36" i="19" a="1"/>
  <c r="J36" i="19" s="1"/>
  <c r="J38" i="19" a="1"/>
  <c r="J38" i="19" s="1"/>
  <c r="J40" i="19" a="1"/>
  <c r="J40" i="19" s="1"/>
  <c r="J37" i="19" a="1"/>
  <c r="J37" i="19" s="1"/>
  <c r="J39" i="19" a="1"/>
  <c r="J39" i="19" s="1"/>
  <c r="J41" i="19" a="1"/>
  <c r="J41" i="19" s="1"/>
  <c r="J179" i="19" a="1"/>
  <c r="J179" i="19" s="1"/>
  <c r="J180" i="19" a="1"/>
  <c r="J180" i="19" s="1"/>
  <c r="J181" i="19" a="1"/>
  <c r="J181" i="19" s="1"/>
  <c r="J182" i="19" a="1"/>
  <c r="J182" i="19" s="1"/>
  <c r="J190" i="19" a="1"/>
  <c r="J190" i="19" s="1"/>
  <c r="J191" i="19" a="1"/>
  <c r="J191" i="19" s="1"/>
  <c r="I36" i="19" a="1"/>
  <c r="I36" i="19" s="1"/>
  <c r="I38" i="19" a="1"/>
  <c r="I38" i="19" s="1"/>
  <c r="I40" i="19" a="1"/>
  <c r="I40" i="19" s="1"/>
  <c r="I37" i="19" a="1"/>
  <c r="I37" i="19" s="1"/>
  <c r="I39" i="19" a="1"/>
  <c r="I39" i="19" s="1"/>
  <c r="I41" i="19" a="1"/>
  <c r="I41" i="19" s="1"/>
  <c r="I179" i="19" a="1"/>
  <c r="I179" i="19" s="1"/>
  <c r="I178" i="19" a="1"/>
  <c r="I178" i="19" s="1"/>
  <c r="J178" i="19" a="1"/>
  <c r="J178" i="19" s="1"/>
  <c r="I177" i="19" a="1"/>
  <c r="I177" i="19" s="1"/>
  <c r="J177" i="19" a="1"/>
  <c r="J177" i="19" s="1"/>
  <c r="I176" i="19" a="1"/>
  <c r="I176" i="19" s="1"/>
  <c r="J176" i="19" a="1"/>
  <c r="J176" i="19" s="1"/>
  <c r="I175" i="19" a="1"/>
  <c r="I175" i="19" s="1"/>
  <c r="J175" i="19" a="1"/>
  <c r="J175" i="19" s="1"/>
  <c r="I174" i="19" a="1"/>
  <c r="I174" i="19" s="1"/>
  <c r="J174" i="19" a="1"/>
  <c r="J174" i="19" s="1"/>
  <c r="I173" i="19" a="1"/>
  <c r="I173" i="19" s="1"/>
  <c r="J173" i="19" a="1"/>
  <c r="J173" i="19" s="1"/>
  <c r="I172" i="19" a="1"/>
  <c r="I172" i="19" s="1"/>
  <c r="J172" i="19" a="1"/>
  <c r="J172" i="19" s="1"/>
  <c r="I213" i="7" a="1"/>
  <c r="I213" i="7" s="1"/>
  <c r="I214" i="7" a="1"/>
  <c r="I214" i="7" s="1"/>
  <c r="I215" i="7" a="1"/>
  <c r="I215" i="7" s="1"/>
  <c r="I216" i="7" a="1"/>
  <c r="I216" i="7" s="1"/>
  <c r="I217" i="7" a="1"/>
  <c r="I217" i="7" s="1"/>
  <c r="I218" i="7" a="1"/>
  <c r="I218" i="7" s="1"/>
  <c r="I219" i="7" a="1"/>
  <c r="I219" i="7" s="1"/>
  <c r="I220" i="7" a="1"/>
  <c r="I220" i="7" s="1"/>
  <c r="I221" i="7" a="1"/>
  <c r="I221" i="7" s="1"/>
  <c r="I222" i="7" a="1"/>
  <c r="I222" i="7" s="1"/>
  <c r="I223" i="7" a="1"/>
  <c r="I223" i="7" s="1"/>
  <c r="I224" i="7" a="1"/>
  <c r="I224" i="7" s="1"/>
  <c r="I225" i="7" a="1"/>
  <c r="I225" i="7" s="1"/>
  <c r="I226" i="7" a="1"/>
  <c r="I226" i="7" s="1"/>
  <c r="I227" i="7" a="1"/>
  <c r="I227" i="7" s="1"/>
  <c r="I212" i="7" a="1"/>
  <c r="I212" i="7" s="1"/>
  <c r="I171" i="19" a="1"/>
  <c r="I171" i="19" s="1"/>
  <c r="J171" i="19" a="1"/>
  <c r="J171" i="19" s="1"/>
  <c r="I170" i="19" a="1"/>
  <c r="I170" i="19" s="1"/>
  <c r="J170" i="19" a="1"/>
  <c r="J170" i="19" s="1"/>
  <c r="I169" i="19" a="1"/>
  <c r="I169" i="19" s="1"/>
  <c r="J169" i="19" a="1"/>
  <c r="J169" i="19" s="1"/>
  <c r="I168" i="19" a="1"/>
  <c r="I168" i="19" s="1"/>
  <c r="J168" i="19" a="1"/>
  <c r="J168" i="19" s="1"/>
  <c r="I167" i="19" a="1"/>
  <c r="I167" i="19" s="1"/>
  <c r="J167" i="19" a="1"/>
  <c r="J167" i="19" s="1"/>
  <c r="I166" i="19" a="1"/>
  <c r="I166" i="19" s="1"/>
  <c r="J166" i="19" a="1"/>
  <c r="J166" i="19" s="1"/>
  <c r="I165" i="19" a="1"/>
  <c r="I165" i="19" s="1"/>
  <c r="I211" i="7" a="1"/>
  <c r="I211" i="7" s="1"/>
  <c r="I210" i="7" a="1"/>
  <c r="I210" i="7" s="1"/>
  <c r="I241" i="8" a="1"/>
  <c r="I241" i="8" s="1"/>
  <c r="J241" i="8" a="1"/>
  <c r="J241" i="8" s="1"/>
  <c r="K241" i="8" a="1"/>
  <c r="K241" i="8" s="1"/>
  <c r="AA14" i="19" l="1"/>
  <c r="AA17" i="19"/>
  <c r="AA19" i="19"/>
  <c r="AA9" i="19"/>
  <c r="AC3" i="19"/>
  <c r="AC5" i="19"/>
  <c r="AB3" i="19"/>
  <c r="AD5" i="19"/>
  <c r="AB5" i="19"/>
  <c r="I240" i="8" a="1"/>
  <c r="I240" i="8" s="1"/>
  <c r="J240" i="8" a="1"/>
  <c r="J240" i="8" s="1"/>
  <c r="K240" i="8" a="1"/>
  <c r="K240" i="8" s="1"/>
  <c r="I209" i="7" a="1"/>
  <c r="I209" i="7" s="1"/>
  <c r="K134" i="19" a="1"/>
  <c r="K134" i="19" s="1"/>
  <c r="K135" i="19" a="1"/>
  <c r="K135" i="19" s="1"/>
  <c r="K142" i="19" a="1"/>
  <c r="K142" i="19" s="1"/>
  <c r="K144" i="19" a="1"/>
  <c r="K144" i="19" s="1"/>
  <c r="K145" i="19" a="1"/>
  <c r="K145" i="19" s="1"/>
  <c r="K146" i="19" a="1"/>
  <c r="K146" i="19" s="1"/>
  <c r="K147" i="19" a="1"/>
  <c r="K147" i="19" s="1"/>
  <c r="K148" i="19" a="1"/>
  <c r="K148" i="19" s="1"/>
  <c r="K149" i="19" a="1"/>
  <c r="K149" i="19" s="1"/>
  <c r="K150" i="19" a="1"/>
  <c r="K150" i="19" s="1"/>
  <c r="K151" i="19" a="1"/>
  <c r="K151" i="19" s="1"/>
  <c r="K152" i="19" a="1"/>
  <c r="K152" i="19" s="1"/>
  <c r="K153" i="19" a="1"/>
  <c r="K153" i="19" s="1"/>
  <c r="K154" i="19" a="1"/>
  <c r="K154" i="19" s="1"/>
  <c r="K155" i="19" a="1"/>
  <c r="K155" i="19" s="1"/>
  <c r="K156" i="19" a="1"/>
  <c r="K156" i="19" s="1"/>
  <c r="K158" i="19" a="1"/>
  <c r="K158" i="19" s="1"/>
  <c r="K159" i="19" a="1"/>
  <c r="K159" i="19" s="1"/>
  <c r="K160" i="19" a="1"/>
  <c r="K160" i="19" s="1"/>
  <c r="K157" i="19" a="1"/>
  <c r="K157" i="19" s="1"/>
  <c r="K161" i="19" a="1"/>
  <c r="K161" i="19" s="1"/>
  <c r="K162" i="19" a="1"/>
  <c r="K162" i="19" s="1"/>
  <c r="K163" i="19" a="1"/>
  <c r="K163" i="19" s="1"/>
  <c r="K164" i="19" a="1"/>
  <c r="K164" i="19" s="1"/>
  <c r="K165" i="19" a="1"/>
  <c r="K165" i="19" s="1"/>
  <c r="K166" i="19" a="1"/>
  <c r="K166" i="19" s="1"/>
  <c r="K167" i="19" a="1"/>
  <c r="K167" i="19" s="1"/>
  <c r="K168" i="19" a="1"/>
  <c r="K168" i="19" s="1"/>
  <c r="K169" i="19" a="1"/>
  <c r="K169" i="19" s="1"/>
  <c r="K170" i="19" a="1"/>
  <c r="K170" i="19" s="1"/>
  <c r="K171" i="19" a="1"/>
  <c r="K171" i="19" s="1"/>
  <c r="K172" i="19" a="1"/>
  <c r="K172" i="19" s="1"/>
  <c r="K173" i="19" a="1"/>
  <c r="K173" i="19" s="1"/>
  <c r="K174" i="19" a="1"/>
  <c r="K174" i="19" s="1"/>
  <c r="K175" i="19" a="1"/>
  <c r="K175" i="19" s="1"/>
  <c r="K176" i="19" a="1"/>
  <c r="K176" i="19" s="1"/>
  <c r="K177" i="19" a="1"/>
  <c r="K177" i="19" s="1"/>
  <c r="K178" i="19" a="1"/>
  <c r="K178" i="19" s="1"/>
  <c r="K36" i="19" a="1"/>
  <c r="K36" i="19" s="1"/>
  <c r="K38" i="19" a="1"/>
  <c r="K38" i="19" s="1"/>
  <c r="K40" i="19" a="1"/>
  <c r="K40" i="19" s="1"/>
  <c r="K37" i="19" a="1"/>
  <c r="K37" i="19" s="1"/>
  <c r="K39" i="19" a="1"/>
  <c r="K39" i="19" s="1"/>
  <c r="K41" i="19" a="1"/>
  <c r="K41" i="19" s="1"/>
  <c r="K179" i="19" a="1"/>
  <c r="K179" i="19" s="1"/>
  <c r="K180" i="19" a="1"/>
  <c r="K180" i="19" s="1"/>
  <c r="K181" i="19" a="1"/>
  <c r="K181" i="19" s="1"/>
  <c r="K182" i="19" a="1"/>
  <c r="K182" i="19" s="1"/>
  <c r="K190" i="19" a="1"/>
  <c r="K190" i="19" s="1"/>
  <c r="K191" i="19" a="1"/>
  <c r="K191" i="19" s="1"/>
  <c r="K192" i="19" a="1"/>
  <c r="K192" i="19" s="1"/>
  <c r="K193" i="19" a="1"/>
  <c r="K193" i="19" s="1"/>
  <c r="K194" i="19" a="1"/>
  <c r="K194" i="19" s="1"/>
  <c r="K195" i="19" a="1"/>
  <c r="K195" i="19" s="1"/>
  <c r="K260" i="19" a="1"/>
  <c r="K260" i="19" s="1"/>
  <c r="K261" i="19" a="1"/>
  <c r="K261" i="19" s="1"/>
  <c r="K262" i="19" a="1"/>
  <c r="K262" i="19" s="1"/>
  <c r="K263" i="19" a="1"/>
  <c r="K263" i="19" s="1"/>
  <c r="K264" i="19" a="1"/>
  <c r="K264" i="19" s="1"/>
  <c r="K265" i="19" a="1"/>
  <c r="K265" i="19" s="1"/>
  <c r="K266" i="19" a="1"/>
  <c r="K266" i="19" s="1"/>
  <c r="K267" i="19" a="1"/>
  <c r="K267" i="19" s="1"/>
  <c r="K268" i="19" a="1"/>
  <c r="K268" i="19" s="1"/>
  <c r="K271" i="19" a="1"/>
  <c r="K271" i="19" s="1"/>
  <c r="K272" i="19" a="1"/>
  <c r="K272" i="19" s="1"/>
  <c r="K273" i="19" a="1"/>
  <c r="K273" i="19" s="1"/>
  <c r="K277" i="19" a="1"/>
  <c r="K277" i="19" s="1"/>
  <c r="K278" i="19" a="1"/>
  <c r="K278" i="19" s="1"/>
  <c r="K279" i="19" a="1"/>
  <c r="K279" i="19" s="1"/>
  <c r="K280" i="19" a="1"/>
  <c r="K280" i="19" s="1"/>
  <c r="K281" i="19" a="1"/>
  <c r="K281" i="19" s="1"/>
  <c r="K282" i="19" a="1"/>
  <c r="K282" i="19" s="1"/>
  <c r="K283" i="19" a="1"/>
  <c r="K283" i="19" s="1"/>
  <c r="K284" i="19" a="1"/>
  <c r="K284" i="19" s="1"/>
  <c r="K285" i="19" a="1"/>
  <c r="K285" i="19" s="1"/>
  <c r="K286" i="19" a="1"/>
  <c r="K286" i="19" s="1"/>
  <c r="K287" i="19" a="1"/>
  <c r="K287" i="19" s="1"/>
  <c r="K290" i="19" a="1"/>
  <c r="K290" i="19" s="1"/>
  <c r="K291" i="19" a="1"/>
  <c r="K291" i="19" s="1"/>
  <c r="K292" i="19" a="1"/>
  <c r="K292" i="19" s="1"/>
  <c r="K293" i="19" a="1"/>
  <c r="K293" i="19" s="1"/>
  <c r="K294" i="19" a="1"/>
  <c r="K294" i="19" s="1"/>
  <c r="K298" i="19" a="1"/>
  <c r="K298" i="19" s="1"/>
  <c r="K299" i="19" a="1"/>
  <c r="K299" i="19" s="1"/>
  <c r="K300" i="19" a="1"/>
  <c r="K300" i="19" s="1"/>
  <c r="K301" i="19" a="1"/>
  <c r="K301" i="19" s="1"/>
  <c r="K302" i="19" a="1"/>
  <c r="K302" i="19" s="1"/>
  <c r="K303" i="19" a="1"/>
  <c r="K303" i="19" s="1"/>
  <c r="K304" i="19" a="1"/>
  <c r="K304" i="19" s="1"/>
  <c r="K305" i="19" a="1"/>
  <c r="K305" i="19" s="1"/>
  <c r="K306" i="19" a="1"/>
  <c r="K306" i="19" s="1"/>
  <c r="K307" i="19" a="1"/>
  <c r="K307" i="19" s="1"/>
  <c r="K308" i="19" a="1"/>
  <c r="K308" i="19" s="1"/>
  <c r="K309" i="19" a="1"/>
  <c r="K309" i="19" s="1"/>
  <c r="K310" i="19" a="1"/>
  <c r="K310" i="19" s="1"/>
  <c r="K311" i="19" a="1"/>
  <c r="K311" i="19" s="1"/>
  <c r="K312" i="19" a="1"/>
  <c r="K312" i="19" s="1"/>
  <c r="K313" i="19" a="1"/>
  <c r="K313" i="19" s="1"/>
  <c r="K314" i="19" a="1"/>
  <c r="K314" i="19" s="1"/>
  <c r="K315" i="19" a="1"/>
  <c r="K315" i="19" s="1"/>
  <c r="K316" i="19" a="1"/>
  <c r="K316" i="19" s="1"/>
  <c r="K317" i="19" a="1"/>
  <c r="K317" i="19" s="1"/>
  <c r="K318" i="19" a="1"/>
  <c r="K318" i="19" s="1"/>
  <c r="K319" i="19" a="1"/>
  <c r="K319" i="19" s="1"/>
  <c r="K320" i="19" a="1"/>
  <c r="K320" i="19" s="1"/>
  <c r="K321" i="19" a="1"/>
  <c r="K321" i="19" s="1"/>
  <c r="K325" i="19" a="1"/>
  <c r="K325" i="19" s="1"/>
  <c r="K326" i="19" a="1"/>
  <c r="K326" i="19" s="1"/>
  <c r="K327" i="19" a="1"/>
  <c r="K327" i="19" s="1"/>
  <c r="K133" i="19" a="1"/>
  <c r="K133" i="19" s="1"/>
  <c r="J134" i="19" a="1"/>
  <c r="J134" i="19" s="1"/>
  <c r="J135" i="19" a="1"/>
  <c r="J135" i="19" s="1"/>
  <c r="J142" i="19" a="1"/>
  <c r="J142" i="19" s="1"/>
  <c r="J144" i="19" a="1"/>
  <c r="J144" i="19" s="1"/>
  <c r="J145" i="19" a="1"/>
  <c r="J145" i="19" s="1"/>
  <c r="J146" i="19" a="1"/>
  <c r="J146" i="19" s="1"/>
  <c r="J147" i="19" a="1"/>
  <c r="J147" i="19" s="1"/>
  <c r="J148" i="19" a="1"/>
  <c r="J148" i="19" s="1"/>
  <c r="J149" i="19" a="1"/>
  <c r="J149" i="19" s="1"/>
  <c r="J150" i="19" a="1"/>
  <c r="J150" i="19" s="1"/>
  <c r="J151" i="19" a="1"/>
  <c r="J151" i="19" s="1"/>
  <c r="J152" i="19" a="1"/>
  <c r="J152" i="19" s="1"/>
  <c r="J153" i="19" a="1"/>
  <c r="J153" i="19" s="1"/>
  <c r="J154" i="19" a="1"/>
  <c r="J154" i="19" s="1"/>
  <c r="J155" i="19" a="1"/>
  <c r="J155" i="19" s="1"/>
  <c r="J156" i="19" a="1"/>
  <c r="J156" i="19" s="1"/>
  <c r="J158" i="19" a="1"/>
  <c r="J158" i="19" s="1"/>
  <c r="J159" i="19" a="1"/>
  <c r="J159" i="19" s="1"/>
  <c r="J160" i="19" a="1"/>
  <c r="J160" i="19" s="1"/>
  <c r="J157" i="19" a="1"/>
  <c r="J157" i="19" s="1"/>
  <c r="J161" i="19" a="1"/>
  <c r="J161" i="19" s="1"/>
  <c r="J162" i="19" a="1"/>
  <c r="J162" i="19" s="1"/>
  <c r="J163" i="19" a="1"/>
  <c r="J163" i="19" s="1"/>
  <c r="J164" i="19" a="1"/>
  <c r="J164" i="19" s="1"/>
  <c r="J165" i="19" a="1"/>
  <c r="J165" i="19" s="1"/>
  <c r="J133" i="19" a="1"/>
  <c r="J133" i="19" s="1"/>
  <c r="I134" i="19" a="1"/>
  <c r="I134" i="19" s="1"/>
  <c r="I135" i="19" a="1"/>
  <c r="I135" i="19" s="1"/>
  <c r="I142" i="19" a="1"/>
  <c r="I142" i="19" s="1"/>
  <c r="I144" i="19" a="1"/>
  <c r="I144" i="19" s="1"/>
  <c r="I145" i="19" a="1"/>
  <c r="I145" i="19" s="1"/>
  <c r="I146" i="19" a="1"/>
  <c r="I146" i="19" s="1"/>
  <c r="AA15" i="19" s="1"/>
  <c r="I147" i="19" a="1"/>
  <c r="I147" i="19" s="1"/>
  <c r="I148" i="19" a="1"/>
  <c r="I148" i="19" s="1"/>
  <c r="I149" i="19" a="1"/>
  <c r="I149" i="19" s="1"/>
  <c r="I150" i="19" a="1"/>
  <c r="I150" i="19" s="1"/>
  <c r="I151" i="19" a="1"/>
  <c r="I151" i="19" s="1"/>
  <c r="I152" i="19" a="1"/>
  <c r="I152" i="19" s="1"/>
  <c r="AA11" i="19" s="1"/>
  <c r="I153" i="19" a="1"/>
  <c r="I153" i="19" s="1"/>
  <c r="I154" i="19" a="1"/>
  <c r="I154" i="19" s="1"/>
  <c r="I155" i="19" a="1"/>
  <c r="I155" i="19" s="1"/>
  <c r="I156" i="19" a="1"/>
  <c r="I156" i="19" s="1"/>
  <c r="I158" i="19" a="1"/>
  <c r="I158" i="19" s="1"/>
  <c r="I159" i="19" a="1"/>
  <c r="I159" i="19" s="1"/>
  <c r="I160" i="19" a="1"/>
  <c r="I160" i="19" s="1"/>
  <c r="I157" i="19" a="1"/>
  <c r="I157" i="19" s="1"/>
  <c r="I161" i="19" a="1"/>
  <c r="I161" i="19" s="1"/>
  <c r="I162" i="19" a="1"/>
  <c r="I162" i="19" s="1"/>
  <c r="I163" i="19" a="1"/>
  <c r="I163" i="19" s="1"/>
  <c r="I164" i="19" a="1"/>
  <c r="I164" i="19" s="1"/>
  <c r="I133" i="19" a="1"/>
  <c r="I133" i="19" s="1"/>
  <c r="I239" i="8" a="1"/>
  <c r="I239" i="8" s="1"/>
  <c r="J239" i="8" a="1"/>
  <c r="J239" i="8" s="1"/>
  <c r="K239" i="8" a="1"/>
  <c r="K239" i="8" s="1"/>
  <c r="I238" i="8" a="1"/>
  <c r="I238" i="8" s="1"/>
  <c r="J238" i="8" a="1"/>
  <c r="J238" i="8" s="1"/>
  <c r="K238" i="8" a="1"/>
  <c r="K238" i="8" s="1"/>
  <c r="M3" i="18"/>
  <c r="M2" i="18"/>
  <c r="M1" i="18"/>
  <c r="K3" i="18" a="1"/>
  <c r="K3" i="18" s="1"/>
  <c r="K4" i="18" a="1"/>
  <c r="K4" i="18" s="1"/>
  <c r="K5" i="18" a="1"/>
  <c r="K5" i="18" s="1"/>
  <c r="K6" i="18" a="1"/>
  <c r="K6" i="18"/>
  <c r="K7" i="18" a="1"/>
  <c r="K7" i="18"/>
  <c r="K8" i="18" a="1"/>
  <c r="K8" i="18" s="1"/>
  <c r="K9" i="18" a="1"/>
  <c r="K9" i="18" s="1"/>
  <c r="K10" i="18" a="1"/>
  <c r="K10" i="18" s="1"/>
  <c r="K11" i="18" a="1"/>
  <c r="K11" i="18" s="1"/>
  <c r="K12" i="18" a="1"/>
  <c r="K12" i="18"/>
  <c r="K13" i="18" a="1"/>
  <c r="K13" i="18" s="1"/>
  <c r="K14" i="18" a="1"/>
  <c r="K14" i="18" s="1"/>
  <c r="K15" i="18" a="1"/>
  <c r="K15" i="18" s="1"/>
  <c r="K16" i="18" a="1"/>
  <c r="K16" i="18" s="1"/>
  <c r="K17" i="18" a="1"/>
  <c r="K17" i="18"/>
  <c r="K18" i="18" a="1"/>
  <c r="K18" i="18" s="1"/>
  <c r="K19" i="18" a="1"/>
  <c r="K19" i="18" s="1"/>
  <c r="K20" i="18" a="1"/>
  <c r="K20" i="18" s="1"/>
  <c r="K21" i="18" a="1"/>
  <c r="K21" i="18" s="1"/>
  <c r="K22" i="18" a="1"/>
  <c r="K22" i="18"/>
  <c r="K23" i="18" a="1"/>
  <c r="K23" i="18" s="1"/>
  <c r="K24" i="18" a="1"/>
  <c r="K24" i="18" s="1"/>
  <c r="K25" i="18" a="1"/>
  <c r="K25" i="18" s="1"/>
  <c r="K26" i="18" a="1"/>
  <c r="K26" i="18" s="1"/>
  <c r="K27" i="18" a="1"/>
  <c r="K27" i="18"/>
  <c r="K28" i="18" a="1"/>
  <c r="K28" i="18" s="1"/>
  <c r="K29" i="18" a="1"/>
  <c r="K29" i="18" s="1"/>
  <c r="K30" i="18" a="1"/>
  <c r="K30" i="18" s="1"/>
  <c r="K31" i="18" a="1"/>
  <c r="K31" i="18" s="1"/>
  <c r="K32" i="18" a="1"/>
  <c r="K32" i="18"/>
  <c r="K33" i="18" a="1"/>
  <c r="K33" i="18" s="1"/>
  <c r="K34" i="18" a="1"/>
  <c r="K34" i="18" s="1"/>
  <c r="K35" i="18" a="1"/>
  <c r="K35" i="18" s="1"/>
  <c r="K36" i="18" a="1"/>
  <c r="K36" i="18" s="1"/>
  <c r="K37" i="18" a="1"/>
  <c r="K37" i="18"/>
  <c r="K38" i="18" a="1"/>
  <c r="K38" i="18" s="1"/>
  <c r="K39" i="18" a="1"/>
  <c r="K39" i="18" s="1"/>
  <c r="K40" i="18" a="1"/>
  <c r="K40" i="18" s="1"/>
  <c r="K41" i="18" a="1"/>
  <c r="K41" i="18" s="1"/>
  <c r="K42" i="18" a="1"/>
  <c r="K42" i="18"/>
  <c r="K43" i="18" a="1"/>
  <c r="K43" i="18" s="1"/>
  <c r="K44" i="18" a="1"/>
  <c r="K44" i="18" s="1"/>
  <c r="K45" i="18" a="1"/>
  <c r="K45" i="18" s="1"/>
  <c r="K46" i="18" a="1"/>
  <c r="K46" i="18" s="1"/>
  <c r="K47" i="18" a="1"/>
  <c r="K47" i="18"/>
  <c r="K48" i="18" a="1"/>
  <c r="K48" i="18" s="1"/>
  <c r="K49" i="18" a="1"/>
  <c r="K49" i="18" s="1"/>
  <c r="K50" i="18" a="1"/>
  <c r="K50" i="18" s="1"/>
  <c r="K51" i="18" a="1"/>
  <c r="K51" i="18" s="1"/>
  <c r="K52" i="18" a="1"/>
  <c r="K52" i="18"/>
  <c r="K53" i="18" a="1"/>
  <c r="K53" i="18" s="1"/>
  <c r="K54" i="18" a="1"/>
  <c r="K54" i="18" s="1"/>
  <c r="K55" i="18" a="1"/>
  <c r="K55" i="18" s="1"/>
  <c r="K56" i="18" a="1"/>
  <c r="K56" i="18" s="1"/>
  <c r="K57" i="18" a="1"/>
  <c r="K57" i="18"/>
  <c r="K58" i="18" a="1"/>
  <c r="K58" i="18" s="1"/>
  <c r="K59" i="18" a="1"/>
  <c r="K59" i="18" s="1"/>
  <c r="K60" i="18" a="1"/>
  <c r="K60" i="18" s="1"/>
  <c r="K61" i="18" a="1"/>
  <c r="K61" i="18" s="1"/>
  <c r="K62" i="18" a="1"/>
  <c r="K62" i="18"/>
  <c r="K63" i="18" a="1"/>
  <c r="K63" i="18" s="1"/>
  <c r="K64" i="18" a="1"/>
  <c r="K64" i="18" s="1"/>
  <c r="K65" i="18" a="1"/>
  <c r="K65" i="18" s="1"/>
  <c r="K66" i="18" a="1"/>
  <c r="K66" i="18" s="1"/>
  <c r="K67" i="18" a="1"/>
  <c r="K67" i="18"/>
  <c r="K68" i="18" a="1"/>
  <c r="K68" i="18" s="1"/>
  <c r="K69" i="18" a="1"/>
  <c r="K69" i="18" s="1"/>
  <c r="K70" i="18" a="1"/>
  <c r="K70" i="18" s="1"/>
  <c r="K71" i="18" a="1"/>
  <c r="K71" i="18" s="1"/>
  <c r="K72" i="18" a="1"/>
  <c r="K72" i="18"/>
  <c r="K73" i="18" a="1"/>
  <c r="K73" i="18" s="1"/>
  <c r="K74" i="18" a="1"/>
  <c r="K74" i="18" s="1"/>
  <c r="K75" i="18" a="1"/>
  <c r="K75" i="18" s="1"/>
  <c r="K76" i="18" a="1"/>
  <c r="K76" i="18" s="1"/>
  <c r="K77" i="18" a="1"/>
  <c r="K77" i="18"/>
  <c r="K78" i="18" a="1"/>
  <c r="K78" i="18" s="1"/>
  <c r="K79" i="18" a="1"/>
  <c r="K79" i="18" s="1"/>
  <c r="K80" i="18" a="1"/>
  <c r="K80" i="18" s="1"/>
  <c r="K81" i="18" a="1"/>
  <c r="K81" i="18" s="1"/>
  <c r="K82" i="18" a="1"/>
  <c r="K82" i="18"/>
  <c r="K83" i="18" a="1"/>
  <c r="K83" i="18" s="1"/>
  <c r="K84" i="18" a="1"/>
  <c r="K84" i="18" s="1"/>
  <c r="K85" i="18" a="1"/>
  <c r="K85" i="18" s="1"/>
  <c r="K86" i="18" a="1"/>
  <c r="K86" i="18" s="1"/>
  <c r="K87" i="18" a="1"/>
  <c r="K87" i="18"/>
  <c r="K88" i="18" a="1"/>
  <c r="K88" i="18" s="1"/>
  <c r="K89" i="18" a="1"/>
  <c r="K89" i="18" s="1"/>
  <c r="K90" i="18" a="1"/>
  <c r="K90" i="18" s="1"/>
  <c r="K91" i="18" a="1"/>
  <c r="K91" i="18" s="1"/>
  <c r="K92" i="18" a="1"/>
  <c r="K92" i="18"/>
  <c r="K93" i="18" a="1"/>
  <c r="K93" i="18" s="1"/>
  <c r="K94" i="18" a="1"/>
  <c r="K94" i="18" s="1"/>
  <c r="K95" i="18" a="1"/>
  <c r="K95" i="18" s="1"/>
  <c r="K96" i="18" a="1"/>
  <c r="K96" i="18" s="1"/>
  <c r="K97" i="18" a="1"/>
  <c r="K97" i="18"/>
  <c r="K98" i="18" a="1"/>
  <c r="K98" i="18" s="1"/>
  <c r="K99" i="18" a="1"/>
  <c r="K99" i="18" s="1"/>
  <c r="K100" i="18" a="1"/>
  <c r="K100" i="18" s="1"/>
  <c r="K101" i="18" a="1"/>
  <c r="K101" i="18" s="1"/>
  <c r="K102" i="18" a="1"/>
  <c r="K102" i="18"/>
  <c r="K103" i="18" a="1"/>
  <c r="K103" i="18" s="1"/>
  <c r="K104" i="18" a="1"/>
  <c r="K104" i="18" s="1"/>
  <c r="K105" i="18" a="1"/>
  <c r="K105" i="18" s="1"/>
  <c r="K106" i="18" a="1"/>
  <c r="K106" i="18" s="1"/>
  <c r="K107" i="18" a="1"/>
  <c r="K107" i="18"/>
  <c r="K108" i="18" a="1"/>
  <c r="K108" i="18" s="1"/>
  <c r="K109" i="18" a="1"/>
  <c r="K109" i="18" s="1"/>
  <c r="K110" i="18" a="1"/>
  <c r="K110" i="18" s="1"/>
  <c r="K111" i="18" a="1"/>
  <c r="K111" i="18" s="1"/>
  <c r="K112" i="18" a="1"/>
  <c r="K112" i="18" s="1"/>
  <c r="K113" i="18" a="1"/>
  <c r="K113" i="18" s="1"/>
  <c r="K114" i="18" a="1"/>
  <c r="K114" i="18" s="1"/>
  <c r="K115" i="18" a="1"/>
  <c r="K115" i="18" s="1"/>
  <c r="K116" i="18" a="1"/>
  <c r="K116" i="18" s="1"/>
  <c r="K117" i="18" a="1"/>
  <c r="K117" i="18" s="1"/>
  <c r="K118" i="18" a="1"/>
  <c r="K118" i="18" s="1"/>
  <c r="K119" i="18" a="1"/>
  <c r="K119" i="18" s="1"/>
  <c r="K120" i="18" a="1"/>
  <c r="K120" i="18" s="1"/>
  <c r="K121" i="18" a="1"/>
  <c r="K121" i="18" s="1"/>
  <c r="K122" i="18" a="1"/>
  <c r="K122" i="18" s="1"/>
  <c r="K123" i="18" a="1"/>
  <c r="K123" i="18" s="1"/>
  <c r="K124" i="18" a="1"/>
  <c r="K124" i="18" s="1"/>
  <c r="K125" i="18" a="1"/>
  <c r="K125" i="18" s="1"/>
  <c r="K126" i="18" a="1"/>
  <c r="K126" i="18" s="1"/>
  <c r="K127" i="18" a="1"/>
  <c r="K127" i="18" s="1"/>
  <c r="K128" i="18" a="1"/>
  <c r="K128" i="18" s="1"/>
  <c r="K129" i="18" a="1"/>
  <c r="K129" i="18" s="1"/>
  <c r="K130" i="18" a="1"/>
  <c r="K130" i="18" s="1"/>
  <c r="K131" i="18" a="1"/>
  <c r="K131" i="18" s="1"/>
  <c r="K132" i="18" a="1"/>
  <c r="K132" i="18" s="1"/>
  <c r="K133" i="18" a="1"/>
  <c r="K133" i="18" s="1"/>
  <c r="K134" i="18" a="1"/>
  <c r="K134" i="18" s="1"/>
  <c r="K135" i="18" a="1"/>
  <c r="K135" i="18" s="1"/>
  <c r="K136" i="18" a="1"/>
  <c r="K136" i="18" s="1"/>
  <c r="K137" i="18" a="1"/>
  <c r="K137" i="18" s="1"/>
  <c r="K138" i="18" a="1"/>
  <c r="K138" i="18" s="1"/>
  <c r="K139" i="18" a="1"/>
  <c r="K139" i="18" s="1"/>
  <c r="K140" i="18" a="1"/>
  <c r="K140" i="18" s="1"/>
  <c r="K141" i="18" a="1"/>
  <c r="K141" i="18" s="1"/>
  <c r="K142" i="18" a="1"/>
  <c r="K142" i="18" s="1"/>
  <c r="K143" i="18" a="1"/>
  <c r="K143" i="18" s="1"/>
  <c r="K144" i="18" a="1"/>
  <c r="K144" i="18" s="1"/>
  <c r="K145" i="18" a="1"/>
  <c r="K145" i="18" s="1"/>
  <c r="K146" i="18" a="1"/>
  <c r="K146" i="18" s="1"/>
  <c r="K147" i="18" a="1"/>
  <c r="K147" i="18" s="1"/>
  <c r="K148" i="18" a="1"/>
  <c r="K148" i="18" s="1"/>
  <c r="K149" i="18" a="1"/>
  <c r="K149" i="18" s="1"/>
  <c r="K150" i="18" a="1"/>
  <c r="K150" i="18" s="1"/>
  <c r="K151" i="18" a="1"/>
  <c r="K151" i="18" s="1"/>
  <c r="K152" i="18" a="1"/>
  <c r="K152" i="18" s="1"/>
  <c r="K153" i="18" a="1"/>
  <c r="K153" i="18" s="1"/>
  <c r="K154" i="18" a="1"/>
  <c r="K154" i="18" s="1"/>
  <c r="K155" i="18" a="1"/>
  <c r="K155" i="18" s="1"/>
  <c r="K156" i="18" a="1"/>
  <c r="K156" i="18" s="1"/>
  <c r="K157" i="18" a="1"/>
  <c r="K157" i="18" s="1"/>
  <c r="K158" i="18" a="1"/>
  <c r="K158" i="18" s="1"/>
  <c r="K159" i="18" a="1"/>
  <c r="K159" i="18" s="1"/>
  <c r="K160" i="18" a="1"/>
  <c r="K160" i="18" s="1"/>
  <c r="K161" i="18" a="1"/>
  <c r="K161" i="18" s="1"/>
  <c r="K162" i="18" a="1"/>
  <c r="K162" i="18" s="1"/>
  <c r="K163" i="18" a="1"/>
  <c r="K163" i="18" s="1"/>
  <c r="K164" i="18" a="1"/>
  <c r="K164" i="18" s="1"/>
  <c r="K165" i="18" a="1"/>
  <c r="K165" i="18" s="1"/>
  <c r="K166" i="18" a="1"/>
  <c r="K166" i="18" s="1"/>
  <c r="K167" i="18" a="1"/>
  <c r="K167" i="18" s="1"/>
  <c r="K168" i="18" a="1"/>
  <c r="K168" i="18" s="1"/>
  <c r="K169" i="18" a="1"/>
  <c r="K169" i="18" s="1"/>
  <c r="K170" i="18" a="1"/>
  <c r="K170" i="18" s="1"/>
  <c r="K171" i="18" a="1"/>
  <c r="K171" i="18" s="1"/>
  <c r="K172" i="18" a="1"/>
  <c r="K172" i="18" s="1"/>
  <c r="K173" i="18" a="1"/>
  <c r="K173" i="18" s="1"/>
  <c r="K174" i="18" a="1"/>
  <c r="K174" i="18" s="1"/>
  <c r="K175" i="18" a="1"/>
  <c r="K175" i="18" s="1"/>
  <c r="K176" i="18" a="1"/>
  <c r="K176" i="18" s="1"/>
  <c r="K177" i="18" a="1"/>
  <c r="K177" i="18" s="1"/>
  <c r="K178" i="18" a="1"/>
  <c r="K178" i="18" s="1"/>
  <c r="K179" i="18" a="1"/>
  <c r="K179" i="18" s="1"/>
  <c r="K180" i="18" a="1"/>
  <c r="K180" i="18" s="1"/>
  <c r="K181" i="18" a="1"/>
  <c r="K181" i="18" s="1"/>
  <c r="K182" i="18" a="1"/>
  <c r="K182" i="18" s="1"/>
  <c r="K183" i="18" a="1"/>
  <c r="K183" i="18" s="1"/>
  <c r="K184" i="18" a="1"/>
  <c r="K184" i="18" s="1"/>
  <c r="K185" i="18" a="1"/>
  <c r="K185" i="18" s="1"/>
  <c r="K186" i="18" a="1"/>
  <c r="K186" i="18" s="1"/>
  <c r="K187" i="18" a="1"/>
  <c r="K187" i="18" s="1"/>
  <c r="K188" i="18" a="1"/>
  <c r="K188" i="18" s="1"/>
  <c r="K189" i="18" a="1"/>
  <c r="K189" i="18" s="1"/>
  <c r="K190" i="18" a="1"/>
  <c r="K190" i="18" s="1"/>
  <c r="K191" i="18" a="1"/>
  <c r="K191" i="18" s="1"/>
  <c r="K192" i="18" a="1"/>
  <c r="K192" i="18" s="1"/>
  <c r="K193" i="18" a="1"/>
  <c r="K193" i="18" s="1"/>
  <c r="K194" i="18" a="1"/>
  <c r="K194" i="18" s="1"/>
  <c r="K195" i="18" a="1"/>
  <c r="K195" i="18" s="1"/>
  <c r="K196" i="18" a="1"/>
  <c r="K196" i="18" s="1"/>
  <c r="K197" i="18" a="1"/>
  <c r="K197" i="18" s="1"/>
  <c r="K198" i="18" a="1"/>
  <c r="K198" i="18" s="1"/>
  <c r="K199" i="18" a="1"/>
  <c r="K199" i="18" s="1"/>
  <c r="K200" i="18" a="1"/>
  <c r="K200" i="18" s="1"/>
  <c r="K201" i="18" a="1"/>
  <c r="K201" i="18" s="1"/>
  <c r="K202" i="18" a="1"/>
  <c r="K202" i="18" s="1"/>
  <c r="K203" i="18" a="1"/>
  <c r="K203" i="18" s="1"/>
  <c r="K204" i="18" a="1"/>
  <c r="K204" i="18" s="1"/>
  <c r="K205" i="18" a="1"/>
  <c r="K205" i="18" s="1"/>
  <c r="K206" i="18" a="1"/>
  <c r="K206" i="18" s="1"/>
  <c r="K207" i="18" a="1"/>
  <c r="K207" i="18" s="1"/>
  <c r="K208" i="18" a="1"/>
  <c r="K208" i="18" s="1"/>
  <c r="K209" i="18" a="1"/>
  <c r="K209" i="18" s="1"/>
  <c r="K210" i="18" a="1"/>
  <c r="K210" i="18" s="1"/>
  <c r="K211" i="18" a="1"/>
  <c r="K211" i="18" s="1"/>
  <c r="K212" i="18" a="1"/>
  <c r="K212" i="18" s="1"/>
  <c r="K213" i="18" a="1"/>
  <c r="K213" i="18" s="1"/>
  <c r="K214" i="18" a="1"/>
  <c r="K214" i="18" s="1"/>
  <c r="K215" i="18" a="1"/>
  <c r="K215" i="18" s="1"/>
  <c r="K216" i="18" a="1"/>
  <c r="K216" i="18" s="1"/>
  <c r="J3" i="18" a="1"/>
  <c r="J3" i="18" s="1"/>
  <c r="J4" i="18" a="1"/>
  <c r="J4" i="18" s="1"/>
  <c r="J5" i="18" a="1"/>
  <c r="J5" i="18"/>
  <c r="J6" i="18" a="1"/>
  <c r="J6" i="18"/>
  <c r="J7" i="18" a="1"/>
  <c r="J7" i="18"/>
  <c r="J8" i="18" a="1"/>
  <c r="J8" i="18" s="1"/>
  <c r="J9" i="18" a="1"/>
  <c r="J9" i="18" s="1"/>
  <c r="J10" i="18" a="1"/>
  <c r="J10" i="18"/>
  <c r="J11" i="18" a="1"/>
  <c r="J11" i="18"/>
  <c r="J12" i="18" a="1"/>
  <c r="J12" i="18"/>
  <c r="J13" i="18" a="1"/>
  <c r="J13" i="18" s="1"/>
  <c r="J14" i="18" a="1"/>
  <c r="J14" i="18" s="1"/>
  <c r="J15" i="18" a="1"/>
  <c r="J15" i="18"/>
  <c r="J16" i="18" a="1"/>
  <c r="J16" i="18"/>
  <c r="J17" i="18" a="1"/>
  <c r="J17" i="18"/>
  <c r="J18" i="18" a="1"/>
  <c r="J18" i="18" s="1"/>
  <c r="J19" i="18" a="1"/>
  <c r="J19" i="18" s="1"/>
  <c r="J20" i="18" a="1"/>
  <c r="J20" i="18"/>
  <c r="J21" i="18" a="1"/>
  <c r="J21" i="18"/>
  <c r="J22" i="18" a="1"/>
  <c r="J22" i="18"/>
  <c r="J23" i="18" a="1"/>
  <c r="J23" i="18" s="1"/>
  <c r="J24" i="18" a="1"/>
  <c r="J24" i="18" s="1"/>
  <c r="J25" i="18" a="1"/>
  <c r="J25" i="18"/>
  <c r="J26" i="18" a="1"/>
  <c r="J26" i="18"/>
  <c r="J27" i="18" a="1"/>
  <c r="J27" i="18"/>
  <c r="J28" i="18" a="1"/>
  <c r="J28" i="18" s="1"/>
  <c r="J29" i="18" a="1"/>
  <c r="J29" i="18" s="1"/>
  <c r="J30" i="18" a="1"/>
  <c r="J30" i="18"/>
  <c r="J31" i="18" a="1"/>
  <c r="J31" i="18"/>
  <c r="J32" i="18" a="1"/>
  <c r="J32" i="18"/>
  <c r="J33" i="18" a="1"/>
  <c r="J33" i="18" s="1"/>
  <c r="J34" i="18" a="1"/>
  <c r="J34" i="18" s="1"/>
  <c r="J35" i="18" a="1"/>
  <c r="J35" i="18"/>
  <c r="J36" i="18" a="1"/>
  <c r="J36" i="18"/>
  <c r="J37" i="18" a="1"/>
  <c r="J37" i="18"/>
  <c r="J38" i="18" a="1"/>
  <c r="J38" i="18" s="1"/>
  <c r="J39" i="18" a="1"/>
  <c r="J39" i="18" s="1"/>
  <c r="J40" i="18" a="1"/>
  <c r="J40" i="18"/>
  <c r="J41" i="18" a="1"/>
  <c r="J41" i="18"/>
  <c r="J42" i="18" a="1"/>
  <c r="J42" i="18"/>
  <c r="J43" i="18" a="1"/>
  <c r="J43" i="18" s="1"/>
  <c r="J44" i="18" a="1"/>
  <c r="J44" i="18" s="1"/>
  <c r="J45" i="18" a="1"/>
  <c r="J45" i="18"/>
  <c r="J46" i="18" a="1"/>
  <c r="J46" i="18"/>
  <c r="J47" i="18" a="1"/>
  <c r="J47" i="18"/>
  <c r="J48" i="18" a="1"/>
  <c r="J48" i="18" s="1"/>
  <c r="J49" i="18" a="1"/>
  <c r="J49" i="18" s="1"/>
  <c r="J50" i="18" a="1"/>
  <c r="J50" i="18"/>
  <c r="J51" i="18" a="1"/>
  <c r="J51" i="18"/>
  <c r="J52" i="18" a="1"/>
  <c r="J52" i="18"/>
  <c r="J53" i="18" a="1"/>
  <c r="J53" i="18" s="1"/>
  <c r="J54" i="18" a="1"/>
  <c r="J54" i="18" s="1"/>
  <c r="J55" i="18" a="1"/>
  <c r="J55" i="18"/>
  <c r="J56" i="18" a="1"/>
  <c r="J56" i="18"/>
  <c r="J57" i="18" a="1"/>
  <c r="J57" i="18" s="1"/>
  <c r="J58" i="18" a="1"/>
  <c r="J58" i="18" s="1"/>
  <c r="J59" i="18" a="1"/>
  <c r="J59" i="18" s="1"/>
  <c r="J60" i="18" a="1"/>
  <c r="J60" i="18"/>
  <c r="J61" i="18" a="1"/>
  <c r="J61" i="18"/>
  <c r="J62" i="18" a="1"/>
  <c r="J62" i="18"/>
  <c r="J63" i="18" a="1"/>
  <c r="J63" i="18" s="1"/>
  <c r="J64" i="18" a="1"/>
  <c r="J64" i="18" s="1"/>
  <c r="J65" i="18" a="1"/>
  <c r="J65" i="18" s="1"/>
  <c r="J66" i="18" a="1"/>
  <c r="J66" i="18" s="1"/>
  <c r="J67" i="18" a="1"/>
  <c r="J67" i="18" s="1"/>
  <c r="J68" i="18" a="1"/>
  <c r="J68" i="18" s="1"/>
  <c r="J69" i="18" a="1"/>
  <c r="J69" i="18" s="1"/>
  <c r="J70" i="18" a="1"/>
  <c r="J70" i="18" s="1"/>
  <c r="J71" i="18" a="1"/>
  <c r="J71" i="18" s="1"/>
  <c r="I3" i="18" a="1"/>
  <c r="I3" i="18" s="1"/>
  <c r="I4" i="18" a="1"/>
  <c r="I4" i="18" s="1"/>
  <c r="I5" i="18" a="1"/>
  <c r="I5" i="18" s="1"/>
  <c r="I6" i="18" a="1"/>
  <c r="I6" i="18" s="1"/>
  <c r="I7" i="18" a="1"/>
  <c r="I7" i="18" s="1"/>
  <c r="I8" i="18" a="1"/>
  <c r="I8" i="18" s="1"/>
  <c r="I9" i="18" a="1"/>
  <c r="I9" i="18" s="1"/>
  <c r="I10" i="18" a="1"/>
  <c r="I10" i="18" s="1"/>
  <c r="I11" i="18" a="1"/>
  <c r="I11" i="18" s="1"/>
  <c r="I12" i="18" a="1"/>
  <c r="I12" i="18" s="1"/>
  <c r="I13" i="18" a="1"/>
  <c r="I13" i="18" s="1"/>
  <c r="I14" i="18" a="1"/>
  <c r="I14" i="18" s="1"/>
  <c r="I15" i="18" a="1"/>
  <c r="I15" i="18" s="1"/>
  <c r="I16" i="18" a="1"/>
  <c r="I16" i="18" s="1"/>
  <c r="I17" i="18" a="1"/>
  <c r="I17" i="18" s="1"/>
  <c r="I18" i="18" a="1"/>
  <c r="I18" i="18" s="1"/>
  <c r="I19" i="18" a="1"/>
  <c r="I19" i="18" s="1"/>
  <c r="I20" i="18" a="1"/>
  <c r="I20" i="18" s="1"/>
  <c r="I21" i="18" a="1"/>
  <c r="I21" i="18" s="1"/>
  <c r="I22" i="18" a="1"/>
  <c r="I22" i="18" s="1"/>
  <c r="I23" i="18" a="1"/>
  <c r="I23" i="18" s="1"/>
  <c r="I24" i="18" a="1"/>
  <c r="I24" i="18" s="1"/>
  <c r="I25" i="18" a="1"/>
  <c r="I25" i="18" s="1"/>
  <c r="I26" i="18" a="1"/>
  <c r="I26" i="18" s="1"/>
  <c r="I27" i="18" a="1"/>
  <c r="I27" i="18" s="1"/>
  <c r="I28" i="18" a="1"/>
  <c r="I28" i="18" s="1"/>
  <c r="I29" i="18" a="1"/>
  <c r="I29" i="18" s="1"/>
  <c r="I30" i="18" a="1"/>
  <c r="I30" i="18" s="1"/>
  <c r="I31" i="18" a="1"/>
  <c r="I31" i="18" s="1"/>
  <c r="I32" i="18" a="1"/>
  <c r="I32" i="18" s="1"/>
  <c r="I33" i="18" a="1"/>
  <c r="I33" i="18" s="1"/>
  <c r="I34" i="18" a="1"/>
  <c r="I34" i="18" s="1"/>
  <c r="I35" i="18" a="1"/>
  <c r="I35" i="18" s="1"/>
  <c r="I36" i="18" a="1"/>
  <c r="I36" i="18" s="1"/>
  <c r="I37" i="18" a="1"/>
  <c r="I37" i="18" s="1"/>
  <c r="I38" i="18" a="1"/>
  <c r="I38" i="18" s="1"/>
  <c r="I39" i="18" a="1"/>
  <c r="I39" i="18" s="1"/>
  <c r="I40" i="18" a="1"/>
  <c r="I40" i="18" s="1"/>
  <c r="I41" i="18" a="1"/>
  <c r="I41" i="18" s="1"/>
  <c r="I42" i="18" a="1"/>
  <c r="I42" i="18" s="1"/>
  <c r="I43" i="18" a="1"/>
  <c r="I43" i="18" s="1"/>
  <c r="I44" i="18" a="1"/>
  <c r="I44" i="18" s="1"/>
  <c r="I45" i="18" a="1"/>
  <c r="I45" i="18" s="1"/>
  <c r="I46" i="18" a="1"/>
  <c r="I46" i="18" s="1"/>
  <c r="I47" i="18" a="1"/>
  <c r="I47" i="18" s="1"/>
  <c r="I48" i="18" a="1"/>
  <c r="I48" i="18" s="1"/>
  <c r="I49" i="18" a="1"/>
  <c r="I49" i="18" s="1"/>
  <c r="I50" i="18" a="1"/>
  <c r="I50" i="18" s="1"/>
  <c r="I51" i="18" a="1"/>
  <c r="I51" i="18" s="1"/>
  <c r="I52" i="18" a="1"/>
  <c r="I52" i="18" s="1"/>
  <c r="I53" i="18" a="1"/>
  <c r="I53" i="18" s="1"/>
  <c r="I54" i="18" a="1"/>
  <c r="I54" i="18" s="1"/>
  <c r="I55" i="18" a="1"/>
  <c r="I55" i="18" s="1"/>
  <c r="I56" i="18" a="1"/>
  <c r="I56" i="18" s="1"/>
  <c r="I57" i="18" a="1"/>
  <c r="I57" i="18" s="1"/>
  <c r="I58" i="18" a="1"/>
  <c r="I58" i="18" s="1"/>
  <c r="I59" i="18" a="1"/>
  <c r="I59" i="18" s="1"/>
  <c r="I60" i="18" a="1"/>
  <c r="I60" i="18" s="1"/>
  <c r="I61" i="18" a="1"/>
  <c r="I61" i="18" s="1"/>
  <c r="K2" i="18" a="1"/>
  <c r="K2" i="18" s="1"/>
  <c r="J2" i="18" a="1"/>
  <c r="J2" i="18" s="1"/>
  <c r="I2" i="18" a="1"/>
  <c r="I2" i="18" s="1"/>
  <c r="V21" i="18"/>
  <c r="U21" i="18"/>
  <c r="V20" i="18"/>
  <c r="U20" i="18"/>
  <c r="V19" i="18"/>
  <c r="U19" i="18"/>
  <c r="V18" i="18"/>
  <c r="U18" i="18"/>
  <c r="V17" i="18"/>
  <c r="U17" i="18"/>
  <c r="V16" i="18"/>
  <c r="U16" i="18"/>
  <c r="V15" i="18"/>
  <c r="U15" i="18"/>
  <c r="V14" i="18"/>
  <c r="U14" i="18"/>
  <c r="V13" i="18"/>
  <c r="U13" i="18"/>
  <c r="V12" i="18"/>
  <c r="U12" i="18"/>
  <c r="V11" i="18"/>
  <c r="U11" i="18"/>
  <c r="V10" i="18"/>
  <c r="U10" i="18"/>
  <c r="AD3" i="19" l="1"/>
  <c r="AA16" i="19"/>
  <c r="AB4" i="19"/>
  <c r="AC2" i="19"/>
  <c r="AA12" i="19"/>
  <c r="AD4" i="19"/>
  <c r="AB2" i="19"/>
  <c r="AD2" i="19"/>
  <c r="AC4" i="19"/>
  <c r="AA10" i="19"/>
  <c r="AA13" i="19"/>
  <c r="O3" i="19"/>
  <c r="O2" i="19"/>
  <c r="O1" i="19"/>
  <c r="I237" i="8" a="1"/>
  <c r="I237" i="8" s="1"/>
  <c r="J237" i="8" a="1"/>
  <c r="J237" i="8" s="1"/>
  <c r="K237" i="8" a="1"/>
  <c r="K237" i="8" s="1"/>
  <c r="I236" i="8" a="1"/>
  <c r="I236" i="8" s="1"/>
  <c r="J236" i="8" a="1"/>
  <c r="J236" i="8" s="1"/>
  <c r="K236" i="8" a="1"/>
  <c r="K236" i="8" s="1"/>
  <c r="I235" i="8" a="1"/>
  <c r="I235" i="8" s="1"/>
  <c r="J235" i="8" a="1"/>
  <c r="J235" i="8" s="1"/>
  <c r="K235" i="8" a="1"/>
  <c r="K235" i="8" s="1"/>
  <c r="I234" i="8" a="1"/>
  <c r="I234" i="8" s="1"/>
  <c r="J234" i="8" a="1"/>
  <c r="J234" i="8" s="1"/>
  <c r="K234" i="8" a="1"/>
  <c r="K234" i="8" s="1"/>
  <c r="I194" i="7" a="1"/>
  <c r="I194" i="7" s="1"/>
  <c r="J194" i="7" a="1"/>
  <c r="J194" i="7" s="1"/>
  <c r="K194" i="7" a="1"/>
  <c r="K194" i="7" s="1"/>
  <c r="I233" i="8" a="1"/>
  <c r="I233" i="8" s="1"/>
  <c r="J233" i="8" a="1"/>
  <c r="J233" i="8" s="1"/>
  <c r="K233" i="8" a="1"/>
  <c r="K233" i="8" s="1"/>
  <c r="Y12" i="13" l="1"/>
  <c r="Y13" i="13"/>
  <c r="Y14" i="13"/>
  <c r="Y15" i="13"/>
  <c r="Y16" i="13"/>
  <c r="Y17" i="13"/>
  <c r="Y18" i="13"/>
  <c r="Y19" i="13"/>
  <c r="Y20" i="13"/>
  <c r="Y21" i="13"/>
  <c r="Y22" i="13"/>
  <c r="Y11" i="13"/>
  <c r="X13" i="7"/>
  <c r="X14" i="7"/>
  <c r="X16" i="7"/>
  <c r="U12" i="8"/>
  <c r="T12" i="9"/>
  <c r="T13" i="9"/>
  <c r="T14" i="9"/>
  <c r="T15" i="9"/>
  <c r="T16" i="9"/>
  <c r="T17" i="9"/>
  <c r="T18" i="9"/>
  <c r="T21" i="9"/>
  <c r="T22" i="9"/>
  <c r="T11" i="9"/>
  <c r="U16" i="10"/>
  <c r="U11" i="10"/>
  <c r="X11" i="13"/>
  <c r="X12" i="13"/>
  <c r="X13" i="13"/>
  <c r="X14" i="13"/>
  <c r="X15" i="13"/>
  <c r="X16" i="13"/>
  <c r="X17" i="13"/>
  <c r="X18" i="13"/>
  <c r="X19" i="13"/>
  <c r="X20" i="13"/>
  <c r="X21" i="13"/>
  <c r="X22" i="13"/>
  <c r="W12" i="7"/>
  <c r="W13" i="7"/>
  <c r="W14" i="7"/>
  <c r="W15" i="7"/>
  <c r="W16" i="7"/>
  <c r="W17" i="7"/>
  <c r="W18" i="7"/>
  <c r="W19" i="7"/>
  <c r="W20" i="7"/>
  <c r="W21" i="7"/>
  <c r="W22" i="7"/>
  <c r="W11" i="7"/>
  <c r="T11" i="8"/>
  <c r="T12" i="8"/>
  <c r="T13" i="8"/>
  <c r="T14" i="8"/>
  <c r="T15" i="8"/>
  <c r="T16" i="8"/>
  <c r="T17" i="8"/>
  <c r="T18" i="8"/>
  <c r="T19" i="8"/>
  <c r="T20" i="8"/>
  <c r="T21" i="8"/>
  <c r="T10" i="8"/>
  <c r="S12" i="9"/>
  <c r="S13" i="9"/>
  <c r="S14" i="9"/>
  <c r="S15" i="9"/>
  <c r="S16" i="9"/>
  <c r="S17" i="9"/>
  <c r="S18" i="9"/>
  <c r="S19" i="9"/>
  <c r="S20" i="9"/>
  <c r="S21" i="9"/>
  <c r="S22" i="9"/>
  <c r="S11" i="9"/>
  <c r="T11" i="10"/>
  <c r="T12" i="10"/>
  <c r="T13" i="10"/>
  <c r="T14" i="10"/>
  <c r="T15" i="10"/>
  <c r="T16" i="10"/>
  <c r="T17" i="10"/>
  <c r="T18" i="10"/>
  <c r="T19" i="10"/>
  <c r="T20" i="10"/>
  <c r="T21" i="10"/>
  <c r="T22" i="10"/>
  <c r="K131" i="7" a="1"/>
  <c r="K131" i="7" s="1"/>
  <c r="K132" i="7" a="1"/>
  <c r="K132" i="7" s="1"/>
  <c r="K133" i="7" a="1"/>
  <c r="K133" i="7" s="1"/>
  <c r="K134" i="7" a="1"/>
  <c r="K134" i="7" s="1"/>
  <c r="K135" i="7" a="1"/>
  <c r="K135" i="7" s="1"/>
  <c r="K138" i="7" a="1"/>
  <c r="K138" i="7" s="1"/>
  <c r="K139" i="7" a="1"/>
  <c r="K139" i="7" s="1"/>
  <c r="K140" i="7" a="1"/>
  <c r="K140" i="7" s="1"/>
  <c r="K141" i="7" a="1"/>
  <c r="K141" i="7" s="1"/>
  <c r="K142" i="7" a="1"/>
  <c r="K142" i="7" s="1"/>
  <c r="K143" i="7" a="1"/>
  <c r="K143" i="7" s="1"/>
  <c r="K144" i="7" a="1"/>
  <c r="K144" i="7" s="1"/>
  <c r="K145" i="7" a="1"/>
  <c r="K145" i="7" s="1"/>
  <c r="K146" i="7" a="1"/>
  <c r="K146" i="7" s="1"/>
  <c r="K147" i="7" a="1"/>
  <c r="K147" i="7" s="1"/>
  <c r="J131" i="7" a="1"/>
  <c r="J131" i="7" s="1"/>
  <c r="J132" i="7" a="1"/>
  <c r="J132" i="7" s="1"/>
  <c r="J133" i="7" a="1"/>
  <c r="J133" i="7" s="1"/>
  <c r="J134" i="7" a="1"/>
  <c r="J134" i="7" s="1"/>
  <c r="J135" i="7" a="1"/>
  <c r="J135" i="7" s="1"/>
  <c r="J138" i="7" a="1"/>
  <c r="J138" i="7" s="1"/>
  <c r="J139" i="7" a="1"/>
  <c r="J139" i="7" s="1"/>
  <c r="J140" i="7" a="1"/>
  <c r="J140" i="7" s="1"/>
  <c r="J141" i="7" a="1"/>
  <c r="J141" i="7" s="1"/>
  <c r="J142" i="7" a="1"/>
  <c r="J142" i="7" s="1"/>
  <c r="J143" i="7" a="1"/>
  <c r="J143" i="7" s="1"/>
  <c r="J144" i="7" a="1"/>
  <c r="J144" i="7" s="1"/>
  <c r="J145" i="7" a="1"/>
  <c r="J145" i="7" s="1"/>
  <c r="J146" i="7" a="1"/>
  <c r="J146" i="7" s="1"/>
  <c r="J147" i="7" a="1"/>
  <c r="J147" i="7" s="1"/>
  <c r="J150" i="7" a="1"/>
  <c r="J150" i="7" s="1"/>
  <c r="J151" i="7" a="1"/>
  <c r="J151" i="7" s="1"/>
  <c r="J152" i="7" a="1"/>
  <c r="J152" i="7" s="1"/>
  <c r="J153" i="7" a="1"/>
  <c r="J153" i="7" s="1"/>
  <c r="I131" i="7" a="1"/>
  <c r="I131" i="7" s="1"/>
  <c r="I132" i="7" a="1"/>
  <c r="I132" i="7" s="1"/>
  <c r="I133" i="7" a="1"/>
  <c r="I133" i="7" s="1"/>
  <c r="I134" i="7" a="1"/>
  <c r="I134" i="7" s="1"/>
  <c r="I135" i="7" a="1"/>
  <c r="I135" i="7" s="1"/>
  <c r="I138" i="7" a="1"/>
  <c r="I138" i="7" s="1"/>
  <c r="I139" i="7" a="1"/>
  <c r="I139" i="7" s="1"/>
  <c r="I140" i="7" a="1"/>
  <c r="I140" i="7" s="1"/>
  <c r="I141" i="7" a="1"/>
  <c r="I141" i="7" s="1"/>
  <c r="I142" i="7" a="1"/>
  <c r="I142" i="7" s="1"/>
  <c r="I143" i="7" a="1"/>
  <c r="I143" i="7" s="1"/>
  <c r="I144" i="7" a="1"/>
  <c r="I144" i="7" s="1"/>
  <c r="I145" i="7" a="1"/>
  <c r="I145" i="7" s="1"/>
  <c r="K128" i="7" a="1"/>
  <c r="K128" i="7" s="1"/>
  <c r="J128" i="7" a="1"/>
  <c r="J128" i="7" s="1"/>
  <c r="I128" i="7" a="1"/>
  <c r="I128" i="7" s="1"/>
  <c r="I146" i="7" a="1"/>
  <c r="I146" i="7" s="1"/>
  <c r="I147" i="7" a="1"/>
  <c r="I147" i="7" s="1"/>
  <c r="I150" i="7" a="1"/>
  <c r="I150" i="7" s="1"/>
  <c r="I151" i="7" a="1"/>
  <c r="I151" i="7" s="1"/>
  <c r="I152" i="7" a="1"/>
  <c r="I152" i="7" s="1"/>
  <c r="K150" i="7" a="1"/>
  <c r="K150" i="7" s="1"/>
  <c r="K151" i="7" a="1"/>
  <c r="K151" i="7" s="1"/>
  <c r="K152" i="7" a="1"/>
  <c r="K152" i="7" s="1"/>
  <c r="K153" i="7" a="1"/>
  <c r="K153" i="7" s="1"/>
  <c r="K154" i="7" a="1"/>
  <c r="K154" i="7" s="1"/>
  <c r="K155" i="7" a="1"/>
  <c r="K155" i="7" s="1"/>
  <c r="K156" i="7" a="1"/>
  <c r="K156" i="7" s="1"/>
  <c r="K157" i="7" a="1"/>
  <c r="K157" i="7" s="1"/>
  <c r="K158" i="7" a="1"/>
  <c r="K158" i="7" s="1"/>
  <c r="K159" i="7" a="1"/>
  <c r="K159" i="7" s="1"/>
  <c r="K160" i="7" a="1"/>
  <c r="K160" i="7" s="1"/>
  <c r="K161" i="7" a="1"/>
  <c r="K161" i="7" s="1"/>
  <c r="K164" i="7" a="1"/>
  <c r="K164" i="7" s="1"/>
  <c r="K165" i="7" a="1"/>
  <c r="K165" i="7" s="1"/>
  <c r="K166" i="7" a="1"/>
  <c r="K166" i="7" s="1"/>
  <c r="K167" i="7" a="1"/>
  <c r="K167" i="7" s="1"/>
  <c r="K168" i="7" a="1"/>
  <c r="K168" i="7" s="1"/>
  <c r="K169" i="7" a="1"/>
  <c r="K169" i="7" s="1"/>
  <c r="K170" i="7" a="1"/>
  <c r="K170" i="7" s="1"/>
  <c r="K171" i="7" a="1"/>
  <c r="K171" i="7" s="1"/>
  <c r="K172" i="7" a="1"/>
  <c r="K172" i="7" s="1"/>
  <c r="K173" i="7" a="1"/>
  <c r="K173" i="7" s="1"/>
  <c r="K174" i="7" a="1"/>
  <c r="K174" i="7" s="1"/>
  <c r="K175" i="7" a="1"/>
  <c r="K175" i="7" s="1"/>
  <c r="K176" i="7" a="1"/>
  <c r="K176" i="7" s="1"/>
  <c r="K177" i="7" a="1"/>
  <c r="K177" i="7" s="1"/>
  <c r="K178" i="7" a="1"/>
  <c r="K178" i="7" s="1"/>
  <c r="K179" i="7" a="1"/>
  <c r="K179" i="7" s="1"/>
  <c r="K180" i="7" a="1"/>
  <c r="K180" i="7" s="1"/>
  <c r="K181" i="7" a="1"/>
  <c r="K181" i="7" s="1"/>
  <c r="K182" i="7" a="1"/>
  <c r="K182" i="7" s="1"/>
  <c r="K183" i="7" a="1"/>
  <c r="K183" i="7" s="1"/>
  <c r="K184" i="7" a="1"/>
  <c r="K184" i="7" s="1"/>
  <c r="K185" i="7" a="1"/>
  <c r="K185" i="7" s="1"/>
  <c r="K186" i="7" a="1"/>
  <c r="K186" i="7" s="1"/>
  <c r="K187" i="7" a="1"/>
  <c r="K187" i="7" s="1"/>
  <c r="K188" i="7" a="1"/>
  <c r="K188" i="7" s="1"/>
  <c r="K189" i="7" a="1"/>
  <c r="K189" i="7" s="1"/>
  <c r="K190" i="7" a="1"/>
  <c r="K190" i="7" s="1"/>
  <c r="K191" i="7" a="1"/>
  <c r="K191" i="7" s="1"/>
  <c r="K192" i="7" a="1"/>
  <c r="K192" i="7" s="1"/>
  <c r="K193" i="7" a="1"/>
  <c r="K193" i="7" s="1"/>
  <c r="K195" i="7" a="1"/>
  <c r="K195" i="7" s="1"/>
  <c r="K196" i="7" a="1"/>
  <c r="K196" i="7" s="1"/>
  <c r="K197" i="7" a="1"/>
  <c r="K197" i="7" s="1"/>
  <c r="K198" i="7" a="1"/>
  <c r="K198" i="7" s="1"/>
  <c r="K199" i="7" a="1"/>
  <c r="K199" i="7" s="1"/>
  <c r="K200" i="7" a="1"/>
  <c r="K200" i="7" s="1"/>
  <c r="K201" i="7" a="1"/>
  <c r="K201" i="7" s="1"/>
  <c r="K202" i="7" a="1"/>
  <c r="K202" i="7" s="1"/>
  <c r="K203" i="7" a="1"/>
  <c r="K203" i="7" s="1"/>
  <c r="K204" i="7" a="1"/>
  <c r="K204" i="7" s="1"/>
  <c r="K205" i="7" a="1"/>
  <c r="K205" i="7" s="1"/>
  <c r="K206" i="7" a="1"/>
  <c r="K206" i="7" s="1"/>
  <c r="K207" i="7" a="1"/>
  <c r="K207" i="7" s="1"/>
  <c r="K208" i="7" a="1"/>
  <c r="K208" i="7" s="1"/>
  <c r="K209" i="7" a="1"/>
  <c r="K209" i="7" s="1"/>
  <c r="K210" i="7" a="1"/>
  <c r="K210" i="7" s="1"/>
  <c r="K211" i="7" a="1"/>
  <c r="K211" i="7" s="1"/>
  <c r="K212" i="7" a="1"/>
  <c r="K212" i="7" s="1"/>
  <c r="K213" i="7" a="1"/>
  <c r="K213" i="7" s="1"/>
  <c r="K214" i="7" a="1"/>
  <c r="K214" i="7" s="1"/>
  <c r="K215" i="7" a="1"/>
  <c r="K215" i="7" s="1"/>
  <c r="K216" i="7" a="1"/>
  <c r="K216" i="7" s="1"/>
  <c r="K217" i="7" a="1"/>
  <c r="K217" i="7" s="1"/>
  <c r="K218" i="7" a="1"/>
  <c r="K218" i="7" s="1"/>
  <c r="K219" i="7" a="1"/>
  <c r="K219" i="7" s="1"/>
  <c r="K220" i="7" a="1"/>
  <c r="K220" i="7" s="1"/>
  <c r="K221" i="7" a="1"/>
  <c r="K221" i="7" s="1"/>
  <c r="K222" i="7" a="1"/>
  <c r="K222" i="7" s="1"/>
  <c r="K223" i="7" a="1"/>
  <c r="K223" i="7" s="1"/>
  <c r="K224" i="7" a="1"/>
  <c r="K224" i="7" s="1"/>
  <c r="K225" i="7" a="1"/>
  <c r="K225" i="7" s="1"/>
  <c r="K226" i="7" a="1"/>
  <c r="K226" i="7" s="1"/>
  <c r="K227" i="7" a="1"/>
  <c r="K227" i="7" s="1"/>
  <c r="K228" i="7" a="1"/>
  <c r="K228" i="7" s="1"/>
  <c r="K241" i="7" a="1"/>
  <c r="K241" i="7" s="1"/>
  <c r="K245" i="7" a="1"/>
  <c r="K245" i="7" s="1"/>
  <c r="K246" i="7" a="1"/>
  <c r="K246" i="7" s="1"/>
  <c r="K249" i="7" a="1"/>
  <c r="K249" i="7" s="1"/>
  <c r="K250" i="7" a="1"/>
  <c r="K250" i="7" s="1"/>
  <c r="K251" i="7" a="1"/>
  <c r="K251" i="7" s="1"/>
  <c r="K253" i="7" a="1"/>
  <c r="K253" i="7" s="1"/>
  <c r="K254" i="7" a="1"/>
  <c r="K254" i="7" s="1"/>
  <c r="K255" i="7" a="1"/>
  <c r="K255" i="7" s="1"/>
  <c r="K256" i="7" a="1"/>
  <c r="K256" i="7" s="1"/>
  <c r="K257" i="7" a="1"/>
  <c r="K257" i="7" s="1"/>
  <c r="K258" i="7" a="1"/>
  <c r="K258" i="7" s="1"/>
  <c r="K259" i="7" a="1"/>
  <c r="K259" i="7" s="1"/>
  <c r="K260" i="7" a="1"/>
  <c r="K260" i="7" s="1"/>
  <c r="K261" i="7" a="1"/>
  <c r="K261" i="7" s="1"/>
  <c r="K262" i="7" a="1"/>
  <c r="K262" i="7" s="1"/>
  <c r="K263" i="7" a="1"/>
  <c r="K263" i="7" s="1"/>
  <c r="K264" i="7" a="1"/>
  <c r="K264" i="7" s="1"/>
  <c r="K265" i="7" a="1"/>
  <c r="K265" i="7" s="1"/>
  <c r="K266" i="7" a="1"/>
  <c r="K266" i="7" s="1"/>
  <c r="K267" i="7" a="1"/>
  <c r="K267" i="7" s="1"/>
  <c r="K268" i="7" a="1"/>
  <c r="K268" i="7" s="1"/>
  <c r="K269" i="7" a="1"/>
  <c r="K269" i="7" s="1"/>
  <c r="K270" i="7" a="1"/>
  <c r="K270" i="7" s="1"/>
  <c r="K271" i="7" a="1"/>
  <c r="K271" i="7" s="1"/>
  <c r="K272" i="7" a="1"/>
  <c r="K272" i="7" s="1"/>
  <c r="K273" i="7" a="1"/>
  <c r="K273" i="7" s="1"/>
  <c r="K274" i="7" a="1"/>
  <c r="K274" i="7" s="1"/>
  <c r="K275" i="7" a="1"/>
  <c r="K275" i="7" s="1"/>
  <c r="K276" i="7" a="1"/>
  <c r="K276" i="7" s="1"/>
  <c r="K277" i="7" a="1"/>
  <c r="K277" i="7" s="1"/>
  <c r="K278" i="7" a="1"/>
  <c r="K278" i="7" s="1"/>
  <c r="K279" i="7" a="1"/>
  <c r="K279" i="7" s="1"/>
  <c r="K280" i="7" a="1"/>
  <c r="K280" i="7" s="1"/>
  <c r="K281" i="7" a="1"/>
  <c r="K281" i="7" s="1"/>
  <c r="K282" i="7" a="1"/>
  <c r="K282" i="7" s="1"/>
  <c r="K283" i="7" a="1"/>
  <c r="K283" i="7" s="1"/>
  <c r="K284" i="7" a="1"/>
  <c r="K284" i="7" s="1"/>
  <c r="K285" i="7" a="1"/>
  <c r="K285" i="7" s="1"/>
  <c r="K286" i="7" a="1"/>
  <c r="K286" i="7" s="1"/>
  <c r="K287" i="7" a="1"/>
  <c r="K287" i="7" s="1"/>
  <c r="K288" i="7" a="1"/>
  <c r="K288" i="7" s="1"/>
  <c r="K289" i="7" a="1"/>
  <c r="K289" i="7" s="1"/>
  <c r="K290" i="7" a="1"/>
  <c r="K290" i="7" s="1"/>
  <c r="K291" i="7" a="1"/>
  <c r="K291" i="7" s="1"/>
  <c r="K292" i="7" a="1"/>
  <c r="K292" i="7" s="1"/>
  <c r="K293" i="7" a="1"/>
  <c r="K293" i="7" s="1"/>
  <c r="K294" i="7" a="1"/>
  <c r="K294" i="7" s="1"/>
  <c r="K295" i="7" a="1"/>
  <c r="K295" i="7" s="1"/>
  <c r="K296" i="7" a="1"/>
  <c r="K296" i="7" s="1"/>
  <c r="K297" i="7" a="1"/>
  <c r="K297" i="7" s="1"/>
  <c r="K298" i="7" a="1"/>
  <c r="K298" i="7" s="1"/>
  <c r="K299" i="7" a="1"/>
  <c r="K299" i="7" s="1"/>
  <c r="K300" i="7" a="1"/>
  <c r="K300" i="7" s="1"/>
  <c r="K301" i="7" a="1"/>
  <c r="K301" i="7" s="1"/>
  <c r="K302" i="7" a="1"/>
  <c r="K302" i="7" s="1"/>
  <c r="K303" i="7" a="1"/>
  <c r="K303" i="7" s="1"/>
  <c r="K304" i="7" a="1"/>
  <c r="K304" i="7" s="1"/>
  <c r="K305" i="7" a="1"/>
  <c r="K305" i="7" s="1"/>
  <c r="K306" i="7" a="1"/>
  <c r="K306" i="7" s="1"/>
  <c r="K307" i="7" a="1"/>
  <c r="K307" i="7" s="1"/>
  <c r="K308" i="7" a="1"/>
  <c r="K308" i="7" s="1"/>
  <c r="K309" i="7" a="1"/>
  <c r="K309" i="7" s="1"/>
  <c r="K310" i="7" a="1"/>
  <c r="K310" i="7" s="1"/>
  <c r="K311" i="7" a="1"/>
  <c r="K311" i="7" s="1"/>
  <c r="K312" i="7" a="1"/>
  <c r="K312" i="7" s="1"/>
  <c r="K313" i="7" a="1"/>
  <c r="K313" i="7" s="1"/>
  <c r="K314" i="7" a="1"/>
  <c r="K314" i="7" s="1"/>
  <c r="K315" i="7" a="1"/>
  <c r="K315" i="7" s="1"/>
  <c r="K316" i="7" a="1"/>
  <c r="K316" i="7" s="1"/>
  <c r="K317" i="7" a="1"/>
  <c r="K317" i="7" s="1"/>
  <c r="K318" i="7" a="1"/>
  <c r="K318" i="7" s="1"/>
  <c r="K319" i="7" a="1"/>
  <c r="K319" i="7" s="1"/>
  <c r="K320" i="7" a="1"/>
  <c r="K320" i="7" s="1"/>
  <c r="K321" i="7" a="1"/>
  <c r="K321" i="7" s="1"/>
  <c r="K322" i="7" a="1"/>
  <c r="K322" i="7" s="1"/>
  <c r="K323" i="7" a="1"/>
  <c r="K323" i="7" s="1"/>
  <c r="K324" i="7" a="1"/>
  <c r="K324" i="7" s="1"/>
  <c r="K325" i="7" a="1"/>
  <c r="K325" i="7" s="1"/>
  <c r="K326" i="7" a="1"/>
  <c r="K326" i="7" s="1"/>
  <c r="K327" i="7" a="1"/>
  <c r="K327" i="7" s="1"/>
  <c r="K328" i="7" a="1"/>
  <c r="K328" i="7" s="1"/>
  <c r="K329" i="7" a="1"/>
  <c r="K329" i="7" s="1"/>
  <c r="K330" i="7" a="1"/>
  <c r="K330" i="7" s="1"/>
  <c r="K331" i="7" a="1"/>
  <c r="K331" i="7" s="1"/>
  <c r="K332" i="7" a="1"/>
  <c r="K332" i="7" s="1"/>
  <c r="K333" i="7" a="1"/>
  <c r="K333" i="7" s="1"/>
  <c r="K334" i="7" a="1"/>
  <c r="K334" i="7" s="1"/>
  <c r="K335" i="7" a="1"/>
  <c r="K335" i="7" s="1"/>
  <c r="K336" i="7" a="1"/>
  <c r="K336" i="7" s="1"/>
  <c r="K337" i="7" a="1"/>
  <c r="K337" i="7" s="1"/>
  <c r="K338" i="7" a="1"/>
  <c r="K338" i="7" s="1"/>
  <c r="K339" i="7" a="1"/>
  <c r="K339" i="7" s="1"/>
  <c r="K340" i="7" a="1"/>
  <c r="K340" i="7" s="1"/>
  <c r="K341" i="7" a="1"/>
  <c r="K341" i="7" s="1"/>
  <c r="K342" i="7" a="1"/>
  <c r="K342" i="7" s="1"/>
  <c r="K343" i="7" a="1"/>
  <c r="K343" i="7" s="1"/>
  <c r="K344" i="7" a="1"/>
  <c r="K344" i="7" s="1"/>
  <c r="K345" i="7" a="1"/>
  <c r="K345" i="7" s="1"/>
  <c r="K346" i="7" a="1"/>
  <c r="K346" i="7" s="1"/>
  <c r="K347" i="7" a="1"/>
  <c r="K347" i="7" s="1"/>
  <c r="K348" i="7" a="1"/>
  <c r="K348" i="7" s="1"/>
  <c r="K349" i="7" a="1"/>
  <c r="K349" i="7" s="1"/>
  <c r="K350" i="7" a="1"/>
  <c r="K350" i="7" s="1"/>
  <c r="K351" i="7" a="1"/>
  <c r="K351" i="7" s="1"/>
  <c r="K352" i="7" a="1"/>
  <c r="K352" i="7" s="1"/>
  <c r="K353" i="7" a="1"/>
  <c r="K353" i="7" s="1"/>
  <c r="K354" i="7" a="1"/>
  <c r="K354" i="7" s="1"/>
  <c r="K355" i="7" a="1"/>
  <c r="K355" i="7" s="1"/>
  <c r="K356" i="7" a="1"/>
  <c r="K356" i="7" s="1"/>
  <c r="K357" i="7" a="1"/>
  <c r="K357" i="7" s="1"/>
  <c r="K358" i="7" a="1"/>
  <c r="K358" i="7" s="1"/>
  <c r="K359" i="7" a="1"/>
  <c r="K359" i="7" s="1"/>
  <c r="K360" i="7" a="1"/>
  <c r="K360" i="7" s="1"/>
  <c r="K361" i="7" a="1"/>
  <c r="K361" i="7" s="1"/>
  <c r="K362" i="7" a="1"/>
  <c r="K362" i="7" s="1"/>
  <c r="K363" i="7" a="1"/>
  <c r="K363" i="7" s="1"/>
  <c r="K364" i="7" a="1"/>
  <c r="K364" i="7" s="1"/>
  <c r="K365" i="7" a="1"/>
  <c r="K365" i="7" s="1"/>
  <c r="K366" i="7" a="1"/>
  <c r="K366" i="7" s="1"/>
  <c r="K367" i="7" a="1"/>
  <c r="K367" i="7" s="1"/>
  <c r="K368" i="7" a="1"/>
  <c r="K368" i="7" s="1"/>
  <c r="K369" i="7" a="1"/>
  <c r="K369" i="7" s="1"/>
  <c r="K370" i="7" a="1"/>
  <c r="K370" i="7" s="1"/>
  <c r="K371" i="7" a="1"/>
  <c r="K371" i="7" s="1"/>
  <c r="K372" i="7" a="1"/>
  <c r="K372" i="7" s="1"/>
  <c r="K373" i="7" a="1"/>
  <c r="K373" i="7" s="1"/>
  <c r="K374" i="7" a="1"/>
  <c r="K374" i="7" s="1"/>
  <c r="K375" i="7" a="1"/>
  <c r="K375" i="7" s="1"/>
  <c r="K376" i="7" a="1"/>
  <c r="K376" i="7" s="1"/>
  <c r="K377" i="7" a="1"/>
  <c r="K377" i="7" s="1"/>
  <c r="K378" i="7" a="1"/>
  <c r="K378" i="7" s="1"/>
  <c r="K379" i="7" a="1"/>
  <c r="K379" i="7" s="1"/>
  <c r="K380" i="7" a="1"/>
  <c r="K380" i="7" s="1"/>
  <c r="K381" i="7" a="1"/>
  <c r="K381" i="7" s="1"/>
  <c r="K382" i="7" a="1"/>
  <c r="K382" i="7" s="1"/>
  <c r="K383" i="7" a="1"/>
  <c r="K383" i="7" s="1"/>
  <c r="K384" i="7" a="1"/>
  <c r="K384" i="7" s="1"/>
  <c r="K385" i="7" a="1"/>
  <c r="K385" i="7" s="1"/>
  <c r="K386" i="7" a="1"/>
  <c r="K386" i="7" s="1"/>
  <c r="K387" i="7" a="1"/>
  <c r="K387" i="7" s="1"/>
  <c r="K388" i="7" a="1"/>
  <c r="K388" i="7" s="1"/>
  <c r="K389" i="7" a="1"/>
  <c r="K389" i="7" s="1"/>
  <c r="J191" i="7" a="1"/>
  <c r="J191" i="7" s="1"/>
  <c r="J192" i="7" a="1"/>
  <c r="J192" i="7" s="1"/>
  <c r="J193" i="7" a="1"/>
  <c r="J193" i="7" s="1"/>
  <c r="J195" i="7" a="1"/>
  <c r="J195" i="7" s="1"/>
  <c r="J196" i="7" a="1"/>
  <c r="J196" i="7" s="1"/>
  <c r="J197" i="7" a="1"/>
  <c r="J197" i="7" s="1"/>
  <c r="J198" i="7" a="1"/>
  <c r="J198" i="7" s="1"/>
  <c r="J199" i="7" a="1"/>
  <c r="J199" i="7" s="1"/>
  <c r="J200" i="7" a="1"/>
  <c r="J200" i="7" s="1"/>
  <c r="J201" i="7" a="1"/>
  <c r="J201" i="7" s="1"/>
  <c r="J202" i="7" a="1"/>
  <c r="J202" i="7" s="1"/>
  <c r="J203" i="7" a="1"/>
  <c r="J203" i="7" s="1"/>
  <c r="J204" i="7" a="1"/>
  <c r="J204" i="7" s="1"/>
  <c r="J205" i="7" a="1"/>
  <c r="J205" i="7" s="1"/>
  <c r="J206" i="7" a="1"/>
  <c r="J206" i="7" s="1"/>
  <c r="J207" i="7" a="1"/>
  <c r="J207" i="7" s="1"/>
  <c r="J208" i="7" a="1"/>
  <c r="J208" i="7" s="1"/>
  <c r="J209" i="7" a="1"/>
  <c r="J209" i="7" s="1"/>
  <c r="J210" i="7" a="1"/>
  <c r="J210" i="7" s="1"/>
  <c r="J211" i="7" a="1"/>
  <c r="J211" i="7" s="1"/>
  <c r="J212" i="7" a="1"/>
  <c r="J212" i="7" s="1"/>
  <c r="J213" i="7" a="1"/>
  <c r="J213" i="7" s="1"/>
  <c r="J214" i="7" a="1"/>
  <c r="J214" i="7" s="1"/>
  <c r="J215" i="7" a="1"/>
  <c r="J215" i="7" s="1"/>
  <c r="J216" i="7" a="1"/>
  <c r="J216" i="7" s="1"/>
  <c r="J217" i="7" a="1"/>
  <c r="J217" i="7" s="1"/>
  <c r="J218" i="7" a="1"/>
  <c r="J218" i="7" s="1"/>
  <c r="J219" i="7" a="1"/>
  <c r="J219" i="7" s="1"/>
  <c r="J220" i="7" a="1"/>
  <c r="J220" i="7" s="1"/>
  <c r="J221" i="7" a="1"/>
  <c r="J221" i="7" s="1"/>
  <c r="J222" i="7" a="1"/>
  <c r="J222" i="7" s="1"/>
  <c r="J223" i="7" a="1"/>
  <c r="J223" i="7" s="1"/>
  <c r="J224" i="7" a="1"/>
  <c r="J224" i="7" s="1"/>
  <c r="J225" i="7" a="1"/>
  <c r="J225" i="7" s="1"/>
  <c r="J226" i="7" a="1"/>
  <c r="J226" i="7" s="1"/>
  <c r="J227" i="7" a="1"/>
  <c r="J227" i="7" s="1"/>
  <c r="J228" i="7" a="1"/>
  <c r="J228" i="7" s="1"/>
  <c r="J241" i="7" a="1"/>
  <c r="J241" i="7" s="1"/>
  <c r="J245" i="7" a="1"/>
  <c r="J245" i="7" s="1"/>
  <c r="J246" i="7" a="1"/>
  <c r="J246" i="7" s="1"/>
  <c r="J249" i="7" a="1"/>
  <c r="J249" i="7" s="1"/>
  <c r="J250" i="7" a="1"/>
  <c r="J250" i="7" s="1"/>
  <c r="J251" i="7" a="1"/>
  <c r="J251" i="7" s="1"/>
  <c r="J253" i="7" a="1"/>
  <c r="J253" i="7" s="1"/>
  <c r="J254" i="7" a="1"/>
  <c r="J254" i="7" s="1"/>
  <c r="J255" i="7" a="1"/>
  <c r="J255" i="7" s="1"/>
  <c r="J256" i="7" a="1"/>
  <c r="J256" i="7" s="1"/>
  <c r="J257" i="7" a="1"/>
  <c r="J257" i="7" s="1"/>
  <c r="J258" i="7" a="1"/>
  <c r="J258" i="7" s="1"/>
  <c r="J259" i="7" a="1"/>
  <c r="J259" i="7" s="1"/>
  <c r="J260" i="7" a="1"/>
  <c r="J260" i="7" s="1"/>
  <c r="J261" i="7" a="1"/>
  <c r="J261" i="7" s="1"/>
  <c r="J262" i="7" a="1"/>
  <c r="J262" i="7" s="1"/>
  <c r="J263" i="7" a="1"/>
  <c r="J263" i="7" s="1"/>
  <c r="J264" i="7" a="1"/>
  <c r="J264" i="7" s="1"/>
  <c r="J265" i="7" a="1"/>
  <c r="J265" i="7" s="1"/>
  <c r="J266" i="7" a="1"/>
  <c r="J266" i="7" s="1"/>
  <c r="J267" i="7" a="1"/>
  <c r="J267" i="7" s="1"/>
  <c r="J268" i="7" a="1"/>
  <c r="J268" i="7" s="1"/>
  <c r="J269" i="7" a="1"/>
  <c r="J269" i="7" s="1"/>
  <c r="J270" i="7" a="1"/>
  <c r="J270" i="7" s="1"/>
  <c r="J271" i="7" a="1"/>
  <c r="J271" i="7" s="1"/>
  <c r="J272" i="7" a="1"/>
  <c r="J272" i="7" s="1"/>
  <c r="J273" i="7" a="1"/>
  <c r="J273" i="7" s="1"/>
  <c r="J274" i="7" a="1"/>
  <c r="J274" i="7" s="1"/>
  <c r="J275" i="7" a="1"/>
  <c r="J275" i="7" s="1"/>
  <c r="J276" i="7" a="1"/>
  <c r="J276" i="7" s="1"/>
  <c r="J277" i="7" a="1"/>
  <c r="J277" i="7" s="1"/>
  <c r="J278" i="7" a="1"/>
  <c r="J278" i="7" s="1"/>
  <c r="J279" i="7" a="1"/>
  <c r="J279" i="7" s="1"/>
  <c r="J280" i="7" a="1"/>
  <c r="J280" i="7" s="1"/>
  <c r="J281" i="7" a="1"/>
  <c r="J281" i="7" s="1"/>
  <c r="J282" i="7" a="1"/>
  <c r="J282" i="7" s="1"/>
  <c r="J283" i="7" a="1"/>
  <c r="J283" i="7" s="1"/>
  <c r="J284" i="7" a="1"/>
  <c r="J284" i="7" s="1"/>
  <c r="J285" i="7" a="1"/>
  <c r="J285" i="7" s="1"/>
  <c r="J286" i="7" a="1"/>
  <c r="J286" i="7" s="1"/>
  <c r="J287" i="7" a="1"/>
  <c r="J287" i="7" s="1"/>
  <c r="J288" i="7" a="1"/>
  <c r="J288" i="7" s="1"/>
  <c r="J289" i="7" a="1"/>
  <c r="J289" i="7" s="1"/>
  <c r="J290" i="7" a="1"/>
  <c r="J290" i="7" s="1"/>
  <c r="J291" i="7" a="1"/>
  <c r="J291" i="7" s="1"/>
  <c r="J292" i="7" a="1"/>
  <c r="J292" i="7" s="1"/>
  <c r="J293" i="7" a="1"/>
  <c r="J293" i="7" s="1"/>
  <c r="J294" i="7" a="1"/>
  <c r="J294" i="7" s="1"/>
  <c r="J295" i="7" a="1"/>
  <c r="J295" i="7" s="1"/>
  <c r="J296" i="7" a="1"/>
  <c r="J296" i="7" s="1"/>
  <c r="J297" i="7" a="1"/>
  <c r="J297" i="7" s="1"/>
  <c r="J298" i="7" a="1"/>
  <c r="J298" i="7" s="1"/>
  <c r="J299" i="7" a="1"/>
  <c r="J299" i="7" s="1"/>
  <c r="J300" i="7" a="1"/>
  <c r="J300" i="7" s="1"/>
  <c r="J301" i="7" a="1"/>
  <c r="J301" i="7" s="1"/>
  <c r="J302" i="7" a="1"/>
  <c r="J302" i="7" s="1"/>
  <c r="J303" i="7" a="1"/>
  <c r="J303" i="7" s="1"/>
  <c r="J304" i="7" a="1"/>
  <c r="J304" i="7" s="1"/>
  <c r="J305" i="7" a="1"/>
  <c r="J305" i="7" s="1"/>
  <c r="J306" i="7" a="1"/>
  <c r="J306" i="7" s="1"/>
  <c r="J307" i="7" a="1"/>
  <c r="J307" i="7" s="1"/>
  <c r="J308" i="7" a="1"/>
  <c r="J308" i="7" s="1"/>
  <c r="J309" i="7" a="1"/>
  <c r="J309" i="7" s="1"/>
  <c r="J310" i="7" a="1"/>
  <c r="J310" i="7" s="1"/>
  <c r="J311" i="7" a="1"/>
  <c r="J311" i="7" s="1"/>
  <c r="J312" i="7" a="1"/>
  <c r="J312" i="7" s="1"/>
  <c r="J313" i="7" a="1"/>
  <c r="J313" i="7" s="1"/>
  <c r="J314" i="7" a="1"/>
  <c r="J314" i="7" s="1"/>
  <c r="J315" i="7" a="1"/>
  <c r="J315" i="7" s="1"/>
  <c r="J316" i="7" a="1"/>
  <c r="J316" i="7" s="1"/>
  <c r="J317" i="7" a="1"/>
  <c r="J317" i="7" s="1"/>
  <c r="J318" i="7" a="1"/>
  <c r="J318" i="7" s="1"/>
  <c r="J319" i="7" a="1"/>
  <c r="J319" i="7" s="1"/>
  <c r="J320" i="7" a="1"/>
  <c r="J320" i="7" s="1"/>
  <c r="J321" i="7" a="1"/>
  <c r="J321" i="7" s="1"/>
  <c r="J322" i="7" a="1"/>
  <c r="J322" i="7" s="1"/>
  <c r="J323" i="7" a="1"/>
  <c r="J323" i="7" s="1"/>
  <c r="J324" i="7" a="1"/>
  <c r="J324" i="7" s="1"/>
  <c r="J325" i="7" a="1"/>
  <c r="J325" i="7" s="1"/>
  <c r="J326" i="7" a="1"/>
  <c r="J326" i="7" s="1"/>
  <c r="J327" i="7" a="1"/>
  <c r="J327" i="7" s="1"/>
  <c r="J328" i="7" a="1"/>
  <c r="J328" i="7" s="1"/>
  <c r="J329" i="7" a="1"/>
  <c r="J329" i="7" s="1"/>
  <c r="J330" i="7" a="1"/>
  <c r="J330" i="7" s="1"/>
  <c r="J331" i="7" a="1"/>
  <c r="J331" i="7" s="1"/>
  <c r="J332" i="7" a="1"/>
  <c r="J332" i="7" s="1"/>
  <c r="J333" i="7" a="1"/>
  <c r="J333" i="7" s="1"/>
  <c r="J334" i="7" a="1"/>
  <c r="J334" i="7" s="1"/>
  <c r="J335" i="7" a="1"/>
  <c r="J335" i="7" s="1"/>
  <c r="J336" i="7" a="1"/>
  <c r="J336" i="7" s="1"/>
  <c r="J337" i="7" a="1"/>
  <c r="J337" i="7" s="1"/>
  <c r="J338" i="7" a="1"/>
  <c r="J338" i="7" s="1"/>
  <c r="J339" i="7" a="1"/>
  <c r="J339" i="7" s="1"/>
  <c r="J340" i="7" a="1"/>
  <c r="J340" i="7" s="1"/>
  <c r="J341" i="7" a="1"/>
  <c r="J341" i="7" s="1"/>
  <c r="J342" i="7" a="1"/>
  <c r="J342" i="7" s="1"/>
  <c r="J343" i="7" a="1"/>
  <c r="J343" i="7" s="1"/>
  <c r="J344" i="7" a="1"/>
  <c r="J344" i="7" s="1"/>
  <c r="J345" i="7" a="1"/>
  <c r="J345" i="7" s="1"/>
  <c r="J346" i="7" a="1"/>
  <c r="J346" i="7" s="1"/>
  <c r="J347" i="7" a="1"/>
  <c r="J347" i="7" s="1"/>
  <c r="J348" i="7" a="1"/>
  <c r="J348" i="7" s="1"/>
  <c r="J349" i="7" a="1"/>
  <c r="J349" i="7" s="1"/>
  <c r="J350" i="7" a="1"/>
  <c r="J350" i="7" s="1"/>
  <c r="J351" i="7" a="1"/>
  <c r="J351" i="7" s="1"/>
  <c r="J352" i="7" a="1"/>
  <c r="J352" i="7" s="1"/>
  <c r="J353" i="7" a="1"/>
  <c r="J353" i="7" s="1"/>
  <c r="J354" i="7" a="1"/>
  <c r="J354" i="7" s="1"/>
  <c r="J355" i="7" a="1"/>
  <c r="J355" i="7" s="1"/>
  <c r="J356" i="7" a="1"/>
  <c r="J356" i="7" s="1"/>
  <c r="J357" i="7" a="1"/>
  <c r="J357" i="7" s="1"/>
  <c r="J358" i="7" a="1"/>
  <c r="J358" i="7" s="1"/>
  <c r="J359" i="7" a="1"/>
  <c r="J359" i="7" s="1"/>
  <c r="J360" i="7" a="1"/>
  <c r="J360" i="7" s="1"/>
  <c r="J361" i="7" a="1"/>
  <c r="J361" i="7" s="1"/>
  <c r="J362" i="7" a="1"/>
  <c r="J362" i="7" s="1"/>
  <c r="J363" i="7" a="1"/>
  <c r="J363" i="7" s="1"/>
  <c r="J364" i="7" a="1"/>
  <c r="J364" i="7" s="1"/>
  <c r="J365" i="7" a="1"/>
  <c r="J365" i="7" s="1"/>
  <c r="J366" i="7" a="1"/>
  <c r="J366" i="7" s="1"/>
  <c r="J367" i="7" a="1"/>
  <c r="J367" i="7" s="1"/>
  <c r="J368" i="7" a="1"/>
  <c r="J368" i="7" s="1"/>
  <c r="J369" i="7" a="1"/>
  <c r="J369" i="7" s="1"/>
  <c r="J370" i="7" a="1"/>
  <c r="J370" i="7" s="1"/>
  <c r="J371" i="7" a="1"/>
  <c r="J371" i="7" s="1"/>
  <c r="J372" i="7" a="1"/>
  <c r="J372" i="7" s="1"/>
  <c r="J373" i="7" a="1"/>
  <c r="J373" i="7" s="1"/>
  <c r="J374" i="7" a="1"/>
  <c r="J374" i="7" s="1"/>
  <c r="J375" i="7" a="1"/>
  <c r="J375" i="7" s="1"/>
  <c r="J376" i="7" a="1"/>
  <c r="J376" i="7" s="1"/>
  <c r="J377" i="7" a="1"/>
  <c r="J377" i="7" s="1"/>
  <c r="J378" i="7" a="1"/>
  <c r="J378" i="7" s="1"/>
  <c r="J379" i="7" a="1"/>
  <c r="J379" i="7" s="1"/>
  <c r="J380" i="7" a="1"/>
  <c r="J380" i="7" s="1"/>
  <c r="J381" i="7" a="1"/>
  <c r="J381" i="7" s="1"/>
  <c r="J382" i="7" a="1"/>
  <c r="J382" i="7" s="1"/>
  <c r="J383" i="7" a="1"/>
  <c r="J383" i="7" s="1"/>
  <c r="J384" i="7" a="1"/>
  <c r="J384" i="7" s="1"/>
  <c r="J385" i="7" a="1"/>
  <c r="J385" i="7" s="1"/>
  <c r="J386" i="7" a="1"/>
  <c r="J386" i="7" s="1"/>
  <c r="J387" i="7" a="1"/>
  <c r="J387" i="7" s="1"/>
  <c r="J388" i="7" a="1"/>
  <c r="J388" i="7" s="1"/>
  <c r="J389" i="7" a="1"/>
  <c r="J389" i="7" s="1"/>
  <c r="J390" i="7" a="1"/>
  <c r="J390" i="7" s="1"/>
  <c r="J391" i="7" a="1"/>
  <c r="J391" i="7" s="1"/>
  <c r="J392" i="7" a="1"/>
  <c r="J392" i="7" s="1"/>
  <c r="J393" i="7" a="1"/>
  <c r="J393" i="7" s="1"/>
  <c r="J394" i="7" a="1"/>
  <c r="J394" i="7" s="1"/>
  <c r="J395" i="7" a="1"/>
  <c r="J395" i="7" s="1"/>
  <c r="J396" i="7" a="1"/>
  <c r="J396" i="7" s="1"/>
  <c r="J397" i="7" a="1"/>
  <c r="J397" i="7" s="1"/>
  <c r="J398" i="7" a="1"/>
  <c r="J398" i="7" s="1"/>
  <c r="J399" i="7" a="1"/>
  <c r="J399" i="7" s="1"/>
  <c r="J400" i="7" a="1"/>
  <c r="J400" i="7" s="1"/>
  <c r="J401" i="7" a="1"/>
  <c r="J401" i="7" s="1"/>
  <c r="J402" i="7" a="1"/>
  <c r="J402" i="7" s="1"/>
  <c r="J403" i="7" a="1"/>
  <c r="J403" i="7" s="1"/>
  <c r="J404" i="7" a="1"/>
  <c r="J404" i="7" s="1"/>
  <c r="J405" i="7" a="1"/>
  <c r="J405" i="7" s="1"/>
  <c r="J406" i="7" a="1"/>
  <c r="J406" i="7" s="1"/>
  <c r="J407" i="7" a="1"/>
  <c r="J407" i="7" s="1"/>
  <c r="J408" i="7" a="1"/>
  <c r="J408" i="7" s="1"/>
  <c r="J409" i="7" a="1"/>
  <c r="J409" i="7" s="1"/>
  <c r="J410" i="7" a="1"/>
  <c r="J410" i="7" s="1"/>
  <c r="J411" i="7" a="1"/>
  <c r="J411" i="7" s="1"/>
  <c r="J412" i="7" a="1"/>
  <c r="J412" i="7" s="1"/>
  <c r="J413" i="7" a="1"/>
  <c r="J413" i="7" s="1"/>
  <c r="J414" i="7" a="1"/>
  <c r="J414" i="7" s="1"/>
  <c r="J415" i="7" a="1"/>
  <c r="J415" i="7" s="1"/>
  <c r="J416" i="7" a="1"/>
  <c r="J416" i="7" s="1"/>
  <c r="J417" i="7" a="1"/>
  <c r="J417" i="7" s="1"/>
  <c r="J418" i="7" a="1"/>
  <c r="J418" i="7" s="1"/>
  <c r="J419" i="7" a="1"/>
  <c r="J419" i="7" s="1"/>
  <c r="J420" i="7" a="1"/>
  <c r="J420" i="7" s="1"/>
  <c r="J421" i="7" a="1"/>
  <c r="J421" i="7" s="1"/>
  <c r="J422" i="7" a="1"/>
  <c r="J422" i="7" s="1"/>
  <c r="J423" i="7" a="1"/>
  <c r="J423" i="7" s="1"/>
  <c r="J424" i="7" a="1"/>
  <c r="J424" i="7" s="1"/>
  <c r="J425" i="7" a="1"/>
  <c r="J425" i="7" s="1"/>
  <c r="J426" i="7" a="1"/>
  <c r="J426" i="7" s="1"/>
  <c r="J427" i="7" a="1"/>
  <c r="J427" i="7" s="1"/>
  <c r="J428" i="7" a="1"/>
  <c r="J428" i="7" s="1"/>
  <c r="J429" i="7" a="1"/>
  <c r="J429" i="7" s="1"/>
  <c r="J430" i="7" a="1"/>
  <c r="J430" i="7" s="1"/>
  <c r="J431" i="7" a="1"/>
  <c r="J431" i="7" s="1"/>
  <c r="J432" i="7" a="1"/>
  <c r="J432" i="7" s="1"/>
  <c r="J433" i="7" a="1"/>
  <c r="J433" i="7" s="1"/>
  <c r="J434" i="7" a="1"/>
  <c r="J434" i="7" s="1"/>
  <c r="J435" i="7" a="1"/>
  <c r="J435" i="7" s="1"/>
  <c r="J436" i="7" a="1"/>
  <c r="J436" i="7" s="1"/>
  <c r="J437" i="7" a="1"/>
  <c r="J437" i="7" s="1"/>
  <c r="J438" i="7" a="1"/>
  <c r="J438" i="7" s="1"/>
  <c r="J439" i="7" a="1"/>
  <c r="J439" i="7" s="1"/>
  <c r="J440" i="7" a="1"/>
  <c r="J440" i="7" s="1"/>
  <c r="J441" i="7" a="1"/>
  <c r="J441" i="7" s="1"/>
  <c r="J442" i="7" a="1"/>
  <c r="J442" i="7" s="1"/>
  <c r="J443" i="7" a="1"/>
  <c r="J443" i="7" s="1"/>
  <c r="J444" i="7" a="1"/>
  <c r="J444" i="7" s="1"/>
  <c r="J445" i="7" a="1"/>
  <c r="J445" i="7" s="1"/>
  <c r="J446" i="7" a="1"/>
  <c r="J446" i="7" s="1"/>
  <c r="J447" i="7" a="1"/>
  <c r="J447" i="7" s="1"/>
  <c r="J448" i="7" a="1"/>
  <c r="J448" i="7" s="1"/>
  <c r="J449" i="7" a="1"/>
  <c r="J449" i="7" s="1"/>
  <c r="J450" i="7" a="1"/>
  <c r="J450" i="7" s="1"/>
  <c r="J451" i="7" a="1"/>
  <c r="J451" i="7" s="1"/>
  <c r="J452" i="7" a="1"/>
  <c r="J452" i="7" s="1"/>
  <c r="J453" i="7" a="1"/>
  <c r="J453" i="7" s="1"/>
  <c r="J454" i="7" a="1"/>
  <c r="J454" i="7" s="1"/>
  <c r="J455" i="7" a="1"/>
  <c r="J455" i="7" s="1"/>
  <c r="J456" i="7" a="1"/>
  <c r="J456" i="7" s="1"/>
  <c r="J457" i="7" a="1"/>
  <c r="J457" i="7" s="1"/>
  <c r="J458" i="7" a="1"/>
  <c r="J458" i="7" s="1"/>
  <c r="J459" i="7" a="1"/>
  <c r="J459" i="7" s="1"/>
  <c r="J460" i="7" a="1"/>
  <c r="J460" i="7" s="1"/>
  <c r="J461" i="7" a="1"/>
  <c r="J461" i="7" s="1"/>
  <c r="J462" i="7" a="1"/>
  <c r="J462" i="7" s="1"/>
  <c r="J463" i="7" a="1"/>
  <c r="J463" i="7" s="1"/>
  <c r="J464" i="7" a="1"/>
  <c r="J464" i="7" s="1"/>
  <c r="J465" i="7" a="1"/>
  <c r="J465" i="7" s="1"/>
  <c r="J466" i="7" a="1"/>
  <c r="J466" i="7" s="1"/>
  <c r="J467" i="7" a="1"/>
  <c r="J467" i="7" s="1"/>
  <c r="J468" i="7" a="1"/>
  <c r="J468" i="7" s="1"/>
  <c r="J469" i="7" a="1"/>
  <c r="J469" i="7" s="1"/>
  <c r="J470" i="7" a="1"/>
  <c r="J470" i="7" s="1"/>
  <c r="J471" i="7" a="1"/>
  <c r="J471" i="7" s="1"/>
  <c r="J472" i="7" a="1"/>
  <c r="J472" i="7" s="1"/>
  <c r="J473" i="7" a="1"/>
  <c r="J473" i="7" s="1"/>
  <c r="J474" i="7" a="1"/>
  <c r="J474" i="7" s="1"/>
  <c r="J475" i="7" a="1"/>
  <c r="J475" i="7" s="1"/>
  <c r="J476" i="7" a="1"/>
  <c r="J476" i="7" s="1"/>
  <c r="J477" i="7" a="1"/>
  <c r="J477" i="7" s="1"/>
  <c r="J478" i="7" a="1"/>
  <c r="J478" i="7" s="1"/>
  <c r="J479" i="7" a="1"/>
  <c r="J479" i="7" s="1"/>
  <c r="J480" i="7" a="1"/>
  <c r="J480" i="7" s="1"/>
  <c r="J481" i="7" a="1"/>
  <c r="J481" i="7" s="1"/>
  <c r="J482" i="7" a="1"/>
  <c r="J482" i="7" s="1"/>
  <c r="J483" i="7" a="1"/>
  <c r="J483" i="7" s="1"/>
  <c r="J484" i="7" a="1"/>
  <c r="J484" i="7" s="1"/>
  <c r="J485" i="7" a="1"/>
  <c r="J485" i="7" s="1"/>
  <c r="J486" i="7" a="1"/>
  <c r="J486" i="7" s="1"/>
  <c r="J487" i="7" a="1"/>
  <c r="J487" i="7" s="1"/>
  <c r="J488" i="7" a="1"/>
  <c r="J488" i="7" s="1"/>
  <c r="J489" i="7" a="1"/>
  <c r="J489" i="7" s="1"/>
  <c r="J490" i="7" a="1"/>
  <c r="J490" i="7" s="1"/>
  <c r="J491" i="7" a="1"/>
  <c r="J491" i="7" s="1"/>
  <c r="J492" i="7" a="1"/>
  <c r="J492" i="7" s="1"/>
  <c r="J493" i="7" a="1"/>
  <c r="J493" i="7" s="1"/>
  <c r="J494" i="7" a="1"/>
  <c r="J494" i="7" s="1"/>
  <c r="J495" i="7" a="1"/>
  <c r="J495" i="7" s="1"/>
  <c r="J496" i="7" a="1"/>
  <c r="J496" i="7" s="1"/>
  <c r="J497" i="7" a="1"/>
  <c r="J497" i="7" s="1"/>
  <c r="J498" i="7" a="1"/>
  <c r="J498" i="7" s="1"/>
  <c r="J499" i="7" a="1"/>
  <c r="J499" i="7" s="1"/>
  <c r="J500" i="7" a="1"/>
  <c r="J500" i="7" s="1"/>
  <c r="J501" i="7" a="1"/>
  <c r="J501" i="7" s="1"/>
  <c r="J502" i="7" a="1"/>
  <c r="J502" i="7" s="1"/>
  <c r="J503" i="7" a="1"/>
  <c r="J503" i="7" s="1"/>
  <c r="J504" i="7" a="1"/>
  <c r="J504" i="7" s="1"/>
  <c r="J505" i="7" a="1"/>
  <c r="J505" i="7" s="1"/>
  <c r="J506" i="7" a="1"/>
  <c r="J506" i="7" s="1"/>
  <c r="J507" i="7" a="1"/>
  <c r="J507" i="7" s="1"/>
  <c r="J508" i="7" a="1"/>
  <c r="J508" i="7" s="1"/>
  <c r="J509" i="7" a="1"/>
  <c r="J509" i="7" s="1"/>
  <c r="J510" i="7" a="1"/>
  <c r="J510" i="7" s="1"/>
  <c r="J511" i="7" a="1"/>
  <c r="J511" i="7" s="1"/>
  <c r="J512" i="7" a="1"/>
  <c r="J512" i="7" s="1"/>
  <c r="J513" i="7" a="1"/>
  <c r="J513" i="7" s="1"/>
  <c r="J514" i="7" a="1"/>
  <c r="J514" i="7" s="1"/>
  <c r="J515" i="7" a="1"/>
  <c r="J515" i="7" s="1"/>
  <c r="J516" i="7" a="1"/>
  <c r="J516" i="7" s="1"/>
  <c r="J517" i="7" a="1"/>
  <c r="J517" i="7" s="1"/>
  <c r="J518" i="7" a="1"/>
  <c r="J518" i="7" s="1"/>
  <c r="J519" i="7" a="1"/>
  <c r="J519" i="7" s="1"/>
  <c r="J520" i="7" a="1"/>
  <c r="J520" i="7" s="1"/>
  <c r="J521" i="7" a="1"/>
  <c r="J521" i="7" s="1"/>
  <c r="J522" i="7" a="1"/>
  <c r="J522" i="7" s="1"/>
  <c r="J523" i="7" a="1"/>
  <c r="J523" i="7" s="1"/>
  <c r="J524" i="7" a="1"/>
  <c r="J524" i="7" s="1"/>
  <c r="J525" i="7" a="1"/>
  <c r="J525" i="7" s="1"/>
  <c r="J526" i="7" a="1"/>
  <c r="J526" i="7" s="1"/>
  <c r="J527" i="7" a="1"/>
  <c r="J527" i="7" s="1"/>
  <c r="J528" i="7" a="1"/>
  <c r="J528" i="7" s="1"/>
  <c r="J529" i="7" a="1"/>
  <c r="J529" i="7" s="1"/>
  <c r="J530" i="7" a="1"/>
  <c r="J530" i="7" s="1"/>
  <c r="J531" i="7" a="1"/>
  <c r="J531" i="7" s="1"/>
  <c r="J532" i="7" a="1"/>
  <c r="J532" i="7" s="1"/>
  <c r="J533" i="7" a="1"/>
  <c r="J533" i="7" s="1"/>
  <c r="J534" i="7" a="1"/>
  <c r="J534" i="7" s="1"/>
  <c r="J535" i="7" a="1"/>
  <c r="J535" i="7" s="1"/>
  <c r="J536" i="7" a="1"/>
  <c r="J536" i="7" s="1"/>
  <c r="J537" i="7" a="1"/>
  <c r="J537" i="7" s="1"/>
  <c r="J538" i="7" a="1"/>
  <c r="J538" i="7" s="1"/>
  <c r="J539" i="7" a="1"/>
  <c r="J539" i="7" s="1"/>
  <c r="J540" i="7" a="1"/>
  <c r="J540" i="7" s="1"/>
  <c r="J541" i="7" a="1"/>
  <c r="J541" i="7" s="1"/>
  <c r="J542" i="7" a="1"/>
  <c r="J542" i="7" s="1"/>
  <c r="J543" i="7" a="1"/>
  <c r="J543" i="7" s="1"/>
  <c r="J544" i="7" a="1"/>
  <c r="J544" i="7" s="1"/>
  <c r="J545" i="7" a="1"/>
  <c r="J545" i="7" s="1"/>
  <c r="J546" i="7" a="1"/>
  <c r="J546" i="7" s="1"/>
  <c r="J547" i="7" a="1"/>
  <c r="J547" i="7" s="1"/>
  <c r="J548" i="7" a="1"/>
  <c r="J548" i="7" s="1"/>
  <c r="J549" i="7" a="1"/>
  <c r="J549" i="7" s="1"/>
  <c r="J550" i="7" a="1"/>
  <c r="J550" i="7" s="1"/>
  <c r="J551" i="7" a="1"/>
  <c r="J551" i="7" s="1"/>
  <c r="J552" i="7" a="1"/>
  <c r="J552" i="7" s="1"/>
  <c r="J553" i="7" a="1"/>
  <c r="J553" i="7" s="1"/>
  <c r="J554" i="7" a="1"/>
  <c r="J554" i="7" s="1"/>
  <c r="J555" i="7" a="1"/>
  <c r="J555" i="7" s="1"/>
  <c r="J556" i="7" a="1"/>
  <c r="J556" i="7" s="1"/>
  <c r="J557" i="7" a="1"/>
  <c r="J557" i="7" s="1"/>
  <c r="J558" i="7" a="1"/>
  <c r="J558" i="7" s="1"/>
  <c r="J559" i="7" a="1"/>
  <c r="J559" i="7" s="1"/>
  <c r="J560" i="7" a="1"/>
  <c r="J560" i="7" s="1"/>
  <c r="J561" i="7" a="1"/>
  <c r="J561" i="7" s="1"/>
  <c r="J562" i="7" a="1"/>
  <c r="J562" i="7" s="1"/>
  <c r="J563" i="7" a="1"/>
  <c r="J563" i="7" s="1"/>
  <c r="J564" i="7" a="1"/>
  <c r="J564" i="7" s="1"/>
  <c r="J565" i="7" a="1"/>
  <c r="J565" i="7" s="1"/>
  <c r="J566" i="7" a="1"/>
  <c r="J566" i="7" s="1"/>
  <c r="J567" i="7" a="1"/>
  <c r="J567" i="7" s="1"/>
  <c r="J568" i="7" a="1"/>
  <c r="J568" i="7" s="1"/>
  <c r="J569" i="7" a="1"/>
  <c r="J569" i="7" s="1"/>
  <c r="J570" i="7" a="1"/>
  <c r="J570" i="7" s="1"/>
  <c r="J571" i="7" a="1"/>
  <c r="J571" i="7" s="1"/>
  <c r="J572" i="7" a="1"/>
  <c r="J572" i="7" s="1"/>
  <c r="J573" i="7" a="1"/>
  <c r="J573" i="7" s="1"/>
  <c r="J574" i="7" a="1"/>
  <c r="J574" i="7" s="1"/>
  <c r="J575" i="7" a="1"/>
  <c r="J575" i="7" s="1"/>
  <c r="J576" i="7" a="1"/>
  <c r="J576" i="7" s="1"/>
  <c r="J577" i="7" a="1"/>
  <c r="J577" i="7" s="1"/>
  <c r="J578" i="7" a="1"/>
  <c r="J578" i="7" s="1"/>
  <c r="J579" i="7" a="1"/>
  <c r="J579" i="7" s="1"/>
  <c r="J580" i="7" a="1"/>
  <c r="J580" i="7" s="1"/>
  <c r="J581" i="7" a="1"/>
  <c r="J581" i="7" s="1"/>
  <c r="J582" i="7" a="1"/>
  <c r="J582" i="7" s="1"/>
  <c r="J583" i="7" a="1"/>
  <c r="J583" i="7" s="1"/>
  <c r="J584" i="7" a="1"/>
  <c r="J584" i="7" s="1"/>
  <c r="J585" i="7" a="1"/>
  <c r="J585" i="7" s="1"/>
  <c r="J586" i="7" a="1"/>
  <c r="J586" i="7" s="1"/>
  <c r="J587" i="7" a="1"/>
  <c r="J587" i="7" s="1"/>
  <c r="J588" i="7" a="1"/>
  <c r="J588" i="7" s="1"/>
  <c r="J589" i="7" a="1"/>
  <c r="J589" i="7" s="1"/>
  <c r="J590" i="7" a="1"/>
  <c r="J590" i="7" s="1"/>
  <c r="J591" i="7" a="1"/>
  <c r="J591" i="7" s="1"/>
  <c r="J592" i="7" a="1"/>
  <c r="J592" i="7" s="1"/>
  <c r="J593" i="7" a="1"/>
  <c r="J593" i="7" s="1"/>
  <c r="J594" i="7" a="1"/>
  <c r="J594" i="7" s="1"/>
  <c r="J595" i="7" a="1"/>
  <c r="J595" i="7" s="1"/>
  <c r="J596" i="7" a="1"/>
  <c r="J596" i="7" s="1"/>
  <c r="J597" i="7" a="1"/>
  <c r="J597" i="7" s="1"/>
  <c r="J598" i="7" a="1"/>
  <c r="J598" i="7" s="1"/>
  <c r="J599" i="7" a="1"/>
  <c r="J599" i="7" s="1"/>
  <c r="J600" i="7" a="1"/>
  <c r="J600" i="7" s="1"/>
  <c r="J601" i="7" a="1"/>
  <c r="J601" i="7" s="1"/>
  <c r="J602" i="7" a="1"/>
  <c r="J602" i="7" s="1"/>
  <c r="J603" i="7" a="1"/>
  <c r="J603" i="7" s="1"/>
  <c r="J604" i="7" a="1"/>
  <c r="J604" i="7" s="1"/>
  <c r="J605" i="7" a="1"/>
  <c r="J605" i="7" s="1"/>
  <c r="J606" i="7" a="1"/>
  <c r="J606" i="7" s="1"/>
  <c r="J607" i="7" a="1"/>
  <c r="J607" i="7" s="1"/>
  <c r="J608" i="7" a="1"/>
  <c r="J608" i="7" s="1"/>
  <c r="J609" i="7" a="1"/>
  <c r="J609" i="7" s="1"/>
  <c r="J610" i="7" a="1"/>
  <c r="J610" i="7" s="1"/>
  <c r="J611" i="7" a="1"/>
  <c r="J611" i="7" s="1"/>
  <c r="J612" i="7" a="1"/>
  <c r="J612" i="7" s="1"/>
  <c r="J613" i="7" a="1"/>
  <c r="J613" i="7" s="1"/>
  <c r="J614" i="7" a="1"/>
  <c r="J614" i="7" s="1"/>
  <c r="J615" i="7" a="1"/>
  <c r="J615" i="7" s="1"/>
  <c r="J616" i="7" a="1"/>
  <c r="J616" i="7" s="1"/>
  <c r="J617" i="7" a="1"/>
  <c r="J617" i="7" s="1"/>
  <c r="J618" i="7" a="1"/>
  <c r="J618" i="7" s="1"/>
  <c r="J619" i="7" a="1"/>
  <c r="J619" i="7" s="1"/>
  <c r="J620" i="7" a="1"/>
  <c r="J620" i="7" s="1"/>
  <c r="J621" i="7" a="1"/>
  <c r="J621" i="7" s="1"/>
  <c r="J622" i="7" a="1"/>
  <c r="J622" i="7" s="1"/>
  <c r="J623" i="7" a="1"/>
  <c r="J623" i="7" s="1"/>
  <c r="J624" i="7" a="1"/>
  <c r="J624" i="7" s="1"/>
  <c r="J625" i="7" a="1"/>
  <c r="J625" i="7" s="1"/>
  <c r="J626" i="7" a="1"/>
  <c r="J626" i="7" s="1"/>
  <c r="J627" i="7" a="1"/>
  <c r="J627" i="7" s="1"/>
  <c r="J628" i="7" a="1"/>
  <c r="J628" i="7" s="1"/>
  <c r="J629" i="7" a="1"/>
  <c r="J629" i="7" s="1"/>
  <c r="J630" i="7" a="1"/>
  <c r="J630" i="7" s="1"/>
  <c r="J631" i="7" a="1"/>
  <c r="J631" i="7" s="1"/>
  <c r="J632" i="7" a="1"/>
  <c r="J632" i="7" s="1"/>
  <c r="J633" i="7" a="1"/>
  <c r="J633" i="7" s="1"/>
  <c r="J634" i="7" a="1"/>
  <c r="J634" i="7" s="1"/>
  <c r="J635" i="7" a="1"/>
  <c r="J635" i="7" s="1"/>
  <c r="J636" i="7" a="1"/>
  <c r="J636" i="7" s="1"/>
  <c r="J637" i="7" a="1"/>
  <c r="J637" i="7" s="1"/>
  <c r="J638" i="7" a="1"/>
  <c r="J638" i="7" s="1"/>
  <c r="J639" i="7" a="1"/>
  <c r="J639" i="7" s="1"/>
  <c r="J640" i="7" a="1"/>
  <c r="J640" i="7" s="1"/>
  <c r="J641" i="7" a="1"/>
  <c r="J641" i="7" s="1"/>
  <c r="J642" i="7" a="1"/>
  <c r="J642" i="7" s="1"/>
  <c r="J643" i="7" a="1"/>
  <c r="J643" i="7" s="1"/>
  <c r="J644" i="7" a="1"/>
  <c r="J644" i="7" s="1"/>
  <c r="J645" i="7" a="1"/>
  <c r="J645" i="7" s="1"/>
  <c r="J646" i="7" a="1"/>
  <c r="J646" i="7" s="1"/>
  <c r="J647" i="7" a="1"/>
  <c r="J647" i="7" s="1"/>
  <c r="J648" i="7" a="1"/>
  <c r="J648" i="7" s="1"/>
  <c r="J649" i="7" a="1"/>
  <c r="J649" i="7" s="1"/>
  <c r="J650" i="7" a="1"/>
  <c r="J650" i="7" s="1"/>
  <c r="J651" i="7" a="1"/>
  <c r="J651" i="7" s="1"/>
  <c r="J652" i="7" a="1"/>
  <c r="J652" i="7" s="1"/>
  <c r="J653" i="7" a="1"/>
  <c r="J653" i="7" s="1"/>
  <c r="J654" i="7" a="1"/>
  <c r="J654" i="7" s="1"/>
  <c r="J655" i="7" a="1"/>
  <c r="J655" i="7" s="1"/>
  <c r="J656" i="7" a="1"/>
  <c r="J656" i="7" s="1"/>
  <c r="J657" i="7" a="1"/>
  <c r="J657" i="7" s="1"/>
  <c r="J658" i="7" a="1"/>
  <c r="J658" i="7" s="1"/>
  <c r="J659" i="7" a="1"/>
  <c r="J659" i="7" s="1"/>
  <c r="J660" i="7" a="1"/>
  <c r="J660" i="7" s="1"/>
  <c r="J661" i="7" a="1"/>
  <c r="J661" i="7" s="1"/>
  <c r="J662" i="7" a="1"/>
  <c r="J662" i="7" s="1"/>
  <c r="J663" i="7" a="1"/>
  <c r="J663" i="7" s="1"/>
  <c r="J664" i="7" a="1"/>
  <c r="J664" i="7" s="1"/>
  <c r="J665" i="7" a="1"/>
  <c r="J665" i="7" s="1"/>
  <c r="J666" i="7" a="1"/>
  <c r="J666" i="7" s="1"/>
  <c r="J667" i="7" a="1"/>
  <c r="J667" i="7" s="1"/>
  <c r="J668" i="7" a="1"/>
  <c r="J668" i="7" s="1"/>
  <c r="J669" i="7" a="1"/>
  <c r="J669" i="7" s="1"/>
  <c r="J670" i="7" a="1"/>
  <c r="J670" i="7" s="1"/>
  <c r="J671" i="7" a="1"/>
  <c r="J671" i="7" s="1"/>
  <c r="J672" i="7" a="1"/>
  <c r="J672" i="7" s="1"/>
  <c r="J673" i="7" a="1"/>
  <c r="J673" i="7" s="1"/>
  <c r="J674" i="7" a="1"/>
  <c r="J674" i="7" s="1"/>
  <c r="J675" i="7" a="1"/>
  <c r="J675" i="7" s="1"/>
  <c r="J676" i="7" a="1"/>
  <c r="J676" i="7" s="1"/>
  <c r="J677" i="7" a="1"/>
  <c r="J677" i="7" s="1"/>
  <c r="J678" i="7" a="1"/>
  <c r="J678" i="7" s="1"/>
  <c r="J679" i="7" a="1"/>
  <c r="J679" i="7" s="1"/>
  <c r="J680" i="7" a="1"/>
  <c r="J680" i="7" s="1"/>
  <c r="J681" i="7" a="1"/>
  <c r="J681" i="7" s="1"/>
  <c r="J682" i="7" a="1"/>
  <c r="J682" i="7" s="1"/>
  <c r="J683" i="7" a="1"/>
  <c r="J683" i="7" s="1"/>
  <c r="J684" i="7" a="1"/>
  <c r="J684" i="7" s="1"/>
  <c r="J685" i="7" a="1"/>
  <c r="J685" i="7" s="1"/>
  <c r="J686" i="7" a="1"/>
  <c r="J686" i="7" s="1"/>
  <c r="J687" i="7" a="1"/>
  <c r="J687" i="7" s="1"/>
  <c r="J688" i="7" a="1"/>
  <c r="J688" i="7" s="1"/>
  <c r="J689" i="7" a="1"/>
  <c r="J689" i="7" s="1"/>
  <c r="J690" i="7" a="1"/>
  <c r="J690" i="7" s="1"/>
  <c r="J691" i="7" a="1"/>
  <c r="J691" i="7" s="1"/>
  <c r="J692" i="7" a="1"/>
  <c r="J692" i="7" s="1"/>
  <c r="J693" i="7" a="1"/>
  <c r="J693" i="7" s="1"/>
  <c r="J694" i="7" a="1"/>
  <c r="J694" i="7" s="1"/>
  <c r="J695" i="7" a="1"/>
  <c r="J695" i="7" s="1"/>
  <c r="J696" i="7" a="1"/>
  <c r="J696" i="7" s="1"/>
  <c r="J697" i="7" a="1"/>
  <c r="J697" i="7" s="1"/>
  <c r="J698" i="7" a="1"/>
  <c r="J698" i="7" s="1"/>
  <c r="J699" i="7" a="1"/>
  <c r="J699" i="7" s="1"/>
  <c r="J700" i="7" a="1"/>
  <c r="J700" i="7" s="1"/>
  <c r="J701" i="7" a="1"/>
  <c r="J701" i="7" s="1"/>
  <c r="J702" i="7" a="1"/>
  <c r="J702" i="7" s="1"/>
  <c r="J703" i="7" a="1"/>
  <c r="J703" i="7" s="1"/>
  <c r="J704" i="7" a="1"/>
  <c r="J704" i="7" s="1"/>
  <c r="J705" i="7" a="1"/>
  <c r="J705" i="7" s="1"/>
  <c r="J706" i="7" a="1"/>
  <c r="J706" i="7" s="1"/>
  <c r="J707" i="7" a="1"/>
  <c r="J707" i="7" s="1"/>
  <c r="J708" i="7" a="1"/>
  <c r="J708" i="7" s="1"/>
  <c r="J709" i="7" a="1"/>
  <c r="J709" i="7" s="1"/>
  <c r="J710" i="7" a="1"/>
  <c r="J710" i="7" s="1"/>
  <c r="J711" i="7" a="1"/>
  <c r="J711" i="7" s="1"/>
  <c r="J712" i="7" a="1"/>
  <c r="J712" i="7" s="1"/>
  <c r="J713" i="7" a="1"/>
  <c r="J713" i="7" s="1"/>
  <c r="J714" i="7" a="1"/>
  <c r="J714" i="7" s="1"/>
  <c r="J715" i="7" a="1"/>
  <c r="J715" i="7" s="1"/>
  <c r="J716" i="7" a="1"/>
  <c r="J716" i="7" s="1"/>
  <c r="J717" i="7" a="1"/>
  <c r="J717" i="7" s="1"/>
  <c r="J718" i="7" a="1"/>
  <c r="J718" i="7" s="1"/>
  <c r="J719" i="7" a="1"/>
  <c r="J719" i="7" s="1"/>
  <c r="J720" i="7" a="1"/>
  <c r="J720" i="7" s="1"/>
  <c r="J721" i="7" a="1"/>
  <c r="J721" i="7" s="1"/>
  <c r="J722" i="7" a="1"/>
  <c r="J722" i="7" s="1"/>
  <c r="J723" i="7" a="1"/>
  <c r="J723" i="7" s="1"/>
  <c r="J724" i="7" a="1"/>
  <c r="J724" i="7" s="1"/>
  <c r="J725" i="7" a="1"/>
  <c r="J725" i="7" s="1"/>
  <c r="J726" i="7" a="1"/>
  <c r="J726" i="7" s="1"/>
  <c r="J727" i="7" a="1"/>
  <c r="J727" i="7" s="1"/>
  <c r="J728" i="7" a="1"/>
  <c r="J728" i="7" s="1"/>
  <c r="J729" i="7" a="1"/>
  <c r="J729" i="7" s="1"/>
  <c r="J730" i="7" a="1"/>
  <c r="J730" i="7" s="1"/>
  <c r="J731" i="7" a="1"/>
  <c r="J731" i="7" s="1"/>
  <c r="J732" i="7" a="1"/>
  <c r="J732" i="7" s="1"/>
  <c r="J733" i="7" a="1"/>
  <c r="J733" i="7" s="1"/>
  <c r="J734" i="7" a="1"/>
  <c r="J734" i="7" s="1"/>
  <c r="J735" i="7" a="1"/>
  <c r="J735" i="7" s="1"/>
  <c r="J736" i="7" a="1"/>
  <c r="J736" i="7" s="1"/>
  <c r="J737" i="7" a="1"/>
  <c r="J737" i="7" s="1"/>
  <c r="J738" i="7" a="1"/>
  <c r="J738" i="7" s="1"/>
  <c r="J739" i="7" a="1"/>
  <c r="J739" i="7" s="1"/>
  <c r="J740" i="7" a="1"/>
  <c r="J740" i="7" s="1"/>
  <c r="J741" i="7" a="1"/>
  <c r="J741" i="7" s="1"/>
  <c r="J742" i="7" a="1"/>
  <c r="J742" i="7" s="1"/>
  <c r="J743" i="7" a="1"/>
  <c r="J743" i="7" s="1"/>
  <c r="J744" i="7" a="1"/>
  <c r="J744" i="7" s="1"/>
  <c r="J745" i="7" a="1"/>
  <c r="J745" i="7" s="1"/>
  <c r="J746" i="7" a="1"/>
  <c r="J746" i="7" s="1"/>
  <c r="J747" i="7" a="1"/>
  <c r="J747" i="7" s="1"/>
  <c r="J748" i="7" a="1"/>
  <c r="J748" i="7" s="1"/>
  <c r="J749" i="7" a="1"/>
  <c r="J749" i="7" s="1"/>
  <c r="J750" i="7" a="1"/>
  <c r="J750" i="7" s="1"/>
  <c r="J751" i="7" a="1"/>
  <c r="J751" i="7" s="1"/>
  <c r="J752" i="7" a="1"/>
  <c r="J752" i="7" s="1"/>
  <c r="J753" i="7" a="1"/>
  <c r="J753" i="7" s="1"/>
  <c r="J754" i="7" a="1"/>
  <c r="J754" i="7" s="1"/>
  <c r="J755" i="7" a="1"/>
  <c r="J755" i="7" s="1"/>
  <c r="J756" i="7" a="1"/>
  <c r="J756" i="7" s="1"/>
  <c r="J757" i="7" a="1"/>
  <c r="J757" i="7" s="1"/>
  <c r="J758" i="7" a="1"/>
  <c r="J758" i="7" s="1"/>
  <c r="J759" i="7" a="1"/>
  <c r="J759" i="7" s="1"/>
  <c r="J760" i="7" a="1"/>
  <c r="J760" i="7" s="1"/>
  <c r="J761" i="7" a="1"/>
  <c r="J761" i="7" s="1"/>
  <c r="J762" i="7" a="1"/>
  <c r="J762" i="7" s="1"/>
  <c r="J763" i="7" a="1"/>
  <c r="J763" i="7" s="1"/>
  <c r="J764" i="7" a="1"/>
  <c r="J764" i="7" s="1"/>
  <c r="J765" i="7" a="1"/>
  <c r="J765" i="7" s="1"/>
  <c r="J766" i="7" a="1"/>
  <c r="J766" i="7" s="1"/>
  <c r="J767" i="7" a="1"/>
  <c r="J767" i="7" s="1"/>
  <c r="J768" i="7" a="1"/>
  <c r="J768" i="7" s="1"/>
  <c r="J769" i="7" a="1"/>
  <c r="J769" i="7" s="1"/>
  <c r="J770" i="7" a="1"/>
  <c r="J770" i="7" s="1"/>
  <c r="J771" i="7" a="1"/>
  <c r="J771" i="7" s="1"/>
  <c r="J772" i="7" a="1"/>
  <c r="J772" i="7" s="1"/>
  <c r="J773" i="7" a="1"/>
  <c r="J773" i="7" s="1"/>
  <c r="J774" i="7" a="1"/>
  <c r="J774" i="7" s="1"/>
  <c r="J775" i="7" a="1"/>
  <c r="J775" i="7" s="1"/>
  <c r="J776" i="7" a="1"/>
  <c r="J776" i="7" s="1"/>
  <c r="J777" i="7" a="1"/>
  <c r="J777" i="7" s="1"/>
  <c r="J778" i="7" a="1"/>
  <c r="J778" i="7" s="1"/>
  <c r="J779" i="7" a="1"/>
  <c r="J779" i="7" s="1"/>
  <c r="J780" i="7" a="1"/>
  <c r="J780" i="7" s="1"/>
  <c r="J781" i="7" a="1"/>
  <c r="J781" i="7" s="1"/>
  <c r="J782" i="7" a="1"/>
  <c r="J782" i="7" s="1"/>
  <c r="J783" i="7" a="1"/>
  <c r="J783" i="7" s="1"/>
  <c r="J784" i="7" a="1"/>
  <c r="J784" i="7" s="1"/>
  <c r="J785" i="7" a="1"/>
  <c r="J785" i="7" s="1"/>
  <c r="J786" i="7" a="1"/>
  <c r="J786" i="7" s="1"/>
  <c r="J787" i="7" a="1"/>
  <c r="J787" i="7" s="1"/>
  <c r="J788" i="7" a="1"/>
  <c r="J788" i="7" s="1"/>
  <c r="J789" i="7" a="1"/>
  <c r="J789" i="7" s="1"/>
  <c r="J790" i="7" a="1"/>
  <c r="J790" i="7" s="1"/>
  <c r="J791" i="7" a="1"/>
  <c r="J791" i="7" s="1"/>
  <c r="J792" i="7" a="1"/>
  <c r="J792" i="7" s="1"/>
  <c r="J793" i="7" a="1"/>
  <c r="J793" i="7" s="1"/>
  <c r="J794" i="7" a="1"/>
  <c r="J794" i="7" s="1"/>
  <c r="J795" i="7" a="1"/>
  <c r="J795" i="7" s="1"/>
  <c r="J796" i="7" a="1"/>
  <c r="J796" i="7" s="1"/>
  <c r="J797" i="7" a="1"/>
  <c r="J797" i="7" s="1"/>
  <c r="J798" i="7" a="1"/>
  <c r="J798" i="7" s="1"/>
  <c r="J799" i="7" a="1"/>
  <c r="J799" i="7" s="1"/>
  <c r="J800" i="7" a="1"/>
  <c r="J800" i="7" s="1"/>
  <c r="J801" i="7" a="1"/>
  <c r="J801" i="7" s="1"/>
  <c r="J802" i="7" a="1"/>
  <c r="J802" i="7" s="1"/>
  <c r="J803" i="7" a="1"/>
  <c r="J803" i="7" s="1"/>
  <c r="J804" i="7" a="1"/>
  <c r="J804" i="7" s="1"/>
  <c r="J805" i="7" a="1"/>
  <c r="J805" i="7" s="1"/>
  <c r="J806" i="7" a="1"/>
  <c r="J806" i="7" s="1"/>
  <c r="J807" i="7" a="1"/>
  <c r="J807" i="7" s="1"/>
  <c r="J808" i="7" a="1"/>
  <c r="J808" i="7" s="1"/>
  <c r="J809" i="7" a="1"/>
  <c r="J809" i="7" s="1"/>
  <c r="J810" i="7" a="1"/>
  <c r="J810" i="7" s="1"/>
  <c r="J811" i="7" a="1"/>
  <c r="J811" i="7" s="1"/>
  <c r="J812" i="7" a="1"/>
  <c r="J812" i="7" s="1"/>
  <c r="J813" i="7" a="1"/>
  <c r="J813" i="7" s="1"/>
  <c r="J814" i="7" a="1"/>
  <c r="J814" i="7" s="1"/>
  <c r="J815" i="7" a="1"/>
  <c r="J815" i="7" s="1"/>
  <c r="J816" i="7" a="1"/>
  <c r="J816" i="7" s="1"/>
  <c r="J817" i="7" a="1"/>
  <c r="J817" i="7" s="1"/>
  <c r="J818" i="7" a="1"/>
  <c r="J818" i="7" s="1"/>
  <c r="J819" i="7" a="1"/>
  <c r="J819" i="7" s="1"/>
  <c r="J820" i="7" a="1"/>
  <c r="J820" i="7" s="1"/>
  <c r="J821" i="7" a="1"/>
  <c r="J821" i="7" s="1"/>
  <c r="J822" i="7" a="1"/>
  <c r="J822" i="7" s="1"/>
  <c r="J823" i="7" a="1"/>
  <c r="J823" i="7" s="1"/>
  <c r="J824" i="7" a="1"/>
  <c r="J824" i="7" s="1"/>
  <c r="J825" i="7" a="1"/>
  <c r="J825" i="7" s="1"/>
  <c r="J826" i="7" a="1"/>
  <c r="J826" i="7" s="1"/>
  <c r="J827" i="7" a="1"/>
  <c r="J827" i="7" s="1"/>
  <c r="J828" i="7" a="1"/>
  <c r="J828" i="7" s="1"/>
  <c r="J829" i="7" a="1"/>
  <c r="J829" i="7" s="1"/>
  <c r="J830" i="7" a="1"/>
  <c r="J830" i="7" s="1"/>
  <c r="J831" i="7" a="1"/>
  <c r="J831" i="7" s="1"/>
  <c r="J832" i="7" a="1"/>
  <c r="J832" i="7" s="1"/>
  <c r="J833" i="7" a="1"/>
  <c r="J833" i="7" s="1"/>
  <c r="J834" i="7" a="1"/>
  <c r="J834" i="7" s="1"/>
  <c r="J835" i="7" a="1"/>
  <c r="J835" i="7" s="1"/>
  <c r="J836" i="7" a="1"/>
  <c r="J836" i="7" s="1"/>
  <c r="J837" i="7" a="1"/>
  <c r="J837" i="7" s="1"/>
  <c r="J838" i="7" a="1"/>
  <c r="J838" i="7" s="1"/>
  <c r="J839" i="7" a="1"/>
  <c r="J839" i="7" s="1"/>
  <c r="J840" i="7" a="1"/>
  <c r="J840" i="7" s="1"/>
  <c r="J841" i="7" a="1"/>
  <c r="J841" i="7" s="1"/>
  <c r="J842" i="7" a="1"/>
  <c r="J842" i="7" s="1"/>
  <c r="J843" i="7" a="1"/>
  <c r="J843" i="7" s="1"/>
  <c r="J844" i="7" a="1"/>
  <c r="J844" i="7" s="1"/>
  <c r="J845" i="7" a="1"/>
  <c r="J845" i="7" s="1"/>
  <c r="J846" i="7" a="1"/>
  <c r="J846" i="7" s="1"/>
  <c r="J847" i="7" a="1"/>
  <c r="J847" i="7" s="1"/>
  <c r="J848" i="7" a="1"/>
  <c r="J848" i="7" s="1"/>
  <c r="J849" i="7" a="1"/>
  <c r="J849" i="7" s="1"/>
  <c r="J850" i="7" a="1"/>
  <c r="J850" i="7" s="1"/>
  <c r="J851" i="7" a="1"/>
  <c r="J851" i="7" s="1"/>
  <c r="J852" i="7" a="1"/>
  <c r="J852" i="7" s="1"/>
  <c r="J853" i="7" a="1"/>
  <c r="J853" i="7" s="1"/>
  <c r="J854" i="7" a="1"/>
  <c r="J854" i="7" s="1"/>
  <c r="J855" i="7" a="1"/>
  <c r="J855" i="7" s="1"/>
  <c r="J856" i="7" a="1"/>
  <c r="J856" i="7" s="1"/>
  <c r="J857" i="7" a="1"/>
  <c r="J857" i="7" s="1"/>
  <c r="J858" i="7" a="1"/>
  <c r="J858" i="7" s="1"/>
  <c r="J859" i="7" a="1"/>
  <c r="J859" i="7" s="1"/>
  <c r="J860" i="7" a="1"/>
  <c r="J860" i="7" s="1"/>
  <c r="J861" i="7" a="1"/>
  <c r="J861" i="7" s="1"/>
  <c r="J862" i="7" a="1"/>
  <c r="J862" i="7" s="1"/>
  <c r="J863" i="7" a="1"/>
  <c r="J863" i="7" s="1"/>
  <c r="J864" i="7" a="1"/>
  <c r="J864" i="7" s="1"/>
  <c r="J865" i="7" a="1"/>
  <c r="J865" i="7" s="1"/>
  <c r="J866" i="7" a="1"/>
  <c r="J866" i="7" s="1"/>
  <c r="J867" i="7" a="1"/>
  <c r="J867" i="7" s="1"/>
  <c r="J868" i="7" a="1"/>
  <c r="J868" i="7" s="1"/>
  <c r="J869" i="7" a="1"/>
  <c r="J869" i="7" s="1"/>
  <c r="J870" i="7" a="1"/>
  <c r="J870" i="7" s="1"/>
  <c r="J871" i="7" a="1"/>
  <c r="J871" i="7" s="1"/>
  <c r="J872" i="7" a="1"/>
  <c r="J872" i="7" s="1"/>
  <c r="J873" i="7" a="1"/>
  <c r="J873" i="7" s="1"/>
  <c r="J874" i="7" a="1"/>
  <c r="J874" i="7" s="1"/>
  <c r="J875" i="7" a="1"/>
  <c r="J875" i="7" s="1"/>
  <c r="J876" i="7" a="1"/>
  <c r="J876" i="7" s="1"/>
  <c r="J877" i="7" a="1"/>
  <c r="J877" i="7" s="1"/>
  <c r="J878" i="7" a="1"/>
  <c r="J878" i="7" s="1"/>
  <c r="J879" i="7" a="1"/>
  <c r="J879" i="7" s="1"/>
  <c r="J880" i="7" a="1"/>
  <c r="J880" i="7" s="1"/>
  <c r="J881" i="7" a="1"/>
  <c r="J881" i="7" s="1"/>
  <c r="J882" i="7" a="1"/>
  <c r="J882" i="7" s="1"/>
  <c r="J883" i="7" a="1"/>
  <c r="J883" i="7" s="1"/>
  <c r="J884" i="7" a="1"/>
  <c r="J884" i="7" s="1"/>
  <c r="J885" i="7" a="1"/>
  <c r="J885" i="7" s="1"/>
  <c r="J886" i="7" a="1"/>
  <c r="J886" i="7" s="1"/>
  <c r="J887" i="7" a="1"/>
  <c r="J887" i="7" s="1"/>
  <c r="J888" i="7" a="1"/>
  <c r="J888" i="7" s="1"/>
  <c r="J889" i="7" a="1"/>
  <c r="J889" i="7" s="1"/>
  <c r="J890" i="7" a="1"/>
  <c r="J890" i="7" s="1"/>
  <c r="J891" i="7" a="1"/>
  <c r="J891" i="7" s="1"/>
  <c r="J892" i="7" a="1"/>
  <c r="J892" i="7" s="1"/>
  <c r="J893" i="7" a="1"/>
  <c r="J893" i="7" s="1"/>
  <c r="J894" i="7" a="1"/>
  <c r="J894" i="7" s="1"/>
  <c r="J895" i="7" a="1"/>
  <c r="J895" i="7" s="1"/>
  <c r="J896" i="7" a="1"/>
  <c r="J896" i="7" s="1"/>
  <c r="J897" i="7" a="1"/>
  <c r="J897" i="7" s="1"/>
  <c r="J898" i="7" a="1"/>
  <c r="J898" i="7" s="1"/>
  <c r="J899" i="7" a="1"/>
  <c r="J899" i="7" s="1"/>
  <c r="J900" i="7" a="1"/>
  <c r="J900" i="7" s="1"/>
  <c r="J901" i="7" a="1"/>
  <c r="J901" i="7" s="1"/>
  <c r="J902" i="7" a="1"/>
  <c r="J902" i="7" s="1"/>
  <c r="J903" i="7" a="1"/>
  <c r="J903" i="7" s="1"/>
  <c r="J904" i="7" a="1"/>
  <c r="J904" i="7" s="1"/>
  <c r="J905" i="7" a="1"/>
  <c r="J905" i="7" s="1"/>
  <c r="J906" i="7" a="1"/>
  <c r="J906" i="7" s="1"/>
  <c r="J907" i="7" a="1"/>
  <c r="J907" i="7" s="1"/>
  <c r="J908" i="7" a="1"/>
  <c r="J908" i="7" s="1"/>
  <c r="J909" i="7" a="1"/>
  <c r="J909" i="7" s="1"/>
  <c r="J910" i="7" a="1"/>
  <c r="J910" i="7" s="1"/>
  <c r="J911" i="7" a="1"/>
  <c r="J911" i="7" s="1"/>
  <c r="J912" i="7" a="1"/>
  <c r="J912" i="7" s="1"/>
  <c r="J913" i="7" a="1"/>
  <c r="J913" i="7" s="1"/>
  <c r="J914" i="7" a="1"/>
  <c r="J914" i="7" s="1"/>
  <c r="J915" i="7" a="1"/>
  <c r="J915" i="7" s="1"/>
  <c r="J916" i="7" a="1"/>
  <c r="J916" i="7" s="1"/>
  <c r="J917" i="7" a="1"/>
  <c r="J917" i="7" s="1"/>
  <c r="J918" i="7" a="1"/>
  <c r="J918" i="7" s="1"/>
  <c r="J919" i="7" a="1"/>
  <c r="J919" i="7" s="1"/>
  <c r="J920" i="7" a="1"/>
  <c r="J920" i="7" s="1"/>
  <c r="J921" i="7" a="1"/>
  <c r="J921" i="7" s="1"/>
  <c r="J922" i="7" a="1"/>
  <c r="J922" i="7" s="1"/>
  <c r="J923" i="7" a="1"/>
  <c r="J923" i="7" s="1"/>
  <c r="J924" i="7" a="1"/>
  <c r="J924" i="7" s="1"/>
  <c r="J925" i="7" a="1"/>
  <c r="J925" i="7" s="1"/>
  <c r="J926" i="7" a="1"/>
  <c r="J926" i="7" s="1"/>
  <c r="J927" i="7" a="1"/>
  <c r="J927" i="7" s="1"/>
  <c r="J928" i="7" a="1"/>
  <c r="J928" i="7" s="1"/>
  <c r="J929" i="7" a="1"/>
  <c r="J929" i="7" s="1"/>
  <c r="J930" i="7" a="1"/>
  <c r="J930" i="7" s="1"/>
  <c r="J931" i="7" a="1"/>
  <c r="J931" i="7" s="1"/>
  <c r="J932" i="7" a="1"/>
  <c r="J932" i="7" s="1"/>
  <c r="J933" i="7" a="1"/>
  <c r="J933" i="7" s="1"/>
  <c r="J934" i="7" a="1"/>
  <c r="J934" i="7" s="1"/>
  <c r="J935" i="7" a="1"/>
  <c r="J935" i="7" s="1"/>
  <c r="J936" i="7" a="1"/>
  <c r="J936" i="7" s="1"/>
  <c r="J937" i="7" a="1"/>
  <c r="J937" i="7" s="1"/>
  <c r="J938" i="7" a="1"/>
  <c r="J938" i="7" s="1"/>
  <c r="J939" i="7" a="1"/>
  <c r="J939" i="7" s="1"/>
  <c r="J940" i="7" a="1"/>
  <c r="J940" i="7" s="1"/>
  <c r="J941" i="7" a="1"/>
  <c r="J941" i="7" s="1"/>
  <c r="J942" i="7" a="1"/>
  <c r="J942" i="7" s="1"/>
  <c r="J943" i="7" a="1"/>
  <c r="J943" i="7" s="1"/>
  <c r="J944" i="7" a="1"/>
  <c r="J944" i="7" s="1"/>
  <c r="J945" i="7" a="1"/>
  <c r="J945" i="7" s="1"/>
  <c r="J946" i="7" a="1"/>
  <c r="J946" i="7" s="1"/>
  <c r="J947" i="7" a="1"/>
  <c r="J947" i="7" s="1"/>
  <c r="J948" i="7" a="1"/>
  <c r="J948" i="7" s="1"/>
  <c r="J949" i="7" a="1"/>
  <c r="J949" i="7" s="1"/>
  <c r="J950" i="7" a="1"/>
  <c r="J950" i="7" s="1"/>
  <c r="J951" i="7" a="1"/>
  <c r="J951" i="7" s="1"/>
  <c r="J952" i="7" a="1"/>
  <c r="J952" i="7" s="1"/>
  <c r="J154" i="7" a="1"/>
  <c r="J154" i="7" s="1"/>
  <c r="J155" i="7" a="1"/>
  <c r="J155" i="7" s="1"/>
  <c r="J156" i="7" a="1"/>
  <c r="J156" i="7" s="1"/>
  <c r="J157" i="7" a="1"/>
  <c r="J157" i="7" s="1"/>
  <c r="J158" i="7" a="1"/>
  <c r="J158" i="7" s="1"/>
  <c r="J159" i="7" a="1"/>
  <c r="J159" i="7" s="1"/>
  <c r="J160" i="7" a="1"/>
  <c r="J160" i="7" s="1"/>
  <c r="J161" i="7" a="1"/>
  <c r="J161" i="7" s="1"/>
  <c r="J164" i="7" a="1"/>
  <c r="J164" i="7" s="1"/>
  <c r="J165" i="7" a="1"/>
  <c r="J165" i="7" s="1"/>
  <c r="J166" i="7" a="1"/>
  <c r="J166" i="7" s="1"/>
  <c r="J167" i="7" a="1"/>
  <c r="J167" i="7" s="1"/>
  <c r="J168" i="7" a="1"/>
  <c r="J168" i="7" s="1"/>
  <c r="J169" i="7" a="1"/>
  <c r="J169" i="7" s="1"/>
  <c r="J170" i="7" a="1"/>
  <c r="J170" i="7" s="1"/>
  <c r="J171" i="7" a="1"/>
  <c r="J171" i="7" s="1"/>
  <c r="J172" i="7" a="1"/>
  <c r="J172" i="7" s="1"/>
  <c r="J173" i="7" a="1"/>
  <c r="J173" i="7" s="1"/>
  <c r="J174" i="7" a="1"/>
  <c r="J174" i="7" s="1"/>
  <c r="J175" i="7" a="1"/>
  <c r="J175" i="7" s="1"/>
  <c r="J176" i="7" a="1"/>
  <c r="J176" i="7" s="1"/>
  <c r="J177" i="7" a="1"/>
  <c r="J177" i="7" s="1"/>
  <c r="J178" i="7" a="1"/>
  <c r="J178" i="7" s="1"/>
  <c r="J179" i="7" a="1"/>
  <c r="J179" i="7" s="1"/>
  <c r="J180" i="7" a="1"/>
  <c r="J180" i="7" s="1"/>
  <c r="J181" i="7" a="1"/>
  <c r="J181" i="7" s="1"/>
  <c r="J182" i="7" a="1"/>
  <c r="J182" i="7" s="1"/>
  <c r="J183" i="7" a="1"/>
  <c r="J183" i="7" s="1"/>
  <c r="J184" i="7" a="1"/>
  <c r="J184" i="7" s="1"/>
  <c r="J185" i="7" a="1"/>
  <c r="J185" i="7" s="1"/>
  <c r="J186" i="7" a="1"/>
  <c r="J186" i="7" s="1"/>
  <c r="J187" i="7" a="1"/>
  <c r="J187" i="7" s="1"/>
  <c r="J188" i="7" a="1"/>
  <c r="J188" i="7" s="1"/>
  <c r="J189" i="7" a="1"/>
  <c r="J189" i="7" s="1"/>
  <c r="J190" i="7" a="1"/>
  <c r="J190" i="7" s="1"/>
  <c r="I153" i="7" a="1"/>
  <c r="I153" i="7" s="1"/>
  <c r="I154" i="7" a="1"/>
  <c r="I154" i="7" s="1"/>
  <c r="I155" i="7" a="1"/>
  <c r="I155" i="7" s="1"/>
  <c r="I156" i="7" a="1"/>
  <c r="I156" i="7" s="1"/>
  <c r="I157" i="7" a="1"/>
  <c r="I157" i="7" s="1"/>
  <c r="I158" i="7" a="1"/>
  <c r="I158" i="7" s="1"/>
  <c r="I159" i="7" a="1"/>
  <c r="I159" i="7" s="1"/>
  <c r="I160" i="7" a="1"/>
  <c r="I160" i="7" s="1"/>
  <c r="I161" i="7" a="1"/>
  <c r="I161" i="7" s="1"/>
  <c r="I164" i="7" a="1"/>
  <c r="I164" i="7" s="1"/>
  <c r="X22" i="7" s="1"/>
  <c r="I165" i="7" a="1"/>
  <c r="I165" i="7" s="1"/>
  <c r="I166" i="7" a="1"/>
  <c r="I166" i="7" s="1"/>
  <c r="I167" i="7" a="1"/>
  <c r="I167" i="7" s="1"/>
  <c r="I168" i="7" a="1"/>
  <c r="I168" i="7" s="1"/>
  <c r="I169" i="7" a="1"/>
  <c r="I169" i="7" s="1"/>
  <c r="I170" i="7" a="1"/>
  <c r="I170" i="7" s="1"/>
  <c r="I171" i="7" a="1"/>
  <c r="I171" i="7" s="1"/>
  <c r="I172" i="7" a="1"/>
  <c r="I172" i="7" s="1"/>
  <c r="I173" i="7" a="1"/>
  <c r="I173" i="7" s="1"/>
  <c r="I174" i="7" a="1"/>
  <c r="I174" i="7" s="1"/>
  <c r="I2" i="7" a="1"/>
  <c r="I2" i="7" s="1"/>
  <c r="AB3" i="13"/>
  <c r="AB4" i="13"/>
  <c r="AB5" i="13"/>
  <c r="AB2" i="13"/>
  <c r="AA3" i="13"/>
  <c r="AA4" i="13"/>
  <c r="AA5" i="13"/>
  <c r="AA2" i="13"/>
  <c r="Z3" i="13"/>
  <c r="Z4" i="13"/>
  <c r="Z5" i="13"/>
  <c r="Z2" i="13"/>
  <c r="W3" i="9"/>
  <c r="V3" i="9"/>
  <c r="U3" i="9"/>
  <c r="U3" i="10"/>
  <c r="U4" i="10"/>
  <c r="U5" i="10"/>
  <c r="U2" i="10"/>
  <c r="T3" i="9"/>
  <c r="T4" i="9"/>
  <c r="T5" i="9"/>
  <c r="T2" i="9"/>
  <c r="U3" i="8"/>
  <c r="U4" i="8"/>
  <c r="U5" i="8"/>
  <c r="U2" i="8"/>
  <c r="X3" i="7"/>
  <c r="X4" i="7"/>
  <c r="X5" i="7"/>
  <c r="X2" i="7"/>
  <c r="Y3" i="13"/>
  <c r="Y4" i="13"/>
  <c r="Y5" i="13"/>
  <c r="Y2" i="13"/>
  <c r="T3" i="10"/>
  <c r="T4" i="10"/>
  <c r="T5" i="10"/>
  <c r="T2" i="10"/>
  <c r="S5" i="9"/>
  <c r="S3" i="9"/>
  <c r="S4" i="9"/>
  <c r="S2" i="9"/>
  <c r="T3" i="8"/>
  <c r="T4" i="8"/>
  <c r="T5" i="8"/>
  <c r="T2" i="8"/>
  <c r="X5" i="13"/>
  <c r="X2" i="13"/>
  <c r="W2" i="7"/>
  <c r="W4" i="7"/>
  <c r="W3" i="7"/>
  <c r="X4" i="13"/>
  <c r="X3" i="13"/>
  <c r="K86" i="7" a="1"/>
  <c r="K86" i="7" s="1"/>
  <c r="J86" i="7" a="1"/>
  <c r="J86" i="7" s="1"/>
  <c r="I86" i="7" a="1"/>
  <c r="I86" i="7" s="1"/>
  <c r="K85" i="7" a="1"/>
  <c r="K85" i="7" s="1"/>
  <c r="J85" i="7" a="1"/>
  <c r="J85" i="7" s="1"/>
  <c r="I85" i="7" a="1"/>
  <c r="I85" i="7" s="1"/>
  <c r="K3" i="7" a="1"/>
  <c r="K3" i="7" s="1"/>
  <c r="K4" i="7" a="1"/>
  <c r="K4" i="7" s="1"/>
  <c r="K5" i="7" a="1"/>
  <c r="K5" i="7" s="1"/>
  <c r="K6" i="7" a="1"/>
  <c r="K6" i="7" s="1"/>
  <c r="K7" i="7" a="1"/>
  <c r="K7" i="7" s="1"/>
  <c r="K8" i="7" a="1"/>
  <c r="K8" i="7" s="1"/>
  <c r="K9" i="7" a="1"/>
  <c r="K9" i="7" s="1"/>
  <c r="K10" i="7" a="1"/>
  <c r="K10" i="7" s="1"/>
  <c r="K11" i="7" a="1"/>
  <c r="K11" i="7" s="1"/>
  <c r="K12" i="7" a="1"/>
  <c r="K12" i="7" s="1"/>
  <c r="K13" i="7" a="1"/>
  <c r="K13" i="7" s="1"/>
  <c r="K14" i="7" a="1"/>
  <c r="K14" i="7" s="1"/>
  <c r="K15" i="7" a="1"/>
  <c r="K15" i="7" s="1"/>
  <c r="K16" i="7" a="1"/>
  <c r="K16" i="7" s="1"/>
  <c r="K17" i="7" a="1"/>
  <c r="K17" i="7" s="1"/>
  <c r="K18" i="7" a="1"/>
  <c r="K18" i="7" s="1"/>
  <c r="K19" i="7" a="1"/>
  <c r="K19" i="7" s="1"/>
  <c r="K20" i="7" a="1"/>
  <c r="K20" i="7" s="1"/>
  <c r="K21" i="7" a="1"/>
  <c r="K21" i="7" s="1"/>
  <c r="K22" i="7" a="1"/>
  <c r="K22" i="7" s="1"/>
  <c r="K23" i="7" a="1"/>
  <c r="K23" i="7" s="1"/>
  <c r="K24" i="7" a="1"/>
  <c r="K24" i="7" s="1"/>
  <c r="K25" i="7" a="1"/>
  <c r="K25" i="7" s="1"/>
  <c r="K26" i="7" a="1"/>
  <c r="K26" i="7" s="1"/>
  <c r="K27" i="7" a="1"/>
  <c r="K27" i="7" s="1"/>
  <c r="K28" i="7" a="1"/>
  <c r="K28" i="7" s="1"/>
  <c r="K29" i="7" a="1"/>
  <c r="K29" i="7" s="1"/>
  <c r="K30" i="7" a="1"/>
  <c r="K30" i="7" s="1"/>
  <c r="K31" i="7" a="1"/>
  <c r="K31" i="7" s="1"/>
  <c r="K32" i="7" a="1"/>
  <c r="K32" i="7" s="1"/>
  <c r="K33" i="7" a="1"/>
  <c r="K33" i="7" s="1"/>
  <c r="K34" i="7" a="1"/>
  <c r="K34" i="7" s="1"/>
  <c r="K35" i="7" a="1"/>
  <c r="K35" i="7" s="1"/>
  <c r="K36" i="7" a="1"/>
  <c r="K36" i="7" s="1"/>
  <c r="K37" i="7" a="1"/>
  <c r="K37" i="7" s="1"/>
  <c r="K38" i="7" a="1"/>
  <c r="K38" i="7" s="1"/>
  <c r="K39" i="7" a="1"/>
  <c r="K39" i="7" s="1"/>
  <c r="K40" i="7" a="1"/>
  <c r="K40" i="7" s="1"/>
  <c r="K41" i="7" a="1"/>
  <c r="K41"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K59" i="7" a="1"/>
  <c r="K59" i="7" s="1"/>
  <c r="K60" i="7" a="1"/>
  <c r="K60" i="7" s="1"/>
  <c r="K61" i="7" a="1"/>
  <c r="K61" i="7" s="1"/>
  <c r="K62" i="7" a="1"/>
  <c r="K62" i="7" s="1"/>
  <c r="K63" i="7" a="1"/>
  <c r="K63" i="7" s="1"/>
  <c r="K64" i="7" a="1"/>
  <c r="K64" i="7" s="1"/>
  <c r="K65" i="7" a="1"/>
  <c r="K65" i="7" s="1"/>
  <c r="K66" i="7" a="1"/>
  <c r="K66" i="7" s="1"/>
  <c r="K67" i="7" a="1"/>
  <c r="K67" i="7" s="1"/>
  <c r="K68" i="7" a="1"/>
  <c r="K68" i="7" s="1"/>
  <c r="K69" i="7" a="1"/>
  <c r="K69" i="7" s="1"/>
  <c r="K70" i="7" a="1"/>
  <c r="K70" i="7" s="1"/>
  <c r="K71" i="7" a="1"/>
  <c r="K71" i="7" s="1"/>
  <c r="K72" i="7" a="1"/>
  <c r="K72" i="7" s="1"/>
  <c r="K73" i="7" a="1"/>
  <c r="K73" i="7" s="1"/>
  <c r="K74" i="7" a="1"/>
  <c r="K74" i="7" s="1"/>
  <c r="K75" i="7" a="1"/>
  <c r="K75" i="7" s="1"/>
  <c r="K76" i="7" a="1"/>
  <c r="K76" i="7" s="1"/>
  <c r="K77" i="7" a="1"/>
  <c r="K77" i="7" s="1"/>
  <c r="K78" i="7" a="1"/>
  <c r="K78" i="7" s="1"/>
  <c r="K79" i="7" a="1"/>
  <c r="K79" i="7" s="1"/>
  <c r="K80" i="7" a="1"/>
  <c r="K80" i="7" s="1"/>
  <c r="K81" i="7" a="1"/>
  <c r="K81" i="7" s="1"/>
  <c r="K82" i="7" a="1"/>
  <c r="K82" i="7" s="1"/>
  <c r="K83" i="7" a="1"/>
  <c r="K83" i="7" s="1"/>
  <c r="K84" i="7" a="1"/>
  <c r="K84" i="7" s="1"/>
  <c r="K87" i="7" a="1"/>
  <c r="K87" i="7" s="1"/>
  <c r="K88" i="7" a="1"/>
  <c r="K88" i="7" s="1"/>
  <c r="K89" i="7" a="1"/>
  <c r="K89" i="7" s="1"/>
  <c r="K90" i="7" a="1"/>
  <c r="K90" i="7" s="1"/>
  <c r="K91" i="7" a="1"/>
  <c r="K91" i="7" s="1"/>
  <c r="K92" i="7" a="1"/>
  <c r="K92" i="7" s="1"/>
  <c r="K93" i="7" a="1"/>
  <c r="K93" i="7" s="1"/>
  <c r="K94" i="7" a="1"/>
  <c r="K94" i="7" s="1"/>
  <c r="K95" i="7" a="1"/>
  <c r="K95" i="7" s="1"/>
  <c r="K96" i="7" a="1"/>
  <c r="K96" i="7" s="1"/>
  <c r="K97" i="7" a="1"/>
  <c r="K97" i="7" s="1"/>
  <c r="K98" i="7" a="1"/>
  <c r="K98" i="7" s="1"/>
  <c r="K99" i="7" a="1"/>
  <c r="K99" i="7" s="1"/>
  <c r="K100" i="7" a="1"/>
  <c r="K100" i="7" s="1"/>
  <c r="K101" i="7" a="1"/>
  <c r="K101" i="7" s="1"/>
  <c r="K102" i="7" a="1"/>
  <c r="K102" i="7" s="1"/>
  <c r="K103" i="7" a="1"/>
  <c r="K103" i="7" s="1"/>
  <c r="K104" i="7" a="1"/>
  <c r="K104" i="7" s="1"/>
  <c r="K105" i="7" a="1"/>
  <c r="K105" i="7" s="1"/>
  <c r="K106" i="7" a="1"/>
  <c r="K106" i="7" s="1"/>
  <c r="K107" i="7" a="1"/>
  <c r="K107" i="7" s="1"/>
  <c r="K108" i="7" a="1"/>
  <c r="K108" i="7" s="1"/>
  <c r="K109" i="7" a="1"/>
  <c r="K109" i="7" s="1"/>
  <c r="K110" i="7" a="1"/>
  <c r="K110" i="7" s="1"/>
  <c r="K111" i="7" a="1"/>
  <c r="K111" i="7" s="1"/>
  <c r="K112" i="7" a="1"/>
  <c r="K112" i="7" s="1"/>
  <c r="K113" i="7" a="1"/>
  <c r="K113" i="7" s="1"/>
  <c r="K114" i="7" a="1"/>
  <c r="K114" i="7" s="1"/>
  <c r="K115" i="7" a="1"/>
  <c r="K115" i="7" s="1"/>
  <c r="K116" i="7" a="1"/>
  <c r="K116" i="7" s="1"/>
  <c r="K117" i="7" a="1"/>
  <c r="K117" i="7" s="1"/>
  <c r="K118" i="7" a="1"/>
  <c r="K118" i="7" s="1"/>
  <c r="K119" i="7" a="1"/>
  <c r="K119" i="7" s="1"/>
  <c r="K120" i="7" a="1"/>
  <c r="K120" i="7" s="1"/>
  <c r="K121" i="7" a="1"/>
  <c r="K121" i="7" s="1"/>
  <c r="K122" i="7" a="1"/>
  <c r="K122" i="7" s="1"/>
  <c r="K123" i="7" a="1"/>
  <c r="K123" i="7" s="1"/>
  <c r="K126" i="7" a="1"/>
  <c r="K126" i="7" s="1"/>
  <c r="K127" i="7" a="1"/>
  <c r="K127" i="7" s="1"/>
  <c r="K2" i="7" a="1"/>
  <c r="K2" i="7" s="1"/>
  <c r="J13" i="7" a="1"/>
  <c r="J13" i="7" s="1"/>
  <c r="J14" i="7" a="1"/>
  <c r="J14" i="7" s="1"/>
  <c r="J15" i="7" a="1"/>
  <c r="J15" i="7" s="1"/>
  <c r="J16" i="7" a="1"/>
  <c r="J16" i="7" s="1"/>
  <c r="J17" i="7" a="1"/>
  <c r="J17" i="7" s="1"/>
  <c r="J18" i="7" a="1"/>
  <c r="J18" i="7" s="1"/>
  <c r="J19" i="7" a="1"/>
  <c r="J19" i="7" s="1"/>
  <c r="J20" i="7" a="1"/>
  <c r="J20" i="7" s="1"/>
  <c r="J21" i="7" a="1"/>
  <c r="J21" i="7" s="1"/>
  <c r="J22" i="7" a="1"/>
  <c r="J22" i="7" s="1"/>
  <c r="J23" i="7" a="1"/>
  <c r="J23" i="7" s="1"/>
  <c r="J24" i="7" a="1"/>
  <c r="J24" i="7" s="1"/>
  <c r="J25" i="7" a="1"/>
  <c r="J25" i="7" s="1"/>
  <c r="J26" i="7" a="1"/>
  <c r="J26" i="7" s="1"/>
  <c r="J27" i="7" a="1"/>
  <c r="J27" i="7" s="1"/>
  <c r="J28" i="7" a="1"/>
  <c r="J28" i="7" s="1"/>
  <c r="J29" i="7" a="1"/>
  <c r="J29" i="7" s="1"/>
  <c r="J30" i="7" a="1"/>
  <c r="J30" i="7" s="1"/>
  <c r="J31" i="7" a="1"/>
  <c r="J31" i="7" s="1"/>
  <c r="J32" i="7" a="1"/>
  <c r="J32" i="7" s="1"/>
  <c r="J33" i="7" a="1"/>
  <c r="J33" i="7" s="1"/>
  <c r="J34" i="7" a="1"/>
  <c r="J34" i="7" s="1"/>
  <c r="J35" i="7" a="1"/>
  <c r="J35" i="7" s="1"/>
  <c r="J36" i="7" a="1"/>
  <c r="J36" i="7" s="1"/>
  <c r="J37" i="7" a="1"/>
  <c r="J37" i="7" s="1"/>
  <c r="J38" i="7" a="1"/>
  <c r="J38" i="7" s="1"/>
  <c r="J39" i="7" a="1"/>
  <c r="J39" i="7" s="1"/>
  <c r="J40" i="7" a="1"/>
  <c r="J40" i="7" s="1"/>
  <c r="J41" i="7" a="1"/>
  <c r="J41"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J56" i="7" a="1"/>
  <c r="J56" i="7" s="1"/>
  <c r="J57" i="7" a="1"/>
  <c r="J57" i="7" s="1"/>
  <c r="J58" i="7" a="1"/>
  <c r="J58" i="7" s="1"/>
  <c r="J59" i="7" a="1"/>
  <c r="J59" i="7" s="1"/>
  <c r="J60" i="7" a="1"/>
  <c r="J60" i="7" s="1"/>
  <c r="J61" i="7" a="1"/>
  <c r="J61" i="7" s="1"/>
  <c r="J62" i="7" a="1"/>
  <c r="J62" i="7" s="1"/>
  <c r="J63" i="7" a="1"/>
  <c r="J63" i="7" s="1"/>
  <c r="J64" i="7" a="1"/>
  <c r="J64" i="7" s="1"/>
  <c r="J65" i="7" a="1"/>
  <c r="J65" i="7" s="1"/>
  <c r="J66" i="7" a="1"/>
  <c r="J66" i="7" s="1"/>
  <c r="J67" i="7" a="1"/>
  <c r="J67" i="7" s="1"/>
  <c r="J68" i="7" a="1"/>
  <c r="J68" i="7" s="1"/>
  <c r="J69" i="7" a="1"/>
  <c r="J69" i="7" s="1"/>
  <c r="J70" i="7" a="1"/>
  <c r="J70" i="7" s="1"/>
  <c r="J71" i="7" a="1"/>
  <c r="J71" i="7" s="1"/>
  <c r="J72" i="7" a="1"/>
  <c r="J72" i="7" s="1"/>
  <c r="J73" i="7" a="1"/>
  <c r="J73" i="7" s="1"/>
  <c r="J74" i="7" a="1"/>
  <c r="J74" i="7" s="1"/>
  <c r="J75" i="7" a="1"/>
  <c r="J75" i="7" s="1"/>
  <c r="J76" i="7" a="1"/>
  <c r="J76" i="7" s="1"/>
  <c r="J77" i="7" a="1"/>
  <c r="J77" i="7" s="1"/>
  <c r="J78" i="7" a="1"/>
  <c r="J78" i="7" s="1"/>
  <c r="J79" i="7" a="1"/>
  <c r="J79" i="7" s="1"/>
  <c r="J80" i="7" a="1"/>
  <c r="J80" i="7" s="1"/>
  <c r="J81" i="7" a="1"/>
  <c r="J81" i="7" s="1"/>
  <c r="J82" i="7" a="1"/>
  <c r="J82" i="7" s="1"/>
  <c r="J83" i="7" a="1"/>
  <c r="J83" i="7" s="1"/>
  <c r="J84" i="7" a="1"/>
  <c r="J84" i="7" s="1"/>
  <c r="J87" i="7" a="1"/>
  <c r="J87" i="7" s="1"/>
  <c r="J88" i="7" a="1"/>
  <c r="J88" i="7" s="1"/>
  <c r="J89" i="7" a="1"/>
  <c r="J89" i="7" s="1"/>
  <c r="J90" i="7" a="1"/>
  <c r="J90" i="7" s="1"/>
  <c r="J91" i="7" a="1"/>
  <c r="J91" i="7" s="1"/>
  <c r="J92" i="7" a="1"/>
  <c r="J92" i="7" s="1"/>
  <c r="J93" i="7" a="1"/>
  <c r="J93" i="7" s="1"/>
  <c r="J94" i="7" a="1"/>
  <c r="J94" i="7" s="1"/>
  <c r="J95" i="7" a="1"/>
  <c r="J95" i="7" s="1"/>
  <c r="J96" i="7" a="1"/>
  <c r="J96" i="7" s="1"/>
  <c r="J97" i="7" a="1"/>
  <c r="J97" i="7" s="1"/>
  <c r="J98" i="7" a="1"/>
  <c r="J98" i="7" s="1"/>
  <c r="J99" i="7" a="1"/>
  <c r="J99" i="7" s="1"/>
  <c r="J100" i="7" a="1"/>
  <c r="J100" i="7" s="1"/>
  <c r="J101" i="7" a="1"/>
  <c r="J101" i="7" s="1"/>
  <c r="J102" i="7" a="1"/>
  <c r="J102" i="7" s="1"/>
  <c r="J103" i="7" a="1"/>
  <c r="J103" i="7" s="1"/>
  <c r="J104" i="7" a="1"/>
  <c r="J104" i="7" s="1"/>
  <c r="J105" i="7" a="1"/>
  <c r="J105" i="7" s="1"/>
  <c r="J106" i="7" a="1"/>
  <c r="J106" i="7" s="1"/>
  <c r="J107" i="7" a="1"/>
  <c r="J107" i="7" s="1"/>
  <c r="J108" i="7" a="1"/>
  <c r="J108" i="7" s="1"/>
  <c r="J109" i="7" a="1"/>
  <c r="J109" i="7" s="1"/>
  <c r="J110" i="7" a="1"/>
  <c r="J110" i="7" s="1"/>
  <c r="J111" i="7" a="1"/>
  <c r="J111" i="7" s="1"/>
  <c r="J112" i="7" a="1"/>
  <c r="J112" i="7" s="1"/>
  <c r="J113" i="7" a="1"/>
  <c r="J113" i="7" s="1"/>
  <c r="J114" i="7" a="1"/>
  <c r="J114" i="7" s="1"/>
  <c r="J115" i="7" a="1"/>
  <c r="J115" i="7" s="1"/>
  <c r="J116" i="7" a="1"/>
  <c r="J116" i="7" s="1"/>
  <c r="J117" i="7" a="1"/>
  <c r="J117" i="7" s="1"/>
  <c r="J118" i="7" a="1"/>
  <c r="J118" i="7" s="1"/>
  <c r="J119" i="7" a="1"/>
  <c r="J119" i="7" s="1"/>
  <c r="J120" i="7" a="1"/>
  <c r="J120" i="7" s="1"/>
  <c r="J121" i="7" a="1"/>
  <c r="J121" i="7" s="1"/>
  <c r="J122" i="7" a="1"/>
  <c r="J122" i="7" s="1"/>
  <c r="J123" i="7" a="1"/>
  <c r="J123" i="7" s="1"/>
  <c r="J126" i="7" a="1"/>
  <c r="J126" i="7" s="1"/>
  <c r="J127" i="7" a="1"/>
  <c r="J127" i="7" s="1"/>
  <c r="J3" i="7" a="1"/>
  <c r="J3" i="7" s="1"/>
  <c r="J4" i="7" a="1"/>
  <c r="J4" i="7" s="1"/>
  <c r="J5" i="7" a="1"/>
  <c r="J5" i="7" s="1"/>
  <c r="J6" i="7" a="1"/>
  <c r="J6" i="7" s="1"/>
  <c r="J7" i="7" a="1"/>
  <c r="J7" i="7" s="1"/>
  <c r="J8" i="7" a="1"/>
  <c r="J8" i="7" s="1"/>
  <c r="J9" i="7" a="1"/>
  <c r="J9" i="7" s="1"/>
  <c r="J10" i="7" a="1"/>
  <c r="J10" i="7" s="1"/>
  <c r="J11" i="7" a="1"/>
  <c r="J11" i="7" s="1"/>
  <c r="J12" i="7" a="1"/>
  <c r="J12" i="7" s="1"/>
  <c r="J2" i="7" a="1"/>
  <c r="J2" i="7" s="1"/>
  <c r="I3" i="7" a="1"/>
  <c r="I3" i="7" s="1"/>
  <c r="I4" i="7" a="1"/>
  <c r="I4" i="7" s="1"/>
  <c r="I5" i="7" a="1"/>
  <c r="I5" i="7" s="1"/>
  <c r="I6" i="7" a="1"/>
  <c r="I6" i="7" s="1"/>
  <c r="I7" i="7" a="1"/>
  <c r="I7" i="7" s="1"/>
  <c r="I8" i="7" a="1"/>
  <c r="I8" i="7" s="1"/>
  <c r="I9" i="7" a="1"/>
  <c r="I9" i="7" s="1"/>
  <c r="I10" i="7" a="1"/>
  <c r="I10" i="7" s="1"/>
  <c r="I11" i="7" a="1"/>
  <c r="I11" i="7" s="1"/>
  <c r="I12" i="7" a="1"/>
  <c r="I12" i="7" s="1"/>
  <c r="I13" i="7" a="1"/>
  <c r="I13" i="7" s="1"/>
  <c r="I14" i="7" a="1"/>
  <c r="I14" i="7" s="1"/>
  <c r="I15" i="7" a="1"/>
  <c r="I15" i="7" s="1"/>
  <c r="I16" i="7" a="1"/>
  <c r="I16" i="7" s="1"/>
  <c r="I17" i="7" a="1"/>
  <c r="I17" i="7" s="1"/>
  <c r="I18" i="7" a="1"/>
  <c r="I18" i="7" s="1"/>
  <c r="I19" i="7" a="1"/>
  <c r="I19" i="7" s="1"/>
  <c r="I20" i="7" a="1"/>
  <c r="I20" i="7" s="1"/>
  <c r="I21" i="7" a="1"/>
  <c r="I21" i="7" s="1"/>
  <c r="I22" i="7" a="1"/>
  <c r="I22" i="7" s="1"/>
  <c r="I23" i="7" a="1"/>
  <c r="I23" i="7" s="1"/>
  <c r="I24" i="7" a="1"/>
  <c r="I24" i="7" s="1"/>
  <c r="I25" i="7" a="1"/>
  <c r="I25" i="7" s="1"/>
  <c r="I26" i="7" a="1"/>
  <c r="I26" i="7" s="1"/>
  <c r="I27" i="7" a="1"/>
  <c r="I27" i="7" s="1"/>
  <c r="I28" i="7" a="1"/>
  <c r="I28" i="7" s="1"/>
  <c r="I29" i="7" a="1"/>
  <c r="I29" i="7" s="1"/>
  <c r="I30" i="7" a="1"/>
  <c r="I30" i="7" s="1"/>
  <c r="I31" i="7" a="1"/>
  <c r="I31" i="7" s="1"/>
  <c r="I32" i="7" a="1"/>
  <c r="I32" i="7" s="1"/>
  <c r="I33" i="7" a="1"/>
  <c r="I33" i="7" s="1"/>
  <c r="I34" i="7" a="1"/>
  <c r="I34" i="7" s="1"/>
  <c r="I35" i="7" a="1"/>
  <c r="I35" i="7" s="1"/>
  <c r="I36" i="7" a="1"/>
  <c r="I36" i="7" s="1"/>
  <c r="I37" i="7" a="1"/>
  <c r="I37" i="7" s="1"/>
  <c r="I38" i="7" a="1"/>
  <c r="I38" i="7" s="1"/>
  <c r="I39" i="7" a="1"/>
  <c r="I39" i="7" s="1"/>
  <c r="I40" i="7" a="1"/>
  <c r="I40" i="7" s="1"/>
  <c r="I41" i="7" a="1"/>
  <c r="I41" i="7" s="1"/>
  <c r="I42" i="7" a="1"/>
  <c r="I42" i="7" s="1"/>
  <c r="I43" i="7" a="1"/>
  <c r="I43" i="7" s="1"/>
  <c r="I44" i="7" a="1"/>
  <c r="I44" i="7" s="1"/>
  <c r="I45" i="7" a="1"/>
  <c r="I45" i="7" s="1"/>
  <c r="I46" i="7" a="1"/>
  <c r="I46" i="7" s="1"/>
  <c r="I47" i="7" a="1"/>
  <c r="I47" i="7" s="1"/>
  <c r="I48" i="7" a="1"/>
  <c r="I48" i="7" s="1"/>
  <c r="I49" i="7" a="1"/>
  <c r="I49" i="7" s="1"/>
  <c r="I50" i="7" a="1"/>
  <c r="I50" i="7" s="1"/>
  <c r="I51" i="7" a="1"/>
  <c r="I51" i="7" s="1"/>
  <c r="I52" i="7" a="1"/>
  <c r="I52" i="7" s="1"/>
  <c r="I53" i="7" a="1"/>
  <c r="I53" i="7" s="1"/>
  <c r="I54" i="7" a="1"/>
  <c r="I54" i="7" s="1"/>
  <c r="I55" i="7" a="1"/>
  <c r="I55" i="7" s="1"/>
  <c r="I56" i="7" a="1"/>
  <c r="I56" i="7" s="1"/>
  <c r="I57" i="7" a="1"/>
  <c r="I57" i="7" s="1"/>
  <c r="I58" i="7" a="1"/>
  <c r="I58" i="7" s="1"/>
  <c r="I59" i="7" a="1"/>
  <c r="I59" i="7" s="1"/>
  <c r="I60" i="7" a="1"/>
  <c r="I60" i="7" s="1"/>
  <c r="I61" i="7" a="1"/>
  <c r="I61" i="7" s="1"/>
  <c r="I62" i="7" a="1"/>
  <c r="I62" i="7" s="1"/>
  <c r="I63" i="7" a="1"/>
  <c r="I63" i="7" s="1"/>
  <c r="I64" i="7" a="1"/>
  <c r="I64" i="7" s="1"/>
  <c r="I65" i="7" a="1"/>
  <c r="I65" i="7" s="1"/>
  <c r="I66" i="7" a="1"/>
  <c r="I66" i="7" s="1"/>
  <c r="I67" i="7" a="1"/>
  <c r="I67" i="7" s="1"/>
  <c r="I68" i="7" a="1"/>
  <c r="I68" i="7" s="1"/>
  <c r="I69" i="7" a="1"/>
  <c r="I69" i="7" s="1"/>
  <c r="I70" i="7" a="1"/>
  <c r="I70" i="7" s="1"/>
  <c r="I71" i="7" a="1"/>
  <c r="I71" i="7" s="1"/>
  <c r="I72" i="7" a="1"/>
  <c r="I72" i="7" s="1"/>
  <c r="I73" i="7" a="1"/>
  <c r="I73" i="7" s="1"/>
  <c r="I74" i="7" a="1"/>
  <c r="I74" i="7" s="1"/>
  <c r="I75" i="7" a="1"/>
  <c r="I75" i="7" s="1"/>
  <c r="I76" i="7" a="1"/>
  <c r="I76" i="7" s="1"/>
  <c r="I77" i="7" a="1"/>
  <c r="I77" i="7" s="1"/>
  <c r="I78" i="7" a="1"/>
  <c r="I78" i="7" s="1"/>
  <c r="I79" i="7" a="1"/>
  <c r="I79" i="7" s="1"/>
  <c r="I80" i="7" a="1"/>
  <c r="I80" i="7" s="1"/>
  <c r="I81" i="7" a="1"/>
  <c r="I81" i="7" s="1"/>
  <c r="I82" i="7" a="1"/>
  <c r="I82" i="7" s="1"/>
  <c r="I83" i="7" a="1"/>
  <c r="I83" i="7" s="1"/>
  <c r="I84" i="7" a="1"/>
  <c r="I84" i="7" s="1"/>
  <c r="I87" i="7" a="1"/>
  <c r="I87" i="7" s="1"/>
  <c r="I88" i="7" a="1"/>
  <c r="I88" i="7" s="1"/>
  <c r="I89" i="7" a="1"/>
  <c r="I89" i="7" s="1"/>
  <c r="I90" i="7" a="1"/>
  <c r="I90" i="7" s="1"/>
  <c r="I91" i="7" a="1"/>
  <c r="I91" i="7" s="1"/>
  <c r="I92" i="7" a="1"/>
  <c r="I92" i="7" s="1"/>
  <c r="I93" i="7" a="1"/>
  <c r="I93" i="7" s="1"/>
  <c r="I94" i="7" a="1"/>
  <c r="I94" i="7" s="1"/>
  <c r="I95" i="7" a="1"/>
  <c r="I95" i="7" s="1"/>
  <c r="I96" i="7" a="1"/>
  <c r="I96" i="7" s="1"/>
  <c r="I97" i="7" a="1"/>
  <c r="I97" i="7" s="1"/>
  <c r="I98" i="7" a="1"/>
  <c r="I98" i="7" s="1"/>
  <c r="I99" i="7" a="1"/>
  <c r="I99" i="7" s="1"/>
  <c r="I100" i="7" a="1"/>
  <c r="I100" i="7" s="1"/>
  <c r="I101" i="7" a="1"/>
  <c r="I101" i="7" s="1"/>
  <c r="I102" i="7" a="1"/>
  <c r="I102" i="7" s="1"/>
  <c r="I103" i="7" a="1"/>
  <c r="I103" i="7" s="1"/>
  <c r="I104" i="7" a="1"/>
  <c r="I104" i="7" s="1"/>
  <c r="I105" i="7" a="1"/>
  <c r="I105" i="7" s="1"/>
  <c r="I106" i="7" a="1"/>
  <c r="I106" i="7" s="1"/>
  <c r="I107" i="7" a="1"/>
  <c r="I107" i="7" s="1"/>
  <c r="I108" i="7" a="1"/>
  <c r="I108" i="7" s="1"/>
  <c r="I109" i="7" a="1"/>
  <c r="I109" i="7" s="1"/>
  <c r="I110" i="7" a="1"/>
  <c r="I110" i="7" s="1"/>
  <c r="X18" i="7" s="1"/>
  <c r="I111" i="7" a="1"/>
  <c r="I111" i="7" s="1"/>
  <c r="I112" i="7" a="1"/>
  <c r="I112" i="7" s="1"/>
  <c r="I113" i="7" a="1"/>
  <c r="I113" i="7" s="1"/>
  <c r="I114" i="7" a="1"/>
  <c r="I114" i="7" s="1"/>
  <c r="I115" i="7" a="1"/>
  <c r="I115" i="7" s="1"/>
  <c r="I116" i="7" a="1"/>
  <c r="I116" i="7" s="1"/>
  <c r="I117" i="7" a="1"/>
  <c r="I117" i="7" s="1"/>
  <c r="I118" i="7" a="1"/>
  <c r="I118" i="7" s="1"/>
  <c r="I119" i="7" a="1"/>
  <c r="I119" i="7" s="1"/>
  <c r="I120" i="7" a="1"/>
  <c r="I120" i="7" s="1"/>
  <c r="I121" i="7" a="1"/>
  <c r="I121" i="7" s="1"/>
  <c r="I122" i="7" a="1"/>
  <c r="I122" i="7" s="1"/>
  <c r="I123" i="7" a="1"/>
  <c r="I123" i="7" s="1"/>
  <c r="I126" i="7" a="1"/>
  <c r="I126" i="7" s="1"/>
  <c r="I127" i="7" a="1"/>
  <c r="I127" i="7" s="1"/>
  <c r="I175" i="7" a="1"/>
  <c r="I175" i="7" s="1"/>
  <c r="I176" i="7" a="1"/>
  <c r="I176" i="7" s="1"/>
  <c r="I177" i="7" a="1"/>
  <c r="I177" i="7" s="1"/>
  <c r="I178" i="7" a="1"/>
  <c r="I178" i="7" s="1"/>
  <c r="I179" i="7" a="1"/>
  <c r="I179" i="7" s="1"/>
  <c r="I180" i="7" a="1"/>
  <c r="I180" i="7" s="1"/>
  <c r="I181" i="7" a="1"/>
  <c r="I181" i="7" s="1"/>
  <c r="I182" i="7" a="1"/>
  <c r="I182" i="7" s="1"/>
  <c r="I183" i="7" a="1"/>
  <c r="I183" i="7" s="1"/>
  <c r="I184" i="7" a="1"/>
  <c r="I184" i="7" s="1"/>
  <c r="I185" i="7" a="1"/>
  <c r="I185" i="7" s="1"/>
  <c r="I186" i="7" a="1"/>
  <c r="I186" i="7" s="1"/>
  <c r="I187" i="7" a="1"/>
  <c r="I187" i="7" s="1"/>
  <c r="I188" i="7" a="1"/>
  <c r="I188" i="7" s="1"/>
  <c r="I189" i="7" a="1"/>
  <c r="I189" i="7" s="1"/>
  <c r="I190" i="7" a="1"/>
  <c r="I190" i="7" s="1"/>
  <c r="I191" i="7" a="1"/>
  <c r="I191" i="7" s="1"/>
  <c r="I192" i="7" a="1"/>
  <c r="I192" i="7" s="1"/>
  <c r="I193" i="7" a="1"/>
  <c r="I193" i="7" s="1"/>
  <c r="I195" i="7" a="1"/>
  <c r="I195" i="7" s="1"/>
  <c r="I196" i="7" a="1"/>
  <c r="I196" i="7" s="1"/>
  <c r="I197" i="7" a="1"/>
  <c r="I197" i="7" s="1"/>
  <c r="I198" i="7" a="1"/>
  <c r="I198" i="7" s="1"/>
  <c r="I199" i="7" a="1"/>
  <c r="I199" i="7" s="1"/>
  <c r="I200" i="7" a="1"/>
  <c r="I200" i="7" s="1"/>
  <c r="I201" i="7" a="1"/>
  <c r="I201" i="7" s="1"/>
  <c r="I202" i="7" a="1"/>
  <c r="I202" i="7" s="1"/>
  <c r="I203" i="7" a="1"/>
  <c r="I203" i="7" s="1"/>
  <c r="I204" i="7" a="1"/>
  <c r="I204" i="7" s="1"/>
  <c r="I205" i="7" a="1"/>
  <c r="I205" i="7" s="1"/>
  <c r="I206" i="7" a="1"/>
  <c r="I206" i="7" s="1"/>
  <c r="I207" i="7" a="1"/>
  <c r="I207" i="7" s="1"/>
  <c r="I208" i="7" a="1"/>
  <c r="I208" i="7" s="1"/>
  <c r="I232" i="8" a="1"/>
  <c r="I232" i="8" s="1"/>
  <c r="J232" i="8" a="1"/>
  <c r="J232" i="8" s="1"/>
  <c r="K232" i="8" a="1"/>
  <c r="K232" i="8" s="1"/>
  <c r="I15" i="13" a="1"/>
  <c r="I15" i="13" s="1"/>
  <c r="I14" i="13" a="1"/>
  <c r="I14" i="13" s="1"/>
  <c r="I13" i="13" a="1"/>
  <c r="I13" i="13" s="1"/>
  <c r="I12" i="13" a="1"/>
  <c r="I12" i="13" s="1"/>
  <c r="I231" i="8" a="1"/>
  <c r="I231" i="8" s="1"/>
  <c r="J231" i="8" a="1"/>
  <c r="J231" i="8" s="1"/>
  <c r="K231" i="8" a="1"/>
  <c r="K231" i="8" s="1"/>
  <c r="L368" i="8"/>
  <c r="I230" i="8" a="1"/>
  <c r="I230" i="8" s="1"/>
  <c r="J230" i="8" a="1"/>
  <c r="J230" i="8" s="1"/>
  <c r="K230" i="8" a="1"/>
  <c r="K230" i="8" s="1"/>
  <c r="L68" i="10" a="1"/>
  <c r="L68" i="10" s="1"/>
  <c r="L69" i="10" a="1"/>
  <c r="L69" i="10" s="1"/>
  <c r="L77" i="10" a="1"/>
  <c r="L77" i="10" s="1"/>
  <c r="L78" i="10" a="1"/>
  <c r="L78" i="10" s="1"/>
  <c r="L80" i="10" a="1"/>
  <c r="L80" i="10" s="1"/>
  <c r="L81" i="10" a="1"/>
  <c r="L81" i="10" s="1"/>
  <c r="K68" i="10" a="1"/>
  <c r="K68" i="10" s="1"/>
  <c r="K69" i="10" a="1"/>
  <c r="K69" i="10" s="1"/>
  <c r="K77" i="10" a="1"/>
  <c r="K77" i="10" s="1"/>
  <c r="K78" i="10" a="1"/>
  <c r="K78" i="10" s="1"/>
  <c r="K80" i="10" a="1"/>
  <c r="K80" i="10" s="1"/>
  <c r="K81" i="10" a="1"/>
  <c r="K81" i="10" s="1"/>
  <c r="K83" i="10" a="1"/>
  <c r="K83" i="10" s="1"/>
  <c r="K84" i="10" a="1"/>
  <c r="K84" i="10" s="1"/>
  <c r="K85" i="10" a="1"/>
  <c r="K85" i="10" s="1"/>
  <c r="K86" i="10" a="1"/>
  <c r="K86" i="10" s="1"/>
  <c r="J68" i="10" a="1"/>
  <c r="J68" i="10" s="1"/>
  <c r="J69" i="10" a="1"/>
  <c r="J69" i="10" s="1"/>
  <c r="J77" i="10" a="1"/>
  <c r="J77" i="10" s="1"/>
  <c r="U18" i="10" s="1"/>
  <c r="J78" i="10" a="1"/>
  <c r="J78" i="10" s="1"/>
  <c r="J80" i="10" a="1"/>
  <c r="J80" i="10" s="1"/>
  <c r="J81" i="10" a="1"/>
  <c r="J81" i="10" s="1"/>
  <c r="J83" i="10" a="1"/>
  <c r="J83" i="10" s="1"/>
  <c r="J84" i="10" a="1"/>
  <c r="J84" i="10" s="1"/>
  <c r="J85" i="10" a="1"/>
  <c r="J85" i="10" s="1"/>
  <c r="J86" i="10" a="1"/>
  <c r="J86" i="10" s="1"/>
  <c r="J87" i="10" a="1"/>
  <c r="J87" i="10" s="1"/>
  <c r="J88" i="10" a="1"/>
  <c r="J88" i="10" s="1"/>
  <c r="J89" i="10" a="1"/>
  <c r="J89" i="10" s="1"/>
  <c r="J105" i="10" a="1"/>
  <c r="J105" i="10" s="1"/>
  <c r="J106" i="10" a="1"/>
  <c r="J106" i="10" s="1"/>
  <c r="J107" i="10" a="1"/>
  <c r="J107" i="10" s="1"/>
  <c r="J108" i="10" a="1"/>
  <c r="J108" i="10" s="1"/>
  <c r="J109" i="10" a="1"/>
  <c r="J109" i="10" s="1"/>
  <c r="J110" i="10" a="1"/>
  <c r="J110" i="10" s="1"/>
  <c r="J111" i="10" a="1"/>
  <c r="J111" i="10" s="1"/>
  <c r="J112" i="10" a="1"/>
  <c r="J112" i="10" s="1"/>
  <c r="J113" i="10" a="1"/>
  <c r="J113" i="10" s="1"/>
  <c r="J114" i="10" a="1"/>
  <c r="J114" i="10" s="1"/>
  <c r="J115" i="10" a="1"/>
  <c r="J115" i="10" s="1"/>
  <c r="J116" i="10" a="1"/>
  <c r="J116" i="10" s="1"/>
  <c r="J117" i="10" a="1"/>
  <c r="J117" i="10" s="1"/>
  <c r="J118" i="10" a="1"/>
  <c r="J118" i="10" s="1"/>
  <c r="J119" i="10" a="1"/>
  <c r="J119" i="10" s="1"/>
  <c r="J120" i="10" a="1"/>
  <c r="J120" i="10" s="1"/>
  <c r="J121" i="10" a="1"/>
  <c r="J121" i="10" s="1"/>
  <c r="J122" i="10" a="1"/>
  <c r="J122" i="10" s="1"/>
  <c r="J123" i="10" a="1"/>
  <c r="J123" i="10" s="1"/>
  <c r="J124" i="10" a="1"/>
  <c r="J124" i="10" s="1"/>
  <c r="J125" i="10" a="1"/>
  <c r="J125" i="10" s="1"/>
  <c r="J126" i="10" a="1"/>
  <c r="J126" i="10" s="1"/>
  <c r="J127" i="10" a="1"/>
  <c r="J127" i="10" s="1"/>
  <c r="J128" i="10" a="1"/>
  <c r="J128" i="10" s="1"/>
  <c r="J129" i="10" a="1"/>
  <c r="J129" i="10" s="1"/>
  <c r="J130" i="10" a="1"/>
  <c r="J130" i="10" s="1"/>
  <c r="J131" i="10" a="1"/>
  <c r="J131" i="10" s="1"/>
  <c r="J132" i="10" a="1"/>
  <c r="J132" i="10" s="1"/>
  <c r="J133" i="10" a="1"/>
  <c r="J133" i="10" s="1"/>
  <c r="J134" i="10" a="1"/>
  <c r="J134" i="10" s="1"/>
  <c r="J135" i="10" a="1"/>
  <c r="J135" i="10" s="1"/>
  <c r="J136" i="10" a="1"/>
  <c r="J136" i="10" s="1"/>
  <c r="J137" i="10" a="1"/>
  <c r="J137" i="10" s="1"/>
  <c r="J138" i="10" a="1"/>
  <c r="J138" i="10" s="1"/>
  <c r="J139" i="10" a="1"/>
  <c r="J139" i="10" s="1"/>
  <c r="J140" i="10" a="1"/>
  <c r="J140" i="10" s="1"/>
  <c r="J141" i="10" a="1"/>
  <c r="J141" i="10" s="1"/>
  <c r="J142" i="10" a="1"/>
  <c r="J142" i="10" s="1"/>
  <c r="J143" i="10" a="1"/>
  <c r="J143" i="10" s="1"/>
  <c r="J144" i="10" a="1"/>
  <c r="J144" i="10" s="1"/>
  <c r="J145" i="10" a="1"/>
  <c r="J145" i="10" s="1"/>
  <c r="J146" i="10" a="1"/>
  <c r="J146" i="10" s="1"/>
  <c r="J147" i="10" a="1"/>
  <c r="J147" i="10" s="1"/>
  <c r="J148" i="10" a="1"/>
  <c r="J148" i="10" s="1"/>
  <c r="J149" i="10" a="1"/>
  <c r="J149" i="10" s="1"/>
  <c r="J150" i="10" a="1"/>
  <c r="J150" i="10" s="1"/>
  <c r="J151" i="10" a="1"/>
  <c r="J151" i="10" s="1"/>
  <c r="J152" i="10" a="1"/>
  <c r="J152" i="10" s="1"/>
  <c r="J153" i="10" a="1"/>
  <c r="J153" i="10" s="1"/>
  <c r="J154" i="10" a="1"/>
  <c r="J154" i="10" s="1"/>
  <c r="J155" i="10" a="1"/>
  <c r="J155" i="10" s="1"/>
  <c r="J156" i="10" a="1"/>
  <c r="J156" i="10" s="1"/>
  <c r="J157" i="10" a="1"/>
  <c r="J157" i="10" s="1"/>
  <c r="J158" i="10" a="1"/>
  <c r="J158" i="10" s="1"/>
  <c r="K3" i="9" a="1"/>
  <c r="K3" i="9" s="1"/>
  <c r="W2" i="9" s="1"/>
  <c r="K4" i="9" a="1"/>
  <c r="K4" i="9" s="1"/>
  <c r="W5" i="9" s="1"/>
  <c r="K5" i="9" a="1"/>
  <c r="K5" i="9" s="1"/>
  <c r="W4" i="9" s="1"/>
  <c r="K6" i="9" a="1"/>
  <c r="K6" i="9" s="1"/>
  <c r="K7" i="9" a="1"/>
  <c r="K7" i="9" s="1"/>
  <c r="K8" i="9" a="1"/>
  <c r="K8" i="9" s="1"/>
  <c r="K9" i="9" a="1"/>
  <c r="K9" i="9" s="1"/>
  <c r="K10" i="9" a="1"/>
  <c r="K10" i="9" s="1"/>
  <c r="K11" i="9" a="1"/>
  <c r="K11" i="9" s="1"/>
  <c r="K12" i="9" a="1"/>
  <c r="K12" i="9" s="1"/>
  <c r="K13" i="9" a="1"/>
  <c r="K13" i="9" s="1"/>
  <c r="K14" i="9" a="1"/>
  <c r="K14" i="9" s="1"/>
  <c r="K15" i="9" a="1"/>
  <c r="K15" i="9" s="1"/>
  <c r="K16" i="9" a="1"/>
  <c r="K16" i="9" s="1"/>
  <c r="K17" i="9" a="1"/>
  <c r="K17" i="9" s="1"/>
  <c r="K18" i="9" a="1"/>
  <c r="K18" i="9" s="1"/>
  <c r="K19" i="9" a="1"/>
  <c r="K19" i="9" s="1"/>
  <c r="K20" i="9" a="1"/>
  <c r="K20" i="9" s="1"/>
  <c r="K21" i="9" a="1"/>
  <c r="K21" i="9"/>
  <c r="K22" i="9" a="1"/>
  <c r="K22" i="9" s="1"/>
  <c r="K23" i="9" a="1"/>
  <c r="K23" i="9" s="1"/>
  <c r="K24" i="9" a="1"/>
  <c r="K24" i="9" s="1"/>
  <c r="K25" i="9" a="1"/>
  <c r="K25" i="9" s="1"/>
  <c r="K26" i="9" a="1"/>
  <c r="K26" i="9"/>
  <c r="K27" i="9" a="1"/>
  <c r="K27" i="9" s="1"/>
  <c r="K28" i="9" a="1"/>
  <c r="K28" i="9" s="1"/>
  <c r="K29" i="9" a="1"/>
  <c r="K29" i="9" s="1"/>
  <c r="K30" i="9" a="1"/>
  <c r="K30" i="9" s="1"/>
  <c r="K31" i="9" a="1"/>
  <c r="K31" i="9"/>
  <c r="K32" i="9" a="1"/>
  <c r="K32" i="9"/>
  <c r="K33" i="9" a="1"/>
  <c r="K33" i="9" s="1"/>
  <c r="K34" i="9" a="1"/>
  <c r="K34" i="9" s="1"/>
  <c r="K35" i="9" a="1"/>
  <c r="K35" i="9" s="1"/>
  <c r="K36" i="9" a="1"/>
  <c r="K36" i="9" s="1"/>
  <c r="K37" i="9" a="1"/>
  <c r="K37" i="9" s="1"/>
  <c r="K38" i="9" a="1"/>
  <c r="K38" i="9" s="1"/>
  <c r="K39" i="9" a="1"/>
  <c r="K39" i="9" s="1"/>
  <c r="K40" i="9" a="1"/>
  <c r="K40" i="9" s="1"/>
  <c r="K41" i="9" a="1"/>
  <c r="K41" i="9"/>
  <c r="K42" i="9" a="1"/>
  <c r="K42" i="9"/>
  <c r="K2" i="9" a="1"/>
  <c r="K2" i="9" s="1"/>
  <c r="J3" i="9" a="1"/>
  <c r="J3" i="9" s="1"/>
  <c r="V2" i="9" s="1"/>
  <c r="J4" i="9" a="1"/>
  <c r="J4" i="9" s="1"/>
  <c r="V5" i="9" s="1"/>
  <c r="J5" i="9" a="1"/>
  <c r="J5" i="9" s="1"/>
  <c r="V4" i="9" s="1"/>
  <c r="J6" i="9" a="1"/>
  <c r="J6" i="9" s="1"/>
  <c r="J7" i="9" a="1"/>
  <c r="J7" i="9" s="1"/>
  <c r="J8" i="9" a="1"/>
  <c r="J8" i="9" s="1"/>
  <c r="J9" i="9" a="1"/>
  <c r="J9" i="9" s="1"/>
  <c r="J10" i="9" a="1"/>
  <c r="J10" i="9" s="1"/>
  <c r="J11" i="9" a="1"/>
  <c r="J11" i="9" s="1"/>
  <c r="J12" i="9" a="1"/>
  <c r="J12" i="9" s="1"/>
  <c r="J13" i="9" a="1"/>
  <c r="J13" i="9" s="1"/>
  <c r="J14" i="9" a="1"/>
  <c r="J14" i="9" s="1"/>
  <c r="J15" i="9" a="1"/>
  <c r="J15" i="9" s="1"/>
  <c r="J16" i="9" a="1"/>
  <c r="J16" i="9" s="1"/>
  <c r="J17" i="9" a="1"/>
  <c r="J17" i="9"/>
  <c r="J18" i="9" a="1"/>
  <c r="J18" i="9" s="1"/>
  <c r="J19" i="9" a="1"/>
  <c r="J19" i="9" s="1"/>
  <c r="J20" i="9" a="1"/>
  <c r="J20" i="9" s="1"/>
  <c r="J21" i="9" a="1"/>
  <c r="J21" i="9" s="1"/>
  <c r="J2" i="9" a="1"/>
  <c r="J2" i="9" s="1"/>
  <c r="I11" i="9" a="1"/>
  <c r="I11" i="9" s="1"/>
  <c r="I12" i="9" a="1"/>
  <c r="I12" i="9" s="1"/>
  <c r="I13" i="9" a="1"/>
  <c r="I13" i="9" s="1"/>
  <c r="I14" i="9" a="1"/>
  <c r="I14" i="9" s="1"/>
  <c r="I15" i="9" a="1"/>
  <c r="I15" i="9" s="1"/>
  <c r="I16" i="9" a="1"/>
  <c r="I16" i="9" s="1"/>
  <c r="I17" i="9" a="1"/>
  <c r="I17" i="9" s="1"/>
  <c r="I18" i="9" a="1"/>
  <c r="I18" i="9" s="1"/>
  <c r="I19" i="9" a="1"/>
  <c r="I19" i="9" s="1"/>
  <c r="I20" i="9" a="1"/>
  <c r="I20" i="9" s="1"/>
  <c r="I21" i="9" a="1"/>
  <c r="I21" i="9" s="1"/>
  <c r="I22" i="9" a="1"/>
  <c r="I22" i="9" s="1"/>
  <c r="I23" i="9" a="1"/>
  <c r="I23" i="9" s="1"/>
  <c r="I24" i="9" a="1"/>
  <c r="I24" i="9" s="1"/>
  <c r="I25" i="9" a="1"/>
  <c r="I25" i="9" s="1"/>
  <c r="I26" i="9" a="1"/>
  <c r="I26" i="9" s="1"/>
  <c r="I27" i="9" a="1"/>
  <c r="I27" i="9" s="1"/>
  <c r="I28" i="9" a="1"/>
  <c r="I28" i="9" s="1"/>
  <c r="I29" i="9" a="1"/>
  <c r="I29" i="9" s="1"/>
  <c r="I30" i="9" a="1"/>
  <c r="I30" i="9" s="1"/>
  <c r="I31" i="9" a="1"/>
  <c r="I31" i="9" s="1"/>
  <c r="I32" i="9" a="1"/>
  <c r="I32" i="9" s="1"/>
  <c r="I33" i="9" a="1"/>
  <c r="I33" i="9" s="1"/>
  <c r="I34" i="9" a="1"/>
  <c r="I34" i="9" s="1"/>
  <c r="I35" i="9" a="1"/>
  <c r="I35" i="9" s="1"/>
  <c r="I36" i="9" a="1"/>
  <c r="I36" i="9" s="1"/>
  <c r="I37" i="9" a="1"/>
  <c r="I37" i="9" s="1"/>
  <c r="I38" i="9" a="1"/>
  <c r="I38" i="9" s="1"/>
  <c r="I39" i="9" a="1"/>
  <c r="I39" i="9" s="1"/>
  <c r="I40" i="9" a="1"/>
  <c r="I40" i="9" s="1"/>
  <c r="I41" i="9" a="1"/>
  <c r="I41" i="9" s="1"/>
  <c r="I42" i="9" a="1"/>
  <c r="I42" i="9" s="1"/>
  <c r="I43" i="9" a="1"/>
  <c r="I43" i="9" s="1"/>
  <c r="I44" i="9" a="1"/>
  <c r="I44" i="9" s="1"/>
  <c r="I45" i="9" a="1"/>
  <c r="I45" i="9" s="1"/>
  <c r="I46" i="9" a="1"/>
  <c r="I46" i="9" s="1"/>
  <c r="I47" i="9" a="1"/>
  <c r="I47" i="9" s="1"/>
  <c r="I48" i="9" a="1"/>
  <c r="I48" i="9" s="1"/>
  <c r="I49" i="9" a="1"/>
  <c r="I49" i="9" s="1"/>
  <c r="I50" i="9" a="1"/>
  <c r="I50" i="9" s="1"/>
  <c r="I51" i="9" a="1"/>
  <c r="I51" i="9" s="1"/>
  <c r="I52" i="9" a="1"/>
  <c r="I52" i="9" s="1"/>
  <c r="I53" i="9" a="1"/>
  <c r="I53" i="9" s="1"/>
  <c r="I3" i="9" a="1"/>
  <c r="I3" i="9" s="1"/>
  <c r="T19" i="9" s="1"/>
  <c r="I4" i="9" a="1"/>
  <c r="I4" i="9" s="1"/>
  <c r="U5" i="9" s="1"/>
  <c r="I5" i="9" a="1"/>
  <c r="I5" i="9" s="1"/>
  <c r="U4" i="9" s="1"/>
  <c r="I6" i="9" a="1"/>
  <c r="I6" i="9" s="1"/>
  <c r="T20" i="9" s="1"/>
  <c r="I7" i="9" a="1"/>
  <c r="I7" i="9" s="1"/>
  <c r="I8" i="9" a="1"/>
  <c r="I8" i="9" s="1"/>
  <c r="I9" i="9" a="1"/>
  <c r="I9" i="9" s="1"/>
  <c r="I10" i="9" a="1"/>
  <c r="I10" i="9" s="1"/>
  <c r="I2" i="9" a="1"/>
  <c r="I2" i="9" s="1"/>
  <c r="K3" i="13" a="1"/>
  <c r="K3" i="13" s="1"/>
  <c r="K4" i="13" a="1"/>
  <c r="K4" i="13" s="1"/>
  <c r="K5" i="13" a="1"/>
  <c r="K5" i="13" s="1"/>
  <c r="K6" i="13" a="1"/>
  <c r="K6" i="13" s="1"/>
  <c r="K7" i="13" a="1"/>
  <c r="K7" i="13" s="1"/>
  <c r="K8" i="13" a="1"/>
  <c r="K8" i="13" s="1"/>
  <c r="K9" i="13" a="1"/>
  <c r="K9" i="13" s="1"/>
  <c r="K10" i="13" a="1"/>
  <c r="K10" i="13" s="1"/>
  <c r="K11" i="13" a="1"/>
  <c r="K11" i="13" s="1"/>
  <c r="K12" i="13" a="1"/>
  <c r="K12" i="13" s="1"/>
  <c r="K13" i="13" a="1"/>
  <c r="K13" i="13" s="1"/>
  <c r="K14" i="13" a="1"/>
  <c r="K14" i="13" s="1"/>
  <c r="K15" i="13" a="1"/>
  <c r="K15" i="13" s="1"/>
  <c r="K16" i="13" a="1"/>
  <c r="K16" i="13" s="1"/>
  <c r="K17" i="13" a="1"/>
  <c r="K17" i="13"/>
  <c r="K18" i="13" a="1"/>
  <c r="K18" i="13" s="1"/>
  <c r="K19" i="13" a="1"/>
  <c r="K19" i="13" s="1"/>
  <c r="K20" i="13" a="1"/>
  <c r="K20" i="13" s="1"/>
  <c r="K21" i="13" a="1"/>
  <c r="K21" i="13" s="1"/>
  <c r="K22" i="13" a="1"/>
  <c r="K22" i="13" s="1"/>
  <c r="K23" i="13" a="1"/>
  <c r="K23" i="13" s="1"/>
  <c r="K24" i="13" a="1"/>
  <c r="K24" i="13" s="1"/>
  <c r="K25" i="13" a="1"/>
  <c r="K25" i="13" s="1"/>
  <c r="K26" i="13" a="1"/>
  <c r="K26" i="13" s="1"/>
  <c r="K27" i="13" a="1"/>
  <c r="K27" i="13" s="1"/>
  <c r="K28" i="13" a="1"/>
  <c r="K28" i="13" s="1"/>
  <c r="K29" i="13" a="1"/>
  <c r="K29" i="13" s="1"/>
  <c r="K30" i="13" a="1"/>
  <c r="K30" i="13" s="1"/>
  <c r="K31" i="13" a="1"/>
  <c r="K31" i="13" s="1"/>
  <c r="K32" i="13" a="1"/>
  <c r="K32" i="13" s="1"/>
  <c r="K33" i="13" a="1"/>
  <c r="K33" i="13" s="1"/>
  <c r="K34" i="13" a="1"/>
  <c r="K34" i="13" s="1"/>
  <c r="K35" i="13" a="1"/>
  <c r="K35" i="13" s="1"/>
  <c r="K36" i="13" a="1"/>
  <c r="K36" i="13" s="1"/>
  <c r="K37" i="13" a="1"/>
  <c r="K37" i="13" s="1"/>
  <c r="K38" i="13" a="1"/>
  <c r="K38" i="13" s="1"/>
  <c r="K39" i="13" a="1"/>
  <c r="K39" i="13" s="1"/>
  <c r="K40" i="13" a="1"/>
  <c r="K40" i="13" s="1"/>
  <c r="K41" i="13" a="1"/>
  <c r="K41" i="13" s="1"/>
  <c r="K42" i="13" a="1"/>
  <c r="K42" i="13" s="1"/>
  <c r="K43" i="13" a="1"/>
  <c r="K43" i="13" s="1"/>
  <c r="K44" i="13" a="1"/>
  <c r="K44" i="13" s="1"/>
  <c r="K45" i="13" a="1"/>
  <c r="K45" i="13" s="1"/>
  <c r="K46" i="13" a="1"/>
  <c r="K46" i="13" s="1"/>
  <c r="K47" i="13" a="1"/>
  <c r="K47" i="13" s="1"/>
  <c r="K48" i="13" a="1"/>
  <c r="K48" i="13" s="1"/>
  <c r="K49" i="13" a="1"/>
  <c r="K49" i="13" s="1"/>
  <c r="K50" i="13" a="1"/>
  <c r="K50" i="13" s="1"/>
  <c r="K51" i="13" a="1"/>
  <c r="K51" i="13" s="1"/>
  <c r="K52" i="13" a="1"/>
  <c r="K52" i="13" s="1"/>
  <c r="K53" i="13" a="1"/>
  <c r="K53" i="13" s="1"/>
  <c r="K54" i="13" a="1"/>
  <c r="K54" i="13" s="1"/>
  <c r="K55" i="13" a="1"/>
  <c r="K55" i="13" s="1"/>
  <c r="K56" i="13" a="1"/>
  <c r="K56" i="13" s="1"/>
  <c r="K57" i="13" a="1"/>
  <c r="K57" i="13" s="1"/>
  <c r="K58" i="13" a="1"/>
  <c r="K58" i="13" s="1"/>
  <c r="K59" i="13" a="1"/>
  <c r="K59" i="13" s="1"/>
  <c r="K60" i="13" a="1"/>
  <c r="K60" i="13" s="1"/>
  <c r="K61" i="13" a="1"/>
  <c r="K61" i="13" s="1"/>
  <c r="K62" i="13" a="1"/>
  <c r="K62" i="13" s="1"/>
  <c r="K63" i="13" a="1"/>
  <c r="K63" i="13" s="1"/>
  <c r="K64" i="13" a="1"/>
  <c r="K64" i="13" s="1"/>
  <c r="K65" i="13" a="1"/>
  <c r="K65" i="13" s="1"/>
  <c r="K66" i="13" a="1"/>
  <c r="K66" i="13" s="1"/>
  <c r="K67" i="13" a="1"/>
  <c r="K67" i="13" s="1"/>
  <c r="K68" i="13" a="1"/>
  <c r="K68" i="13" s="1"/>
  <c r="K69" i="13" a="1"/>
  <c r="K69" i="13" s="1"/>
  <c r="K70" i="13" a="1"/>
  <c r="K70" i="13" s="1"/>
  <c r="K71" i="13" a="1"/>
  <c r="K71" i="13" s="1"/>
  <c r="K72" i="13" a="1"/>
  <c r="K72" i="13" s="1"/>
  <c r="K73" i="13" a="1"/>
  <c r="K73" i="13" s="1"/>
  <c r="K74" i="13" a="1"/>
  <c r="K74" i="13" s="1"/>
  <c r="K75" i="13" a="1"/>
  <c r="K75" i="13" s="1"/>
  <c r="K76" i="13" a="1"/>
  <c r="K76" i="13" s="1"/>
  <c r="K77" i="13" a="1"/>
  <c r="K77" i="13" s="1"/>
  <c r="K78" i="13" a="1"/>
  <c r="K78" i="13" s="1"/>
  <c r="K79" i="13" a="1"/>
  <c r="K79" i="13" s="1"/>
  <c r="K80" i="13" a="1"/>
  <c r="K80" i="13" s="1"/>
  <c r="K81" i="13" a="1"/>
  <c r="K81" i="13" s="1"/>
  <c r="K82" i="13" a="1"/>
  <c r="K82" i="13" s="1"/>
  <c r="K83" i="13" a="1"/>
  <c r="K83" i="13" s="1"/>
  <c r="K84" i="13" a="1"/>
  <c r="K84" i="13" s="1"/>
  <c r="K85" i="13" a="1"/>
  <c r="K85" i="13" s="1"/>
  <c r="K86" i="13" a="1"/>
  <c r="K86" i="13" s="1"/>
  <c r="K87" i="13" a="1"/>
  <c r="K87" i="13" s="1"/>
  <c r="K88" i="13" a="1"/>
  <c r="K88" i="13" s="1"/>
  <c r="K89" i="13" a="1"/>
  <c r="K89" i="13" s="1"/>
  <c r="K90" i="13" a="1"/>
  <c r="K90" i="13" s="1"/>
  <c r="K91" i="13" a="1"/>
  <c r="K91" i="13" s="1"/>
  <c r="K92" i="13" a="1"/>
  <c r="K92" i="13" s="1"/>
  <c r="K93" i="13" a="1"/>
  <c r="K93" i="13" s="1"/>
  <c r="K94" i="13" a="1"/>
  <c r="K94" i="13" s="1"/>
  <c r="K95" i="13" a="1"/>
  <c r="K95" i="13" s="1"/>
  <c r="K96" i="13" a="1"/>
  <c r="K96" i="13" s="1"/>
  <c r="K97" i="13" a="1"/>
  <c r="K97" i="13" s="1"/>
  <c r="K98" i="13" a="1"/>
  <c r="K98" i="13" s="1"/>
  <c r="K99" i="13" a="1"/>
  <c r="K99" i="13" s="1"/>
  <c r="K100" i="13" a="1"/>
  <c r="K100" i="13" s="1"/>
  <c r="K101" i="13" a="1"/>
  <c r="K101" i="13" s="1"/>
  <c r="K102" i="13" a="1"/>
  <c r="K102" i="13" s="1"/>
  <c r="K103" i="13" a="1"/>
  <c r="K103" i="13" s="1"/>
  <c r="K104" i="13" a="1"/>
  <c r="K104" i="13" s="1"/>
  <c r="K105" i="13" a="1"/>
  <c r="K105" i="13" s="1"/>
  <c r="K106" i="13" a="1"/>
  <c r="K106" i="13" s="1"/>
  <c r="K107" i="13" a="1"/>
  <c r="K107" i="13" s="1"/>
  <c r="K108" i="13" a="1"/>
  <c r="K108" i="13" s="1"/>
  <c r="K109" i="13" a="1"/>
  <c r="K109" i="13" s="1"/>
  <c r="K110" i="13" a="1"/>
  <c r="K110" i="13" s="1"/>
  <c r="K111" i="13" a="1"/>
  <c r="K111" i="13" s="1"/>
  <c r="K112" i="13" a="1"/>
  <c r="K112" i="13" s="1"/>
  <c r="K113" i="13" a="1"/>
  <c r="K113" i="13" s="1"/>
  <c r="K114" i="13" a="1"/>
  <c r="K114" i="13" s="1"/>
  <c r="K115" i="13" a="1"/>
  <c r="K115" i="13" s="1"/>
  <c r="K116" i="13" a="1"/>
  <c r="K116" i="13" s="1"/>
  <c r="K117" i="13" a="1"/>
  <c r="K117" i="13" s="1"/>
  <c r="K118" i="13" a="1"/>
  <c r="K118" i="13" s="1"/>
  <c r="K119" i="13" a="1"/>
  <c r="K119" i="13" s="1"/>
  <c r="K120" i="13" a="1"/>
  <c r="K120" i="13" s="1"/>
  <c r="K121" i="13" a="1"/>
  <c r="K121" i="13" s="1"/>
  <c r="K122" i="13" a="1"/>
  <c r="K122" i="13" s="1"/>
  <c r="K123" i="13" a="1"/>
  <c r="K123" i="13" s="1"/>
  <c r="K124" i="13" a="1"/>
  <c r="K124" i="13" s="1"/>
  <c r="K125" i="13" a="1"/>
  <c r="K125" i="13" s="1"/>
  <c r="K126" i="13" a="1"/>
  <c r="K126" i="13" s="1"/>
  <c r="K127" i="13" a="1"/>
  <c r="K127" i="13" s="1"/>
  <c r="K128" i="13" a="1"/>
  <c r="K128" i="13" s="1"/>
  <c r="K129" i="13" a="1"/>
  <c r="K129" i="13" s="1"/>
  <c r="K130" i="13" a="1"/>
  <c r="K130" i="13" s="1"/>
  <c r="K131" i="13" a="1"/>
  <c r="K131" i="13" s="1"/>
  <c r="K132" i="13" a="1"/>
  <c r="K132" i="13" s="1"/>
  <c r="K133" i="13" a="1"/>
  <c r="K133" i="13" s="1"/>
  <c r="K134" i="13" a="1"/>
  <c r="K134" i="13" s="1"/>
  <c r="K135" i="13" a="1"/>
  <c r="K135" i="13" s="1"/>
  <c r="K136" i="13" a="1"/>
  <c r="K136" i="13" s="1"/>
  <c r="K137" i="13" a="1"/>
  <c r="K137" i="13" s="1"/>
  <c r="K138" i="13" a="1"/>
  <c r="K138" i="13" s="1"/>
  <c r="K139" i="13" a="1"/>
  <c r="K139" i="13" s="1"/>
  <c r="K140" i="13" a="1"/>
  <c r="K140" i="13" s="1"/>
  <c r="K141" i="13" a="1"/>
  <c r="K141" i="13" s="1"/>
  <c r="K142" i="13" a="1"/>
  <c r="K142" i="13" s="1"/>
  <c r="K143" i="13" a="1"/>
  <c r="K143" i="13" s="1"/>
  <c r="K144" i="13" a="1"/>
  <c r="K144" i="13" s="1"/>
  <c r="K145" i="13" a="1"/>
  <c r="K145" i="13" s="1"/>
  <c r="K146" i="13" a="1"/>
  <c r="K146" i="13" s="1"/>
  <c r="K147" i="13" a="1"/>
  <c r="K147" i="13" s="1"/>
  <c r="K148" i="13" a="1"/>
  <c r="K148" i="13" s="1"/>
  <c r="K149" i="13" a="1"/>
  <c r="K149" i="13" s="1"/>
  <c r="K150" i="13" a="1"/>
  <c r="K150" i="13" s="1"/>
  <c r="K151" i="13" a="1"/>
  <c r="K151" i="13" s="1"/>
  <c r="K152" i="13" a="1"/>
  <c r="K152" i="13" s="1"/>
  <c r="K153" i="13" a="1"/>
  <c r="K153" i="13" s="1"/>
  <c r="K154" i="13" a="1"/>
  <c r="K154" i="13" s="1"/>
  <c r="K155" i="13" a="1"/>
  <c r="K155" i="13" s="1"/>
  <c r="K156" i="13" a="1"/>
  <c r="K156" i="13" s="1"/>
  <c r="K157" i="13" a="1"/>
  <c r="K157" i="13" s="1"/>
  <c r="K158" i="13" a="1"/>
  <c r="K158" i="13" s="1"/>
  <c r="K159" i="13" a="1"/>
  <c r="K159" i="13" s="1"/>
  <c r="K160" i="13" a="1"/>
  <c r="K160" i="13" s="1"/>
  <c r="K161" i="13" a="1"/>
  <c r="K161" i="13" s="1"/>
  <c r="K162" i="13" a="1"/>
  <c r="K162" i="13" s="1"/>
  <c r="K163" i="13" a="1"/>
  <c r="K163" i="13" s="1"/>
  <c r="K164" i="13" a="1"/>
  <c r="K164" i="13" s="1"/>
  <c r="K165" i="13" a="1"/>
  <c r="K165" i="13" s="1"/>
  <c r="K166" i="13" a="1"/>
  <c r="K166" i="13" s="1"/>
  <c r="K167" i="13" a="1"/>
  <c r="K167" i="13" s="1"/>
  <c r="K168" i="13" a="1"/>
  <c r="K168" i="13" s="1"/>
  <c r="K169" i="13" a="1"/>
  <c r="K169" i="13" s="1"/>
  <c r="K170" i="13" a="1"/>
  <c r="K170" i="13" s="1"/>
  <c r="K171" i="13" a="1"/>
  <c r="K171" i="13" s="1"/>
  <c r="K172" i="13" a="1"/>
  <c r="K172" i="13" s="1"/>
  <c r="K173" i="13" a="1"/>
  <c r="K173" i="13" s="1"/>
  <c r="K174" i="13" a="1"/>
  <c r="K174" i="13" s="1"/>
  <c r="K175" i="13" a="1"/>
  <c r="K175" i="13" s="1"/>
  <c r="K176" i="13" a="1"/>
  <c r="K176" i="13" s="1"/>
  <c r="K177" i="13" a="1"/>
  <c r="K177" i="13" s="1"/>
  <c r="K178" i="13" a="1"/>
  <c r="K178" i="13" s="1"/>
  <c r="K179" i="13" a="1"/>
  <c r="K179" i="13" s="1"/>
  <c r="K180" i="13" a="1"/>
  <c r="K180" i="13" s="1"/>
  <c r="K181" i="13" a="1"/>
  <c r="K181" i="13" s="1"/>
  <c r="K2" i="13" a="1"/>
  <c r="K2" i="13" s="1"/>
  <c r="J3" i="13" a="1"/>
  <c r="J3" i="13" s="1"/>
  <c r="J4" i="13" a="1"/>
  <c r="J4" i="13" s="1"/>
  <c r="J5" i="13" a="1"/>
  <c r="J5" i="13" s="1"/>
  <c r="J6" i="13" a="1"/>
  <c r="J6" i="13" s="1"/>
  <c r="J7" i="13" a="1"/>
  <c r="J7" i="13" s="1"/>
  <c r="J8" i="13" a="1"/>
  <c r="J8" i="13" s="1"/>
  <c r="J9" i="13" a="1"/>
  <c r="J9" i="13" s="1"/>
  <c r="J10" i="13" a="1"/>
  <c r="J10" i="13" s="1"/>
  <c r="J11" i="13" a="1"/>
  <c r="J11" i="13" s="1"/>
  <c r="J12" i="13" a="1"/>
  <c r="J12" i="13" s="1"/>
  <c r="J13" i="13" a="1"/>
  <c r="J13" i="13" s="1"/>
  <c r="J14" i="13" a="1"/>
  <c r="J14" i="13" s="1"/>
  <c r="J15" i="13" a="1"/>
  <c r="J15" i="13" s="1"/>
  <c r="J16" i="13" a="1"/>
  <c r="J16" i="13" s="1"/>
  <c r="J17" i="13" a="1"/>
  <c r="J17" i="13" s="1"/>
  <c r="J18" i="13" a="1"/>
  <c r="J18" i="13" s="1"/>
  <c r="J19" i="13" a="1"/>
  <c r="J19" i="13" s="1"/>
  <c r="J20" i="13" a="1"/>
  <c r="J20" i="13" s="1"/>
  <c r="J21" i="13" a="1"/>
  <c r="J21" i="13" s="1"/>
  <c r="J22" i="13" a="1"/>
  <c r="J22" i="13" s="1"/>
  <c r="J23" i="13" a="1"/>
  <c r="J23" i="13" s="1"/>
  <c r="J24" i="13" a="1"/>
  <c r="J24" i="13" s="1"/>
  <c r="J25" i="13" a="1"/>
  <c r="J25" i="13" s="1"/>
  <c r="J26" i="13" a="1"/>
  <c r="J26" i="13" s="1"/>
  <c r="J27" i="13" a="1"/>
  <c r="J27" i="13" s="1"/>
  <c r="J28" i="13" a="1"/>
  <c r="J28" i="13" s="1"/>
  <c r="J29" i="13" a="1"/>
  <c r="J29" i="13" s="1"/>
  <c r="J30" i="13" a="1"/>
  <c r="J30" i="13" s="1"/>
  <c r="J31" i="13" a="1"/>
  <c r="J31" i="13" s="1"/>
  <c r="J32" i="13" a="1"/>
  <c r="J32" i="13" s="1"/>
  <c r="J33" i="13" a="1"/>
  <c r="J33" i="13" s="1"/>
  <c r="J34" i="13" a="1"/>
  <c r="J34" i="13" s="1"/>
  <c r="J35" i="13" a="1"/>
  <c r="J35" i="13" s="1"/>
  <c r="J36" i="13" a="1"/>
  <c r="J36" i="13" s="1"/>
  <c r="J37" i="13" a="1"/>
  <c r="J37" i="13" s="1"/>
  <c r="J38" i="13" a="1"/>
  <c r="J38" i="13" s="1"/>
  <c r="J39" i="13" a="1"/>
  <c r="J39" i="13" s="1"/>
  <c r="J40" i="13" a="1"/>
  <c r="J40" i="13" s="1"/>
  <c r="J41" i="13" a="1"/>
  <c r="J41" i="13" s="1"/>
  <c r="J42" i="13" a="1"/>
  <c r="J42" i="13" s="1"/>
  <c r="J43" i="13" a="1"/>
  <c r="J43" i="13" s="1"/>
  <c r="J44" i="13" a="1"/>
  <c r="J44" i="13" s="1"/>
  <c r="J45" i="13" a="1"/>
  <c r="J45" i="13" s="1"/>
  <c r="J46" i="13" a="1"/>
  <c r="J46" i="13" s="1"/>
  <c r="J47" i="13" a="1"/>
  <c r="J47" i="13" s="1"/>
  <c r="J48" i="13" a="1"/>
  <c r="J48" i="13" s="1"/>
  <c r="J49" i="13" a="1"/>
  <c r="J49" i="13" s="1"/>
  <c r="J50" i="13" a="1"/>
  <c r="J50" i="13" s="1"/>
  <c r="J51" i="13" a="1"/>
  <c r="J51" i="13" s="1"/>
  <c r="J52" i="13" a="1"/>
  <c r="J52" i="13" s="1"/>
  <c r="J53" i="13" a="1"/>
  <c r="J53" i="13" s="1"/>
  <c r="J54" i="13" a="1"/>
  <c r="J54" i="13" s="1"/>
  <c r="J55" i="13" a="1"/>
  <c r="J55" i="13" s="1"/>
  <c r="J56" i="13" a="1"/>
  <c r="J56" i="13" s="1"/>
  <c r="J57" i="13" a="1"/>
  <c r="J57" i="13" s="1"/>
  <c r="J58" i="13" a="1"/>
  <c r="J58" i="13" s="1"/>
  <c r="J59" i="13" a="1"/>
  <c r="J59" i="13" s="1"/>
  <c r="J60" i="13" a="1"/>
  <c r="J60" i="13" s="1"/>
  <c r="J61" i="13" a="1"/>
  <c r="J61" i="13" s="1"/>
  <c r="J62" i="13" a="1"/>
  <c r="J62" i="13" s="1"/>
  <c r="J63" i="13" a="1"/>
  <c r="J63" i="13" s="1"/>
  <c r="J64" i="13" a="1"/>
  <c r="J64" i="13" s="1"/>
  <c r="J65" i="13" a="1"/>
  <c r="J65" i="13" s="1"/>
  <c r="J66" i="13" a="1"/>
  <c r="J66" i="13" s="1"/>
  <c r="J67" i="13" a="1"/>
  <c r="J67" i="13" s="1"/>
  <c r="J68" i="13" a="1"/>
  <c r="J68" i="13" s="1"/>
  <c r="J69" i="13" a="1"/>
  <c r="J69" i="13" s="1"/>
  <c r="J70" i="13" a="1"/>
  <c r="J70" i="13" s="1"/>
  <c r="J71" i="13" a="1"/>
  <c r="J71" i="13" s="1"/>
  <c r="J72" i="13" a="1"/>
  <c r="J72" i="13" s="1"/>
  <c r="J73" i="13" a="1"/>
  <c r="J73" i="13" s="1"/>
  <c r="J74" i="13" a="1"/>
  <c r="J74" i="13" s="1"/>
  <c r="J75" i="13" a="1"/>
  <c r="J75" i="13" s="1"/>
  <c r="J76" i="13" a="1"/>
  <c r="J76" i="13" s="1"/>
  <c r="J77" i="13" a="1"/>
  <c r="J77" i="13" s="1"/>
  <c r="J78" i="13" a="1"/>
  <c r="J78" i="13" s="1"/>
  <c r="J79" i="13" a="1"/>
  <c r="J79" i="13" s="1"/>
  <c r="J80" i="13" a="1"/>
  <c r="J80" i="13" s="1"/>
  <c r="J81" i="13" a="1"/>
  <c r="J81" i="13" s="1"/>
  <c r="J82" i="13" a="1"/>
  <c r="J82" i="13" s="1"/>
  <c r="J83" i="13" a="1"/>
  <c r="J83" i="13" s="1"/>
  <c r="J84" i="13" a="1"/>
  <c r="J84" i="13" s="1"/>
  <c r="J85" i="13" a="1"/>
  <c r="J85" i="13" s="1"/>
  <c r="J86" i="13" a="1"/>
  <c r="J86" i="13" s="1"/>
  <c r="J87" i="13" a="1"/>
  <c r="J87" i="13" s="1"/>
  <c r="J88" i="13" a="1"/>
  <c r="J88" i="13" s="1"/>
  <c r="J89" i="13" a="1"/>
  <c r="J89" i="13" s="1"/>
  <c r="J90" i="13" a="1"/>
  <c r="J90" i="13" s="1"/>
  <c r="J91" i="13" a="1"/>
  <c r="J91" i="13" s="1"/>
  <c r="J92" i="13" a="1"/>
  <c r="J92" i="13" s="1"/>
  <c r="J93" i="13" a="1"/>
  <c r="J93" i="13" s="1"/>
  <c r="J94" i="13" a="1"/>
  <c r="J94" i="13" s="1"/>
  <c r="J95" i="13" a="1"/>
  <c r="J95" i="13" s="1"/>
  <c r="J96" i="13" a="1"/>
  <c r="J96" i="13" s="1"/>
  <c r="J97" i="13" a="1"/>
  <c r="J97" i="13" s="1"/>
  <c r="J98" i="13" a="1"/>
  <c r="J98" i="13" s="1"/>
  <c r="J99" i="13" a="1"/>
  <c r="J99" i="13" s="1"/>
  <c r="J100" i="13" a="1"/>
  <c r="J100" i="13" s="1"/>
  <c r="J101" i="13" a="1"/>
  <c r="J101" i="13" s="1"/>
  <c r="J102" i="13" a="1"/>
  <c r="J102" i="13" s="1"/>
  <c r="J103" i="13" a="1"/>
  <c r="J103" i="13" s="1"/>
  <c r="J104" i="13" a="1"/>
  <c r="J104" i="13" s="1"/>
  <c r="J105" i="13" a="1"/>
  <c r="J105" i="13" s="1"/>
  <c r="J106" i="13" a="1"/>
  <c r="J106" i="13" s="1"/>
  <c r="J107" i="13" a="1"/>
  <c r="J107" i="13" s="1"/>
  <c r="J108" i="13" a="1"/>
  <c r="J108" i="13" s="1"/>
  <c r="J109" i="13" a="1"/>
  <c r="J109" i="13" s="1"/>
  <c r="J110" i="13" a="1"/>
  <c r="J110" i="13" s="1"/>
  <c r="J111" i="13" a="1"/>
  <c r="J111" i="13" s="1"/>
  <c r="J112" i="13" a="1"/>
  <c r="J112" i="13" s="1"/>
  <c r="J113" i="13" a="1"/>
  <c r="J113" i="13" s="1"/>
  <c r="J114" i="13" a="1"/>
  <c r="J114" i="13" s="1"/>
  <c r="J115" i="13" a="1"/>
  <c r="J115" i="13" s="1"/>
  <c r="J116" i="13" a="1"/>
  <c r="J116" i="13" s="1"/>
  <c r="J117" i="13" a="1"/>
  <c r="J117" i="13" s="1"/>
  <c r="J118" i="13" a="1"/>
  <c r="J118" i="13" s="1"/>
  <c r="J119" i="13" a="1"/>
  <c r="J119" i="13" s="1"/>
  <c r="J120" i="13" a="1"/>
  <c r="J120" i="13" s="1"/>
  <c r="J121" i="13" a="1"/>
  <c r="J121" i="13" s="1"/>
  <c r="J122" i="13" a="1"/>
  <c r="J122" i="13" s="1"/>
  <c r="J123" i="13" a="1"/>
  <c r="J123" i="13" s="1"/>
  <c r="J124" i="13" a="1"/>
  <c r="J124" i="13" s="1"/>
  <c r="J125" i="13" a="1"/>
  <c r="J125" i="13" s="1"/>
  <c r="J126" i="13" a="1"/>
  <c r="J126" i="13" s="1"/>
  <c r="J127" i="13" a="1"/>
  <c r="J127" i="13" s="1"/>
  <c r="J128" i="13" a="1"/>
  <c r="J128" i="13" s="1"/>
  <c r="J129" i="13" a="1"/>
  <c r="J129" i="13" s="1"/>
  <c r="J130" i="13" a="1"/>
  <c r="J130" i="13" s="1"/>
  <c r="J131" i="13" a="1"/>
  <c r="J131" i="13" s="1"/>
  <c r="J132" i="13" a="1"/>
  <c r="J132" i="13" s="1"/>
  <c r="J133" i="13" a="1"/>
  <c r="J133" i="13" s="1"/>
  <c r="J134" i="13" a="1"/>
  <c r="J134" i="13" s="1"/>
  <c r="J135" i="13" a="1"/>
  <c r="J135" i="13" s="1"/>
  <c r="J136" i="13" a="1"/>
  <c r="J136" i="13" s="1"/>
  <c r="J137" i="13" a="1"/>
  <c r="J137" i="13" s="1"/>
  <c r="J138" i="13" a="1"/>
  <c r="J138" i="13" s="1"/>
  <c r="J139" i="13" a="1"/>
  <c r="J139" i="13" s="1"/>
  <c r="J140" i="13" a="1"/>
  <c r="J140" i="13" s="1"/>
  <c r="J141" i="13" a="1"/>
  <c r="J141" i="13" s="1"/>
  <c r="J142" i="13" a="1"/>
  <c r="J142" i="13" s="1"/>
  <c r="J143" i="13" a="1"/>
  <c r="J143" i="13" s="1"/>
  <c r="J144" i="13" a="1"/>
  <c r="J144" i="13" s="1"/>
  <c r="J145" i="13" a="1"/>
  <c r="J145" i="13" s="1"/>
  <c r="J146" i="13" a="1"/>
  <c r="J146" i="13" s="1"/>
  <c r="J147" i="13" a="1"/>
  <c r="J147" i="13" s="1"/>
  <c r="J148" i="13" a="1"/>
  <c r="J148" i="13" s="1"/>
  <c r="J149" i="13" a="1"/>
  <c r="J149" i="13" s="1"/>
  <c r="J150" i="13" a="1"/>
  <c r="J150" i="13" s="1"/>
  <c r="J151" i="13" a="1"/>
  <c r="J151" i="13" s="1"/>
  <c r="J152" i="13" a="1"/>
  <c r="J152" i="13" s="1"/>
  <c r="J153" i="13" a="1"/>
  <c r="J153" i="13" s="1"/>
  <c r="J154" i="13" a="1"/>
  <c r="J154" i="13" s="1"/>
  <c r="J155" i="13" a="1"/>
  <c r="J155" i="13" s="1"/>
  <c r="J156" i="13" a="1"/>
  <c r="J156" i="13" s="1"/>
  <c r="J157" i="13" a="1"/>
  <c r="J157" i="13" s="1"/>
  <c r="J158" i="13" a="1"/>
  <c r="J158" i="13" s="1"/>
  <c r="J159" i="13" a="1"/>
  <c r="J159" i="13" s="1"/>
  <c r="J160" i="13" a="1"/>
  <c r="J160" i="13" s="1"/>
  <c r="J161" i="13" a="1"/>
  <c r="J161" i="13" s="1"/>
  <c r="J162" i="13" a="1"/>
  <c r="J162" i="13" s="1"/>
  <c r="J163" i="13" a="1"/>
  <c r="J163" i="13" s="1"/>
  <c r="J164" i="13" a="1"/>
  <c r="J164" i="13" s="1"/>
  <c r="J165" i="13" a="1"/>
  <c r="J165" i="13" s="1"/>
  <c r="J166" i="13" a="1"/>
  <c r="J166" i="13" s="1"/>
  <c r="J167" i="13" a="1"/>
  <c r="J167" i="13" s="1"/>
  <c r="J168" i="13" a="1"/>
  <c r="J168" i="13" s="1"/>
  <c r="J169" i="13" a="1"/>
  <c r="J169" i="13" s="1"/>
  <c r="J170" i="13" a="1"/>
  <c r="J170" i="13" s="1"/>
  <c r="J171" i="13" a="1"/>
  <c r="J171" i="13" s="1"/>
  <c r="J172" i="13" a="1"/>
  <c r="J172" i="13" s="1"/>
  <c r="J173" i="13" a="1"/>
  <c r="J173" i="13" s="1"/>
  <c r="J174" i="13" a="1"/>
  <c r="J174" i="13" s="1"/>
  <c r="J175" i="13" a="1"/>
  <c r="J175" i="13" s="1"/>
  <c r="J176" i="13" a="1"/>
  <c r="J176" i="13" s="1"/>
  <c r="J177" i="13" a="1"/>
  <c r="J177" i="13" s="1"/>
  <c r="J178" i="13" a="1"/>
  <c r="J178" i="13" s="1"/>
  <c r="J2" i="13" a="1"/>
  <c r="J2" i="13" s="1"/>
  <c r="I3" i="13" a="1"/>
  <c r="I3" i="13" s="1"/>
  <c r="I4" i="13" a="1"/>
  <c r="I4" i="13" s="1"/>
  <c r="I5" i="13" a="1"/>
  <c r="I5" i="13" s="1"/>
  <c r="I6" i="13" a="1"/>
  <c r="I6" i="13" s="1"/>
  <c r="I7" i="13" a="1"/>
  <c r="I7" i="13" s="1"/>
  <c r="I8" i="13" a="1"/>
  <c r="I8" i="13" s="1"/>
  <c r="I9" i="13" a="1"/>
  <c r="I9" i="13" s="1"/>
  <c r="I10" i="13" a="1"/>
  <c r="I10" i="13" s="1"/>
  <c r="I11" i="13" a="1"/>
  <c r="I11" i="13" s="1"/>
  <c r="I2" i="13" a="1"/>
  <c r="I2" i="13" s="1"/>
  <c r="L3" i="10" a="1"/>
  <c r="L3" i="10" s="1"/>
  <c r="L4" i="10" a="1"/>
  <c r="L4" i="10" s="1"/>
  <c r="L5" i="10" a="1"/>
  <c r="L5" i="10" s="1"/>
  <c r="L6" i="10" a="1"/>
  <c r="L6" i="10" s="1"/>
  <c r="L7" i="10" a="1"/>
  <c r="L7" i="10" s="1"/>
  <c r="L8" i="10" a="1"/>
  <c r="L8" i="10" s="1"/>
  <c r="L9" i="10" a="1"/>
  <c r="L9" i="10" s="1"/>
  <c r="L10" i="10" a="1"/>
  <c r="L10" i="10" s="1"/>
  <c r="L11" i="10" a="1"/>
  <c r="L11" i="10" s="1"/>
  <c r="L12" i="10" a="1"/>
  <c r="L12" i="10" s="1"/>
  <c r="L13" i="10" a="1"/>
  <c r="L13" i="10" s="1"/>
  <c r="L14" i="10" a="1"/>
  <c r="L14" i="10" s="1"/>
  <c r="L15" i="10" a="1"/>
  <c r="L15" i="10" s="1"/>
  <c r="L16" i="10" a="1"/>
  <c r="L16" i="10" s="1"/>
  <c r="L17" i="10" a="1"/>
  <c r="L17" i="10" s="1"/>
  <c r="L18" i="10" a="1"/>
  <c r="L18" i="10" s="1"/>
  <c r="L19" i="10" a="1"/>
  <c r="L19" i="10" s="1"/>
  <c r="L20" i="10" a="1"/>
  <c r="L20" i="10" s="1"/>
  <c r="L21" i="10" a="1"/>
  <c r="L21" i="10" s="1"/>
  <c r="L22" i="10" a="1"/>
  <c r="L22" i="10" s="1"/>
  <c r="L23" i="10" a="1"/>
  <c r="L23" i="10" s="1"/>
  <c r="L24" i="10" a="1"/>
  <c r="L24" i="10" s="1"/>
  <c r="L25" i="10" a="1"/>
  <c r="L25" i="10" s="1"/>
  <c r="L26" i="10" a="1"/>
  <c r="L26" i="10" s="1"/>
  <c r="L27" i="10" a="1"/>
  <c r="L27" i="10" s="1"/>
  <c r="L28" i="10" a="1"/>
  <c r="L28" i="10" s="1"/>
  <c r="L31" i="10" a="1"/>
  <c r="L31" i="10" s="1"/>
  <c r="L32" i="10" a="1"/>
  <c r="L32" i="10" s="1"/>
  <c r="L33" i="10" a="1"/>
  <c r="L33" i="10" s="1"/>
  <c r="L34" i="10" a="1"/>
  <c r="L34" i="10" s="1"/>
  <c r="L35" i="10" a="1"/>
  <c r="L35" i="10" s="1"/>
  <c r="L36" i="10" a="1"/>
  <c r="L36" i="10" s="1"/>
  <c r="L37" i="10" a="1"/>
  <c r="L37" i="10" s="1"/>
  <c r="L38" i="10" a="1"/>
  <c r="L38" i="10" s="1"/>
  <c r="L39" i="10" a="1"/>
  <c r="L39" i="10" s="1"/>
  <c r="L40" i="10" a="1"/>
  <c r="L40" i="10" s="1"/>
  <c r="L41" i="10" a="1"/>
  <c r="L41" i="10" s="1"/>
  <c r="L42" i="10" a="1"/>
  <c r="L42" i="10" s="1"/>
  <c r="L43" i="10" a="1"/>
  <c r="L43" i="10" s="1"/>
  <c r="L44" i="10" a="1"/>
  <c r="L44" i="10" s="1"/>
  <c r="L45" i="10" a="1"/>
  <c r="L45" i="10" s="1"/>
  <c r="L46" i="10" a="1"/>
  <c r="L46" i="10" s="1"/>
  <c r="L47" i="10" a="1"/>
  <c r="L47" i="10" s="1"/>
  <c r="L48" i="10" a="1"/>
  <c r="L48" i="10" s="1"/>
  <c r="L49" i="10" a="1"/>
  <c r="L49" i="10" s="1"/>
  <c r="L50" i="10" a="1"/>
  <c r="L50" i="10" s="1"/>
  <c r="L51" i="10" a="1"/>
  <c r="L51" i="10" s="1"/>
  <c r="L52" i="10" a="1"/>
  <c r="L52" i="10" s="1"/>
  <c r="L53" i="10" a="1"/>
  <c r="L53" i="10" s="1"/>
  <c r="L54" i="10" a="1"/>
  <c r="L54" i="10" s="1"/>
  <c r="L55" i="10" a="1"/>
  <c r="L55" i="10" s="1"/>
  <c r="L56" i="10" a="1"/>
  <c r="L56" i="10" s="1"/>
  <c r="L57" i="10" a="1"/>
  <c r="L57" i="10" s="1"/>
  <c r="L58" i="10" a="1"/>
  <c r="L58" i="10" s="1"/>
  <c r="L59" i="10" a="1"/>
  <c r="L59" i="10" s="1"/>
  <c r="L60" i="10" a="1"/>
  <c r="L60" i="10" s="1"/>
  <c r="L61" i="10" a="1"/>
  <c r="L61" i="10" s="1"/>
  <c r="L62" i="10" a="1"/>
  <c r="L62" i="10" s="1"/>
  <c r="L63" i="10" a="1"/>
  <c r="L63" i="10" s="1"/>
  <c r="L64" i="10" a="1"/>
  <c r="L64" i="10" s="1"/>
  <c r="L65" i="10" a="1"/>
  <c r="L65" i="10" s="1"/>
  <c r="L66" i="10" a="1"/>
  <c r="L66" i="10" s="1"/>
  <c r="L67" i="10" a="1"/>
  <c r="L67" i="10" s="1"/>
  <c r="L83" i="10" a="1"/>
  <c r="L83" i="10" s="1"/>
  <c r="L84" i="10" a="1"/>
  <c r="L84" i="10" s="1"/>
  <c r="L85" i="10" a="1"/>
  <c r="L85" i="10" s="1"/>
  <c r="L86" i="10" a="1"/>
  <c r="L86" i="10" s="1"/>
  <c r="L87" i="10" a="1"/>
  <c r="L87" i="10" s="1"/>
  <c r="L88" i="10" a="1"/>
  <c r="L88" i="10" s="1"/>
  <c r="L89" i="10" a="1"/>
  <c r="L89" i="10" s="1"/>
  <c r="L105" i="10" a="1"/>
  <c r="L105" i="10" s="1"/>
  <c r="L106" i="10" a="1"/>
  <c r="L106" i="10" s="1"/>
  <c r="L107" i="10" a="1"/>
  <c r="L107" i="10" s="1"/>
  <c r="L108" i="10" a="1"/>
  <c r="L108" i="10" s="1"/>
  <c r="L109" i="10" a="1"/>
  <c r="L109" i="10" s="1"/>
  <c r="L110" i="10" a="1"/>
  <c r="L110" i="10" s="1"/>
  <c r="L111" i="10" a="1"/>
  <c r="L111" i="10" s="1"/>
  <c r="L112" i="10" a="1"/>
  <c r="L112" i="10" s="1"/>
  <c r="L113" i="10" a="1"/>
  <c r="L113" i="10" s="1"/>
  <c r="L114" i="10" a="1"/>
  <c r="L114" i="10" s="1"/>
  <c r="L115" i="10" a="1"/>
  <c r="L115" i="10" s="1"/>
  <c r="L116" i="10" a="1"/>
  <c r="L116" i="10" s="1"/>
  <c r="L117" i="10" a="1"/>
  <c r="L117" i="10" s="1"/>
  <c r="L118" i="10" a="1"/>
  <c r="L118" i="10" s="1"/>
  <c r="L119" i="10" a="1"/>
  <c r="L119" i="10" s="1"/>
  <c r="L120" i="10" a="1"/>
  <c r="L120" i="10" s="1"/>
  <c r="L2" i="10" a="1"/>
  <c r="L2" i="10" s="1"/>
  <c r="K3" i="10" a="1"/>
  <c r="K3" i="10" s="1"/>
  <c r="K4" i="10" a="1"/>
  <c r="K4" i="10" s="1"/>
  <c r="K5" i="10" a="1"/>
  <c r="K5" i="10" s="1"/>
  <c r="K6" i="10" a="1"/>
  <c r="K6" i="10" s="1"/>
  <c r="K7" i="10" a="1"/>
  <c r="K7" i="10" s="1"/>
  <c r="K8" i="10" a="1"/>
  <c r="K8" i="10" s="1"/>
  <c r="K9" i="10" a="1"/>
  <c r="K9" i="10" s="1"/>
  <c r="K10" i="10" a="1"/>
  <c r="K10" i="10" s="1"/>
  <c r="K11" i="10" a="1"/>
  <c r="K11" i="10" s="1"/>
  <c r="K12" i="10" a="1"/>
  <c r="K12" i="10" s="1"/>
  <c r="K13" i="10" a="1"/>
  <c r="K13" i="10" s="1"/>
  <c r="K14" i="10" a="1"/>
  <c r="K14" i="10" s="1"/>
  <c r="K15" i="10" a="1"/>
  <c r="K15" i="10" s="1"/>
  <c r="K16" i="10" a="1"/>
  <c r="K16" i="10" s="1"/>
  <c r="K17" i="10" a="1"/>
  <c r="K17" i="10" s="1"/>
  <c r="K18" i="10" a="1"/>
  <c r="K18" i="10" s="1"/>
  <c r="K19" i="10" a="1"/>
  <c r="K19" i="10" s="1"/>
  <c r="K20" i="10" a="1"/>
  <c r="K20" i="10" s="1"/>
  <c r="K21" i="10" a="1"/>
  <c r="K21" i="10" s="1"/>
  <c r="K22" i="10" a="1"/>
  <c r="K22" i="10" s="1"/>
  <c r="K23" i="10" a="1"/>
  <c r="K23" i="10" s="1"/>
  <c r="K24" i="10" a="1"/>
  <c r="K24" i="10" s="1"/>
  <c r="K25" i="10" a="1"/>
  <c r="K25" i="10" s="1"/>
  <c r="K26" i="10" a="1"/>
  <c r="K26" i="10" s="1"/>
  <c r="K27" i="10" a="1"/>
  <c r="K27" i="10" s="1"/>
  <c r="K28" i="10" a="1"/>
  <c r="K28" i="10" s="1"/>
  <c r="K31" i="10" a="1"/>
  <c r="K31" i="10" s="1"/>
  <c r="K32" i="10" a="1"/>
  <c r="K32" i="10" s="1"/>
  <c r="K33" i="10" a="1"/>
  <c r="K33" i="10" s="1"/>
  <c r="K34" i="10" a="1"/>
  <c r="K34" i="10" s="1"/>
  <c r="K35" i="10" a="1"/>
  <c r="K35" i="10" s="1"/>
  <c r="K36" i="10" a="1"/>
  <c r="K36" i="10" s="1"/>
  <c r="K37" i="10" a="1"/>
  <c r="K37" i="10" s="1"/>
  <c r="K38" i="10" a="1"/>
  <c r="K38" i="10" s="1"/>
  <c r="K39" i="10" a="1"/>
  <c r="K39" i="10" s="1"/>
  <c r="K40" i="10" a="1"/>
  <c r="K40" i="10" s="1"/>
  <c r="K41" i="10" a="1"/>
  <c r="K41" i="10" s="1"/>
  <c r="K42" i="10" a="1"/>
  <c r="K42" i="10" s="1"/>
  <c r="K43" i="10" a="1"/>
  <c r="K43" i="10" s="1"/>
  <c r="K44" i="10" a="1"/>
  <c r="K44" i="10" s="1"/>
  <c r="K45" i="10" a="1"/>
  <c r="K45" i="10" s="1"/>
  <c r="K46" i="10" a="1"/>
  <c r="K46" i="10" s="1"/>
  <c r="K47" i="10" a="1"/>
  <c r="K47" i="10" s="1"/>
  <c r="K48" i="10" a="1"/>
  <c r="K48" i="10" s="1"/>
  <c r="K49" i="10" a="1"/>
  <c r="K49" i="10" s="1"/>
  <c r="K50" i="10" a="1"/>
  <c r="K50" i="10" s="1"/>
  <c r="K51" i="10" a="1"/>
  <c r="K51" i="10" s="1"/>
  <c r="K52" i="10" a="1"/>
  <c r="K52" i="10" s="1"/>
  <c r="K53" i="10" a="1"/>
  <c r="K53" i="10" s="1"/>
  <c r="K54" i="10" a="1"/>
  <c r="K54" i="10" s="1"/>
  <c r="K55" i="10" a="1"/>
  <c r="K55" i="10" s="1"/>
  <c r="K56" i="10" a="1"/>
  <c r="K56" i="10" s="1"/>
  <c r="K57" i="10" a="1"/>
  <c r="K57" i="10" s="1"/>
  <c r="K58" i="10" a="1"/>
  <c r="K58" i="10" s="1"/>
  <c r="K59" i="10" a="1"/>
  <c r="K59" i="10" s="1"/>
  <c r="K60" i="10" a="1"/>
  <c r="K60" i="10" s="1"/>
  <c r="K61" i="10" a="1"/>
  <c r="K61" i="10" s="1"/>
  <c r="K62" i="10" a="1"/>
  <c r="K62" i="10" s="1"/>
  <c r="K63" i="10" a="1"/>
  <c r="K63" i="10" s="1"/>
  <c r="K64" i="10" a="1"/>
  <c r="K64" i="10" s="1"/>
  <c r="K65" i="10" a="1"/>
  <c r="K65" i="10" s="1"/>
  <c r="K66" i="10" a="1"/>
  <c r="K66" i="10" s="1"/>
  <c r="K67" i="10" a="1"/>
  <c r="K67" i="10" s="1"/>
  <c r="K87" i="10" a="1"/>
  <c r="K87" i="10" s="1"/>
  <c r="K88" i="10" a="1"/>
  <c r="K88" i="10" s="1"/>
  <c r="K89" i="10" a="1"/>
  <c r="K89" i="10" s="1"/>
  <c r="K105" i="10" a="1"/>
  <c r="K105" i="10" s="1"/>
  <c r="K106" i="10" a="1"/>
  <c r="K106" i="10" s="1"/>
  <c r="K107" i="10" a="1"/>
  <c r="K107" i="10" s="1"/>
  <c r="K108" i="10" a="1"/>
  <c r="K108" i="10" s="1"/>
  <c r="K109" i="10" a="1"/>
  <c r="K109" i="10" s="1"/>
  <c r="K110" i="10" a="1"/>
  <c r="K110" i="10" s="1"/>
  <c r="K111" i="10" a="1"/>
  <c r="K111" i="10" s="1"/>
  <c r="K112" i="10" a="1"/>
  <c r="K112" i="10" s="1"/>
  <c r="K113" i="10" a="1"/>
  <c r="K113" i="10" s="1"/>
  <c r="K114" i="10" a="1"/>
  <c r="K114" i="10" s="1"/>
  <c r="K115" i="10" a="1"/>
  <c r="K115" i="10" s="1"/>
  <c r="K116" i="10" a="1"/>
  <c r="K116" i="10" s="1"/>
  <c r="K117" i="10" a="1"/>
  <c r="K117" i="10" s="1"/>
  <c r="K118" i="10" a="1"/>
  <c r="K118" i="10" s="1"/>
  <c r="K119" i="10" a="1"/>
  <c r="K119" i="10" s="1"/>
  <c r="K120" i="10" a="1"/>
  <c r="K120" i="10" s="1"/>
  <c r="K121" i="10" a="1"/>
  <c r="K121" i="10" s="1"/>
  <c r="K122" i="10" a="1"/>
  <c r="K122" i="10" s="1"/>
  <c r="K123" i="10" a="1"/>
  <c r="K123" i="10" s="1"/>
  <c r="K124" i="10" a="1"/>
  <c r="K124" i="10" s="1"/>
  <c r="K125" i="10" a="1"/>
  <c r="K125" i="10" s="1"/>
  <c r="K126" i="10" a="1"/>
  <c r="K126" i="10" s="1"/>
  <c r="K127" i="10" a="1"/>
  <c r="K127" i="10" s="1"/>
  <c r="K128" i="10" a="1"/>
  <c r="K128" i="10" s="1"/>
  <c r="K129" i="10" a="1"/>
  <c r="K129" i="10" s="1"/>
  <c r="K130" i="10" a="1"/>
  <c r="K130" i="10" s="1"/>
  <c r="K131" i="10" a="1"/>
  <c r="K131" i="10" s="1"/>
  <c r="K132" i="10" a="1"/>
  <c r="K132" i="10" s="1"/>
  <c r="K133" i="10" a="1"/>
  <c r="K133" i="10" s="1"/>
  <c r="K134" i="10" a="1"/>
  <c r="K134" i="10" s="1"/>
  <c r="K135" i="10" a="1"/>
  <c r="K135" i="10" s="1"/>
  <c r="K136" i="10" a="1"/>
  <c r="K136" i="10" s="1"/>
  <c r="K137" i="10" a="1"/>
  <c r="K137" i="10" s="1"/>
  <c r="K138" i="10" a="1"/>
  <c r="K138" i="10" s="1"/>
  <c r="K139" i="10" a="1"/>
  <c r="K139" i="10" s="1"/>
  <c r="K140" i="10" a="1"/>
  <c r="K140" i="10" s="1"/>
  <c r="K141" i="10" a="1"/>
  <c r="K141" i="10" s="1"/>
  <c r="K142" i="10" a="1"/>
  <c r="K142" i="10" s="1"/>
  <c r="K143" i="10" a="1"/>
  <c r="K143" i="10" s="1"/>
  <c r="K144" i="10" a="1"/>
  <c r="K144" i="10" s="1"/>
  <c r="K145" i="10" a="1"/>
  <c r="K145" i="10" s="1"/>
  <c r="K146" i="10" a="1"/>
  <c r="K146" i="10" s="1"/>
  <c r="K147" i="10" a="1"/>
  <c r="K147" i="10" s="1"/>
  <c r="K148" i="10" a="1"/>
  <c r="K148" i="10" s="1"/>
  <c r="K149" i="10" a="1"/>
  <c r="K149" i="10" s="1"/>
  <c r="K150" i="10" a="1"/>
  <c r="K150" i="10" s="1"/>
  <c r="K151" i="10" a="1"/>
  <c r="K151" i="10" s="1"/>
  <c r="K152" i="10" a="1"/>
  <c r="K152" i="10" s="1"/>
  <c r="K153" i="10" a="1"/>
  <c r="K153" i="10" s="1"/>
  <c r="K154" i="10" a="1"/>
  <c r="K154" i="10" s="1"/>
  <c r="K155" i="10" a="1"/>
  <c r="K155" i="10" s="1"/>
  <c r="K156" i="10" a="1"/>
  <c r="K156" i="10" s="1"/>
  <c r="K157" i="10" a="1"/>
  <c r="K157" i="10" s="1"/>
  <c r="K158" i="10" a="1"/>
  <c r="K158" i="10" s="1"/>
  <c r="K159" i="10" a="1"/>
  <c r="K159" i="10" s="1"/>
  <c r="K160" i="10" a="1"/>
  <c r="K160" i="10" s="1"/>
  <c r="K161" i="10" a="1"/>
  <c r="K161" i="10" s="1"/>
  <c r="K162" i="10" a="1"/>
  <c r="K162" i="10" s="1"/>
  <c r="K163" i="10" a="1"/>
  <c r="K163" i="10" s="1"/>
  <c r="K164" i="10" a="1"/>
  <c r="K164" i="10" s="1"/>
  <c r="K165" i="10" a="1"/>
  <c r="K165" i="10" s="1"/>
  <c r="K166" i="10" a="1"/>
  <c r="K166" i="10" s="1"/>
  <c r="K167" i="10" a="1"/>
  <c r="K167" i="10" s="1"/>
  <c r="K168" i="10" a="1"/>
  <c r="K168" i="10" s="1"/>
  <c r="K169" i="10" a="1"/>
  <c r="K169" i="10" s="1"/>
  <c r="K170" i="10" a="1"/>
  <c r="K170" i="10" s="1"/>
  <c r="K171" i="10" a="1"/>
  <c r="K171" i="10" s="1"/>
  <c r="K172" i="10" a="1"/>
  <c r="K172" i="10" s="1"/>
  <c r="K173" i="10" a="1"/>
  <c r="K173" i="10" s="1"/>
  <c r="K174" i="10" a="1"/>
  <c r="K174" i="10" s="1"/>
  <c r="K175" i="10" a="1"/>
  <c r="K175" i="10" s="1"/>
  <c r="K176" i="10" a="1"/>
  <c r="K176" i="10" s="1"/>
  <c r="K177" i="10" a="1"/>
  <c r="K177" i="10" s="1"/>
  <c r="K178" i="10" a="1"/>
  <c r="K178" i="10" s="1"/>
  <c r="K179" i="10" a="1"/>
  <c r="K179" i="10" s="1"/>
  <c r="K180" i="10" a="1"/>
  <c r="K180" i="10" s="1"/>
  <c r="K181" i="10" a="1"/>
  <c r="K181" i="10" s="1"/>
  <c r="K182" i="10" a="1"/>
  <c r="K182" i="10" s="1"/>
  <c r="K183" i="10" a="1"/>
  <c r="K183" i="10" s="1"/>
  <c r="K184" i="10" a="1"/>
  <c r="K184" i="10" s="1"/>
  <c r="K185" i="10" a="1"/>
  <c r="K185" i="10" s="1"/>
  <c r="K186" i="10" a="1"/>
  <c r="K186" i="10" s="1"/>
  <c r="K187" i="10" a="1"/>
  <c r="K187" i="10" s="1"/>
  <c r="K188" i="10" a="1"/>
  <c r="K188" i="10" s="1"/>
  <c r="K189" i="10" a="1"/>
  <c r="K189" i="10" s="1"/>
  <c r="K190" i="10" a="1"/>
  <c r="K190" i="10" s="1"/>
  <c r="K191" i="10" a="1"/>
  <c r="K191" i="10" s="1"/>
  <c r="K192" i="10" a="1"/>
  <c r="K192" i="10" s="1"/>
  <c r="K193" i="10" a="1"/>
  <c r="K193" i="10" s="1"/>
  <c r="K194" i="10" a="1"/>
  <c r="K194" i="10" s="1"/>
  <c r="K195" i="10" a="1"/>
  <c r="K195" i="10" s="1"/>
  <c r="K196" i="10" a="1"/>
  <c r="K196" i="10" s="1"/>
  <c r="K2" i="10" a="1"/>
  <c r="K2" i="10" s="1"/>
  <c r="J21" i="10" a="1"/>
  <c r="J21" i="10" s="1"/>
  <c r="J22" i="10" a="1"/>
  <c r="J22" i="10" s="1"/>
  <c r="J23" i="10" a="1"/>
  <c r="J23" i="10" s="1"/>
  <c r="J24" i="10" a="1"/>
  <c r="J24" i="10" s="1"/>
  <c r="J25" i="10" a="1"/>
  <c r="J25" i="10" s="1"/>
  <c r="J26" i="10" a="1"/>
  <c r="J26" i="10" s="1"/>
  <c r="J27" i="10" a="1"/>
  <c r="J27" i="10" s="1"/>
  <c r="J28" i="10" a="1"/>
  <c r="J28" i="10" s="1"/>
  <c r="J31" i="10" a="1"/>
  <c r="J31" i="10" s="1"/>
  <c r="J32" i="10" a="1"/>
  <c r="J32" i="10" s="1"/>
  <c r="J33" i="10" a="1"/>
  <c r="J33" i="10" s="1"/>
  <c r="J34" i="10" a="1"/>
  <c r="J34" i="10" s="1"/>
  <c r="J35" i="10" a="1"/>
  <c r="J35" i="10" s="1"/>
  <c r="J36" i="10" a="1"/>
  <c r="J36" i="10" s="1"/>
  <c r="J37" i="10" a="1"/>
  <c r="J37" i="10" s="1"/>
  <c r="J38" i="10" a="1"/>
  <c r="J38" i="10" s="1"/>
  <c r="J39" i="10" a="1"/>
  <c r="J39" i="10" s="1"/>
  <c r="J40" i="10" a="1"/>
  <c r="J40" i="10" s="1"/>
  <c r="J41" i="10" a="1"/>
  <c r="J41" i="10" s="1"/>
  <c r="J42" i="10" a="1"/>
  <c r="J42" i="10" s="1"/>
  <c r="J43" i="10" a="1"/>
  <c r="J43" i="10" s="1"/>
  <c r="J44" i="10" a="1"/>
  <c r="J44" i="10" s="1"/>
  <c r="J45" i="10" a="1"/>
  <c r="J45" i="10" s="1"/>
  <c r="J46" i="10" a="1"/>
  <c r="J46" i="10" s="1"/>
  <c r="J47" i="10" a="1"/>
  <c r="J47" i="10" s="1"/>
  <c r="J48" i="10" a="1"/>
  <c r="J48" i="10" s="1"/>
  <c r="J49" i="10" a="1"/>
  <c r="J49" i="10" s="1"/>
  <c r="J50" i="10" a="1"/>
  <c r="J50" i="10" s="1"/>
  <c r="U14" i="10" s="1"/>
  <c r="J51" i="10" a="1"/>
  <c r="J51" i="10" s="1"/>
  <c r="J52" i="10" a="1"/>
  <c r="J52" i="10" s="1"/>
  <c r="J53" i="10" a="1"/>
  <c r="J53" i="10" s="1"/>
  <c r="J54" i="10" a="1"/>
  <c r="J54" i="10" s="1"/>
  <c r="J55" i="10" a="1"/>
  <c r="J55" i="10" s="1"/>
  <c r="J56" i="10" a="1"/>
  <c r="J56" i="10" s="1"/>
  <c r="J57" i="10" a="1"/>
  <c r="J57" i="10" s="1"/>
  <c r="J58" i="10" a="1"/>
  <c r="J58" i="10" s="1"/>
  <c r="J59" i="10" a="1"/>
  <c r="J59" i="10" s="1"/>
  <c r="J60" i="10" a="1"/>
  <c r="J60" i="10" s="1"/>
  <c r="J61" i="10" a="1"/>
  <c r="J61" i="10" s="1"/>
  <c r="J62" i="10" a="1"/>
  <c r="J62" i="10" s="1"/>
  <c r="J63" i="10" a="1"/>
  <c r="J63" i="10" s="1"/>
  <c r="J64" i="10" a="1"/>
  <c r="J64" i="10" s="1"/>
  <c r="J65" i="10" a="1"/>
  <c r="J65" i="10" s="1"/>
  <c r="J66" i="10" a="1"/>
  <c r="J66" i="10" s="1"/>
  <c r="J67" i="10" a="1"/>
  <c r="J67" i="10" s="1"/>
  <c r="J159" i="10" a="1"/>
  <c r="J159" i="10" s="1"/>
  <c r="J160" i="10" a="1"/>
  <c r="J160" i="10" s="1"/>
  <c r="J161" i="10" a="1"/>
  <c r="J161" i="10" s="1"/>
  <c r="J162" i="10" a="1"/>
  <c r="J162" i="10" s="1"/>
  <c r="J163" i="10" a="1"/>
  <c r="J163" i="10" s="1"/>
  <c r="J164" i="10" a="1"/>
  <c r="J164" i="10" s="1"/>
  <c r="J165" i="10" a="1"/>
  <c r="J165" i="10" s="1"/>
  <c r="J166" i="10" a="1"/>
  <c r="J166" i="10" s="1"/>
  <c r="J167" i="10" a="1"/>
  <c r="J167" i="10" s="1"/>
  <c r="J168" i="10" a="1"/>
  <c r="J168" i="10" s="1"/>
  <c r="J169" i="10" a="1"/>
  <c r="J169" i="10" s="1"/>
  <c r="J170" i="10" a="1"/>
  <c r="J170" i="10" s="1"/>
  <c r="J171" i="10" a="1"/>
  <c r="J171" i="10" s="1"/>
  <c r="J172" i="10" a="1"/>
  <c r="J172" i="10" s="1"/>
  <c r="J173" i="10" a="1"/>
  <c r="J173" i="10" s="1"/>
  <c r="J174" i="10" a="1"/>
  <c r="J174" i="10" s="1"/>
  <c r="J175" i="10" a="1"/>
  <c r="J175" i="10" s="1"/>
  <c r="J176" i="10" a="1"/>
  <c r="J176" i="10" s="1"/>
  <c r="J177" i="10" a="1"/>
  <c r="J177" i="10" s="1"/>
  <c r="J178" i="10" a="1"/>
  <c r="J178" i="10" s="1"/>
  <c r="J179" i="10" a="1"/>
  <c r="J179" i="10" s="1"/>
  <c r="J180" i="10" a="1"/>
  <c r="J180" i="10" s="1"/>
  <c r="J181" i="10" a="1"/>
  <c r="J181" i="10" s="1"/>
  <c r="J182" i="10" a="1"/>
  <c r="J182" i="10" s="1"/>
  <c r="J183" i="10" a="1"/>
  <c r="J183" i="10" s="1"/>
  <c r="J184" i="10" a="1"/>
  <c r="J184" i="10" s="1"/>
  <c r="J185" i="10" a="1"/>
  <c r="J185" i="10" s="1"/>
  <c r="J186" i="10" a="1"/>
  <c r="J186" i="10" s="1"/>
  <c r="J187" i="10" a="1"/>
  <c r="J187" i="10" s="1"/>
  <c r="J188" i="10" a="1"/>
  <c r="J188" i="10" s="1"/>
  <c r="J189" i="10" a="1"/>
  <c r="J189" i="10" s="1"/>
  <c r="J190" i="10" a="1"/>
  <c r="J190" i="10" s="1"/>
  <c r="J191" i="10" a="1"/>
  <c r="J191" i="10" s="1"/>
  <c r="J192" i="10" a="1"/>
  <c r="J192" i="10" s="1"/>
  <c r="J193" i="10" a="1"/>
  <c r="J193" i="10" s="1"/>
  <c r="J194" i="10" a="1"/>
  <c r="J194" i="10" s="1"/>
  <c r="J195" i="10" a="1"/>
  <c r="J195" i="10" s="1"/>
  <c r="J196" i="10" a="1"/>
  <c r="J196" i="10" s="1"/>
  <c r="J197" i="10" a="1"/>
  <c r="J197" i="10" s="1"/>
  <c r="J198" i="10" a="1"/>
  <c r="J198" i="10" s="1"/>
  <c r="J199" i="10" a="1"/>
  <c r="J199" i="10" s="1"/>
  <c r="J200" i="10" a="1"/>
  <c r="J200" i="10" s="1"/>
  <c r="J201" i="10" a="1"/>
  <c r="J201" i="10" s="1"/>
  <c r="J202" i="10" a="1"/>
  <c r="J202" i="10" s="1"/>
  <c r="J203" i="10" a="1"/>
  <c r="J203" i="10" s="1"/>
  <c r="J204" i="10" a="1"/>
  <c r="J204" i="10" s="1"/>
  <c r="J205" i="10" a="1"/>
  <c r="J205" i="10" s="1"/>
  <c r="J206" i="10" a="1"/>
  <c r="J206" i="10" s="1"/>
  <c r="J207" i="10" a="1"/>
  <c r="J207" i="10" s="1"/>
  <c r="J208" i="10" a="1"/>
  <c r="J208" i="10" s="1"/>
  <c r="J209" i="10" a="1"/>
  <c r="J209" i="10" s="1"/>
  <c r="J210" i="10" a="1"/>
  <c r="J210" i="10" s="1"/>
  <c r="J211" i="10" a="1"/>
  <c r="J211" i="10" s="1"/>
  <c r="J212" i="10" a="1"/>
  <c r="J212" i="10" s="1"/>
  <c r="J213" i="10" a="1"/>
  <c r="J213" i="10" s="1"/>
  <c r="J214" i="10" a="1"/>
  <c r="J214" i="10" s="1"/>
  <c r="J215" i="10" a="1"/>
  <c r="J215" i="10" s="1"/>
  <c r="J216" i="10" a="1"/>
  <c r="J216" i="10" s="1"/>
  <c r="J217" i="10" a="1"/>
  <c r="J217" i="10" s="1"/>
  <c r="J218" i="10" a="1"/>
  <c r="J218" i="10" s="1"/>
  <c r="J219" i="10" a="1"/>
  <c r="J219" i="10" s="1"/>
  <c r="J220" i="10" a="1"/>
  <c r="J220" i="10" s="1"/>
  <c r="J221" i="10" a="1"/>
  <c r="J221" i="10" s="1"/>
  <c r="J222" i="10" a="1"/>
  <c r="J222" i="10" s="1"/>
  <c r="J223" i="10" a="1"/>
  <c r="J223" i="10" s="1"/>
  <c r="J224" i="10" a="1"/>
  <c r="J224" i="10" s="1"/>
  <c r="J225" i="10" a="1"/>
  <c r="J225" i="10" s="1"/>
  <c r="J226" i="10" a="1"/>
  <c r="J226" i="10" s="1"/>
  <c r="J227" i="10" a="1"/>
  <c r="J227" i="10" s="1"/>
  <c r="J228" i="10" a="1"/>
  <c r="J228" i="10" s="1"/>
  <c r="J229" i="10" a="1"/>
  <c r="J229" i="10" s="1"/>
  <c r="J230" i="10" a="1"/>
  <c r="J230" i="10" s="1"/>
  <c r="J231" i="10" a="1"/>
  <c r="J231" i="10" s="1"/>
  <c r="J232" i="10" a="1"/>
  <c r="J232" i="10" s="1"/>
  <c r="J233" i="10" a="1"/>
  <c r="J233" i="10" s="1"/>
  <c r="J234" i="10" a="1"/>
  <c r="J234" i="10" s="1"/>
  <c r="J235" i="10" a="1"/>
  <c r="J235" i="10" s="1"/>
  <c r="J236" i="10" a="1"/>
  <c r="J236" i="10" s="1"/>
  <c r="J237" i="10" a="1"/>
  <c r="J237" i="10" s="1"/>
  <c r="J238" i="10" a="1"/>
  <c r="J238" i="10" s="1"/>
  <c r="J239" i="10" a="1"/>
  <c r="J239" i="10" s="1"/>
  <c r="J240" i="10" a="1"/>
  <c r="J240" i="10" s="1"/>
  <c r="J241" i="10" a="1"/>
  <c r="J241" i="10" s="1"/>
  <c r="J242" i="10" a="1"/>
  <c r="J242" i="10" s="1"/>
  <c r="J243" i="10" a="1"/>
  <c r="J243" i="10" s="1"/>
  <c r="J244" i="10" a="1"/>
  <c r="J244" i="10" s="1"/>
  <c r="J245" i="10" a="1"/>
  <c r="J245" i="10" s="1"/>
  <c r="J246" i="10" a="1"/>
  <c r="J246" i="10" s="1"/>
  <c r="J247" i="10" a="1"/>
  <c r="J247" i="10" s="1"/>
  <c r="J248" i="10" a="1"/>
  <c r="J248" i="10" s="1"/>
  <c r="J249" i="10" a="1"/>
  <c r="J249" i="10" s="1"/>
  <c r="J250" i="10" a="1"/>
  <c r="J250" i="10" s="1"/>
  <c r="J251" i="10" a="1"/>
  <c r="J251" i="10" s="1"/>
  <c r="J252" i="10" a="1"/>
  <c r="J252" i="10" s="1"/>
  <c r="J253" i="10" a="1"/>
  <c r="J253" i="10" s="1"/>
  <c r="J254" i="10" a="1"/>
  <c r="J254" i="10" s="1"/>
  <c r="J255" i="10" a="1"/>
  <c r="J255" i="10" s="1"/>
  <c r="J3" i="10" a="1"/>
  <c r="J3" i="10" s="1"/>
  <c r="J4" i="10" a="1"/>
  <c r="J4" i="10" s="1"/>
  <c r="J5" i="10" a="1"/>
  <c r="J5" i="10" s="1"/>
  <c r="J6" i="10" a="1"/>
  <c r="J6" i="10" s="1"/>
  <c r="J7" i="10" a="1"/>
  <c r="J7" i="10" s="1"/>
  <c r="J8" i="10" a="1"/>
  <c r="J8" i="10" s="1"/>
  <c r="J9" i="10" a="1"/>
  <c r="J9" i="10" s="1"/>
  <c r="J10" i="10" a="1"/>
  <c r="J10" i="10" s="1"/>
  <c r="J11" i="10" a="1"/>
  <c r="J11" i="10" s="1"/>
  <c r="J12" i="10" a="1"/>
  <c r="J12" i="10" s="1"/>
  <c r="J13" i="10" a="1"/>
  <c r="J13" i="10" s="1"/>
  <c r="J14" i="10" a="1"/>
  <c r="J14" i="10" s="1"/>
  <c r="J15" i="10" a="1"/>
  <c r="J15" i="10" s="1"/>
  <c r="J16" i="10" a="1"/>
  <c r="J16" i="10" s="1"/>
  <c r="J17" i="10" a="1"/>
  <c r="J17" i="10" s="1"/>
  <c r="J18" i="10" a="1"/>
  <c r="J18" i="10" s="1"/>
  <c r="J19" i="10" a="1"/>
  <c r="J19" i="10" s="1"/>
  <c r="J20" i="10" a="1"/>
  <c r="J20" i="10" s="1"/>
  <c r="J2" i="10" a="1"/>
  <c r="J2" i="10" s="1"/>
  <c r="K8" i="8" a="1"/>
  <c r="K8" i="8" s="1"/>
  <c r="K9" i="8" a="1"/>
  <c r="K9" i="8" s="1"/>
  <c r="K10" i="8" a="1"/>
  <c r="K10" i="8" s="1"/>
  <c r="K11" i="8" a="1"/>
  <c r="K11" i="8" s="1"/>
  <c r="K12" i="8" a="1"/>
  <c r="K12" i="8" s="1"/>
  <c r="K13" i="8" a="1"/>
  <c r="K13" i="8" s="1"/>
  <c r="K14" i="8" a="1"/>
  <c r="K14" i="8" s="1"/>
  <c r="K15" i="8" a="1"/>
  <c r="K15" i="8" s="1"/>
  <c r="K16" i="8" a="1"/>
  <c r="K16" i="8" s="1"/>
  <c r="K17" i="8" a="1"/>
  <c r="K17" i="8" s="1"/>
  <c r="K18" i="8" a="1"/>
  <c r="K18" i="8" s="1"/>
  <c r="K19" i="8" a="1"/>
  <c r="K19" i="8" s="1"/>
  <c r="K20" i="8" a="1"/>
  <c r="K20" i="8" s="1"/>
  <c r="K21" i="8" a="1"/>
  <c r="K21" i="8" s="1"/>
  <c r="K22" i="8" a="1"/>
  <c r="K22" i="8" s="1"/>
  <c r="K23" i="8" a="1"/>
  <c r="K23" i="8" s="1"/>
  <c r="K24" i="8" a="1"/>
  <c r="K24" i="8" s="1"/>
  <c r="K25" i="8" a="1"/>
  <c r="K25" i="8" s="1"/>
  <c r="K26" i="8" a="1"/>
  <c r="K26" i="8" s="1"/>
  <c r="K27" i="8" a="1"/>
  <c r="K27" i="8" s="1"/>
  <c r="K28" i="8" a="1"/>
  <c r="K28" i="8" s="1"/>
  <c r="K29" i="8" a="1"/>
  <c r="K29" i="8" s="1"/>
  <c r="K30" i="8" a="1"/>
  <c r="K30" i="8" s="1"/>
  <c r="K31" i="8" a="1"/>
  <c r="K31" i="8" s="1"/>
  <c r="K32" i="8" a="1"/>
  <c r="K32" i="8" s="1"/>
  <c r="K33" i="8" a="1"/>
  <c r="K33" i="8" s="1"/>
  <c r="K34" i="8" a="1"/>
  <c r="K34" i="8" s="1"/>
  <c r="K35" i="8" a="1"/>
  <c r="K35" i="8" s="1"/>
  <c r="K36" i="8" a="1"/>
  <c r="K36" i="8" s="1"/>
  <c r="K37" i="8" a="1"/>
  <c r="K37" i="8" s="1"/>
  <c r="K38" i="8" a="1"/>
  <c r="K38" i="8" s="1"/>
  <c r="K39" i="8" a="1"/>
  <c r="K39" i="8" s="1"/>
  <c r="K40" i="8" a="1"/>
  <c r="K40" i="8" s="1"/>
  <c r="K41" i="8" a="1"/>
  <c r="K41" i="8" s="1"/>
  <c r="K42" i="8" a="1"/>
  <c r="K42" i="8" s="1"/>
  <c r="K43" i="8" a="1"/>
  <c r="K43" i="8" s="1"/>
  <c r="K44" i="8" a="1"/>
  <c r="K44" i="8" s="1"/>
  <c r="K45" i="8" a="1"/>
  <c r="K45" i="8" s="1"/>
  <c r="K46" i="8" a="1"/>
  <c r="K46" i="8" s="1"/>
  <c r="K47" i="8" a="1"/>
  <c r="K47" i="8" s="1"/>
  <c r="K48" i="8" a="1"/>
  <c r="K48" i="8" s="1"/>
  <c r="K49" i="8" a="1"/>
  <c r="K49" i="8" s="1"/>
  <c r="K50" i="8" a="1"/>
  <c r="K50" i="8" s="1"/>
  <c r="K51" i="8" a="1"/>
  <c r="K51" i="8" s="1"/>
  <c r="K52" i="8" a="1"/>
  <c r="K52" i="8" s="1"/>
  <c r="K53" i="8" a="1"/>
  <c r="K53" i="8" s="1"/>
  <c r="K54" i="8" a="1"/>
  <c r="K54" i="8" s="1"/>
  <c r="K55" i="8" a="1"/>
  <c r="K55" i="8" s="1"/>
  <c r="K56" i="8" a="1"/>
  <c r="K56" i="8" s="1"/>
  <c r="K57" i="8" a="1"/>
  <c r="K57" i="8" s="1"/>
  <c r="K58" i="8" a="1"/>
  <c r="K58" i="8" s="1"/>
  <c r="K59" i="8" a="1"/>
  <c r="K59" i="8" s="1"/>
  <c r="K60" i="8" a="1"/>
  <c r="K60" i="8" s="1"/>
  <c r="K61" i="8" a="1"/>
  <c r="K61" i="8" s="1"/>
  <c r="K62" i="8" a="1"/>
  <c r="K62" i="8" s="1"/>
  <c r="K63" i="8" a="1"/>
  <c r="K63" i="8" s="1"/>
  <c r="K64" i="8" a="1"/>
  <c r="K64" i="8" s="1"/>
  <c r="K65" i="8" a="1"/>
  <c r="K65" i="8" s="1"/>
  <c r="K66" i="8" a="1"/>
  <c r="K66" i="8" s="1"/>
  <c r="K67" i="8" a="1"/>
  <c r="K67" i="8" s="1"/>
  <c r="K68" i="8" a="1"/>
  <c r="K68" i="8" s="1"/>
  <c r="K69" i="8" a="1"/>
  <c r="K69" i="8" s="1"/>
  <c r="K70" i="8" a="1"/>
  <c r="K70" i="8" s="1"/>
  <c r="K71" i="8" a="1"/>
  <c r="K71" i="8" s="1"/>
  <c r="K72" i="8" a="1"/>
  <c r="K72" i="8" s="1"/>
  <c r="K73" i="8" a="1"/>
  <c r="K73" i="8" s="1"/>
  <c r="K74" i="8" a="1"/>
  <c r="K74" i="8" s="1"/>
  <c r="K75" i="8" a="1"/>
  <c r="K75" i="8" s="1"/>
  <c r="K76" i="8" a="1"/>
  <c r="K76" i="8" s="1"/>
  <c r="K77" i="8" a="1"/>
  <c r="K77" i="8" s="1"/>
  <c r="K78" i="8" a="1"/>
  <c r="K78" i="8" s="1"/>
  <c r="K79" i="8" a="1"/>
  <c r="K79" i="8" s="1"/>
  <c r="K80" i="8" a="1"/>
  <c r="K80" i="8" s="1"/>
  <c r="K81" i="8" a="1"/>
  <c r="K81" i="8" s="1"/>
  <c r="K82" i="8" a="1"/>
  <c r="K82" i="8" s="1"/>
  <c r="K83" i="8" a="1"/>
  <c r="K83" i="8" s="1"/>
  <c r="K84" i="8" a="1"/>
  <c r="K84" i="8" s="1"/>
  <c r="K85" i="8" a="1"/>
  <c r="K85" i="8" s="1"/>
  <c r="K86" i="8" a="1"/>
  <c r="K86" i="8" s="1"/>
  <c r="K87" i="8" a="1"/>
  <c r="K87" i="8" s="1"/>
  <c r="K88" i="8" a="1"/>
  <c r="K88" i="8" s="1"/>
  <c r="K89" i="8" a="1"/>
  <c r="K89" i="8" s="1"/>
  <c r="K90" i="8" a="1"/>
  <c r="K90" i="8" s="1"/>
  <c r="K91" i="8" a="1"/>
  <c r="K91" i="8" s="1"/>
  <c r="K92" i="8" a="1"/>
  <c r="K92" i="8" s="1"/>
  <c r="K93" i="8" a="1"/>
  <c r="K93" i="8" s="1"/>
  <c r="K94" i="8" a="1"/>
  <c r="K94" i="8" s="1"/>
  <c r="K95" i="8" a="1"/>
  <c r="K95" i="8" s="1"/>
  <c r="K96" i="8" a="1"/>
  <c r="K96" i="8" s="1"/>
  <c r="K97" i="8" a="1"/>
  <c r="K97" i="8" s="1"/>
  <c r="K98" i="8" a="1"/>
  <c r="K98" i="8" s="1"/>
  <c r="K99" i="8" a="1"/>
  <c r="K99" i="8" s="1"/>
  <c r="K100" i="8" a="1"/>
  <c r="K100" i="8" s="1"/>
  <c r="K101" i="8" a="1"/>
  <c r="K101" i="8" s="1"/>
  <c r="K102" i="8" a="1"/>
  <c r="K102" i="8" s="1"/>
  <c r="K103" i="8" a="1"/>
  <c r="K103" i="8" s="1"/>
  <c r="K104" i="8" a="1"/>
  <c r="K104" i="8" s="1"/>
  <c r="K105" i="8" a="1"/>
  <c r="K105" i="8" s="1"/>
  <c r="K106" i="8" a="1"/>
  <c r="K106" i="8" s="1"/>
  <c r="K107" i="8" a="1"/>
  <c r="K107" i="8" s="1"/>
  <c r="K108" i="8" a="1"/>
  <c r="K108" i="8" s="1"/>
  <c r="K109" i="8" a="1"/>
  <c r="K109" i="8" s="1"/>
  <c r="K110" i="8" a="1"/>
  <c r="K110" i="8" s="1"/>
  <c r="K111" i="8" a="1"/>
  <c r="K111" i="8" s="1"/>
  <c r="K112" i="8" a="1"/>
  <c r="K112" i="8" s="1"/>
  <c r="K113" i="8" a="1"/>
  <c r="K113" i="8" s="1"/>
  <c r="K114" i="8" a="1"/>
  <c r="K114" i="8" s="1"/>
  <c r="K115" i="8" a="1"/>
  <c r="K115" i="8" s="1"/>
  <c r="K116" i="8" a="1"/>
  <c r="K116" i="8" s="1"/>
  <c r="K117" i="8" a="1"/>
  <c r="K117" i="8" s="1"/>
  <c r="K118" i="8" a="1"/>
  <c r="K118" i="8" s="1"/>
  <c r="K119" i="8" a="1"/>
  <c r="K119" i="8" s="1"/>
  <c r="K120" i="8" a="1"/>
  <c r="K120" i="8" s="1"/>
  <c r="K121" i="8" a="1"/>
  <c r="K121" i="8" s="1"/>
  <c r="K122" i="8" a="1"/>
  <c r="K122" i="8" s="1"/>
  <c r="K123" i="8" a="1"/>
  <c r="K123" i="8" s="1"/>
  <c r="K124" i="8" a="1"/>
  <c r="K124" i="8" s="1"/>
  <c r="K125" i="8" a="1"/>
  <c r="K125" i="8" s="1"/>
  <c r="K126" i="8" a="1"/>
  <c r="K126" i="8" s="1"/>
  <c r="K127" i="8" a="1"/>
  <c r="K127" i="8" s="1"/>
  <c r="K128" i="8" a="1"/>
  <c r="K128" i="8" s="1"/>
  <c r="K129" i="8" a="1"/>
  <c r="K129" i="8" s="1"/>
  <c r="K130" i="8" a="1"/>
  <c r="K130" i="8" s="1"/>
  <c r="K131" i="8" a="1"/>
  <c r="K131" i="8" s="1"/>
  <c r="K132" i="8" a="1"/>
  <c r="K132" i="8" s="1"/>
  <c r="K133" i="8" a="1"/>
  <c r="K133" i="8" s="1"/>
  <c r="K134" i="8" a="1"/>
  <c r="K134" i="8" s="1"/>
  <c r="K135" i="8" a="1"/>
  <c r="K135" i="8" s="1"/>
  <c r="K136" i="8" a="1"/>
  <c r="K136" i="8" s="1"/>
  <c r="K137" i="8" a="1"/>
  <c r="K137" i="8" s="1"/>
  <c r="K138" i="8" a="1"/>
  <c r="K138" i="8" s="1"/>
  <c r="K139" i="8" a="1"/>
  <c r="K139" i="8" s="1"/>
  <c r="K140" i="8" a="1"/>
  <c r="K140" i="8" s="1"/>
  <c r="K141" i="8" a="1"/>
  <c r="K141" i="8" s="1"/>
  <c r="K142" i="8" a="1"/>
  <c r="K142" i="8" s="1"/>
  <c r="K143" i="8" a="1"/>
  <c r="K143" i="8" s="1"/>
  <c r="K144" i="8" a="1"/>
  <c r="K144" i="8" s="1"/>
  <c r="K145" i="8" a="1"/>
  <c r="K145" i="8" s="1"/>
  <c r="K146" i="8" a="1"/>
  <c r="K146" i="8" s="1"/>
  <c r="K147" i="8" a="1"/>
  <c r="K147" i="8" s="1"/>
  <c r="K148" i="8" a="1"/>
  <c r="K148" i="8" s="1"/>
  <c r="K149" i="8" a="1"/>
  <c r="K149" i="8" s="1"/>
  <c r="K150" i="8" a="1"/>
  <c r="K150" i="8" s="1"/>
  <c r="K151" i="8" a="1"/>
  <c r="K151" i="8" s="1"/>
  <c r="K152" i="8" a="1"/>
  <c r="K152" i="8" s="1"/>
  <c r="K153" i="8" a="1"/>
  <c r="K153" i="8" s="1"/>
  <c r="K154" i="8" a="1"/>
  <c r="K154" i="8" s="1"/>
  <c r="K155" i="8" a="1"/>
  <c r="K155" i="8" s="1"/>
  <c r="K156" i="8" a="1"/>
  <c r="K156" i="8" s="1"/>
  <c r="K157" i="8" a="1"/>
  <c r="K157" i="8" s="1"/>
  <c r="K158" i="8" a="1"/>
  <c r="K158" i="8" s="1"/>
  <c r="K159" i="8" a="1"/>
  <c r="K159" i="8" s="1"/>
  <c r="K160" i="8" a="1"/>
  <c r="K160" i="8" s="1"/>
  <c r="K161" i="8" a="1"/>
  <c r="K161" i="8" s="1"/>
  <c r="K162" i="8" a="1"/>
  <c r="K162" i="8" s="1"/>
  <c r="K163" i="8" a="1"/>
  <c r="K163" i="8" s="1"/>
  <c r="K164" i="8" a="1"/>
  <c r="K164" i="8" s="1"/>
  <c r="K165" i="8" a="1"/>
  <c r="K165" i="8" s="1"/>
  <c r="K166" i="8" a="1"/>
  <c r="K166" i="8" s="1"/>
  <c r="K167" i="8" a="1"/>
  <c r="K167" i="8" s="1"/>
  <c r="K168" i="8" a="1"/>
  <c r="K168" i="8" s="1"/>
  <c r="K169" i="8" a="1"/>
  <c r="K169" i="8" s="1"/>
  <c r="K170" i="8" a="1"/>
  <c r="K170" i="8" s="1"/>
  <c r="K171" i="8" a="1"/>
  <c r="K171" i="8" s="1"/>
  <c r="K172" i="8" a="1"/>
  <c r="K172" i="8" s="1"/>
  <c r="K173" i="8" a="1"/>
  <c r="K173" i="8" s="1"/>
  <c r="K174" i="8" a="1"/>
  <c r="K174" i="8" s="1"/>
  <c r="K175" i="8" a="1"/>
  <c r="K175" i="8" s="1"/>
  <c r="K176" i="8" a="1"/>
  <c r="K176" i="8" s="1"/>
  <c r="K177" i="8" a="1"/>
  <c r="K177" i="8" s="1"/>
  <c r="K178" i="8" a="1"/>
  <c r="K178" i="8" s="1"/>
  <c r="K179" i="8" a="1"/>
  <c r="K179" i="8" s="1"/>
  <c r="K180" i="8" a="1"/>
  <c r="K180" i="8" s="1"/>
  <c r="K181" i="8" a="1"/>
  <c r="K181" i="8" s="1"/>
  <c r="K182" i="8" a="1"/>
  <c r="K182" i="8" s="1"/>
  <c r="K183" i="8" a="1"/>
  <c r="K183" i="8" s="1"/>
  <c r="K184" i="8" a="1"/>
  <c r="K184" i="8" s="1"/>
  <c r="K185" i="8" a="1"/>
  <c r="K185" i="8" s="1"/>
  <c r="K186" i="8" a="1"/>
  <c r="K186" i="8" s="1"/>
  <c r="K187" i="8" a="1"/>
  <c r="K187" i="8" s="1"/>
  <c r="K188" i="8" a="1"/>
  <c r="K188" i="8" s="1"/>
  <c r="K189" i="8" a="1"/>
  <c r="K189" i="8" s="1"/>
  <c r="K190" i="8" a="1"/>
  <c r="K190" i="8" s="1"/>
  <c r="K191" i="8" a="1"/>
  <c r="K191" i="8" s="1"/>
  <c r="K192" i="8" a="1"/>
  <c r="K192" i="8" s="1"/>
  <c r="K193" i="8" a="1"/>
  <c r="K193" i="8" s="1"/>
  <c r="K194" i="8" a="1"/>
  <c r="K194" i="8" s="1"/>
  <c r="K195" i="8" a="1"/>
  <c r="K195" i="8" s="1"/>
  <c r="K196" i="8" a="1"/>
  <c r="K196" i="8" s="1"/>
  <c r="K197" i="8" a="1"/>
  <c r="K197" i="8" s="1"/>
  <c r="K198" i="8" a="1"/>
  <c r="K198" i="8" s="1"/>
  <c r="K199" i="8" a="1"/>
  <c r="K199" i="8" s="1"/>
  <c r="K200" i="8" a="1"/>
  <c r="K200" i="8" s="1"/>
  <c r="K201" i="8" a="1"/>
  <c r="K201" i="8" s="1"/>
  <c r="K202" i="8" a="1"/>
  <c r="K202" i="8" s="1"/>
  <c r="K203" i="8" a="1"/>
  <c r="K203" i="8" s="1"/>
  <c r="K204" i="8" a="1"/>
  <c r="K204" i="8" s="1"/>
  <c r="K205" i="8" a="1"/>
  <c r="K205" i="8" s="1"/>
  <c r="K206" i="8" a="1"/>
  <c r="K206" i="8" s="1"/>
  <c r="K207" i="8" a="1"/>
  <c r="K207" i="8" s="1"/>
  <c r="K208" i="8" a="1"/>
  <c r="K208" i="8" s="1"/>
  <c r="K209" i="8" a="1"/>
  <c r="K209" i="8" s="1"/>
  <c r="K210" i="8" a="1"/>
  <c r="K210" i="8" s="1"/>
  <c r="K211" i="8" a="1"/>
  <c r="K211" i="8" s="1"/>
  <c r="K212" i="8" a="1"/>
  <c r="K212" i="8" s="1"/>
  <c r="K213" i="8" a="1"/>
  <c r="K213" i="8" s="1"/>
  <c r="K214" i="8" a="1"/>
  <c r="K214" i="8" s="1"/>
  <c r="K215" i="8" a="1"/>
  <c r="K215" i="8" s="1"/>
  <c r="K216" i="8" a="1"/>
  <c r="K216" i="8" s="1"/>
  <c r="K217" i="8" a="1"/>
  <c r="K217" i="8" s="1"/>
  <c r="K218" i="8" a="1"/>
  <c r="K218" i="8" s="1"/>
  <c r="K219" i="8" a="1"/>
  <c r="K219" i="8" s="1"/>
  <c r="K220" i="8" a="1"/>
  <c r="K220" i="8" s="1"/>
  <c r="K221" i="8" a="1"/>
  <c r="K221" i="8" s="1"/>
  <c r="K222" i="8" a="1"/>
  <c r="K222" i="8" s="1"/>
  <c r="K223" i="8" a="1"/>
  <c r="K223" i="8" s="1"/>
  <c r="K224" i="8" a="1"/>
  <c r="K224" i="8" s="1"/>
  <c r="K225" i="8" a="1"/>
  <c r="K225" i="8" s="1"/>
  <c r="K226" i="8" a="1"/>
  <c r="K226" i="8" s="1"/>
  <c r="K227" i="8" a="1"/>
  <c r="K227" i="8" s="1"/>
  <c r="K228" i="8" a="1"/>
  <c r="K228" i="8" s="1"/>
  <c r="K229" i="8" a="1"/>
  <c r="K229" i="8" s="1"/>
  <c r="K279" i="8" a="1"/>
  <c r="K279" i="8" s="1"/>
  <c r="K280" i="8" a="1"/>
  <c r="K280" i="8" s="1"/>
  <c r="K281" i="8" a="1"/>
  <c r="K281" i="8" s="1"/>
  <c r="K282" i="8" a="1"/>
  <c r="K282" i="8" s="1"/>
  <c r="K283" i="8" a="1"/>
  <c r="K283" i="8" s="1"/>
  <c r="K284" i="8" a="1"/>
  <c r="K284" i="8" s="1"/>
  <c r="K285" i="8" a="1"/>
  <c r="K285" i="8" s="1"/>
  <c r="K286" i="8" a="1"/>
  <c r="K286" i="8" s="1"/>
  <c r="K287" i="8" a="1"/>
  <c r="K287" i="8" s="1"/>
  <c r="K288" i="8" a="1"/>
  <c r="K288" i="8" s="1"/>
  <c r="K289" i="8" a="1"/>
  <c r="K289" i="8" s="1"/>
  <c r="K290" i="8" a="1"/>
  <c r="K290" i="8" s="1"/>
  <c r="K291" i="8" a="1"/>
  <c r="K291" i="8" s="1"/>
  <c r="K292" i="8" a="1"/>
  <c r="K292" i="8" s="1"/>
  <c r="K293" i="8" a="1"/>
  <c r="K293" i="8" s="1"/>
  <c r="K294" i="8" a="1"/>
  <c r="K294" i="8" s="1"/>
  <c r="K295" i="8" a="1"/>
  <c r="K295" i="8" s="1"/>
  <c r="K296" i="8" a="1"/>
  <c r="K296" i="8" s="1"/>
  <c r="K297" i="8" a="1"/>
  <c r="K297" i="8" s="1"/>
  <c r="K298" i="8" a="1"/>
  <c r="K298" i="8" s="1"/>
  <c r="K299" i="8" a="1"/>
  <c r="K299" i="8" s="1"/>
  <c r="K300" i="8" a="1"/>
  <c r="K300" i="8" s="1"/>
  <c r="K301" i="8" a="1"/>
  <c r="K301" i="8" s="1"/>
  <c r="K302" i="8" a="1"/>
  <c r="K302" i="8" s="1"/>
  <c r="K303" i="8" a="1"/>
  <c r="K303" i="8" s="1"/>
  <c r="K304" i="8" a="1"/>
  <c r="K304" i="8" s="1"/>
  <c r="K305" i="8" a="1"/>
  <c r="K305" i="8" s="1"/>
  <c r="K306" i="8" a="1"/>
  <c r="K306" i="8" s="1"/>
  <c r="K307" i="8" a="1"/>
  <c r="K307" i="8" s="1"/>
  <c r="K308" i="8" a="1"/>
  <c r="K308" i="8" s="1"/>
  <c r="K309" i="8" a="1"/>
  <c r="K309" i="8" s="1"/>
  <c r="K310" i="8" a="1"/>
  <c r="K310" i="8" s="1"/>
  <c r="K311" i="8" a="1"/>
  <c r="K311" i="8" s="1"/>
  <c r="K312" i="8" a="1"/>
  <c r="K312" i="8" s="1"/>
  <c r="K313" i="8" a="1"/>
  <c r="K313" i="8" s="1"/>
  <c r="K314" i="8" a="1"/>
  <c r="K314" i="8" s="1"/>
  <c r="K315" i="8" a="1"/>
  <c r="K315" i="8" s="1"/>
  <c r="K316" i="8" a="1"/>
  <c r="K316" i="8" s="1"/>
  <c r="K317" i="8" a="1"/>
  <c r="K317" i="8" s="1"/>
  <c r="K318" i="8" a="1"/>
  <c r="K318" i="8" s="1"/>
  <c r="K319" i="8" a="1"/>
  <c r="K319" i="8" s="1"/>
  <c r="K320" i="8" a="1"/>
  <c r="K320" i="8" s="1"/>
  <c r="K321" i="8" a="1"/>
  <c r="K321" i="8" s="1"/>
  <c r="K322" i="8" a="1"/>
  <c r="K322" i="8" s="1"/>
  <c r="K323" i="8" a="1"/>
  <c r="K323" i="8" s="1"/>
  <c r="K324" i="8" a="1"/>
  <c r="K324" i="8" s="1"/>
  <c r="K325" i="8" a="1"/>
  <c r="K325" i="8" s="1"/>
  <c r="K326" i="8" a="1"/>
  <c r="K326" i="8" s="1"/>
  <c r="K327" i="8" a="1"/>
  <c r="K327" i="8" s="1"/>
  <c r="K328" i="8" a="1"/>
  <c r="K328" i="8" s="1"/>
  <c r="K329" i="8" a="1"/>
  <c r="K329" i="8" s="1"/>
  <c r="K330" i="8" a="1"/>
  <c r="K330" i="8" s="1"/>
  <c r="K331" i="8" a="1"/>
  <c r="K331" i="8" s="1"/>
  <c r="K332" i="8" a="1"/>
  <c r="K332" i="8" s="1"/>
  <c r="K333" i="8" a="1"/>
  <c r="K333" i="8" s="1"/>
  <c r="K334" i="8" a="1"/>
  <c r="K334" i="8" s="1"/>
  <c r="K335" i="8" a="1"/>
  <c r="K335" i="8" s="1"/>
  <c r="K336" i="8" a="1"/>
  <c r="K336" i="8" s="1"/>
  <c r="K337" i="8" a="1"/>
  <c r="K337" i="8" s="1"/>
  <c r="K338" i="8" a="1"/>
  <c r="K338" i="8" s="1"/>
  <c r="J8" i="8" a="1"/>
  <c r="J8" i="8" s="1"/>
  <c r="J9" i="8" a="1"/>
  <c r="J9" i="8" s="1"/>
  <c r="J10" i="8" a="1"/>
  <c r="J10" i="8" s="1"/>
  <c r="J11" i="8" a="1"/>
  <c r="J11" i="8" s="1"/>
  <c r="J12" i="8" a="1"/>
  <c r="J12" i="8" s="1"/>
  <c r="J13" i="8" a="1"/>
  <c r="J13" i="8" s="1"/>
  <c r="J14" i="8" a="1"/>
  <c r="J14" i="8" s="1"/>
  <c r="J15" i="8" a="1"/>
  <c r="J15" i="8" s="1"/>
  <c r="J16" i="8" a="1"/>
  <c r="J16" i="8" s="1"/>
  <c r="J17" i="8" a="1"/>
  <c r="J17" i="8" s="1"/>
  <c r="J18" i="8" a="1"/>
  <c r="J18" i="8" s="1"/>
  <c r="J19" i="8" a="1"/>
  <c r="J19" i="8" s="1"/>
  <c r="J20" i="8" a="1"/>
  <c r="J20" i="8" s="1"/>
  <c r="J21" i="8" a="1"/>
  <c r="J21" i="8" s="1"/>
  <c r="J22" i="8" a="1"/>
  <c r="J22" i="8" s="1"/>
  <c r="J23" i="8" a="1"/>
  <c r="J23" i="8" s="1"/>
  <c r="J24" i="8" a="1"/>
  <c r="J24" i="8" s="1"/>
  <c r="J25" i="8" a="1"/>
  <c r="J25" i="8" s="1"/>
  <c r="J26" i="8" a="1"/>
  <c r="J26" i="8" s="1"/>
  <c r="J27" i="8" a="1"/>
  <c r="J27" i="8" s="1"/>
  <c r="J28" i="8" a="1"/>
  <c r="J28" i="8" s="1"/>
  <c r="J29" i="8" a="1"/>
  <c r="J29" i="8" s="1"/>
  <c r="J30" i="8" a="1"/>
  <c r="J30" i="8" s="1"/>
  <c r="J31" i="8" a="1"/>
  <c r="J31" i="8" s="1"/>
  <c r="J32" i="8" a="1"/>
  <c r="J32" i="8" s="1"/>
  <c r="J33" i="8" a="1"/>
  <c r="J33" i="8" s="1"/>
  <c r="J34" i="8" a="1"/>
  <c r="J34" i="8" s="1"/>
  <c r="J35" i="8" a="1"/>
  <c r="J35" i="8" s="1"/>
  <c r="J36" i="8" a="1"/>
  <c r="J36" i="8" s="1"/>
  <c r="J37" i="8" a="1"/>
  <c r="J37" i="8" s="1"/>
  <c r="J38" i="8" a="1"/>
  <c r="J38" i="8" s="1"/>
  <c r="J39" i="8" a="1"/>
  <c r="J39" i="8" s="1"/>
  <c r="J40" i="8" a="1"/>
  <c r="J40" i="8" s="1"/>
  <c r="J41" i="8" a="1"/>
  <c r="J41" i="8" s="1"/>
  <c r="J42" i="8" a="1"/>
  <c r="J42" i="8" s="1"/>
  <c r="J43" i="8" a="1"/>
  <c r="J43" i="8" s="1"/>
  <c r="J44" i="8" a="1"/>
  <c r="J44" i="8" s="1"/>
  <c r="J45" i="8" a="1"/>
  <c r="J45" i="8" s="1"/>
  <c r="J46" i="8" a="1"/>
  <c r="J46" i="8" s="1"/>
  <c r="J47" i="8" a="1"/>
  <c r="J47" i="8" s="1"/>
  <c r="J48" i="8" a="1"/>
  <c r="J48" i="8" s="1"/>
  <c r="J49" i="8" a="1"/>
  <c r="J49" i="8" s="1"/>
  <c r="J50" i="8" a="1"/>
  <c r="J50" i="8" s="1"/>
  <c r="J51" i="8" a="1"/>
  <c r="J51" i="8" s="1"/>
  <c r="J52" i="8" a="1"/>
  <c r="J52" i="8" s="1"/>
  <c r="J53" i="8" a="1"/>
  <c r="J53" i="8" s="1"/>
  <c r="J54" i="8" a="1"/>
  <c r="J54" i="8" s="1"/>
  <c r="J55" i="8" a="1"/>
  <c r="J55" i="8" s="1"/>
  <c r="J56" i="8" a="1"/>
  <c r="J56" i="8" s="1"/>
  <c r="J57" i="8" a="1"/>
  <c r="J57" i="8" s="1"/>
  <c r="J58" i="8" a="1"/>
  <c r="J58" i="8" s="1"/>
  <c r="J59" i="8" a="1"/>
  <c r="J59" i="8" s="1"/>
  <c r="J60" i="8" a="1"/>
  <c r="J60" i="8" s="1"/>
  <c r="J61" i="8" a="1"/>
  <c r="J61" i="8" s="1"/>
  <c r="J62" i="8" a="1"/>
  <c r="J62" i="8" s="1"/>
  <c r="J63" i="8" a="1"/>
  <c r="J63" i="8" s="1"/>
  <c r="J64" i="8" a="1"/>
  <c r="J64" i="8" s="1"/>
  <c r="J65" i="8" a="1"/>
  <c r="J65" i="8" s="1"/>
  <c r="J66" i="8" a="1"/>
  <c r="J66" i="8" s="1"/>
  <c r="J67" i="8" a="1"/>
  <c r="J67" i="8" s="1"/>
  <c r="J68" i="8" a="1"/>
  <c r="J68" i="8" s="1"/>
  <c r="J69" i="8" a="1"/>
  <c r="J69" i="8" s="1"/>
  <c r="J70" i="8" a="1"/>
  <c r="J70" i="8" s="1"/>
  <c r="J71" i="8" a="1"/>
  <c r="J71" i="8" s="1"/>
  <c r="J72" i="8" a="1"/>
  <c r="J72" i="8" s="1"/>
  <c r="J73" i="8" a="1"/>
  <c r="J73" i="8" s="1"/>
  <c r="J74" i="8" a="1"/>
  <c r="J74" i="8" s="1"/>
  <c r="J75" i="8" a="1"/>
  <c r="J75" i="8" s="1"/>
  <c r="J76" i="8" a="1"/>
  <c r="J76" i="8" s="1"/>
  <c r="J77" i="8" a="1"/>
  <c r="J77" i="8" s="1"/>
  <c r="J78" i="8" a="1"/>
  <c r="J78" i="8" s="1"/>
  <c r="J79" i="8" a="1"/>
  <c r="J79" i="8" s="1"/>
  <c r="J80" i="8" a="1"/>
  <c r="J80" i="8" s="1"/>
  <c r="J81" i="8" a="1"/>
  <c r="J81" i="8" s="1"/>
  <c r="J82" i="8" a="1"/>
  <c r="J82" i="8" s="1"/>
  <c r="J83" i="8" a="1"/>
  <c r="J83" i="8" s="1"/>
  <c r="J84" i="8" a="1"/>
  <c r="J84" i="8" s="1"/>
  <c r="J85" i="8" a="1"/>
  <c r="J85" i="8" s="1"/>
  <c r="J86" i="8" a="1"/>
  <c r="J86" i="8" s="1"/>
  <c r="J87" i="8" a="1"/>
  <c r="J87" i="8" s="1"/>
  <c r="J88" i="8" a="1"/>
  <c r="J88" i="8" s="1"/>
  <c r="J89" i="8" a="1"/>
  <c r="J89" i="8" s="1"/>
  <c r="J90" i="8" a="1"/>
  <c r="J90" i="8" s="1"/>
  <c r="J91" i="8" a="1"/>
  <c r="J91" i="8" s="1"/>
  <c r="J92" i="8" a="1"/>
  <c r="J92" i="8" s="1"/>
  <c r="J93" i="8" a="1"/>
  <c r="J93" i="8" s="1"/>
  <c r="J94" i="8" a="1"/>
  <c r="J94" i="8" s="1"/>
  <c r="J95" i="8" a="1"/>
  <c r="J95" i="8" s="1"/>
  <c r="J96" i="8" a="1"/>
  <c r="J96" i="8" s="1"/>
  <c r="J97" i="8" a="1"/>
  <c r="J97" i="8" s="1"/>
  <c r="J98" i="8" a="1"/>
  <c r="J98" i="8" s="1"/>
  <c r="J99" i="8" a="1"/>
  <c r="J99" i="8" s="1"/>
  <c r="J100" i="8" a="1"/>
  <c r="J100" i="8" s="1"/>
  <c r="J101" i="8" a="1"/>
  <c r="J101" i="8" s="1"/>
  <c r="J102" i="8" a="1"/>
  <c r="J102" i="8" s="1"/>
  <c r="J103" i="8" a="1"/>
  <c r="J103" i="8" s="1"/>
  <c r="J104" i="8" a="1"/>
  <c r="J104" i="8" s="1"/>
  <c r="J105" i="8" a="1"/>
  <c r="J105" i="8" s="1"/>
  <c r="J106" i="8" a="1"/>
  <c r="J106" i="8" s="1"/>
  <c r="J107" i="8" a="1"/>
  <c r="J107" i="8" s="1"/>
  <c r="J108" i="8" a="1"/>
  <c r="J108" i="8" s="1"/>
  <c r="J109" i="8" a="1"/>
  <c r="J109" i="8" s="1"/>
  <c r="J110" i="8" a="1"/>
  <c r="J110" i="8" s="1"/>
  <c r="J111" i="8" a="1"/>
  <c r="J111" i="8" s="1"/>
  <c r="J112" i="8" a="1"/>
  <c r="J112" i="8" s="1"/>
  <c r="J113" i="8" a="1"/>
  <c r="J113" i="8" s="1"/>
  <c r="J114" i="8" a="1"/>
  <c r="J114" i="8" s="1"/>
  <c r="J115" i="8" a="1"/>
  <c r="J115" i="8" s="1"/>
  <c r="J116" i="8" a="1"/>
  <c r="J116" i="8" s="1"/>
  <c r="J117" i="8" a="1"/>
  <c r="J117" i="8" s="1"/>
  <c r="J118" i="8" a="1"/>
  <c r="J118" i="8" s="1"/>
  <c r="J119" i="8" a="1"/>
  <c r="J119" i="8" s="1"/>
  <c r="J120" i="8" a="1"/>
  <c r="J120" i="8" s="1"/>
  <c r="J121" i="8" a="1"/>
  <c r="J121" i="8" s="1"/>
  <c r="J122" i="8" a="1"/>
  <c r="J122" i="8" s="1"/>
  <c r="J123" i="8" a="1"/>
  <c r="J123" i="8" s="1"/>
  <c r="J124" i="8" a="1"/>
  <c r="J124" i="8" s="1"/>
  <c r="J125" i="8" a="1"/>
  <c r="J125" i="8" s="1"/>
  <c r="J126" i="8" a="1"/>
  <c r="J126" i="8" s="1"/>
  <c r="J127" i="8" a="1"/>
  <c r="J127" i="8" s="1"/>
  <c r="J128" i="8" a="1"/>
  <c r="J128" i="8" s="1"/>
  <c r="J129" i="8" a="1"/>
  <c r="J129" i="8" s="1"/>
  <c r="J130" i="8" a="1"/>
  <c r="J130" i="8" s="1"/>
  <c r="J131" i="8" a="1"/>
  <c r="J131" i="8" s="1"/>
  <c r="J132" i="8" a="1"/>
  <c r="J132" i="8" s="1"/>
  <c r="J133" i="8" a="1"/>
  <c r="J133" i="8" s="1"/>
  <c r="J134" i="8" a="1"/>
  <c r="J134" i="8" s="1"/>
  <c r="J135" i="8" a="1"/>
  <c r="J135" i="8" s="1"/>
  <c r="J136" i="8" a="1"/>
  <c r="J136" i="8" s="1"/>
  <c r="J137" i="8" a="1"/>
  <c r="J137" i="8" s="1"/>
  <c r="J138" i="8" a="1"/>
  <c r="J138" i="8" s="1"/>
  <c r="J139" i="8" a="1"/>
  <c r="J139" i="8" s="1"/>
  <c r="J140" i="8" a="1"/>
  <c r="J140" i="8" s="1"/>
  <c r="J141" i="8" a="1"/>
  <c r="J141" i="8" s="1"/>
  <c r="J142" i="8" a="1"/>
  <c r="J142" i="8" s="1"/>
  <c r="J143" i="8" a="1"/>
  <c r="J143" i="8" s="1"/>
  <c r="J144" i="8" a="1"/>
  <c r="J144" i="8" s="1"/>
  <c r="J145" i="8" a="1"/>
  <c r="J145" i="8" s="1"/>
  <c r="J146" i="8" a="1"/>
  <c r="J146" i="8" s="1"/>
  <c r="J147" i="8" a="1"/>
  <c r="J147" i="8" s="1"/>
  <c r="J148" i="8" a="1"/>
  <c r="J148" i="8" s="1"/>
  <c r="J149" i="8" a="1"/>
  <c r="J149" i="8" s="1"/>
  <c r="J150" i="8" a="1"/>
  <c r="J150" i="8" s="1"/>
  <c r="J151" i="8" a="1"/>
  <c r="J151" i="8" s="1"/>
  <c r="J152" i="8" a="1"/>
  <c r="J152" i="8" s="1"/>
  <c r="J153" i="8" a="1"/>
  <c r="J153" i="8" s="1"/>
  <c r="J154" i="8" a="1"/>
  <c r="J154" i="8" s="1"/>
  <c r="J155" i="8" a="1"/>
  <c r="J155" i="8" s="1"/>
  <c r="J156" i="8" a="1"/>
  <c r="J156" i="8" s="1"/>
  <c r="J157" i="8" a="1"/>
  <c r="J157" i="8" s="1"/>
  <c r="J158" i="8" a="1"/>
  <c r="J158" i="8" s="1"/>
  <c r="J159" i="8" a="1"/>
  <c r="J159" i="8" s="1"/>
  <c r="J160" i="8" a="1"/>
  <c r="J160" i="8" s="1"/>
  <c r="J161" i="8" a="1"/>
  <c r="J161" i="8" s="1"/>
  <c r="J162" i="8" a="1"/>
  <c r="J162" i="8" s="1"/>
  <c r="J163" i="8" a="1"/>
  <c r="J163" i="8" s="1"/>
  <c r="J164" i="8" a="1"/>
  <c r="J164" i="8" s="1"/>
  <c r="J165" i="8" a="1"/>
  <c r="J165" i="8" s="1"/>
  <c r="J166" i="8" a="1"/>
  <c r="J166" i="8" s="1"/>
  <c r="J167" i="8" a="1"/>
  <c r="J167" i="8" s="1"/>
  <c r="J168" i="8" a="1"/>
  <c r="J168" i="8" s="1"/>
  <c r="J169" i="8" a="1"/>
  <c r="J169" i="8" s="1"/>
  <c r="J170" i="8" a="1"/>
  <c r="J170" i="8" s="1"/>
  <c r="J171" i="8" a="1"/>
  <c r="J171" i="8" s="1"/>
  <c r="J172" i="8" a="1"/>
  <c r="J172" i="8" s="1"/>
  <c r="J173" i="8" a="1"/>
  <c r="J173" i="8" s="1"/>
  <c r="J174" i="8" a="1"/>
  <c r="J174" i="8" s="1"/>
  <c r="J175" i="8" a="1"/>
  <c r="J175" i="8" s="1"/>
  <c r="J176" i="8" a="1"/>
  <c r="J176" i="8" s="1"/>
  <c r="J177" i="8" a="1"/>
  <c r="J177" i="8" s="1"/>
  <c r="J178" i="8" a="1"/>
  <c r="J178" i="8" s="1"/>
  <c r="J179" i="8" a="1"/>
  <c r="J179" i="8" s="1"/>
  <c r="J180" i="8" a="1"/>
  <c r="J180" i="8" s="1"/>
  <c r="J181" i="8" a="1"/>
  <c r="J181" i="8" s="1"/>
  <c r="J182" i="8" a="1"/>
  <c r="J182" i="8" s="1"/>
  <c r="J183" i="8" a="1"/>
  <c r="J183" i="8" s="1"/>
  <c r="J184" i="8" a="1"/>
  <c r="J184" i="8" s="1"/>
  <c r="J185" i="8" a="1"/>
  <c r="J185" i="8" s="1"/>
  <c r="J186" i="8" a="1"/>
  <c r="J186" i="8" s="1"/>
  <c r="J187" i="8" a="1"/>
  <c r="J187" i="8" s="1"/>
  <c r="J188" i="8" a="1"/>
  <c r="J188" i="8" s="1"/>
  <c r="J189" i="8" a="1"/>
  <c r="J189" i="8" s="1"/>
  <c r="J190" i="8" a="1"/>
  <c r="J190" i="8" s="1"/>
  <c r="J191" i="8" a="1"/>
  <c r="J191" i="8" s="1"/>
  <c r="J192" i="8" a="1"/>
  <c r="J192" i="8" s="1"/>
  <c r="J193" i="8" a="1"/>
  <c r="J193" i="8" s="1"/>
  <c r="J194" i="8" a="1"/>
  <c r="J194" i="8" s="1"/>
  <c r="J195" i="8" a="1"/>
  <c r="J195" i="8" s="1"/>
  <c r="J196" i="8" a="1"/>
  <c r="J196" i="8" s="1"/>
  <c r="J197" i="8" a="1"/>
  <c r="J197" i="8" s="1"/>
  <c r="J198" i="8" a="1"/>
  <c r="J198" i="8" s="1"/>
  <c r="J199" i="8" a="1"/>
  <c r="J199" i="8" s="1"/>
  <c r="J200" i="8" a="1"/>
  <c r="J200" i="8" s="1"/>
  <c r="J201" i="8" a="1"/>
  <c r="J201" i="8" s="1"/>
  <c r="J202" i="8" a="1"/>
  <c r="J202" i="8" s="1"/>
  <c r="J203" i="8" a="1"/>
  <c r="J203" i="8" s="1"/>
  <c r="J204" i="8" a="1"/>
  <c r="J204" i="8" s="1"/>
  <c r="J205" i="8" a="1"/>
  <c r="J205" i="8" s="1"/>
  <c r="J206" i="8" a="1"/>
  <c r="J206" i="8" s="1"/>
  <c r="J207" i="8" a="1"/>
  <c r="J207" i="8" s="1"/>
  <c r="J208" i="8" a="1"/>
  <c r="J208" i="8" s="1"/>
  <c r="J209" i="8" a="1"/>
  <c r="J209" i="8" s="1"/>
  <c r="J210" i="8" a="1"/>
  <c r="J210" i="8" s="1"/>
  <c r="J211" i="8" a="1"/>
  <c r="J211" i="8" s="1"/>
  <c r="J212" i="8" a="1"/>
  <c r="J212" i="8" s="1"/>
  <c r="J213" i="8" a="1"/>
  <c r="J213" i="8" s="1"/>
  <c r="J214" i="8" a="1"/>
  <c r="J214" i="8" s="1"/>
  <c r="J215" i="8" a="1"/>
  <c r="J215" i="8" s="1"/>
  <c r="J216" i="8" a="1"/>
  <c r="J216" i="8" s="1"/>
  <c r="J217" i="8" a="1"/>
  <c r="J217" i="8" s="1"/>
  <c r="J218" i="8" a="1"/>
  <c r="J218" i="8" s="1"/>
  <c r="J219" i="8" a="1"/>
  <c r="J219" i="8" s="1"/>
  <c r="J220" i="8" a="1"/>
  <c r="J220" i="8" s="1"/>
  <c r="J221" i="8" a="1"/>
  <c r="J221" i="8" s="1"/>
  <c r="J222" i="8" a="1"/>
  <c r="J222" i="8" s="1"/>
  <c r="J223" i="8" a="1"/>
  <c r="J223" i="8" s="1"/>
  <c r="J224" i="8" a="1"/>
  <c r="J224" i="8" s="1"/>
  <c r="J225" i="8" a="1"/>
  <c r="J225" i="8" s="1"/>
  <c r="J226" i="8" a="1"/>
  <c r="J226" i="8" s="1"/>
  <c r="J227" i="8" a="1"/>
  <c r="J227" i="8" s="1"/>
  <c r="J228" i="8" a="1"/>
  <c r="J228" i="8" s="1"/>
  <c r="J229" i="8" a="1"/>
  <c r="J229" i="8" s="1"/>
  <c r="I8" i="8" a="1"/>
  <c r="I8" i="8" s="1"/>
  <c r="I9" i="8" a="1"/>
  <c r="I9" i="8" s="1"/>
  <c r="I10" i="8" a="1"/>
  <c r="I10" i="8" s="1"/>
  <c r="I11" i="8" a="1"/>
  <c r="I11" i="8" s="1"/>
  <c r="I12" i="8" a="1"/>
  <c r="I12" i="8" s="1"/>
  <c r="I13" i="8" a="1"/>
  <c r="I13" i="8" s="1"/>
  <c r="I14" i="8" a="1"/>
  <c r="I14" i="8" s="1"/>
  <c r="I15" i="8" a="1"/>
  <c r="I15" i="8" s="1"/>
  <c r="I16" i="8" a="1"/>
  <c r="I16" i="8" s="1"/>
  <c r="I17" i="8" a="1"/>
  <c r="I17" i="8" s="1"/>
  <c r="I18" i="8" a="1"/>
  <c r="I18" i="8" s="1"/>
  <c r="I19" i="8" a="1"/>
  <c r="I19" i="8" s="1"/>
  <c r="I20" i="8" a="1"/>
  <c r="I20" i="8" s="1"/>
  <c r="I21" i="8" a="1"/>
  <c r="I21" i="8" s="1"/>
  <c r="I22" i="8" a="1"/>
  <c r="I22" i="8" s="1"/>
  <c r="I23" i="8" a="1"/>
  <c r="I23" i="8" s="1"/>
  <c r="I24" i="8" a="1"/>
  <c r="I24" i="8" s="1"/>
  <c r="I25" i="8" a="1"/>
  <c r="I25" i="8" s="1"/>
  <c r="I26" i="8" a="1"/>
  <c r="I26" i="8" s="1"/>
  <c r="I27" i="8" a="1"/>
  <c r="I27" i="8" s="1"/>
  <c r="I28" i="8" a="1"/>
  <c r="I28" i="8" s="1"/>
  <c r="I29" i="8" a="1"/>
  <c r="I29" i="8" s="1"/>
  <c r="I30" i="8" a="1"/>
  <c r="I30" i="8" s="1"/>
  <c r="I31" i="8" a="1"/>
  <c r="I31" i="8" s="1"/>
  <c r="I32" i="8" a="1"/>
  <c r="I32" i="8" s="1"/>
  <c r="I33" i="8" a="1"/>
  <c r="I33" i="8" s="1"/>
  <c r="I34" i="8" a="1"/>
  <c r="I34" i="8" s="1"/>
  <c r="I35" i="8" a="1"/>
  <c r="I35" i="8" s="1"/>
  <c r="I36" i="8" a="1"/>
  <c r="I36" i="8" s="1"/>
  <c r="I37" i="8" a="1"/>
  <c r="I37" i="8" s="1"/>
  <c r="I38" i="8" a="1"/>
  <c r="I38" i="8" s="1"/>
  <c r="I39" i="8" a="1"/>
  <c r="I39" i="8" s="1"/>
  <c r="I40" i="8" a="1"/>
  <c r="I40" i="8" s="1"/>
  <c r="I41" i="8" a="1"/>
  <c r="I41" i="8" s="1"/>
  <c r="I42" i="8" a="1"/>
  <c r="I42" i="8" s="1"/>
  <c r="I43" i="8" a="1"/>
  <c r="I43" i="8" s="1"/>
  <c r="I44" i="8" a="1"/>
  <c r="I44" i="8" s="1"/>
  <c r="I45" i="8" a="1"/>
  <c r="I45" i="8" s="1"/>
  <c r="I46" i="8" a="1"/>
  <c r="I46" i="8" s="1"/>
  <c r="I47" i="8" a="1"/>
  <c r="I47" i="8" s="1"/>
  <c r="I48" i="8" a="1"/>
  <c r="I48" i="8" s="1"/>
  <c r="I49" i="8" a="1"/>
  <c r="I49" i="8" s="1"/>
  <c r="I50" i="8" a="1"/>
  <c r="I50" i="8" s="1"/>
  <c r="I51" i="8" a="1"/>
  <c r="I51" i="8" s="1"/>
  <c r="I52" i="8" a="1"/>
  <c r="I52" i="8" s="1"/>
  <c r="I53" i="8" a="1"/>
  <c r="I53" i="8" s="1"/>
  <c r="I54" i="8" a="1"/>
  <c r="I54" i="8" s="1"/>
  <c r="I55" i="8" a="1"/>
  <c r="I55" i="8" s="1"/>
  <c r="I56" i="8" a="1"/>
  <c r="I56" i="8" s="1"/>
  <c r="I57" i="8" a="1"/>
  <c r="I57" i="8" s="1"/>
  <c r="I58" i="8" a="1"/>
  <c r="I58" i="8" s="1"/>
  <c r="I59" i="8" a="1"/>
  <c r="I59" i="8" s="1"/>
  <c r="I60" i="8" a="1"/>
  <c r="I60" i="8" s="1"/>
  <c r="I61" i="8" a="1"/>
  <c r="I61" i="8" s="1"/>
  <c r="I62" i="8" a="1"/>
  <c r="I62" i="8" s="1"/>
  <c r="I63" i="8" a="1"/>
  <c r="I63" i="8" s="1"/>
  <c r="I64" i="8" a="1"/>
  <c r="I64" i="8" s="1"/>
  <c r="I65" i="8" a="1"/>
  <c r="I65" i="8" s="1"/>
  <c r="I66" i="8" a="1"/>
  <c r="I66" i="8" s="1"/>
  <c r="I67" i="8" a="1"/>
  <c r="I67" i="8" s="1"/>
  <c r="I68" i="8" a="1"/>
  <c r="I68" i="8" s="1"/>
  <c r="I69" i="8" a="1"/>
  <c r="I69" i="8" s="1"/>
  <c r="I70" i="8" a="1"/>
  <c r="I70" i="8" s="1"/>
  <c r="I71" i="8" a="1"/>
  <c r="I71" i="8" s="1"/>
  <c r="I72" i="8" a="1"/>
  <c r="I72" i="8" s="1"/>
  <c r="I73" i="8" a="1"/>
  <c r="I73" i="8" s="1"/>
  <c r="I74" i="8" a="1"/>
  <c r="I74" i="8" s="1"/>
  <c r="I75" i="8" a="1"/>
  <c r="I75" i="8" s="1"/>
  <c r="I76" i="8" a="1"/>
  <c r="I76" i="8" s="1"/>
  <c r="I77" i="8" a="1"/>
  <c r="I77" i="8" s="1"/>
  <c r="I78" i="8" a="1"/>
  <c r="I78" i="8" s="1"/>
  <c r="I79" i="8" a="1"/>
  <c r="I79" i="8" s="1"/>
  <c r="I80" i="8" a="1"/>
  <c r="I80" i="8" s="1"/>
  <c r="I81" i="8" a="1"/>
  <c r="I81" i="8" s="1"/>
  <c r="I82" i="8" a="1"/>
  <c r="I82" i="8" s="1"/>
  <c r="I83" i="8" a="1"/>
  <c r="I83" i="8" s="1"/>
  <c r="I84" i="8" a="1"/>
  <c r="I84" i="8" s="1"/>
  <c r="I85" i="8" a="1"/>
  <c r="I85" i="8" s="1"/>
  <c r="I86" i="8" a="1"/>
  <c r="I86" i="8" s="1"/>
  <c r="I87" i="8" a="1"/>
  <c r="I87" i="8" s="1"/>
  <c r="I88" i="8" a="1"/>
  <c r="I88" i="8" s="1"/>
  <c r="I89" i="8" a="1"/>
  <c r="I89" i="8" s="1"/>
  <c r="I90" i="8" a="1"/>
  <c r="I90" i="8" s="1"/>
  <c r="I91" i="8" a="1"/>
  <c r="I91" i="8" s="1"/>
  <c r="I92" i="8" a="1"/>
  <c r="I92" i="8" s="1"/>
  <c r="I93" i="8" a="1"/>
  <c r="I93" i="8" s="1"/>
  <c r="I94" i="8" a="1"/>
  <c r="I94" i="8" s="1"/>
  <c r="I95" i="8" a="1"/>
  <c r="I95" i="8" s="1"/>
  <c r="I96" i="8" a="1"/>
  <c r="I96" i="8" s="1"/>
  <c r="I97" i="8" a="1"/>
  <c r="I97" i="8" s="1"/>
  <c r="I98" i="8" a="1"/>
  <c r="I98" i="8" s="1"/>
  <c r="I99" i="8" a="1"/>
  <c r="I99" i="8" s="1"/>
  <c r="I100" i="8" a="1"/>
  <c r="I100" i="8" s="1"/>
  <c r="I101" i="8" a="1"/>
  <c r="I101" i="8" s="1"/>
  <c r="I102" i="8" a="1"/>
  <c r="I102" i="8" s="1"/>
  <c r="I103" i="8" a="1"/>
  <c r="I103" i="8" s="1"/>
  <c r="I104" i="8" a="1"/>
  <c r="I104" i="8" s="1"/>
  <c r="I105" i="8" a="1"/>
  <c r="I105" i="8" s="1"/>
  <c r="I106" i="8" a="1"/>
  <c r="I106" i="8" s="1"/>
  <c r="I107" i="8" a="1"/>
  <c r="I107" i="8" s="1"/>
  <c r="I108" i="8" a="1"/>
  <c r="I108" i="8" s="1"/>
  <c r="I109" i="8" a="1"/>
  <c r="I109" i="8" s="1"/>
  <c r="I110" i="8" a="1"/>
  <c r="I110" i="8" s="1"/>
  <c r="I111" i="8" a="1"/>
  <c r="I111" i="8" s="1"/>
  <c r="I112" i="8" a="1"/>
  <c r="I112" i="8" s="1"/>
  <c r="I113" i="8" a="1"/>
  <c r="I113" i="8" s="1"/>
  <c r="I114" i="8" a="1"/>
  <c r="I114" i="8" s="1"/>
  <c r="I115" i="8" a="1"/>
  <c r="I115" i="8" s="1"/>
  <c r="I116" i="8" a="1"/>
  <c r="I116" i="8" s="1"/>
  <c r="I117" i="8" a="1"/>
  <c r="I117" i="8" s="1"/>
  <c r="I118" i="8" a="1"/>
  <c r="I118" i="8" s="1"/>
  <c r="I119" i="8" a="1"/>
  <c r="I119" i="8" s="1"/>
  <c r="I120" i="8" a="1"/>
  <c r="I120" i="8" s="1"/>
  <c r="I121" i="8" a="1"/>
  <c r="I121" i="8" s="1"/>
  <c r="I122" i="8" a="1"/>
  <c r="I122" i="8" s="1"/>
  <c r="I123" i="8" a="1"/>
  <c r="I123" i="8" s="1"/>
  <c r="I124" i="8" a="1"/>
  <c r="I124" i="8" s="1"/>
  <c r="I125" i="8" a="1"/>
  <c r="I125" i="8" s="1"/>
  <c r="I126" i="8" a="1"/>
  <c r="I126" i="8" s="1"/>
  <c r="I127" i="8" a="1"/>
  <c r="I127" i="8" s="1"/>
  <c r="I128" i="8" a="1"/>
  <c r="I128" i="8" s="1"/>
  <c r="I129" i="8" a="1"/>
  <c r="I129" i="8" s="1"/>
  <c r="I130" i="8" a="1"/>
  <c r="I130" i="8" s="1"/>
  <c r="I131" i="8" a="1"/>
  <c r="I131" i="8" s="1"/>
  <c r="I132" i="8" a="1"/>
  <c r="I132" i="8" s="1"/>
  <c r="I133" i="8" a="1"/>
  <c r="I133" i="8" s="1"/>
  <c r="I134" i="8" a="1"/>
  <c r="I134" i="8" s="1"/>
  <c r="I135" i="8" a="1"/>
  <c r="I135" i="8" s="1"/>
  <c r="I136" i="8" a="1"/>
  <c r="I136" i="8" s="1"/>
  <c r="I137" i="8" a="1"/>
  <c r="I137" i="8" s="1"/>
  <c r="I138" i="8" a="1"/>
  <c r="I138" i="8" s="1"/>
  <c r="I139" i="8" a="1"/>
  <c r="I139" i="8" s="1"/>
  <c r="I140" i="8" a="1"/>
  <c r="I140" i="8" s="1"/>
  <c r="I141" i="8" a="1"/>
  <c r="I141" i="8" s="1"/>
  <c r="I142" i="8" a="1"/>
  <c r="I142" i="8" s="1"/>
  <c r="I143" i="8" a="1"/>
  <c r="I143" i="8" s="1"/>
  <c r="I144" i="8" a="1"/>
  <c r="I144" i="8" s="1"/>
  <c r="I145" i="8" a="1"/>
  <c r="I145" i="8" s="1"/>
  <c r="I146" i="8" a="1"/>
  <c r="I146" i="8" s="1"/>
  <c r="I147" i="8" a="1"/>
  <c r="I147" i="8" s="1"/>
  <c r="I148" i="8" a="1"/>
  <c r="I148" i="8" s="1"/>
  <c r="I149" i="8" a="1"/>
  <c r="I149" i="8" s="1"/>
  <c r="I150" i="8" a="1"/>
  <c r="I150" i="8" s="1"/>
  <c r="I151" i="8" a="1"/>
  <c r="I151" i="8" s="1"/>
  <c r="I152" i="8" a="1"/>
  <c r="I152" i="8" s="1"/>
  <c r="I153" i="8" a="1"/>
  <c r="I153" i="8" s="1"/>
  <c r="I154" i="8" a="1"/>
  <c r="I154" i="8" s="1"/>
  <c r="I155" i="8" a="1"/>
  <c r="I155" i="8" s="1"/>
  <c r="I156" i="8" a="1"/>
  <c r="I156" i="8" s="1"/>
  <c r="I157" i="8" a="1"/>
  <c r="I157" i="8" s="1"/>
  <c r="I158" i="8" a="1"/>
  <c r="I158" i="8" s="1"/>
  <c r="I159" i="8" a="1"/>
  <c r="I159" i="8" s="1"/>
  <c r="I160" i="8" a="1"/>
  <c r="I160" i="8" s="1"/>
  <c r="I161" i="8" a="1"/>
  <c r="I161" i="8" s="1"/>
  <c r="I162" i="8" a="1"/>
  <c r="I162" i="8" s="1"/>
  <c r="I163" i="8" a="1"/>
  <c r="I163" i="8" s="1"/>
  <c r="I164" i="8" a="1"/>
  <c r="I164" i="8" s="1"/>
  <c r="I165" i="8" a="1"/>
  <c r="I165" i="8" s="1"/>
  <c r="I166" i="8" a="1"/>
  <c r="I166" i="8" s="1"/>
  <c r="I167" i="8" a="1"/>
  <c r="I167" i="8" s="1"/>
  <c r="I168" i="8" a="1"/>
  <c r="I168" i="8" s="1"/>
  <c r="I169" i="8" a="1"/>
  <c r="I169" i="8" s="1"/>
  <c r="I170" i="8" a="1"/>
  <c r="I170" i="8" s="1"/>
  <c r="I171" i="8" a="1"/>
  <c r="I171" i="8" s="1"/>
  <c r="I172" i="8" a="1"/>
  <c r="I172" i="8" s="1"/>
  <c r="I173" i="8" a="1"/>
  <c r="I173" i="8" s="1"/>
  <c r="I174" i="8" a="1"/>
  <c r="I174" i="8" s="1"/>
  <c r="I175" i="8" a="1"/>
  <c r="I175" i="8" s="1"/>
  <c r="I176" i="8" a="1"/>
  <c r="I176" i="8" s="1"/>
  <c r="I177" i="8" a="1"/>
  <c r="I177" i="8" s="1"/>
  <c r="I178" i="8" a="1"/>
  <c r="I178" i="8" s="1"/>
  <c r="I179" i="8" a="1"/>
  <c r="I179" i="8" s="1"/>
  <c r="I180" i="8" a="1"/>
  <c r="I180" i="8" s="1"/>
  <c r="I181" i="8" a="1"/>
  <c r="I181" i="8" s="1"/>
  <c r="I182" i="8" a="1"/>
  <c r="I182" i="8" s="1"/>
  <c r="I183" i="8" a="1"/>
  <c r="I183" i="8" s="1"/>
  <c r="I184" i="8" a="1"/>
  <c r="I184" i="8" s="1"/>
  <c r="I185" i="8" a="1"/>
  <c r="I185" i="8" s="1"/>
  <c r="I186" i="8" a="1"/>
  <c r="I186" i="8" s="1"/>
  <c r="I187" i="8" a="1"/>
  <c r="I187" i="8" s="1"/>
  <c r="I188" i="8" a="1"/>
  <c r="I188" i="8" s="1"/>
  <c r="I189" i="8" a="1"/>
  <c r="I189" i="8" s="1"/>
  <c r="I190" i="8" a="1"/>
  <c r="I190" i="8" s="1"/>
  <c r="I191" i="8" a="1"/>
  <c r="I191" i="8" s="1"/>
  <c r="I192" i="8" a="1"/>
  <c r="I192" i="8" s="1"/>
  <c r="I193" i="8" a="1"/>
  <c r="I193" i="8" s="1"/>
  <c r="I194" i="8" a="1"/>
  <c r="I194" i="8" s="1"/>
  <c r="I195" i="8" a="1"/>
  <c r="I195" i="8" s="1"/>
  <c r="I196" i="8" a="1"/>
  <c r="I196" i="8" s="1"/>
  <c r="I197" i="8" a="1"/>
  <c r="I197" i="8" s="1"/>
  <c r="I198" i="8" a="1"/>
  <c r="I198" i="8" s="1"/>
  <c r="I199" i="8" a="1"/>
  <c r="I199" i="8" s="1"/>
  <c r="I200" i="8" a="1"/>
  <c r="I200" i="8" s="1"/>
  <c r="I201" i="8" a="1"/>
  <c r="I201" i="8" s="1"/>
  <c r="I202" i="8" a="1"/>
  <c r="I202" i="8" s="1"/>
  <c r="I203" i="8" a="1"/>
  <c r="I203" i="8" s="1"/>
  <c r="I204" i="8" a="1"/>
  <c r="I204" i="8" s="1"/>
  <c r="I205" i="8" a="1"/>
  <c r="I205" i="8" s="1"/>
  <c r="I206" i="8" a="1"/>
  <c r="I206" i="8" s="1"/>
  <c r="I207" i="8" a="1"/>
  <c r="I207" i="8" s="1"/>
  <c r="I208" i="8" a="1"/>
  <c r="I208" i="8" s="1"/>
  <c r="I209" i="8" a="1"/>
  <c r="I209" i="8" s="1"/>
  <c r="I210" i="8" a="1"/>
  <c r="I210" i="8" s="1"/>
  <c r="I211" i="8" a="1"/>
  <c r="I211" i="8" s="1"/>
  <c r="I212" i="8" a="1"/>
  <c r="I212" i="8" s="1"/>
  <c r="I213" i="8" a="1"/>
  <c r="I213" i="8" s="1"/>
  <c r="I214" i="8" a="1"/>
  <c r="I214" i="8" s="1"/>
  <c r="I215" i="8" a="1"/>
  <c r="I215" i="8" s="1"/>
  <c r="I216" i="8" a="1"/>
  <c r="I216" i="8" s="1"/>
  <c r="I217" i="8" a="1"/>
  <c r="I217" i="8" s="1"/>
  <c r="I218" i="8" a="1"/>
  <c r="I218" i="8" s="1"/>
  <c r="I219" i="8" a="1"/>
  <c r="I219" i="8" s="1"/>
  <c r="I220" i="8" a="1"/>
  <c r="I220" i="8" s="1"/>
  <c r="I221" i="8" a="1"/>
  <c r="I221" i="8" s="1"/>
  <c r="I222" i="8" a="1"/>
  <c r="I222" i="8" s="1"/>
  <c r="I223" i="8" a="1"/>
  <c r="I223" i="8" s="1"/>
  <c r="I224" i="8" a="1"/>
  <c r="I224" i="8" s="1"/>
  <c r="I225" i="8" a="1"/>
  <c r="I225" i="8" s="1"/>
  <c r="I226" i="8" a="1"/>
  <c r="I226" i="8" s="1"/>
  <c r="I227" i="8" a="1"/>
  <c r="I227" i="8" s="1"/>
  <c r="I228" i="8" a="1"/>
  <c r="I228" i="8" s="1"/>
  <c r="I229" i="8" a="1"/>
  <c r="I229" i="8" s="1"/>
  <c r="K3" i="8" a="1"/>
  <c r="K3" i="8" s="1"/>
  <c r="K4" i="8" a="1"/>
  <c r="K4" i="8" s="1"/>
  <c r="K5" i="8" a="1"/>
  <c r="K5" i="8" s="1"/>
  <c r="K6" i="8" a="1"/>
  <c r="K6" i="8" s="1"/>
  <c r="K7" i="8" a="1"/>
  <c r="K7" i="8" s="1"/>
  <c r="K2" i="8" a="1"/>
  <c r="K2" i="8" s="1"/>
  <c r="J3" i="8" a="1"/>
  <c r="J3" i="8" s="1"/>
  <c r="J4" i="8" a="1"/>
  <c r="J4" i="8" s="1"/>
  <c r="J5" i="8" a="1"/>
  <c r="J5" i="8" s="1"/>
  <c r="J6" i="8" a="1"/>
  <c r="J6" i="8" s="1"/>
  <c r="J7" i="8" a="1"/>
  <c r="J7" i="8" s="1"/>
  <c r="J2" i="8" a="1"/>
  <c r="J2" i="8" s="1"/>
  <c r="I3" i="8" a="1"/>
  <c r="I3" i="8" s="1"/>
  <c r="I4" i="8" a="1"/>
  <c r="I4" i="8" s="1"/>
  <c r="I5" i="8" a="1"/>
  <c r="I5" i="8" s="1"/>
  <c r="I6" i="8" a="1"/>
  <c r="I6" i="8" s="1"/>
  <c r="I7" i="8" a="1"/>
  <c r="I7" i="8" s="1"/>
  <c r="I2" i="8" a="1"/>
  <c r="I2" i="8" s="1"/>
  <c r="I279" i="8" a="1"/>
  <c r="I279" i="8" s="1"/>
  <c r="I280" i="8" a="1"/>
  <c r="I280" i="8" s="1"/>
  <c r="I281" i="8" a="1"/>
  <c r="I281" i="8" s="1"/>
  <c r="I282" i="8" a="1"/>
  <c r="I282" i="8" s="1"/>
  <c r="I283" i="8" a="1"/>
  <c r="I283" i="8" s="1"/>
  <c r="I284" i="8" a="1"/>
  <c r="I284" i="8" s="1"/>
  <c r="I285" i="8" a="1"/>
  <c r="I285" i="8" s="1"/>
  <c r="I286" i="8" a="1"/>
  <c r="I286" i="8" s="1"/>
  <c r="I287" i="8" a="1"/>
  <c r="I287" i="8" s="1"/>
  <c r="I288" i="8" a="1"/>
  <c r="I288" i="8" s="1"/>
  <c r="I289" i="8" a="1"/>
  <c r="I289" i="8" s="1"/>
  <c r="I290" i="8" a="1"/>
  <c r="I290" i="8" s="1"/>
  <c r="I291" i="8" a="1"/>
  <c r="I291" i="8" s="1"/>
  <c r="I292" i="8" a="1"/>
  <c r="I292" i="8" s="1"/>
  <c r="I293" i="8" a="1"/>
  <c r="I293" i="8" s="1"/>
  <c r="I294" i="8" a="1"/>
  <c r="I294" i="8" s="1"/>
  <c r="I295" i="8" a="1"/>
  <c r="I295" i="8" s="1"/>
  <c r="I296" i="8" a="1"/>
  <c r="I296" i="8" s="1"/>
  <c r="I297" i="8" a="1"/>
  <c r="I297" i="8" s="1"/>
  <c r="I298" i="8" a="1"/>
  <c r="I298" i="8" s="1"/>
  <c r="I299" i="8" a="1"/>
  <c r="I299" i="8" s="1"/>
  <c r="I300" i="8" a="1"/>
  <c r="I300" i="8" s="1"/>
  <c r="I301" i="8" a="1"/>
  <c r="I301" i="8" s="1"/>
  <c r="I302" i="8" a="1"/>
  <c r="I302" i="8" s="1"/>
  <c r="I303" i="8" a="1"/>
  <c r="I303" i="8" s="1"/>
  <c r="I304" i="8" a="1"/>
  <c r="I304" i="8" s="1"/>
  <c r="I305" i="8" a="1"/>
  <c r="I305" i="8" s="1"/>
  <c r="I306" i="8" a="1"/>
  <c r="I306" i="8" s="1"/>
  <c r="I307" i="8" a="1"/>
  <c r="I307" i="8" s="1"/>
  <c r="I308" i="8" a="1"/>
  <c r="I308" i="8" s="1"/>
  <c r="I309" i="8" a="1"/>
  <c r="I309" i="8" s="1"/>
  <c r="I310" i="8" a="1"/>
  <c r="I310" i="8" s="1"/>
  <c r="I311" i="8" a="1"/>
  <c r="I311" i="8" s="1"/>
  <c r="I312" i="8" a="1"/>
  <c r="I312" i="8" s="1"/>
  <c r="I313" i="8" a="1"/>
  <c r="I313" i="8" s="1"/>
  <c r="I314" i="8" a="1"/>
  <c r="I314" i="8" s="1"/>
  <c r="I315" i="8" a="1"/>
  <c r="I315" i="8" s="1"/>
  <c r="I316" i="8" a="1"/>
  <c r="I316" i="8" s="1"/>
  <c r="I317" i="8" a="1"/>
  <c r="I317" i="8" s="1"/>
  <c r="I318" i="8" a="1"/>
  <c r="I318" i="8" s="1"/>
  <c r="I319" i="8" a="1"/>
  <c r="I319" i="8" s="1"/>
  <c r="I320" i="8" a="1"/>
  <c r="I320" i="8" s="1"/>
  <c r="I321" i="8" a="1"/>
  <c r="I321" i="8" s="1"/>
  <c r="I322" i="8" a="1"/>
  <c r="I322" i="8" s="1"/>
  <c r="I323" i="8" a="1"/>
  <c r="I323" i="8" s="1"/>
  <c r="I324" i="8" a="1"/>
  <c r="I324" i="8" s="1"/>
  <c r="I325" i="8" a="1"/>
  <c r="I325" i="8" s="1"/>
  <c r="I326" i="8" a="1"/>
  <c r="I326" i="8" s="1"/>
  <c r="I327" i="8" a="1"/>
  <c r="I327" i="8" s="1"/>
  <c r="I328" i="8" a="1"/>
  <c r="I328" i="8" s="1"/>
  <c r="I329" i="8" a="1"/>
  <c r="I329" i="8" s="1"/>
  <c r="I330" i="8" a="1"/>
  <c r="I330" i="8" s="1"/>
  <c r="I331" i="8" a="1"/>
  <c r="I331" i="8" s="1"/>
  <c r="I332" i="8" a="1"/>
  <c r="I332" i="8" s="1"/>
  <c r="I333" i="8" a="1"/>
  <c r="I333" i="8" s="1"/>
  <c r="I334" i="8" a="1"/>
  <c r="I334" i="8" s="1"/>
  <c r="I335" i="8" a="1"/>
  <c r="I335" i="8" s="1"/>
  <c r="I336" i="8" a="1"/>
  <c r="I336" i="8" s="1"/>
  <c r="I337" i="8" a="1"/>
  <c r="I337" i="8" s="1"/>
  <c r="I338" i="8" a="1"/>
  <c r="I338" i="8" s="1"/>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2" i="8"/>
  <c r="L233" i="8"/>
  <c r="L234" i="8"/>
  <c r="L235" i="8"/>
  <c r="L236" i="8"/>
  <c r="L237" i="8"/>
  <c r="L238" i="8"/>
  <c r="L239" i="8"/>
  <c r="L240" i="8"/>
  <c r="L241" i="8"/>
  <c r="L242"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43" i="8"/>
  <c r="L444" i="8"/>
  <c r="L445" i="8"/>
  <c r="L446" i="8"/>
  <c r="L447" i="8"/>
  <c r="L448" i="8"/>
  <c r="L418" i="8"/>
  <c r="L419" i="8"/>
  <c r="L420" i="8"/>
  <c r="L421" i="8"/>
  <c r="L422" i="8"/>
  <c r="L423" i="8"/>
  <c r="L424" i="8"/>
  <c r="L426" i="8"/>
  <c r="L427" i="8"/>
  <c r="L429" i="8"/>
  <c r="L430" i="8"/>
  <c r="L243" i="8"/>
  <c r="L438" i="8"/>
  <c r="L245" i="8"/>
  <c r="L246" i="8"/>
  <c r="L247" i="8"/>
  <c r="L248" i="8"/>
  <c r="L439" i="8"/>
  <c r="L441" i="8"/>
  <c r="L449" i="8"/>
  <c r="L450" i="8"/>
  <c r="L455" i="8"/>
  <c r="L456" i="8"/>
  <c r="L457" i="8"/>
  <c r="L458" i="8"/>
  <c r="L459" i="8"/>
  <c r="L460" i="8"/>
  <c r="L461" i="8"/>
  <c r="L462" i="8"/>
  <c r="L463" i="8"/>
  <c r="L464" i="8"/>
  <c r="L465" i="8"/>
  <c r="L466" i="8"/>
  <c r="L467"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J279" i="8"/>
  <c r="J280" i="8"/>
  <c r="J281" i="8"/>
  <c r="J282" i="8"/>
  <c r="J283" i="8"/>
  <c r="J284" i="8"/>
  <c r="J285" i="8"/>
  <c r="J286" i="8"/>
  <c r="J287" i="8"/>
  <c r="J288" i="8"/>
  <c r="J289" i="8"/>
  <c r="J290" i="8"/>
  <c r="J291" i="8"/>
  <c r="J292" i="8"/>
  <c r="J293" i="8"/>
  <c r="J294" i="8"/>
  <c r="J295" i="8"/>
  <c r="J296" i="8"/>
  <c r="J297" i="8"/>
  <c r="J298" i="8"/>
  <c r="J299" i="8"/>
  <c r="L575" i="8"/>
  <c r="L574" i="8"/>
  <c r="L573" i="8"/>
  <c r="L572" i="8"/>
  <c r="L571" i="8"/>
  <c r="L570" i="8"/>
  <c r="L569" i="8"/>
  <c r="L568" i="8"/>
  <c r="L2" i="8"/>
  <c r="K570" i="8"/>
  <c r="K569" i="8"/>
  <c r="K568" i="8"/>
  <c r="K567" i="8"/>
  <c r="K566" i="8"/>
  <c r="K565" i="8"/>
  <c r="K564" i="8"/>
  <c r="K563" i="8"/>
  <c r="K562" i="8"/>
  <c r="K561" i="8"/>
  <c r="K560" i="8"/>
  <c r="K55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L576" i="8"/>
  <c r="L577" i="8"/>
  <c r="L578" i="8"/>
  <c r="L579" i="8"/>
  <c r="L580" i="8"/>
  <c r="L581" i="8"/>
  <c r="L582"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U20" i="10" l="1"/>
  <c r="Y6" i="7"/>
  <c r="Z6" i="7"/>
  <c r="AA6" i="7"/>
  <c r="U12" i="10"/>
  <c r="U2" i="9"/>
  <c r="U22" i="10"/>
  <c r="X12" i="7"/>
  <c r="V2" i="8"/>
  <c r="U21" i="10"/>
  <c r="U15" i="10"/>
  <c r="U13" i="10"/>
  <c r="U17" i="10"/>
  <c r="U19" i="10"/>
  <c r="U16" i="8"/>
  <c r="U13" i="8"/>
  <c r="V3" i="8"/>
  <c r="X5" i="8"/>
  <c r="U18" i="8"/>
  <c r="U15" i="8"/>
  <c r="U21" i="8"/>
  <c r="U20" i="8"/>
  <c r="U19" i="8"/>
  <c r="W5" i="8"/>
  <c r="V5" i="8"/>
  <c r="U17" i="8"/>
  <c r="W3" i="8"/>
  <c r="X3" i="8"/>
  <c r="X11" i="7"/>
  <c r="X15" i="7"/>
  <c r="X21" i="7"/>
  <c r="X19" i="7"/>
  <c r="U11" i="8"/>
  <c r="U14" i="8"/>
  <c r="X17" i="7"/>
  <c r="X20" i="7"/>
  <c r="U10" i="8"/>
  <c r="V5" i="10"/>
  <c r="X5" i="10"/>
  <c r="W5" i="10"/>
  <c r="X2" i="8"/>
  <c r="W2" i="8"/>
  <c r="V2" i="10"/>
  <c r="X2" i="10"/>
  <c r="W4" i="10"/>
  <c r="V4" i="10"/>
  <c r="W3" i="10"/>
  <c r="X4" i="10"/>
  <c r="V3" i="10"/>
  <c r="W2" i="10"/>
  <c r="X3" i="10"/>
  <c r="Z3" i="7"/>
  <c r="Y3" i="7"/>
  <c r="Y4" i="7"/>
  <c r="Z4" i="7"/>
  <c r="AA3" i="7"/>
  <c r="AA4" i="7"/>
  <c r="Z5" i="7"/>
  <c r="AA5" i="7"/>
  <c r="Y5" i="7"/>
  <c r="Z2" i="7"/>
  <c r="AA2" i="7"/>
  <c r="Y2" i="7"/>
  <c r="W4" i="8"/>
  <c r="X4" i="8"/>
  <c r="V4" i="8"/>
  <c r="L6" i="9"/>
  <c r="L4" i="9"/>
  <c r="L2" i="9"/>
  <c r="N5" i="7"/>
  <c r="N3" i="7"/>
  <c r="N1" i="7"/>
  <c r="M2" i="13"/>
  <c r="M4" i="13"/>
  <c r="M6" i="13"/>
  <c r="M3" i="8"/>
  <c r="M6" i="8"/>
  <c r="M9" i="8"/>
  <c r="L249" i="10"/>
  <c r="K247" i="10"/>
  <c r="L123" i="10"/>
  <c r="K265" i="10"/>
  <c r="J266" i="10"/>
  <c r="L122" i="10"/>
  <c r="K237" i="10"/>
  <c r="L152" i="10"/>
  <c r="L248" i="10"/>
  <c r="L133" i="10"/>
  <c r="L154" i="10"/>
  <c r="K238" i="10"/>
  <c r="J274" i="10"/>
  <c r="K227" i="10"/>
  <c r="L205" i="10"/>
  <c r="L244" i="10"/>
  <c r="L203" i="10"/>
  <c r="L185" i="10"/>
  <c r="K240" i="10"/>
  <c r="K268" i="10"/>
  <c r="L256" i="10"/>
  <c r="K259" i="10"/>
  <c r="L130" i="10"/>
  <c r="L180" i="10"/>
  <c r="J272" i="10"/>
  <c r="L263" i="10"/>
  <c r="L193" i="10"/>
  <c r="J260" i="10"/>
  <c r="L166" i="10"/>
  <c r="L188" i="10"/>
  <c r="L126" i="10"/>
  <c r="L254" i="10"/>
  <c r="L195" i="10"/>
  <c r="L128" i="10"/>
  <c r="L149" i="10"/>
  <c r="K258" i="10"/>
  <c r="L233" i="10"/>
  <c r="L168" i="10"/>
  <c r="L171" i="10"/>
  <c r="K270" i="10"/>
  <c r="L184" i="10"/>
  <c r="K205" i="10"/>
  <c r="L236" i="10"/>
  <c r="L176" i="10"/>
  <c r="K206" i="10"/>
  <c r="L164" i="10"/>
  <c r="K262" i="10"/>
  <c r="K216" i="10"/>
  <c r="L238" i="10"/>
  <c r="L157" i="10"/>
  <c r="L208" i="10"/>
  <c r="K230" i="10"/>
  <c r="L165" i="10"/>
  <c r="L259" i="10"/>
  <c r="L253" i="10"/>
  <c r="K211" i="10"/>
  <c r="L167" i="10"/>
  <c r="L242" i="10"/>
  <c r="J270" i="10"/>
  <c r="L230" i="10"/>
  <c r="L159" i="10"/>
  <c r="L145" i="10"/>
  <c r="K235" i="10"/>
  <c r="L173" i="10"/>
  <c r="L124" i="10"/>
  <c r="L264" i="10"/>
  <c r="L196" i="10"/>
  <c r="L187" i="10"/>
  <c r="K229" i="10"/>
  <c r="L135" i="10"/>
  <c r="L151" i="10"/>
  <c r="L266" i="10"/>
  <c r="L206" i="10"/>
  <c r="L204" i="10"/>
  <c r="L227" i="10"/>
  <c r="L150" i="10"/>
  <c r="L199" i="10"/>
  <c r="K198" i="10"/>
  <c r="K260" i="10"/>
  <c r="L163" i="10"/>
  <c r="K197" i="10"/>
  <c r="J275" i="10"/>
  <c r="L177" i="10"/>
  <c r="L141" i="10"/>
  <c r="J257" i="10"/>
  <c r="L247" i="10"/>
  <c r="L224" i="10"/>
  <c r="J259" i="10"/>
  <c r="L143" i="10"/>
  <c r="K244" i="10"/>
  <c r="K243" i="10"/>
  <c r="K274" i="10"/>
  <c r="K203" i="10"/>
  <c r="K264" i="10"/>
  <c r="K269" i="10"/>
  <c r="L140" i="10"/>
  <c r="L250" i="10"/>
  <c r="K223" i="10"/>
  <c r="L134" i="10"/>
  <c r="L183" i="10"/>
  <c r="L170" i="10"/>
  <c r="L258" i="10"/>
  <c r="K242" i="10"/>
  <c r="L174" i="10"/>
  <c r="K246" i="10"/>
  <c r="K267" i="10"/>
  <c r="L178" i="10"/>
  <c r="L147" i="10"/>
  <c r="L136" i="10"/>
  <c r="J263" i="10"/>
  <c r="L189" i="10"/>
  <c r="L139" i="10"/>
  <c r="K233" i="10"/>
  <c r="J264" i="10"/>
  <c r="L132" i="10"/>
  <c r="K226" i="10"/>
  <c r="L260" i="10"/>
  <c r="L169" i="10"/>
  <c r="L125" i="10"/>
  <c r="L209" i="10"/>
  <c r="L200" i="10"/>
  <c r="L240" i="10"/>
  <c r="K204" i="10"/>
  <c r="L262" i="10"/>
  <c r="K208" i="10"/>
  <c r="J267" i="10"/>
  <c r="L268" i="10"/>
  <c r="K219" i="10"/>
  <c r="K217" i="10"/>
  <c r="K214" i="10"/>
  <c r="L245" i="10"/>
  <c r="L138" i="10"/>
  <c r="K215" i="10"/>
  <c r="L202" i="10"/>
  <c r="J262" i="10"/>
  <c r="L215" i="10"/>
  <c r="K245" i="10"/>
  <c r="K234" i="10"/>
  <c r="L251" i="10"/>
  <c r="K232" i="10"/>
  <c r="L186" i="10"/>
  <c r="K261" i="10"/>
  <c r="L153" i="10"/>
  <c r="K200" i="10"/>
  <c r="L148" i="10"/>
  <c r="K212" i="10"/>
  <c r="L172" i="10"/>
  <c r="L210" i="10"/>
  <c r="J273" i="10"/>
  <c r="L212" i="10"/>
  <c r="L181" i="10"/>
  <c r="K251" i="10"/>
  <c r="L234" i="10"/>
  <c r="L216" i="10"/>
  <c r="L213" i="10"/>
  <c r="K224" i="10"/>
  <c r="J265" i="10"/>
  <c r="K250" i="10"/>
  <c r="L137" i="10"/>
  <c r="L155" i="10"/>
  <c r="K236" i="10"/>
  <c r="J258" i="10"/>
  <c r="L131" i="10"/>
  <c r="L191" i="10"/>
  <c r="K202" i="10"/>
  <c r="L127" i="10"/>
  <c r="K253" i="10"/>
  <c r="L261" i="10"/>
  <c r="L182" i="10"/>
  <c r="L158" i="10"/>
  <c r="L241" i="10"/>
  <c r="K255" i="10"/>
  <c r="L223" i="10"/>
  <c r="L214" i="10"/>
  <c r="L146" i="10"/>
  <c r="L271" i="10"/>
  <c r="K222" i="10"/>
  <c r="K256" i="10"/>
  <c r="L220" i="10"/>
  <c r="L179" i="10"/>
  <c r="L194" i="10"/>
  <c r="K241" i="10"/>
  <c r="K239" i="10"/>
  <c r="L243" i="10"/>
  <c r="K210" i="10"/>
  <c r="L226" i="10"/>
  <c r="L231" i="10"/>
  <c r="L142" i="10"/>
  <c r="L156" i="10"/>
  <c r="L228" i="10"/>
  <c r="K221" i="10"/>
  <c r="L252" i="10"/>
  <c r="K254" i="10"/>
  <c r="L211" i="10"/>
  <c r="L197" i="10"/>
  <c r="L218" i="10"/>
  <c r="L221" i="10"/>
  <c r="L175" i="10"/>
  <c r="J268" i="10"/>
  <c r="L239" i="10"/>
  <c r="L270" i="10"/>
  <c r="L255" i="10"/>
  <c r="L267" i="10"/>
  <c r="L229" i="10"/>
  <c r="L192" i="10"/>
  <c r="K231" i="10"/>
  <c r="K218" i="10"/>
  <c r="L237" i="10"/>
  <c r="L232" i="10"/>
  <c r="L207" i="10"/>
  <c r="L160" i="10"/>
  <c r="K201" i="10"/>
  <c r="K220" i="10"/>
  <c r="L219" i="10"/>
  <c r="K199" i="10"/>
  <c r="K207" i="10"/>
  <c r="K257" i="10"/>
  <c r="K271" i="10"/>
  <c r="L198" i="10"/>
  <c r="L225" i="10"/>
  <c r="K249" i="10"/>
  <c r="L235" i="10"/>
  <c r="J269" i="10"/>
  <c r="J271" i="10"/>
  <c r="L121" i="10"/>
  <c r="J261" i="10"/>
  <c r="K266" i="10"/>
  <c r="L161" i="10"/>
  <c r="L265" i="10"/>
  <c r="K228" i="10"/>
  <c r="L162" i="10"/>
  <c r="K263" i="10"/>
  <c r="L269" i="10"/>
  <c r="L217" i="10"/>
  <c r="K209" i="10"/>
  <c r="K252" i="10"/>
  <c r="L129" i="10"/>
  <c r="L144" i="10"/>
  <c r="L257" i="10"/>
  <c r="L246" i="10"/>
  <c r="K273" i="10"/>
  <c r="K272" i="10"/>
  <c r="L190" i="10"/>
  <c r="K248" i="10"/>
  <c r="L222" i="10"/>
  <c r="L201" i="10"/>
  <c r="K225" i="10"/>
  <c r="J256" i="10"/>
  <c r="K213" i="10"/>
  <c r="M12" i="10" l="1"/>
  <c r="M10" i="10"/>
  <c r="M1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tc={DE43DC6D-AFD0-44B4-8E1F-2016C81C8E49}</author>
  </authors>
  <commentList>
    <comment ref="E3" authorId="0" shapeId="0" xr:uid="{DE43DC6D-AFD0-44B4-8E1F-2016C81C8E49}">
      <text>
        <t>[Threaded comment]
Your version of Excel allows you to read this threaded comment; however, any edits to it will get removed if the file is opened in a newer version of Excel. Learn more: https://go.microsoft.com/fwlink/?linkid=870924
Comment:
    These need to be moved to a Hanjin Sheet as are not related to Hydrotec</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<sst xmlns="http://schemas.openxmlformats.org/spreadsheetml/2006/main" count="24455" uniqueCount="854">
  <si>
    <t xml:space="preserve">Date </t>
  </si>
  <si>
    <t>Month/ Year</t>
  </si>
  <si>
    <t xml:space="preserve">Client </t>
  </si>
  <si>
    <t xml:space="preserve">Invoice Number </t>
  </si>
  <si>
    <t xml:space="preserve">Description </t>
  </si>
  <si>
    <t xml:space="preserve">Initials - Subsurface </t>
  </si>
  <si>
    <t xml:space="preserve">Hours Spent </t>
  </si>
  <si>
    <t xml:space="preserve">June 2025 </t>
  </si>
  <si>
    <t xml:space="preserve">Republic Drill Co. </t>
  </si>
  <si>
    <t>SS</t>
  </si>
  <si>
    <t>RK</t>
  </si>
  <si>
    <t xml:space="preserve">Future Drilling </t>
  </si>
  <si>
    <t xml:space="preserve">Morris Shea </t>
  </si>
  <si>
    <t xml:space="preserve">Reviewing Footage </t>
  </si>
  <si>
    <t>Collating footage for final cut, editing, retiming, adding audio</t>
  </si>
  <si>
    <t>Project management of shoot list spread sheet determining footage we have against footage required</t>
  </si>
  <si>
    <t>Project management of shoot list spread sheet determining footage we have against footage required and creating shoot list for RK and SS</t>
  </si>
  <si>
    <t>MG500 Optimizing 3D model for Jigspace</t>
  </si>
  <si>
    <t>Social Videos and ScreenShots</t>
  </si>
  <si>
    <t>Project Management / Backing up files</t>
  </si>
  <si>
    <t xml:space="preserve">⁠MG500 Optimizing &amp; Testing 3D model inside Jigspace </t>
  </si>
  <si>
    <t>MG500 Jigspace Demo</t>
  </si>
  <si>
    <t>Rod Wrench 3D animation</t>
  </si>
  <si>
    <t xml:space="preserve">GT35 walk around video </t>
  </si>
  <si>
    <t>July 2025</t>
  </si>
  <si>
    <t xml:space="preserve">Morris Shea Mike Drill bit video </t>
  </si>
  <si>
    <t xml:space="preserve">Morris Shea MG500 video </t>
  </si>
  <si>
    <t xml:space="preserve">Zoning Off Water Tables Research </t>
  </si>
  <si>
    <t>Zoning Off Water Tables 3D</t>
  </si>
  <si>
    <t xml:space="preserve">Project Management </t>
  </si>
  <si>
    <t xml:space="preserve">Morris Shea Library Clean up and Edits </t>
  </si>
  <si>
    <t xml:space="preserve">Project Management/ Direction </t>
  </si>
  <si>
    <t xml:space="preserve">Zoning Off Water Tables </t>
  </si>
  <si>
    <t xml:space="preserve">Drill Bits 360 animation </t>
  </si>
  <si>
    <t xml:space="preserve">Project Management/ Direction and Feedback </t>
  </si>
  <si>
    <t xml:space="preserve">G&amp;H RK Walk around Video </t>
  </si>
  <si>
    <t>Drill Bits 360⁰ Animations</t>
  </si>
  <si>
    <t>G&amp;H RK walk around video</t>
  </si>
  <si>
    <t>project management/ direction &amp; Feedback</t>
  </si>
  <si>
    <t>Morris Shea main timeline video.</t>
  </si>
  <si>
    <t>Rod Wrench 3D animation</t>
  </si>
  <si>
    <t>multiple video edits/outputs for review.</t>
  </si>
  <si>
    <t xml:space="preserve">Master Timeline Video </t>
  </si>
  <si>
    <t>Production</t>
  </si>
  <si>
    <t xml:space="preserve">GT35 3D Model </t>
  </si>
  <si>
    <t xml:space="preserve">Production </t>
  </si>
  <si>
    <t>Updating Spreadsheet</t>
  </si>
  <si>
    <t>MG500 sketchfab model</t>
  </si>
  <si>
    <t>Project management/ direction</t>
  </si>
  <si>
    <t>G&amp;H RK walk around video.</t>
  </si>
  <si>
    <t xml:space="preserve">Zone Isolating 3D animation </t>
  </si>
  <si>
    <t xml:space="preserve">G&amp;H RK Walk around video </t>
  </si>
  <si>
    <t xml:space="preserve">August 2025 </t>
  </si>
  <si>
    <t>Master timeline</t>
  </si>
  <si>
    <t>project management/ direction</t>
  </si>
  <si>
    <t xml:space="preserve">Training Spreadsheet </t>
  </si>
  <si>
    <t>Morris Shea training sheet</t>
  </si>
  <si>
    <t>nick MG500 walk around video</t>
  </si>
  <si>
    <t>Project Management (admin)</t>
  </si>
  <si>
    <t>Admin / Project Management</t>
  </si>
  <si>
    <t>MSB Zoom Call</t>
  </si>
  <si>
    <t>MSB MG500 video</t>
  </si>
  <si>
    <t>MSB training video</t>
  </si>
  <si>
    <t>MSB pre call prep</t>
  </si>
  <si>
    <t>MSB project management (admin)</t>
  </si>
  <si>
    <t>MSB Contract Admin</t>
  </si>
  <si>
    <t>Hydrotec</t>
  </si>
  <si>
    <t>initial calls/ discussions</t>
  </si>
  <si>
    <t>more thoughts and research</t>
  </si>
  <si>
    <t>more calls/ research/ discussions with team</t>
  </si>
  <si>
    <t>More thoughts &amp; research</t>
  </si>
  <si>
    <t>more calls/ research/ discussions with team</t>
  </si>
  <si>
    <t>Briefing discussion with Mark on branding</t>
  </si>
  <si>
    <t xml:space="preserve">Hydrotec 3D Product Development </t>
  </si>
  <si>
    <t>3D Product Development</t>
  </si>
  <si>
    <t>Hydrotec 3D product development</t>
  </si>
  <si>
    <t>3D product development</t>
  </si>
  <si>
    <t>call with Carlo discussing opportunities in Africa</t>
  </si>
  <si>
    <t xml:space="preserve">3D Development </t>
  </si>
  <si>
    <t>Hydrotec Calls</t>
  </si>
  <si>
    <t xml:space="preserve">Hydroctec Catch up </t>
  </si>
  <si>
    <t xml:space="preserve">Product Development </t>
  </si>
  <si>
    <t xml:space="preserve">Product Development Phonecall </t>
  </si>
  <si>
    <t xml:space="preserve">Screw Press - Product Development Testing </t>
  </si>
  <si>
    <t xml:space="preserve">Screw Press - Project Management/ Discussions </t>
  </si>
  <si>
    <t xml:space="preserve">Screw Press - Meeting w/ Gav, Callum, Simon, Ben </t>
  </si>
  <si>
    <t xml:space="preserve">Screw Press - Product Development  </t>
  </si>
  <si>
    <t>Project Management/ discussions (Upcoming trade shows)</t>
  </si>
  <si>
    <t>Hydrotec Prod Dev Testing (VR)</t>
  </si>
  <si>
    <t xml:space="preserve">Graphic Development </t>
  </si>
  <si>
    <t>Graphic development</t>
  </si>
  <si>
    <t>Call with Carlo discussing opportunities in Africa (Screw Press)</t>
  </si>
  <si>
    <t xml:space="preserve">Hydrotec Admin </t>
  </si>
  <si>
    <t>Zoom call</t>
  </si>
  <si>
    <t>Follow up Call with Ben</t>
  </si>
  <si>
    <t xml:space="preserve">Screw Press - Zoom </t>
  </si>
  <si>
    <t xml:space="preserve">Events Zoom </t>
  </si>
  <si>
    <t>Events WhatsApp call with Callum</t>
  </si>
  <si>
    <t xml:space="preserve">Events Admin </t>
  </si>
  <si>
    <t>Events whastapp call with Callum</t>
  </si>
  <si>
    <t xml:space="preserve">Screw Press Check in with Ben </t>
  </si>
  <si>
    <t>Brainstorm</t>
  </si>
  <si>
    <t xml:space="preserve">Screw Press internal discussions </t>
  </si>
  <si>
    <t>Hydrotec Zoom Call (Screw Press and Events)</t>
  </si>
  <si>
    <t>Brand development call with Ben, Rich &amp; Mark)</t>
  </si>
  <si>
    <t>Events project Management / Stand procurement / pricing</t>
  </si>
  <si>
    <t xml:space="preserve">Events project Management </t>
  </si>
  <si>
    <t>Hydrotec Zoom Call (about Event prep with Cal)</t>
  </si>
  <si>
    <t>Hydrotec Website call with Cal</t>
  </si>
  <si>
    <t xml:space="preserve"> Zoom Call (about Event prep with Cal)</t>
  </si>
  <si>
    <t>Hydrotec Exhibition Stand R&amp;D</t>
  </si>
  <si>
    <t>Hydrotec - Hanjin</t>
  </si>
  <si>
    <t xml:space="preserve">Hanjin - Discussions, Meeting with Gav, Callum, Ben, Simon </t>
  </si>
  <si>
    <t xml:space="preserve">Phone Call with Rich </t>
  </si>
  <si>
    <t>Hanjin phone call (Briefed in on Rich &amp; Gav's call)</t>
  </si>
  <si>
    <t>Hanjin Discussions (Meeting w/ Gav, Callum, Simon, Rich)</t>
  </si>
  <si>
    <t>Hanjin discussions</t>
  </si>
  <si>
    <t>Hanjin phone call with Gav</t>
  </si>
  <si>
    <t xml:space="preserve">Internal Discussions </t>
  </si>
  <si>
    <t>Zoom call (Hanjin Rigs)</t>
  </si>
  <si>
    <t xml:space="preserve">Filming on site </t>
  </si>
  <si>
    <t>uploading/copying over footage</t>
  </si>
  <si>
    <t xml:space="preserve">2X Videos for Future </t>
  </si>
  <si>
    <t xml:space="preserve">Client: Thermogrout </t>
  </si>
  <si>
    <t xml:space="preserve">Thermogrout </t>
  </si>
  <si>
    <t xml:space="preserve">Full day plus travel </t>
  </si>
  <si>
    <t>(Brainstorm, Admin, Backup footage)</t>
  </si>
  <si>
    <t>Brainstorm, Admin, Backup footage, Project Management)</t>
  </si>
  <si>
    <t>(brainstorm, Project Management)</t>
  </si>
  <si>
    <t>Branding Development of GreenGrout</t>
  </si>
  <si>
    <t>Project Management (Call with Richard &amp; Mark)</t>
  </si>
  <si>
    <t>Project Management (direction &amp; Feedback)</t>
  </si>
  <si>
    <t>Prep, Getting cameras ready, logisitics</t>
  </si>
  <si>
    <t>ss</t>
  </si>
  <si>
    <t xml:space="preserve">Call with Maurice </t>
  </si>
  <si>
    <t xml:space="preserve">Backing Up footage from Champagne </t>
  </si>
  <si>
    <t>Brand development / internal discussions</t>
  </si>
  <si>
    <t>internal discussions</t>
  </si>
  <si>
    <t>project Management / due diligence with Maurice</t>
  </si>
  <si>
    <t>Thermogrout (zoom call and pre call prep)</t>
  </si>
  <si>
    <t>⁠⁠(0.5hr) Thermogrout due diligence</t>
  </si>
  <si>
    <t>Thermogrout due diligence</t>
  </si>
  <si>
    <t>Brainstorm about USPs and Event</t>
  </si>
  <si>
    <t>Further HydroTec brainstorm and discussions with Mark/ Simon</t>
  </si>
  <si>
    <t>Hydrotec Brainstorm, creative research, call with Rich/Mark</t>
  </si>
  <si>
    <t>Research &amp; Digesting Comms from Derek</t>
  </si>
  <si>
    <t>MG500 video</t>
  </si>
  <si>
    <t>Thermogrout (zoom call)</t>
  </si>
  <si>
    <t>3D Product Development (Screw Press)</t>
  </si>
  <si>
    <t>Product Development Meeting with Gav (Screw Press)</t>
  </si>
  <si>
    <t>Zoom Call (about event prep with Cal)</t>
  </si>
  <si>
    <t>Morris Shea</t>
  </si>
  <si>
    <t xml:space="preserve">Hydrotec - Hanjin </t>
  </si>
  <si>
    <t xml:space="preserve">Hydrotec - Screwpress </t>
  </si>
  <si>
    <t xml:space="preserve">Initials </t>
  </si>
  <si>
    <t>BH</t>
  </si>
  <si>
    <t>CJ</t>
  </si>
  <si>
    <t xml:space="preserve"> Hydrotec Product Dev (Screw Press) </t>
  </si>
  <si>
    <t>Hydrotec meeting with Gav about USPs and Event</t>
  </si>
  <si>
    <t>HydroTec brainstorm and discussions with Simon</t>
  </si>
  <si>
    <t xml:space="preserve">Hydrotec Graphic Design </t>
  </si>
  <si>
    <t xml:space="preserve"> 2x future videos (includes .5hrs restoring Final Cut library)</t>
  </si>
  <si>
    <t>2x future videos</t>
  </si>
  <si>
    <t xml:space="preserve">HydroTec Expo researching graphic templates </t>
  </si>
  <si>
    <t>HydroTec Expo - Brainstorm / concept dev /</t>
  </si>
  <si>
    <t xml:space="preserve">Type of Work </t>
  </si>
  <si>
    <t>Hydrotec Screwpress Product Dev</t>
  </si>
  <si>
    <t>Marketing Material for Tradeshows</t>
  </si>
  <si>
    <t xml:space="preserve">Marketing </t>
  </si>
  <si>
    <t>September 2025</t>
  </si>
  <si>
    <t>Screwpress Product Dev</t>
  </si>
  <si>
    <t>Hydrotec call for upcoming trade shows</t>
  </si>
  <si>
    <t>Meeting</t>
  </si>
  <si>
    <t>Hydrotec Call preparation</t>
  </si>
  <si>
    <t>Hydrotec calls with SS and BH for upcoming trade shows (discussions on direction then helping Ben mockup in 3d)</t>
  </si>
  <si>
    <t>Hydrotec call with Gav/ Cal/ SS/ BH for upcoming trade shows</t>
  </si>
  <si>
    <t>Calls with Raff about Google Sheet dev</t>
  </si>
  <si>
    <t>Loom Video Update</t>
  </si>
  <si>
    <t xml:space="preserve">Meeting </t>
  </si>
  <si>
    <t>Video Editing</t>
  </si>
  <si>
    <t xml:space="preserve"> Chatting to Simon about Maurice email (project Management)</t>
  </si>
  <si>
    <t>Admin</t>
  </si>
  <si>
    <t>3D Work</t>
  </si>
  <si>
    <t>Research</t>
  </si>
  <si>
    <t xml:space="preserve">Site Visit </t>
  </si>
  <si>
    <t xml:space="preserve">3D Work </t>
  </si>
  <si>
    <t>Design</t>
  </si>
  <si>
    <t xml:space="preserve">Video Editing </t>
  </si>
  <si>
    <t xml:space="preserve">Branding </t>
  </si>
  <si>
    <t xml:space="preserve">Type of Work  </t>
  </si>
  <si>
    <t xml:space="preserve">Admin </t>
  </si>
  <si>
    <t xml:space="preserve">Design </t>
  </si>
  <si>
    <t xml:space="preserve">Research </t>
  </si>
  <si>
    <t>Hydrotec calls with RK and BH for upcoming trade shows</t>
  </si>
  <si>
    <t>Hydrotec Copy Writing for Expo</t>
  </si>
  <si>
    <t>Hydrotec Creative Direction with Mark for Expo</t>
  </si>
  <si>
    <t xml:space="preserve">Maurice email - Project Management </t>
  </si>
  <si>
    <t>Hydrotec Expo - R&amp;D motion graphic plugins</t>
  </si>
  <si>
    <t>Hydrotec call with RK for Expo (Headset Stand review &amp; Final Cut design)</t>
  </si>
  <si>
    <t>Hydrotec expo - Call with Mark Creative Direction</t>
  </si>
  <si>
    <t xml:space="preserve"> Hydrotec calls with RK for Expo (Reviewing Motion Graphic and preparing artwork)</t>
  </si>
  <si>
    <t>Hydrotec expo - Project management (uploading artwork / liaising with print company / calls with Mark)</t>
  </si>
  <si>
    <t xml:space="preserve">Project Management / Admin </t>
  </si>
  <si>
    <t>Hydrotec Expo - Apple Vision Testing &amp; Stand review</t>
  </si>
  <si>
    <t>Hydrotec call with SS for Expo (Headset Stand review &amp; Final Cut design)</t>
  </si>
  <si>
    <t xml:space="preserve"> Hydrotec expo - Pre-Print Prep</t>
  </si>
  <si>
    <t xml:space="preserve">Hydrotec Expo - Pre-Press Prep and deployment of exhibition stand artwork </t>
  </si>
  <si>
    <t>Hydrotec Expo - Call with Rich (Project Management/Admin)</t>
  </si>
  <si>
    <t>Thermogrout - Project Management/Admin)</t>
  </si>
  <si>
    <t>Thermogrout - Discussion with Rich (Project Management/Admin)</t>
  </si>
  <si>
    <t>Thermogrout - Documentation (Project Management/Admin)</t>
  </si>
  <si>
    <t>Thermogrout - Discussion with Ben (Project Management/Admin)</t>
  </si>
  <si>
    <t>Hydrotec Expo - Internal brainstorm</t>
  </si>
  <si>
    <t>Hydrotec Expo - Call with Hydrotec</t>
  </si>
  <si>
    <t>Hydrotec Expo - Creative Direction and Concept development with Mark</t>
  </si>
  <si>
    <t>Hydrotec Expo - Researching procurement options  (LED Lights, Amazon Supplies, Lanyards, Stamp, Stickers, Tape etc..)</t>
  </si>
  <si>
    <t>Hydrotec Expo - Test of GPT Sora for Row-Row</t>
  </si>
  <si>
    <t xml:space="preserve"> Hydrotec Expo - Pre-Press Prep and deployment of lanyard artwork </t>
  </si>
  <si>
    <t>Hydrotec Expo - Conceptualisation of ID badges</t>
  </si>
  <si>
    <t>Hydrotec Expo - Creative Direction with Mark</t>
  </si>
  <si>
    <t>Hydrotec Expo - Call with Simon (Project Management/Admin)</t>
  </si>
  <si>
    <t>Discussion with Simon (Project Management/Admin)</t>
  </si>
  <si>
    <t>Hydrotec Expo - Discussions with Simon</t>
  </si>
  <si>
    <t>Hydrotec Expo - QR Contact cards Production</t>
  </si>
  <si>
    <t>Hydrotec Call w Gav Re: Screw Press Product Dev</t>
  </si>
  <si>
    <t>Hydrotec Expo - 3D Marketing Visuals</t>
  </si>
  <si>
    <t>Hydrotec 3D Product Development (Screw Press)</t>
  </si>
  <si>
    <t>Hydrotec Expo - Discussion with Rich (Project Management/Admin)</t>
  </si>
  <si>
    <t>Hydrotec Expo - Discussion with Mark (Creative Direction)</t>
  </si>
  <si>
    <t>Hydrotec Expo - Artworking ID Badges and Procurement</t>
  </si>
  <si>
    <t>Hydrotec Expo - Artworking Extra ID Badges and Procurement</t>
  </si>
  <si>
    <t xml:space="preserve"> Training video spreadsheet.</t>
  </si>
  <si>
    <t>Hydrotec Expo - 3D Marketing Visuals</t>
  </si>
  <si>
    <t xml:space="preserve"> Driving to Hydrotec Yard (215 miles)</t>
  </si>
  <si>
    <t>Driving back from Hydrotec Yard (215 miles)</t>
  </si>
  <si>
    <t>Hydrotec RoRo Screw Press 3D Marketing Visuals</t>
  </si>
  <si>
    <t xml:space="preserve">Morris Shea training video spreadsheet </t>
  </si>
  <si>
    <t xml:space="preserve">Morris shea training video spreadsheet </t>
  </si>
  <si>
    <t xml:space="preserve">Hydrotec event screen videos  </t>
  </si>
  <si>
    <t>Hydrotec event screen videos</t>
  </si>
  <si>
    <t>Hydrotec Expo - 3D Marketing Visuals, show prep</t>
  </si>
  <si>
    <t>Driving to Birmingham (90 miles)</t>
  </si>
  <si>
    <t>ESS/CLR Exhibition</t>
  </si>
  <si>
    <t>Driving back from Birmingham (90 miles)</t>
  </si>
  <si>
    <t>Hydrotec Expo - Discussion with Simon (Project Management/Admin)</t>
  </si>
  <si>
    <t>Hydrotec Expo - QR Code Contact cards</t>
  </si>
  <si>
    <t>Driving to Hydrotec Yard (206 miles)</t>
  </si>
  <si>
    <t>Driving back from Hydrotec Yard (206 miles)</t>
  </si>
  <si>
    <t>Hydrotec Project Management &amp; Direction</t>
  </si>
  <si>
    <t>Hydrotec Expo - Project management &amp; liasing</t>
  </si>
  <si>
    <t>Hydrotec Expo - Screens &amp; show prep &amp; Setup</t>
  </si>
  <si>
    <t>Driving to Birmingham (106 miles)</t>
  </si>
  <si>
    <t>Driving back from Birmingham (106 miles)</t>
  </si>
  <si>
    <t>⁠Image Library for Hydrotec (1.5 Hrs)</t>
  </si>
  <si>
    <t>Footage backup and archive Hydrotec</t>
  </si>
  <si>
    <t xml:space="preserve">⁠⁠Briefing CJ on Hydrotec video </t>
  </si>
  <si>
    <t>Morris Shea Meeting and project admin</t>
  </si>
  <si>
    <t>Hydrotec ESS expo videos</t>
  </si>
  <si>
    <t>Hydrotec VR showcase video for PPTX</t>
  </si>
  <si>
    <t>Hydrotec Digital Exports</t>
  </si>
  <si>
    <t>Hydrotec Meeting Pre-Mivalt/ Show Debrief</t>
  </si>
  <si>
    <t xml:space="preserve">Tier </t>
  </si>
  <si>
    <t>Richard</t>
  </si>
  <si>
    <t>Name</t>
  </si>
  <si>
    <t>Initials</t>
  </si>
  <si>
    <t>Simon</t>
  </si>
  <si>
    <t>Ben</t>
  </si>
  <si>
    <t>Hydrotec ESS Expo -  GSI Baseball cap artworking and procurement</t>
  </si>
  <si>
    <t>Hydrotec ESS Expo -  Banner Buzz Table Cloth artworking and procurement</t>
  </si>
  <si>
    <t>Hydrotec ESS Expo -  Amazon procurement of show materials</t>
  </si>
  <si>
    <t xml:space="preserve">Hydrotec ESS Expo -  Lanyards &amp; Name Badge design, pre-press and procurement
</t>
  </si>
  <si>
    <t>Hydrotec ESS Expo -  Pre-Press Artworking Belly Wrap and procurement</t>
  </si>
  <si>
    <t>MSB Project Management (Feedback to Matt with budget breakdown response)</t>
  </si>
  <si>
    <t>Hydrotec ESS Expo -  Creative Direction, Copy writing, production with Mark on Print Materials</t>
  </si>
  <si>
    <t>Hydrotec ESS Expo -  Envato Asset Research and Briefing with CJ</t>
  </si>
  <si>
    <t xml:space="preserve"> Hydrotec ESS Expo -  Creative Direction, Copy writing, production with Mark on Print Materials</t>
  </si>
  <si>
    <t>Hydrotec ESS Expo -  Creative Direction with Mark on printed materials</t>
  </si>
  <si>
    <t>Hydrotec ESS Expo -  Print Procurement (Local Contingency Reprints)</t>
  </si>
  <si>
    <t>Hydrotec ESS Expo -  Digitalprinting.co.uk Screw Press and Polymer station repro prep and procurement</t>
  </si>
  <si>
    <t>Hydrotec ESS Expo – Initial Solids Vac 9:16 screen content creation</t>
  </si>
  <si>
    <t>Hydrotec ESS Expo -  Amazon procurement of show materials (Navy Table Cloth, Polaroid film, Brochure Stands)</t>
  </si>
  <si>
    <t xml:space="preserve">Hydrotec ESS Expo -  Screw Press 9:16 outlet with cash content development </t>
  </si>
  <si>
    <t xml:space="preserve">Hydrotec ESS Expo -  Screw Press 9:16 Vertical Promo on control panel </t>
  </si>
  <si>
    <t>Hydrotec ESS Expo -  Screw Press 16:9 Screw Press Side Video</t>
  </si>
  <si>
    <t xml:space="preserve">Hydrotec ESS Expo –  Project Management </t>
  </si>
  <si>
    <t>Hydrotec ESS Expo –  Project Management (Check in call’s, sending initial video footage to set up show screens etc)</t>
  </si>
  <si>
    <t xml:space="preserve">Hydrotec ESS Expo – Revisions to Solids Vac 9:16 screen content </t>
  </si>
  <si>
    <t>Hydrotec ESS Expo -  Updating 16:9 Screw Press Side Video</t>
  </si>
  <si>
    <t>Hydrotec Tank Storage Show -  Creating 1920 x 640 Looping Promo Video</t>
  </si>
  <si>
    <t>Hydrotec ESS Expo -  Administration with late table cloth repro</t>
  </si>
  <si>
    <t>Hydrotec Call</t>
  </si>
  <si>
    <t>Hydrotec 3D Product Development Technical Drawings (RoRo Screw Press)</t>
  </si>
  <si>
    <t>Hydrotec 3D Product Development Sketchfab Uploads (RoRo Screw Press)</t>
  </si>
  <si>
    <t>Hydrotec Screw Press Advert</t>
  </si>
  <si>
    <t>bh</t>
  </si>
  <si>
    <t>Morris Shea Project management (Cat A)</t>
  </si>
  <si>
    <t>Morris Shea meeting with CJ McKee (Cat A)</t>
  </si>
  <si>
    <t>HydroTec Shoot Prep (Cat B)</t>
  </si>
  <si>
    <t>rk</t>
  </si>
  <si>
    <t>Hydrotec Zoom (Show Debrief &amp; Mivalt)</t>
  </si>
  <si>
    <t>Hydrotec Mivalt PowerPoint Presentation (Show overview and Ro-Ro teaser)</t>
  </si>
  <si>
    <t>Hydrotec Project Production Admin (Consolidating Project files / assets)</t>
  </si>
  <si>
    <t>Travel to Shrewsbury Muller Factory - 160 miles</t>
  </si>
  <si>
    <t xml:space="preserve">Travel home from Shrewsbury Muller Factory - 160 miles </t>
  </si>
  <si>
    <t xml:space="preserve">5 Hrs on site filming </t>
  </si>
  <si>
    <t>Art directing CJ for Case study video</t>
  </si>
  <si>
    <t xml:space="preserve">Allied </t>
  </si>
  <si>
    <t xml:space="preserve">Allied initial Zoom call with Engage web agency </t>
  </si>
  <si>
    <t>Allied call with Nick</t>
  </si>
  <si>
    <t>Morris Shea meeting with CJ McKee</t>
  </si>
  <si>
    <t>Morris Shea sourcing Ai voice overs and soundtracks for MSB review</t>
  </si>
  <si>
    <t>Sorting out MSB training video spreadsheet</t>
  </si>
  <si>
    <t xml:space="preserve">Hydrotec EES video edit </t>
  </si>
  <si>
    <t>Hydrotec Muller case study video</t>
  </si>
  <si>
    <t>Hydrotec Screw Press Advert </t>
  </si>
  <si>
    <t>Hydrotec muller video</t>
  </si>
  <si>
    <t xml:space="preserve">Hydrotec muller video </t>
  </si>
  <si>
    <t xml:space="preserve"> Muller Case Study reviews &amp; feedback with (Cat A)</t>
  </si>
  <si>
    <t>Project Management (Cat A)</t>
  </si>
  <si>
    <t>A4 PowerPoint Creation for Case Study/Report (Cat A)</t>
  </si>
  <si>
    <t>Hydrotec Screw Press Advert (Cat A)</t>
  </si>
  <si>
    <t>Hanjin 'Leveraging 3D Presentation'</t>
  </si>
  <si>
    <t>Hanjin 'Leveraging 3D Presentation' (Cat A)</t>
  </si>
  <si>
    <t xml:space="preserve">Travel </t>
  </si>
  <si>
    <t xml:space="preserve">Creative Direction </t>
  </si>
  <si>
    <t>October 2025</t>
  </si>
  <si>
    <t>Thermogrout call with Maurice (Cat A)</t>
  </si>
  <si>
    <t>Exhibition product returns to Amazon</t>
  </si>
  <si>
    <t xml:space="preserve">Requesting refunds from late deliveries </t>
  </si>
  <si>
    <t>Zoom call with Nick Zohdi ref Allied Website</t>
  </si>
  <si>
    <t xml:space="preserve">Thermogrout meeting with Derek </t>
  </si>
  <si>
    <t>Thermogrout Creative Direction with Mark</t>
  </si>
  <si>
    <t>Tier</t>
  </si>
  <si>
    <t xml:space="preserve">Project Management Allied Website Imagery &amp; Videos </t>
  </si>
  <si>
    <t xml:space="preserve">Thermogrout Creative Direction with Mark </t>
  </si>
  <si>
    <t>Thermogrout call with Derek</t>
  </si>
  <si>
    <t xml:space="preserve">October 2025 </t>
  </si>
  <si>
    <t>loop reeler video edits</t>
  </si>
  <si>
    <t>Hydrotec Presentation: Breakdown Of Work</t>
  </si>
  <si>
    <t xml:space="preserve">Thermogrout call with Derek about Website Content &amp; Packaging </t>
  </si>
  <si>
    <t xml:space="preserve">Thermogrout call with Maurice </t>
  </si>
  <si>
    <t xml:space="preserve">Call with Maurice Hanjin and Chinese Manufacturer </t>
  </si>
  <si>
    <t xml:space="preserve">Thermogrout call with Derek about Website Hosting and requirements </t>
  </si>
  <si>
    <t xml:space="preserve">Thermogrout call with Richard - Project Update </t>
  </si>
  <si>
    <t xml:space="preserve"> Thermogrout call with Mark - Creative Direction</t>
  </si>
  <si>
    <t>Thermogrout content review and copywritting</t>
  </si>
  <si>
    <t>Translating 2024 Kiwa Inspection Report from Dutch to UK</t>
  </si>
  <si>
    <t xml:space="preserve">Thermogrout Dutch to UK Kiwa Translation production  </t>
  </si>
  <si>
    <t>Thermogrout project management</t>
  </si>
  <si>
    <t xml:space="preserve">Call Mark Creative Direction </t>
  </si>
  <si>
    <t>Hydrotec Presentation: Breakdown Of Work</t>
  </si>
  <si>
    <t xml:space="preserve"> loop reeler edits (Cat A)</t>
  </si>
  <si>
    <t>MSB drop box folder organization (Cat B)</t>
  </si>
  <si>
    <t>I'll review the above once file is fixed and break it down slightly further.</t>
  </si>
  <si>
    <t>Hydrotec ESS Expo -  Main Large Show Screen content development 
( Conceptualisation, Copywriting, Image Post-Production, Motion Graphics, Video Production, Transcoding etc..)</t>
  </si>
  <si>
    <t>Travel to onsite for Filming</t>
  </si>
  <si>
    <t xml:space="preserve">Filming onsite </t>
  </si>
  <si>
    <t xml:space="preserve">Meeting onsite </t>
  </si>
  <si>
    <t>First half day at Hydrotec Yard</t>
  </si>
  <si>
    <t xml:space="preserve">Second half day at Hydrotec Yard </t>
  </si>
  <si>
    <t xml:space="preserve">Thermogrout Call with Maurice  </t>
  </si>
  <si>
    <t xml:space="preserve">Thermogrout project management update zoom with Rich and Ben </t>
  </si>
  <si>
    <t xml:space="preserve"> Allied Call with Nick Zohdi </t>
  </si>
  <si>
    <t xml:space="preserve">Allied shortlisting &amp; processing images for Allied Website </t>
  </si>
  <si>
    <t>Hydrotec Presentation: Breakdown Of Work </t>
  </si>
  <si>
    <t xml:space="preserve">Hydrotec Agenda For Negotiations </t>
  </si>
  <si>
    <t xml:space="preserve">Hydrotec Figma Board 'Proposed Partnership Deal' </t>
  </si>
  <si>
    <t xml:space="preserve">Cat A - Expert Work </t>
  </si>
  <si>
    <t xml:space="preserve">Cat C - Admin/ Travel </t>
  </si>
  <si>
    <t xml:space="preserve">Hydrotec Call w Carlo &amp; Richard </t>
  </si>
  <si>
    <t xml:space="preserve">Subsurface 'Powerhouse Presentation' </t>
  </si>
  <si>
    <t>Category</t>
  </si>
  <si>
    <t>Range</t>
  </si>
  <si>
    <t>Rate</t>
  </si>
  <si>
    <t>RK/SS</t>
  </si>
  <si>
    <t>Cat A - Expert Work</t>
  </si>
  <si>
    <t>Cat B - Creative Production</t>
  </si>
  <si>
    <t xml:space="preserve">Full Rate </t>
  </si>
  <si>
    <t xml:space="preserve">Reduced Rate </t>
  </si>
  <si>
    <t xml:space="preserve">Ideas Rate </t>
  </si>
  <si>
    <t xml:space="preserve">Cat B - Creative/ Production Work </t>
  </si>
  <si>
    <t xml:space="preserve">Rate Table </t>
  </si>
  <si>
    <t>Full Rate</t>
  </si>
  <si>
    <t>Reduced Rate</t>
  </si>
  <si>
    <t>Ideas Rate</t>
  </si>
  <si>
    <t xml:space="preserve">Total  Full Rate </t>
  </si>
  <si>
    <t xml:space="preserve">Total Reducaed Rate </t>
  </si>
  <si>
    <t xml:space="preserve">Total Ideas Rate </t>
  </si>
  <si>
    <t xml:space="preserve">Call with Derek </t>
  </si>
  <si>
    <t>Allied production images and videos for website</t>
  </si>
  <si>
    <t>Allied call with Nick Zohdi</t>
  </si>
  <si>
    <t xml:space="preserve">Reducated Rate </t>
  </si>
  <si>
    <t xml:space="preserve">Full Rate  </t>
  </si>
  <si>
    <t xml:space="preserve">Full Rate Total </t>
  </si>
  <si>
    <t xml:space="preserve">Reduced Rate Total </t>
  </si>
  <si>
    <t xml:space="preserve">Ideas Rate Total </t>
  </si>
  <si>
    <t xml:space="preserve">Ideas Total </t>
  </si>
  <si>
    <t>Morris Shea Training videos</t>
  </si>
  <si>
    <t>Morris Shea training videos</t>
  </si>
  <si>
    <t>Thermogrout Kiwa 2025 certification report translation</t>
  </si>
  <si>
    <t xml:space="preserve">Discussing Mivalt/Hanjin Opportunity with Gav &amp; Cal </t>
  </si>
  <si>
    <t>Subsurface 'Powerhouse Presentation' - Hanjin</t>
  </si>
  <si>
    <t>Subsurface 'Powerhouse Presentation' - Hanjin</t>
  </si>
  <si>
    <t xml:space="preserve">Morris Shea timeline videos </t>
  </si>
  <si>
    <t>Morris Shea timeline videos</t>
  </si>
  <si>
    <t>Onsite</t>
  </si>
  <si>
    <t xml:space="preserve">hour project management </t>
  </si>
  <si>
    <t>Hour project management, speaking to GTD</t>
  </si>
  <si>
    <t>Call with Mark (Creative Direction)</t>
  </si>
  <si>
    <t xml:space="preserve">Project management </t>
  </si>
  <si>
    <t>Call with Maurice (Business Development)</t>
  </si>
  <si>
    <t xml:space="preserve">Hanjin Venture Figma Board </t>
  </si>
  <si>
    <t xml:space="preserve"> call w Gav, Hydrotec RoRo product Dev</t>
  </si>
  <si>
    <t xml:space="preserve">Hydrotec Product Development 3D </t>
  </si>
  <si>
    <t xml:space="preserve">Call regarding Screw Press/Hanjin joint venture </t>
  </si>
  <si>
    <t>Roro 3D Product Development</t>
  </si>
  <si>
    <t>gathering assets for website</t>
  </si>
  <si>
    <t>gathering assets for Allied website</t>
  </si>
  <si>
    <t>Roro 3D Product Development </t>
  </si>
  <si>
    <t xml:space="preserve"> Full Rate </t>
  </si>
  <si>
    <t xml:space="preserve">Total Full Rate </t>
  </si>
  <si>
    <t xml:space="preserve">Total Reduced Rate </t>
  </si>
  <si>
    <t xml:space="preserve">Total Logged Hours </t>
  </si>
  <si>
    <t xml:space="preserve">Total Hours Logged </t>
  </si>
  <si>
    <t xml:space="preserve">Logged Entries </t>
  </si>
  <si>
    <t>Logged Entries</t>
  </si>
  <si>
    <t>Total  Hours Logged</t>
  </si>
  <si>
    <t>Total Hours Logged</t>
  </si>
  <si>
    <t>Total Full £</t>
  </si>
  <si>
    <t>Total Reduced £</t>
  </si>
  <si>
    <t>Total Ideas £</t>
  </si>
  <si>
    <t xml:space="preserve">Hanjin Joint Venture Presentation </t>
  </si>
  <si>
    <t>Hanjin Joint Venture Presentation</t>
  </si>
  <si>
    <t xml:space="preserve">Hours </t>
  </si>
  <si>
    <t xml:space="preserve">Value </t>
  </si>
  <si>
    <t xml:space="preserve">£/Hour </t>
  </si>
  <si>
    <t>CJ/RD</t>
  </si>
  <si>
    <t>November 2025</t>
  </si>
  <si>
    <t>Travelling from London to Indiana</t>
  </si>
  <si>
    <t>RD</t>
  </si>
  <si>
    <t>Filming on site @ Cummins Factory</t>
  </si>
  <si>
    <t>Backing up footage</t>
  </si>
  <si>
    <t>Reviewing footage and Shoot list (Whilst backing up)</t>
  </si>
  <si>
    <t>Travel to Nashville</t>
  </si>
  <si>
    <t>Travel to Tanner, Alabama</t>
  </si>
  <si>
    <t>Filming on site @ Tanner, Alabama</t>
  </si>
  <si>
    <t>Travel to Hotel</t>
  </si>
  <si>
    <t>Travel to Site @ Tanner, Alabama</t>
  </si>
  <si>
    <t>Travel to Atlanta airport and then Home</t>
  </si>
  <si>
    <t>Wi-Fi for Flight to MSB</t>
  </si>
  <si>
    <t>Car hire from Chicago to Atlanta</t>
  </si>
  <si>
    <t xml:space="preserve">Flights to and from the US </t>
  </si>
  <si>
    <t>Hotel for the night in Huntsville</t>
  </si>
  <si>
    <t xml:space="preserve">Taxi to Heathrow </t>
  </si>
  <si>
    <t xml:space="preserve">Indiana Accomodation RD - 3nights </t>
  </si>
  <si>
    <t xml:space="preserve">Indiana Accomodation RK/CJ - 3 nights </t>
  </si>
  <si>
    <t xml:space="preserve">Nashville Hotel weds (on route to Alabama) </t>
  </si>
  <si>
    <t xml:space="preserve">Vehicle Rental </t>
  </si>
  <si>
    <t xml:space="preserve">November 2025 </t>
  </si>
  <si>
    <t>Admin/Figma Board</t>
  </si>
  <si>
    <t xml:space="preserve">Website Mockup </t>
  </si>
  <si>
    <t>Website Mockup</t>
  </si>
  <si>
    <t>GTD Rig sales Analysis</t>
  </si>
  <si>
    <t>Discussions with team</t>
  </si>
  <si>
    <t>GTD Rig/ Mud systems sales Analysis</t>
  </si>
  <si>
    <t xml:space="preserve">Internal discussions </t>
  </si>
  <si>
    <t>Discussions with Gav / Cal</t>
  </si>
  <si>
    <t xml:space="preserve">Shuttle to France </t>
  </si>
  <si>
    <t xml:space="preserve">Breakfast </t>
  </si>
  <si>
    <t xml:space="preserve">Breakfast - Sustenance </t>
  </si>
  <si>
    <t xml:space="preserve">Petrol </t>
  </si>
  <si>
    <t xml:space="preserve">60 EUR </t>
  </si>
  <si>
    <t xml:space="preserve">18.25 EUR </t>
  </si>
  <si>
    <t xml:space="preserve">Coffees </t>
  </si>
  <si>
    <t xml:space="preserve">Toll Road charges </t>
  </si>
  <si>
    <t xml:space="preserve">MSB </t>
  </si>
  <si>
    <t>Website Mockup</t>
  </si>
  <si>
    <t xml:space="preserve">Discussions with Gav / Cal </t>
  </si>
  <si>
    <t>GTD Sales Timeline 3D Animation</t>
  </si>
  <si>
    <t>Internal discussions</t>
  </si>
  <si>
    <t xml:space="preserve">Entertainment </t>
  </si>
  <si>
    <t xml:space="preserve">No </t>
  </si>
  <si>
    <t xml:space="preserve">17.60 EUR </t>
  </si>
  <si>
    <t>GTD sales timeline 3D animation</t>
  </si>
  <si>
    <t>Figma Board</t>
  </si>
  <si>
    <t>Call with Carlo</t>
  </si>
  <si>
    <t xml:space="preserve">Hanjin/ Maurice Drilling </t>
  </si>
  <si>
    <t xml:space="preserve">4.5 Hours onsite </t>
  </si>
  <si>
    <t>7 Hours onsite</t>
  </si>
  <si>
    <t xml:space="preserve">6 Hours travel </t>
  </si>
  <si>
    <t xml:space="preserve">Creative Direction/ Input </t>
  </si>
  <si>
    <t>Value (Full Rate)</t>
  </si>
  <si>
    <t xml:space="preserve"> GTD sales timeline 3D animation </t>
  </si>
  <si>
    <t xml:space="preserve">GTD sales timeline 3D animation </t>
  </si>
  <si>
    <t xml:space="preserve">3D Website Teaser </t>
  </si>
  <si>
    <t xml:space="preserve">3D Website Teaser  </t>
  </si>
  <si>
    <t xml:space="preserve"> 3D Website Teaser </t>
  </si>
  <si>
    <t xml:space="preserve">Project Management Call with Mark </t>
  </si>
  <si>
    <t xml:space="preserve">ODM Agreement Review </t>
  </si>
  <si>
    <t>MSB training videos</t>
  </si>
  <si>
    <t xml:space="preserve">MSB Training Project Management/ Feedback </t>
  </si>
  <si>
    <t>MSB training Project Management/ Feedback</t>
  </si>
  <si>
    <t>December 2025</t>
  </si>
  <si>
    <t>MSB training Project Management/ Feedback and Direction</t>
  </si>
  <si>
    <t xml:space="preserve">MSB Training videos </t>
  </si>
  <si>
    <t>3D visuals concept art</t>
  </si>
  <si>
    <t>Zoom Call</t>
  </si>
  <si>
    <t>MSB Training videos</t>
  </si>
  <si>
    <t>January 2026</t>
  </si>
  <si>
    <t>R&amp;D</t>
  </si>
  <si>
    <t>Call with Mark - Hanjin</t>
  </si>
  <si>
    <t>Call with Gav &amp; Cal - Hanjin</t>
  </si>
  <si>
    <t>Transcribing/ Translating Korean Meetings - Hanjin</t>
  </si>
  <si>
    <t>MSB Training Videos</t>
  </si>
  <si>
    <t>3D Preparation For Pitch, Hydrotec</t>
  </si>
  <si>
    <t>Transcribing/ Translating Korean Meetings - Hanjin,</t>
  </si>
  <si>
    <t>MSB project admin &amp; Direction</t>
  </si>
  <si>
    <t>MSB direction and management.</t>
  </si>
  <si>
    <t xml:space="preserve">January 2026 </t>
  </si>
  <si>
    <t>DBR</t>
  </si>
  <si>
    <t xml:space="preserve">Call with Mark </t>
  </si>
  <si>
    <t>Call with Gav &amp; Cal</t>
  </si>
  <si>
    <t>DBR discussions, research and planning</t>
  </si>
  <si>
    <t>DBR discussions, research and planning,</t>
  </si>
  <si>
    <t xml:space="preserve">Call with Freelancer </t>
  </si>
  <si>
    <t xml:space="preserve">Hydrotec Pitch Discussions </t>
  </si>
  <si>
    <t xml:space="preserve">Hydrotec Pitch 3D </t>
  </si>
  <si>
    <t xml:space="preserve">Hydrotec Brochure Briefing and direction </t>
  </si>
  <si>
    <t>Feedback/ Direction</t>
  </si>
  <si>
    <t>Feedback/ Direction with Mark-</t>
  </si>
  <si>
    <t xml:space="preserve">Hydrotec Pitch 3D - Hydrotec </t>
  </si>
  <si>
    <t xml:space="preserve">Richard Dunstan Brief - MSB </t>
  </si>
  <si>
    <t xml:space="preserve">DBR Accounting/ Admin Discussions  - DBR </t>
  </si>
  <si>
    <t>Richard Dunstan Brief - MSB</t>
  </si>
  <si>
    <t>MSB Feedback and direction</t>
  </si>
  <si>
    <t xml:space="preserve">DBR Funding call with Will  </t>
  </si>
  <si>
    <t xml:space="preserve">MSB Project Management Email </t>
  </si>
  <si>
    <t xml:space="preserve">Bore Logic </t>
  </si>
  <si>
    <t xml:space="preserve">Initial Meeting Descriptions </t>
  </si>
  <si>
    <t>Richard Dunston Brief</t>
  </si>
  <si>
    <t>Full Rate Total:</t>
  </si>
  <si>
    <t>Ideas Rate Total:</t>
  </si>
  <si>
    <t>Reduced Rate Total:</t>
  </si>
  <si>
    <t>Reducated Rate Total:</t>
  </si>
  <si>
    <t xml:space="preserve">Ideas Rate Total: </t>
  </si>
  <si>
    <t xml:space="preserve">Transcribing/Translating Korean Meetings </t>
  </si>
  <si>
    <t xml:space="preserve">MSB Feedback and direction </t>
  </si>
  <si>
    <t>Transcribing/Translating Korean Meetings</t>
  </si>
  <si>
    <t>Logo Sting</t>
  </si>
  <si>
    <t>Roro product Development</t>
  </si>
  <si>
    <t xml:space="preserve">Hanjin Email Draft </t>
  </si>
  <si>
    <t>Hanjin Presentation</t>
  </si>
  <si>
    <t xml:space="preserve">Logo Sting </t>
  </si>
  <si>
    <t xml:space="preserve">DBR Funding Admin </t>
  </si>
  <si>
    <t xml:space="preserve">DBR Design Feedback and direction </t>
  </si>
  <si>
    <t>DBR Misc discussions</t>
  </si>
  <si>
    <t xml:space="preserve">MSB Feedback and direction - MSB </t>
  </si>
  <si>
    <t xml:space="preserve">DBRDiscussions with Rich </t>
  </si>
  <si>
    <t>Presentation for Hydrotec negoitiation</t>
  </si>
  <si>
    <t>Calls with Simon</t>
  </si>
  <si>
    <t xml:space="preserve">Calls with Richard </t>
  </si>
  <si>
    <t xml:space="preserve">Email Draft </t>
  </si>
  <si>
    <t>MSB 3D animation</t>
  </si>
  <si>
    <t>january 2026</t>
  </si>
  <si>
    <t xml:space="preserve">February 2026 </t>
  </si>
  <si>
    <t>Driving to/from Meeting</t>
  </si>
  <si>
    <t>Meeting with Kevin/ Vas</t>
  </si>
  <si>
    <t xml:space="preserve">Call Discussing DBR Structure </t>
  </si>
  <si>
    <t xml:space="preserve">Rig Pricing and Margins Spreadsheet </t>
  </si>
  <si>
    <t xml:space="preserve">Layouts for packaging and translations for Maurice </t>
  </si>
  <si>
    <t xml:space="preserve">Research on compliancy </t>
  </si>
  <si>
    <t xml:space="preserve">Preparation for Finland Trip </t>
  </si>
  <si>
    <t>GTM Strategy Presentation prep (over 2 weeks)</t>
  </si>
  <si>
    <t xml:space="preserve">Draft Services agreement </t>
  </si>
  <si>
    <t>Travel to Korea - December</t>
  </si>
  <si>
    <t>Returning from Korea - December</t>
  </si>
  <si>
    <t xml:space="preserve">Travel to Korea - January </t>
  </si>
  <si>
    <t xml:space="preserve">Returning from Korea - January </t>
  </si>
  <si>
    <t xml:space="preserve">3 full days in Korea December </t>
  </si>
  <si>
    <t xml:space="preserve">Travel to New Orleans </t>
  </si>
  <si>
    <t xml:space="preserve">Return from New Orleans </t>
  </si>
  <si>
    <t xml:space="preserve">Time in New Orleans </t>
  </si>
  <si>
    <t xml:space="preserve">Miscellaneous organising Korea </t>
  </si>
  <si>
    <t xml:space="preserve">Work for Tender with Hydrotec </t>
  </si>
  <si>
    <t xml:space="preserve">Work for Tender with Hydrotec - prep </t>
  </si>
  <si>
    <t xml:space="preserve">Call with Ben discussing tender </t>
  </si>
  <si>
    <t xml:space="preserve">Changes to Tender Work </t>
  </si>
  <si>
    <t xml:space="preserve">DBR Branding work and feedback Direction </t>
  </si>
  <si>
    <t xml:space="preserve">Work in Korea </t>
  </si>
  <si>
    <t xml:space="preserve">Discussions with Kevin and Vas </t>
  </si>
  <si>
    <t xml:space="preserve">Internal strucutural discussions with RK and BH </t>
  </si>
  <si>
    <t xml:space="preserve">Time spent with Bruce on the sale of the rig </t>
  </si>
  <si>
    <t xml:space="preserve">Call discussing the structure with RK </t>
  </si>
  <si>
    <t xml:space="preserve">Project Management with Bruce </t>
  </si>
  <si>
    <t xml:space="preserve">Miscellaneous Hydrotec partnership discussions </t>
  </si>
  <si>
    <t xml:space="preserve">December 2025 </t>
  </si>
  <si>
    <t xml:space="preserve">Talks before Christmas - rk to add </t>
  </si>
  <si>
    <t>New office preparation</t>
  </si>
  <si>
    <t xml:space="preserve">Call with Simon discussing product development </t>
  </si>
  <si>
    <t xml:space="preserve">product development </t>
  </si>
  <si>
    <t xml:space="preserve">Call with Salesio </t>
  </si>
  <si>
    <t xml:space="preserve">Salesio call debrief </t>
  </si>
  <si>
    <t>Korea - New Orleans</t>
  </si>
  <si>
    <t>15th Dec Hanjin Work and Call</t>
  </si>
  <si>
    <t>18th Dec Hanjin Work and Call also with Bruce etc</t>
  </si>
  <si>
    <t>22nd Dec Call about Hydrotec Tender with Gav</t>
  </si>
  <si>
    <t xml:space="preserve">Working on the contract with Salesio </t>
  </si>
  <si>
    <t xml:space="preserve">Reviewing Designs with Mark </t>
  </si>
  <si>
    <t>Work with Salesio on Bruces Rig</t>
  </si>
  <si>
    <t xml:space="preserve">Working with Salesio </t>
  </si>
  <si>
    <t xml:space="preserve">Call with Salesio with RK and BH </t>
  </si>
  <si>
    <t>Finland Travel to and From</t>
  </si>
  <si>
    <t>Working hours in Finland</t>
  </si>
  <si>
    <t xml:space="preserve">Call with QC </t>
  </si>
  <si>
    <t xml:space="preserve">Branding and Hydrotec Discussions </t>
  </si>
  <si>
    <t xml:space="preserve">Hydrotec Presentations </t>
  </si>
  <si>
    <t xml:space="preserve">Timesheet Admin </t>
  </si>
  <si>
    <t xml:space="preserve">Internal Hydrotec Discussions </t>
  </si>
  <si>
    <t xml:space="preserve">September 2025 </t>
  </si>
  <si>
    <t xml:space="preserve">Fuel Expenses </t>
  </si>
  <si>
    <t xml:space="preserve">Expenses </t>
  </si>
  <si>
    <t>Calls/ Comms Bruce and Salesio</t>
  </si>
  <si>
    <t>Pricing/ Margin Matrix Dev</t>
  </si>
  <si>
    <t xml:space="preserve">Internal Call with Ben </t>
  </si>
  <si>
    <t xml:space="preserve">Internal Call after Salesio Call </t>
  </si>
  <si>
    <t xml:space="preserve">Calls/ Comms with Bruce and Salesio </t>
  </si>
  <si>
    <t xml:space="preserve">Internal Calls </t>
  </si>
  <si>
    <t xml:space="preserve">Calls / Discussions </t>
  </si>
  <si>
    <t xml:space="preserve">Gav/ Cal Discussions </t>
  </si>
  <si>
    <t xml:space="preserve">Gav/ Cal Presentation  </t>
  </si>
  <si>
    <t xml:space="preserve">Internal Calls/ Branding </t>
  </si>
  <si>
    <t xml:space="preserve">New Studio/ Declan Electrics/ Door Lock </t>
  </si>
  <si>
    <t>Calls/Comms Bruce &amp; Salesio</t>
  </si>
  <si>
    <t>Spec Development of Rigs - Imperial Conversions - Excel Options Sheet Dev</t>
  </si>
  <si>
    <t>Internal Discussions</t>
  </si>
  <si>
    <t>Calls/Comms Bruce &amp; Salesio -</t>
  </si>
  <si>
    <t>Refining DBR vs GDB Presentation/PDF</t>
  </si>
  <si>
    <t>Internal Calls</t>
  </si>
  <si>
    <t xml:space="preserve">Creative Direction Mark DB&amp;G logo/Test </t>
  </si>
  <si>
    <t>Internal Hydrotec Discussions</t>
  </si>
  <si>
    <t xml:space="preserve">Calls/Comms Salesio </t>
  </si>
  <si>
    <t>Calls/Comms Bruce - Track Carrier conceptulisation</t>
  </si>
  <si>
    <t xml:space="preserve">Spec Development - Imperial Conversions - Excel Options Sheet Dev </t>
  </si>
  <si>
    <t xml:space="preserve">Internal Call </t>
  </si>
  <si>
    <t xml:space="preserve">Call with Richard and Simon </t>
  </si>
  <si>
    <t xml:space="preserve">BH </t>
  </si>
  <si>
    <t xml:space="preserve">Timesheets Discussion </t>
  </si>
  <si>
    <t xml:space="preserve">Hydrotec call with Richard </t>
  </si>
  <si>
    <t xml:space="preserve">Call with Ben and Simon </t>
  </si>
  <si>
    <t xml:space="preserve">Hydrotec call with Ben </t>
  </si>
  <si>
    <t>TF</t>
  </si>
  <si>
    <t>February 2026</t>
  </si>
  <si>
    <t>Call with Richard, Hydrotec Negotiation</t>
  </si>
  <si>
    <t xml:space="preserve">Hydrotec Presentation </t>
  </si>
  <si>
    <t>Call w Kev, Vas, RK, SS</t>
  </si>
  <si>
    <t>Call w RK, SS, Hydrotec Negotiation</t>
  </si>
  <si>
    <t xml:space="preserve">Call with Ben , hydrotec negoitiation </t>
  </si>
  <si>
    <t xml:space="preserve">Call with Kev, Vas, BH, SS </t>
  </si>
  <si>
    <t>Call with BH, SS</t>
  </si>
  <si>
    <t>Call with Kev, Vas, BH, RK</t>
  </si>
  <si>
    <t xml:space="preserve">Call with BH, RK </t>
  </si>
  <si>
    <t xml:space="preserve">Growth Modelling </t>
  </si>
  <si>
    <t xml:space="preserve">Call with SS, Hydrotec Negoitiation </t>
  </si>
  <si>
    <t xml:space="preserve">Call with SS, general hydrotec discussions </t>
  </si>
  <si>
    <t>Call with Creditsafe</t>
  </si>
  <si>
    <t xml:space="preserve">DBR Discussions with Rich </t>
  </si>
  <si>
    <t xml:space="preserve">DBR Planning Figma </t>
  </si>
  <si>
    <t xml:space="preserve">Call with Rich, Hydrotec Response </t>
  </si>
  <si>
    <t xml:space="preserve">Call with Tanika </t>
  </si>
  <si>
    <t xml:space="preserve">DBR call with Simon </t>
  </si>
  <si>
    <t xml:space="preserve">DBR discussions with Ben </t>
  </si>
  <si>
    <t xml:space="preserve">Call with Ben, Hyrdotec Response </t>
  </si>
  <si>
    <t xml:space="preserve">Admin Project/ Management </t>
  </si>
  <si>
    <t xml:space="preserve">Valuation Call Prep with SS and RK </t>
  </si>
  <si>
    <t xml:space="preserve">Valuation Call David Roper and RK </t>
  </si>
  <si>
    <t>Valuation Call Prep with SS and BH</t>
  </si>
  <si>
    <t xml:space="preserve">Valuation Call Prep with BH and RK </t>
  </si>
  <si>
    <t xml:space="preserve">Call with RK </t>
  </si>
  <si>
    <t xml:space="preserve">Call with SS </t>
  </si>
  <si>
    <t xml:space="preserve">Salesio update Figma </t>
  </si>
  <si>
    <t xml:space="preserve">Hydrotec Hours Calculation </t>
  </si>
  <si>
    <t xml:space="preserve">Cash Flow Forecasting </t>
  </si>
  <si>
    <t>February 2027</t>
  </si>
  <si>
    <t>February 2028</t>
  </si>
  <si>
    <t>3D Rig Prep R&amp;D</t>
  </si>
  <si>
    <t>Rig Pricing Spreadsheet</t>
  </si>
  <si>
    <t>Cashflow Forecasting</t>
  </si>
  <si>
    <t>Team Catch up</t>
  </si>
  <si>
    <t xml:space="preserve">Hydrotec Call </t>
  </si>
  <si>
    <t xml:space="preserve">Hydrotec Call Prep </t>
  </si>
  <si>
    <t xml:space="preserve">Subsurface </t>
  </si>
  <si>
    <t xml:space="preserve">Bore Logic Call Prep </t>
  </si>
  <si>
    <t>Real Estate Venture Research</t>
  </si>
  <si>
    <t>Real Estate Venture Call w Rich</t>
  </si>
  <si>
    <t xml:space="preserve">Real Estate Venture Call w TF </t>
  </si>
  <si>
    <t xml:space="preserve">Valuation Call w David Roper &amp; BH </t>
  </si>
  <si>
    <t xml:space="preserve">DBR Misc planning </t>
  </si>
  <si>
    <t>Call with BH</t>
  </si>
  <si>
    <t xml:space="preserve">Calls with SS </t>
  </si>
  <si>
    <t xml:space="preserve">Calls with RK </t>
  </si>
  <si>
    <t xml:space="preserve">Loom Preparation for Salesio </t>
  </si>
  <si>
    <t xml:space="preserve">Loom Recording for Salesio </t>
  </si>
  <si>
    <t xml:space="preserve">Salesion update </t>
  </si>
  <si>
    <t xml:space="preserve">CAD File R&amp;D </t>
  </si>
  <si>
    <t xml:space="preserve">Call w SS </t>
  </si>
  <si>
    <t>Hydrotec Loom Recording Feedback</t>
  </si>
  <si>
    <t>Call w SS, RK</t>
  </si>
  <si>
    <t>Calls w SS</t>
  </si>
  <si>
    <t xml:space="preserve">Call w SS, RK </t>
  </si>
  <si>
    <t xml:space="preserve">Salesio Update Feedback </t>
  </si>
  <si>
    <t xml:space="preserve">OG20 3D Organization </t>
  </si>
  <si>
    <t xml:space="preserve">Briefing Freelancer </t>
  </si>
  <si>
    <t xml:space="preserve">OG20 3D Model </t>
  </si>
  <si>
    <t xml:space="preserve">OG20 Paintwork Concepts w SS </t>
  </si>
  <si>
    <t xml:space="preserve">March 2026 </t>
  </si>
  <si>
    <t xml:space="preserve">DBR </t>
  </si>
  <si>
    <t xml:space="preserve">Team Catchup </t>
  </si>
  <si>
    <t xml:space="preserve">Call w RK &amp; SS </t>
  </si>
  <si>
    <t>OG20 3D Model</t>
  </si>
  <si>
    <t>Greg Piercy Call Scoping Work</t>
  </si>
  <si>
    <t xml:space="preserve">Hydrotec Discussions </t>
  </si>
  <si>
    <t xml:space="preserve">Salesio Loom Recording </t>
  </si>
  <si>
    <t xml:space="preserve">General DBR Discussions </t>
  </si>
  <si>
    <t>Team catch up</t>
  </si>
  <si>
    <t>Call with BH and SS</t>
  </si>
  <si>
    <t xml:space="preserve">Listening to Simon, Bruce and Troy </t>
  </si>
  <si>
    <t xml:space="preserve">Meeting with SS and BH </t>
  </si>
  <si>
    <t xml:space="preserve">Meeting with Ben </t>
  </si>
  <si>
    <t xml:space="preserve">Meeting with BH and RK </t>
  </si>
  <si>
    <t xml:space="preserve">Call with BH and RK </t>
  </si>
  <si>
    <t xml:space="preserve">Response to Derek </t>
  </si>
  <si>
    <t>Simons Missing hours on Product sheets… meetings… directions etc</t>
  </si>
  <si>
    <t xml:space="preserve">Calls w RK </t>
  </si>
  <si>
    <t xml:space="preserve">Kev and Vas Call Prep </t>
  </si>
  <si>
    <t xml:space="preserve">Kev and Vas Call </t>
  </si>
  <si>
    <t xml:space="preserve">Calls with Rk and SS </t>
  </si>
  <si>
    <t xml:space="preserve">Call w Dunstan </t>
  </si>
  <si>
    <t xml:space="preserve">Salesio Call Prep w RK &amp; SS </t>
  </si>
  <si>
    <t>Salesio Call w RK &amp; SS</t>
  </si>
  <si>
    <t xml:space="preserve">Salesio Call Debrief w RK &amp; SS </t>
  </si>
  <si>
    <t xml:space="preserve">OG20 Spec Sheet </t>
  </si>
  <si>
    <t>Spec Sheet Call w Mark &amp; SS</t>
  </si>
  <si>
    <t xml:space="preserve">Air Compressors Spec Sheet </t>
  </si>
  <si>
    <t>OG/48 Air Compressor Spec Sheets</t>
  </si>
  <si>
    <t xml:space="preserve">Call with BH </t>
  </si>
  <si>
    <t xml:space="preserve">Salesio Call Prep w BH &amp; SS </t>
  </si>
  <si>
    <t>Salesio Call w BH &amp; SS</t>
  </si>
  <si>
    <t xml:space="preserve">Salesio Call Debrief w BH &amp; SS </t>
  </si>
  <si>
    <t>Salesio Call Prep w RK &amp; BH</t>
  </si>
  <si>
    <t>Salesio Call w RK &amp; BH</t>
  </si>
  <si>
    <t>Salesio Call Debrief w RK &amp; BH</t>
  </si>
  <si>
    <t xml:space="preserve">Calls w SS + RK </t>
  </si>
  <si>
    <t xml:space="preserve">OG48 3D Rigging </t>
  </si>
  <si>
    <t xml:space="preserve">DBR Update Call w Vas + RK + SS </t>
  </si>
  <si>
    <t>Calls w SS + BH</t>
  </si>
  <si>
    <t xml:space="preserve">Calls w BH + RK </t>
  </si>
  <si>
    <t>Call w RK</t>
  </si>
  <si>
    <t>OG48 3D Rigging</t>
  </si>
  <si>
    <t>DBR Update Call w Vas + BH + SS</t>
  </si>
  <si>
    <t>DBR Update Call w Vas + BH + RK</t>
  </si>
  <si>
    <t>Spec Sheets</t>
  </si>
  <si>
    <t xml:space="preserve">3D Direction </t>
  </si>
  <si>
    <t xml:space="preserve">Meeting Prep for Kev and Vas </t>
  </si>
  <si>
    <t>Kev and Vas Meeting</t>
  </si>
  <si>
    <t>Miscellaneous Admin with Salesio</t>
  </si>
  <si>
    <t xml:space="preserve">Miscellaneous Admin with Bruce </t>
  </si>
  <si>
    <t>Call with Troy</t>
  </si>
  <si>
    <t xml:space="preserve">Call with Troy </t>
  </si>
  <si>
    <t xml:space="preserve">Decorating new office </t>
  </si>
  <si>
    <t xml:space="preserve">Setting up alarms/ Wifi for new office </t>
  </si>
  <si>
    <t>DBR Company set up admin (Banking etc)</t>
  </si>
  <si>
    <t xml:space="preserve">NY Geo Admin </t>
  </si>
  <si>
    <t>March 2026</t>
  </si>
  <si>
    <t xml:space="preserve">Admin and Direction for RD and CJ </t>
  </si>
  <si>
    <t xml:space="preserve">Driving to/From Amersham, 180 miles </t>
  </si>
  <si>
    <t>Meeting w Kev, Vas, RK, SS</t>
  </si>
  <si>
    <t xml:space="preserve">Decorating New Office Space </t>
  </si>
  <si>
    <t>OG48 NYGEO 3D Promo Material</t>
  </si>
  <si>
    <t xml:space="preserve">Call w RK </t>
  </si>
  <si>
    <t xml:space="preserve">Call with Ben </t>
  </si>
  <si>
    <t xml:space="preserve"> OG48 3D Model</t>
  </si>
  <si>
    <t xml:space="preserve">Training Videos </t>
  </si>
  <si>
    <t>Working at Yard (new office set up)</t>
  </si>
  <si>
    <t xml:space="preserve"> OG48 3D Model </t>
  </si>
  <si>
    <t xml:space="preserve">3D Factory Environment </t>
  </si>
  <si>
    <t xml:space="preserve">OG48 3D Model </t>
  </si>
  <si>
    <t>OG48 3D Model</t>
  </si>
  <si>
    <t>April 2026</t>
  </si>
  <si>
    <t xml:space="preserve">Meeting with Richard regarding training videos. Watched all previous training videos, look through footage for terrasonic, skim through terrasonic user manual </t>
  </si>
  <si>
    <t>Short meeting with Richard, start editing google docs for shot list</t>
  </si>
  <si>
    <t>back and forth with chatGPT about training for the Terra Sonic drilling rig, create shot list based on that and start adding. Go through pending videos and start marking off what’s captured, also adding to the list</t>
  </si>
  <si>
    <t>watching videos, marking off what’s captured, listing file names, locations and times</t>
  </si>
  <si>
    <t>watch more videos, add to list, watch GTD videos again</t>
  </si>
  <si>
    <t>watch more videos, add more to the list, list videos with time stamps</t>
  </si>
  <si>
    <t>watch more videos, add more to the list, list videos with time stamps </t>
  </si>
  <si>
    <t>review the last of the video, add to spreadsheet, read the manual a little more carefully, remove items from spreadsheet, adjust order, start on main control panel video edit (add pictures, create highlights, start on timing, decide what to highlight etc.)</t>
  </si>
  <si>
    <t>Control panel video edit, start adding video, create short alternative to solve some problems, muck about with elevenlabs (not the right voices listed)</t>
  </si>
  <si>
    <t>Control panel video edit Add voice over, adjust timing, add more video to match controls </t>
  </si>
  <si>
    <t>Control panel video edit, go through footage again, add to spreadsheet, add more video/replace some video to the edit, clean up version 2, upscale both and send off </t>
  </si>
  <si>
    <t> Start and complete shut down procedures video edit, start daily maintenance edit</t>
  </si>
  <si>
    <t>Short meeting with CJ sort out grease points sub video, start filter check section, bring in some other video and clip them </t>
  </si>
  <si>
    <t>Replace one voice-over file in grease points edit, add titles, go through some videos again, adjust spreadsheet</t>
  </si>
  <si>
    <t>Finish off fluids check video (minus titles!) and get half way through the manual override controls video edit, adjustments to spreadsheet</t>
  </si>
  <si>
    <t>Finish off manual override valves video edit, finish off fluids check video edit, combine into maintenance video and finish adding voice-over to remaining shots, finish off filters section, adjust spreadsheet a bit and clean it up a little better</t>
  </si>
  <si>
    <t>Starting the TSi 150CC video edit, and Safety video edit/ upscale and send off</t>
  </si>
  <si>
    <t>Do the TUG video edit </t>
  </si>
  <si>
    <t>update safety edit with Crew Safety segment</t>
  </si>
  <si>
    <t>Water manifold edit, raising mast edit, upscale and send off -</t>
  </si>
  <si>
    <t>Prep and walk around edit </t>
  </si>
  <si>
    <t xml:space="preserve">DBR admin </t>
  </si>
  <si>
    <t xml:space="preserve">NY GEO visit </t>
  </si>
  <si>
    <t xml:space="preserve">DBR admin - document of shares </t>
  </si>
  <si>
    <t xml:space="preserve">DBR Narrative work </t>
  </si>
  <si>
    <t>DBR R&amp;D</t>
  </si>
  <si>
    <t xml:space="preserve">Discussions with Bruce </t>
  </si>
  <si>
    <t xml:space="preserve">Discussions with Jeff and Josh </t>
  </si>
  <si>
    <t xml:space="preserve">Breakfast meeting with Bruce </t>
  </si>
  <si>
    <t xml:space="preserve">Evening meeting with Bruce </t>
  </si>
  <si>
    <t xml:space="preserve">Meeting with Jeff and Bruce </t>
  </si>
  <si>
    <t xml:space="preserve">Meeting with jeff and Bruce </t>
  </si>
  <si>
    <t>Meeting with Bruce</t>
  </si>
  <si>
    <t xml:space="preserve">Meeting with Bruce </t>
  </si>
  <si>
    <t xml:space="preserve">Work for Derek </t>
  </si>
  <si>
    <t xml:space="preserve">Sorting DBR office </t>
  </si>
  <si>
    <t>At the Yard</t>
  </si>
  <si>
    <t xml:space="preserve">Meeting with Jeff re DBR </t>
  </si>
  <si>
    <t xml:space="preserve">Meeting with Danny re DBR manuals </t>
  </si>
  <si>
    <t xml:space="preserve">General DBR admin </t>
  </si>
  <si>
    <t xml:space="preserve">Flights and Logistics </t>
  </si>
  <si>
    <t xml:space="preserve">DBR logistics </t>
  </si>
  <si>
    <t xml:space="preserve">DBR office set up </t>
  </si>
  <si>
    <t xml:space="preserve">DBR discussions with Vas </t>
  </si>
  <si>
    <t xml:space="preserve">MSB videos </t>
  </si>
  <si>
    <t xml:space="preserve">Working on the yard </t>
  </si>
  <si>
    <t xml:space="preserve">Sorting the Yard </t>
  </si>
  <si>
    <t xml:space="preserve">Conversations with Canadians re DBR </t>
  </si>
  <si>
    <t xml:space="preserve">DBR Admin </t>
  </si>
  <si>
    <t xml:space="preserve">Prepping yard </t>
  </si>
  <si>
    <t xml:space="preserve">Meeting with BH and RD </t>
  </si>
  <si>
    <t xml:space="preserve">Travelling to Missouri </t>
  </si>
  <si>
    <t xml:space="preserve">IGSHPA Conference </t>
  </si>
  <si>
    <t xml:space="preserve">Event </t>
  </si>
  <si>
    <t>IGSHPA Conference Networking</t>
  </si>
  <si>
    <t xml:space="preserve">Travelling Home </t>
  </si>
  <si>
    <t xml:space="preserve">Travel to office </t>
  </si>
  <si>
    <t>DBR discussions</t>
  </si>
  <si>
    <t xml:space="preserve">Travel home </t>
  </si>
  <si>
    <t xml:space="preserve">DBR internal discussions </t>
  </si>
  <si>
    <t>Call w Danny Faubert &amp; SS re DBR App</t>
  </si>
  <si>
    <t xml:space="preserve">Loom Recording </t>
  </si>
  <si>
    <t>Loom Recordings</t>
  </si>
  <si>
    <t>Call w RK &amp; RD re 3D briefing</t>
  </si>
  <si>
    <t xml:space="preserve">Industry research </t>
  </si>
  <si>
    <t xml:space="preserve">Office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</si>
</sst>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
    <numFmt numFmtId="165" formatCode="[$$-409]#,##0.00"/>
    <numFmt numFmtId="166" formatCode="&quot;£&quot;#,##0.00"/>
    <numFmt numFmtId="167" formatCode="[$£-809]#,##0.00"/>
  </numFmts>
  <fonts count="20" x14ac:knownFonts="1">
    <font>
      <sz val="11"/>
      <color theme="1"/>
      <name val="Aptos Narrow"/>
      <family val="2"/>
      <scheme val="minor"/>
    </font>
    <font>
      <b/>
      <sz val="11"/>
      <color theme="1"/>
      <name val="Aptos Narrow"/>
      <family val="2"/>
      <scheme val="minor"/>
    </font>
    <font>
      <b/>
      <sz val="11"/>
      <color rgb="FF000000"/>
      <name val="Aptos Narrow"/>
      <scheme val="minor"/>
    </font>
    <font>
      <b/>
      <sz val="11"/>
      <color theme="1"/>
      <name val="Aptos Narrow"/>
      <scheme val="minor"/>
    </font>
    <font>
      <sz val="8"/>
      <name val="Aptos Narrow"/>
      <family val="2"/>
      <scheme val="minor"/>
    </font>
    <font>
      <sz val="11"/>
      <color theme="1"/>
      <name val="Aptos Narrow"/>
      <scheme val="minor"/>
    </font>
    <font>
      <b/>
      <sz val="11"/>
      <color rgb="FF000000"/>
      <name val="Aptos Narrow"/>
      <family val="2"/>
      <scheme val="minor"/>
    </font>
    <font>
      <sz val="11"/>
      <color rgb="FF000000"/>
      <name val="Aptos Narrow"/>
      <family val="2"/>
      <scheme val="minor"/>
    </font>
    <font>
      <sz val="13"/>
      <color theme="1"/>
      <name val="Helvetica Neue"/>
      <family val="2"/>
    </font>
    <font>
      <sz val="11"/>
      <color rgb="FF0A0A0A"/>
      <name val="Aptos Narrow"/>
      <scheme val="minor"/>
    </font>
    <font>
      <u/>
      <sz val="11"/>
      <color theme="10"/>
      <name val="Aptos Narrow"/>
      <family val="2"/>
      <scheme val="minor"/>
    </font>
    <font>
      <sz val="11"/>
      <color theme="5" tint="-0.249977111117893"/>
      <name val="Aptos Narrow"/>
      <family val="2"/>
      <scheme val="minor"/>
    </font>
    <font>
      <sz val="11"/>
      <color theme="5" tint="-0.249977111117893"/>
      <name val="Aptos Narrow"/>
      <scheme val="minor"/>
    </font>
    <font>
      <b/>
      <sz val="11"/>
      <color theme="5" tint="-0.249977111117893"/>
      <name val="Aptos Narrow"/>
      <scheme val="minor"/>
    </font>
    <font>
      <sz val="11"/>
      <color theme="1" tint="0.34998626667073579"/>
      <name val="Aptos Narrow"/>
      <scheme val="minor"/>
    </font>
    <font>
      <b/>
      <sz val="11"/>
      <color theme="1" tint="0.34998626667073579"/>
      <name val="Aptos Narrow"/>
      <scheme val="minor"/>
    </font>
    <font>
      <sz val="11"/>
      <color theme="2" tint="-0.749992370372631"/>
      <name val="Aptos Narrow"/>
      <scheme val="minor"/>
    </font>
    <font>
      <b/>
      <sz val="11"/>
      <color theme="2" tint="-0.749992370372631"/>
      <name val="Aptos Narrow"/>
      <scheme val="minor"/>
    </font>
    <font>
      <sz val="11"/>
      <color theme="1"/>
      <name val="Helvetica Neue"/>
      <family val="2"/>
    </font>
    <font>
      <sz val="11"/>
      <color rgb="FF202020"/>
      <name val="Arial"/>
      <family val="2"/>
    </font>
  </fonts>
  <fills count="12">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66470"/>
        <bgColor indexed="64"/>
      </patternFill>
    </fill>
  </fills>
  <borders count="20">
    <border>
      <left/>
      <right/>
      <top/>
      <bottom/>
      <diagonal/>
    </border>
    <border>
      <left/>
      <right style="thin">
        <color rgb="FF000000"/>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indexed="64"/>
      </right>
      <top/>
      <bottom/>
      <diagonal/>
    </border>
    <border>
      <left style="thin">
        <color indexed="64"/>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s>
  <cellStyleXfs count="2">
    <xf numFmtId="165" fontId="0" fillId="0" borderId="0"/>
    <xf numFmtId="165" fontId="10" fillId="0" borderId="0" applyNumberFormat="0" applyFill="0" applyBorder="0" applyAlignment="0" applyProtection="0"/>
  </cellStyleXfs>
  <cellXfs count="328">
    <xf numFmtId="165" fontId="0" fillId="0" borderId="0" xfId="0"/>
    <xf numFmtId="165" fontId="1" fillId="0" borderId="0" xfId="0" applyFont="1"/>
    <xf numFmtId="165" fontId="0" fillId="0" borderId="1" xfId="0" applyBorder="1"/>
    <xf numFmtId="165" fontId="1" fillId="2" borderId="1" xfId="0" applyFont="1" applyFill="1" applyBorder="1"/>
    <xf numFmtId="14" fontId="0" fillId="0" borderId="1" xfId="0" applyNumberFormat="1" applyBorder="1"/>
    <xf numFmtId="49" fontId="0" fillId="0" borderId="0" xfId="0" applyNumberFormat="1"/>
    <xf numFmtId="49" fontId="1" fillId="2" borderId="1" xfId="0" applyNumberFormat="1" applyFont="1" applyFill="1" applyBorder="1"/>
    <xf numFmtId="49" fontId="0" fillId="0" borderId="1" xfId="0" applyNumberFormat="1" applyBorder="1"/>
    <xf numFmtId="165" fontId="0" fillId="3" borderId="0" xfId="0" applyFill="1"/>
    <xf numFmtId="165" fontId="0" fillId="4" borderId="1" xfId="0" applyFill="1" applyBorder="1"/>
    <xf numFmtId="14" fontId="0" fillId="0" borderId="0" xfId="0" applyNumberFormat="1"/>
    <xf numFmtId="165" fontId="1" fillId="4" borderId="0" xfId="0" applyFont="1" applyFill="1"/>
    <xf numFmtId="165" fontId="0" fillId="4" borderId="0" xfId="0" applyFill="1"/>
    <xf numFmtId="49" fontId="0" fillId="4" borderId="1" xfId="0" applyNumberFormat="1" applyFill="1" applyBorder="1"/>
    <xf numFmtId="165" fontId="2" fillId="4" borderId="1" xfId="0" applyFont="1" applyFill="1" applyBorder="1" applyAlignment="1">
      <alignment horizontal="center" wrapText="1"/>
    </xf>
    <xf numFmtId="165" fontId="0" fillId="0" borderId="0" xfId="0" applyAlignment="1">
      <alignment wrapText="1"/>
    </xf>
    <xf numFmtId="3" fontId="0" fillId="0" borderId="0" xfId="0" applyNumberFormat="1"/>
    <xf numFmtId="165" fontId="0" fillId="0" borderId="2" xfId="0" applyBorder="1"/>
    <xf numFmtId="165" fontId="0" fillId="0" borderId="3" xfId="0" applyBorder="1"/>
    <xf numFmtId="165" fontId="1" fillId="0" borderId="3" xfId="0" applyFont="1" applyBorder="1"/>
    <xf numFmtId="165" fontId="3" fillId="0" borderId="0" xfId="0" applyFont="1"/>
    <xf numFmtId="14" fontId="0" fillId="0" borderId="2" xfId="0" applyNumberFormat="1" applyBorder="1"/>
    <xf numFmtId="0" fontId="0" fillId="0" borderId="0" xfId="0" applyNumberFormat="1"/>
    <xf numFmtId="165" fontId="3" fillId="0" borderId="2" xfId="0" applyFont="1" applyBorder="1"/>
    <xf numFmtId="165" fontId="1" fillId="2" borderId="2" xfId="0" applyFont="1" applyFill="1" applyBorder="1"/>
    <xf numFmtId="165" fontId="1" fillId="2" borderId="3" xfId="0" applyFont="1" applyFill="1" applyBorder="1"/>
    <xf numFmtId="165" fontId="0" fillId="4" borderId="3" xfId="0" applyFill="1" applyBorder="1"/>
    <xf numFmtId="49" fontId="1" fillId="2" borderId="2" xfId="0" applyNumberFormat="1" applyFont="1" applyFill="1" applyBorder="1"/>
    <xf numFmtId="49" fontId="0" fillId="0" borderId="2" xfId="0" applyNumberFormat="1" applyBorder="1"/>
    <xf numFmtId="165" fontId="3" fillId="2" borderId="1" xfId="0" applyFont="1" applyFill="1" applyBorder="1"/>
    <xf numFmtId="165" fontId="3" fillId="4" borderId="1" xfId="0" applyFont="1" applyFill="1" applyBorder="1"/>
    <xf numFmtId="165" fontId="3" fillId="0" borderId="1" xfId="0" applyFont="1" applyBorder="1"/>
    <xf numFmtId="166" fontId="0" fillId="0" borderId="0" xfId="0" applyNumberFormat="1"/>
    <xf numFmtId="0" fontId="1" fillId="2" borderId="1" xfId="0" applyNumberFormat="1" applyFont="1" applyFill="1" applyBorder="1"/>
    <xf numFmtId="0" fontId="0" fillId="4" borderId="1" xfId="0" applyNumberFormat="1" applyFill="1" applyBorder="1"/>
    <xf numFmtId="0" fontId="0" fillId="0" borderId="1" xfId="0" applyNumberFormat="1" applyBorder="1"/>
    <xf numFmtId="0" fontId="0" fillId="0" borderId="3" xfId="0" applyNumberFormat="1" applyBorder="1"/>
    <xf numFmtId="165" fontId="5" fillId="0" borderId="3" xfId="0" applyFont="1" applyBorder="1"/>
    <xf numFmtId="14" fontId="5" fillId="0" borderId="2" xfId="0" applyNumberFormat="1" applyFont="1" applyBorder="1"/>
    <xf numFmtId="0" fontId="1" fillId="2" borderId="0" xfId="0" applyNumberFormat="1" applyFont="1" applyFill="1"/>
    <xf numFmtId="165" fontId="6" fillId="0" borderId="0" xfId="0" applyFont="1"/>
    <xf numFmtId="165" fontId="7" fillId="0" borderId="0" xfId="0" applyFont="1"/>
    <xf numFmtId="166" fontId="7" fillId="0" borderId="0" xfId="0" applyNumberFormat="1" applyFont="1"/>
    <xf numFmtId="2" fontId="1" fillId="2" borderId="3" xfId="0" applyNumberFormat="1" applyFont="1" applyFill="1" applyBorder="1"/>
    <xf numFmtId="2" fontId="0" fillId="4" borderId="3" xfId="0" applyNumberFormat="1" applyFill="1" applyBorder="1"/>
    <xf numFmtId="2" fontId="0" fillId="0" borderId="3" xfId="0" applyNumberFormat="1" applyBorder="1"/>
    <xf numFmtId="166" fontId="1" fillId="2" borderId="0" xfId="0" applyNumberFormat="1" applyFont="1" applyFill="1"/>
    <xf numFmtId="0" fontId="1" fillId="2" borderId="2" xfId="0" applyNumberFormat="1" applyFont="1" applyFill="1" applyBorder="1"/>
    <xf numFmtId="17" fontId="0" fillId="0" borderId="0" xfId="0" applyNumberFormat="1"/>
    <xf numFmtId="14" fontId="1" fillId="2" borderId="2" xfId="0" applyNumberFormat="1" applyFont="1" applyFill="1" applyBorder="1"/>
    <xf numFmtId="2" fontId="0" fillId="0" borderId="0" xfId="0" applyNumberFormat="1"/>
    <xf numFmtId="166" fontId="1" fillId="2" borderId="1" xfId="0" applyNumberFormat="1" applyFont="1" applyFill="1" applyBorder="1"/>
    <xf numFmtId="166" fontId="0" fillId="0" borderId="1" xfId="0" applyNumberFormat="1" applyBorder="1"/>
    <xf numFmtId="0" fontId="0" fillId="4" borderId="0" xfId="0" applyNumberFormat="1" applyFill="1"/>
    <xf numFmtId="165" fontId="5" fillId="0" borderId="0" xfId="0" applyFont="1"/>
    <xf numFmtId="166" fontId="5" fillId="3" borderId="0" xfId="0" applyNumberFormat="1" applyFont="1" applyFill="1"/>
    <xf numFmtId="165" fontId="0" fillId="0" borderId="7" xfId="0" applyBorder="1"/>
    <xf numFmtId="166" fontId="0" fillId="0" borderId="7" xfId="0" applyNumberFormat="1" applyBorder="1"/>
    <xf numFmtId="165" fontId="1" fillId="0" borderId="6" xfId="0" applyFont="1" applyBorder="1"/>
    <xf numFmtId="166" fontId="1" fillId="0" borderId="6" xfId="0" applyNumberFormat="1" applyFont="1" applyBorder="1"/>
    <xf numFmtId="167" fontId="0" fillId="0" borderId="0" xfId="0" applyNumberFormat="1"/>
    <xf numFmtId="167" fontId="3" fillId="5" borderId="0" xfId="0" applyNumberFormat="1" applyFont="1" applyFill="1" applyAlignment="1">
      <alignment wrapText="1"/>
    </xf>
    <xf numFmtId="165" fontId="3" fillId="0" borderId="8" xfId="0" applyFont="1" applyBorder="1"/>
    <xf numFmtId="166" fontId="0" fillId="0" borderId="9" xfId="0" applyNumberFormat="1" applyBorder="1"/>
    <xf numFmtId="165" fontId="2" fillId="0" borderId="0" xfId="0" applyFont="1"/>
    <xf numFmtId="166" fontId="1" fillId="5" borderId="1" xfId="0" applyNumberFormat="1" applyFont="1" applyFill="1" applyBorder="1"/>
    <xf numFmtId="165" fontId="0" fillId="0" borderId="6" xfId="0" applyBorder="1"/>
    <xf numFmtId="166" fontId="0" fillId="4" borderId="0" xfId="0" applyNumberFormat="1" applyFill="1"/>
    <xf numFmtId="166" fontId="0" fillId="0" borderId="2" xfId="0" applyNumberFormat="1" applyBorder="1"/>
    <xf numFmtId="165" fontId="3" fillId="0" borderId="10" xfId="0" applyFont="1" applyBorder="1"/>
    <xf numFmtId="165" fontId="1" fillId="0" borderId="10" xfId="0" applyFont="1" applyBorder="1"/>
    <xf numFmtId="166" fontId="3" fillId="0" borderId="11" xfId="0" applyNumberFormat="1" applyFont="1" applyBorder="1"/>
    <xf numFmtId="165" fontId="6" fillId="0" borderId="8" xfId="0" applyFont="1" applyBorder="1"/>
    <xf numFmtId="166" fontId="7" fillId="0" borderId="9" xfId="0" applyNumberFormat="1" applyFont="1" applyBorder="1"/>
    <xf numFmtId="165" fontId="2" fillId="0" borderId="8" xfId="0" applyFont="1" applyBorder="1"/>
    <xf numFmtId="166" fontId="3" fillId="5" borderId="0" xfId="0" applyNumberFormat="1" applyFont="1" applyFill="1"/>
    <xf numFmtId="165" fontId="0" fillId="5" borderId="0" xfId="0" applyFill="1"/>
    <xf numFmtId="165" fontId="3" fillId="5" borderId="0" xfId="0" applyFont="1" applyFill="1"/>
    <xf numFmtId="165" fontId="5" fillId="0" borderId="1" xfId="0" applyFont="1" applyBorder="1"/>
    <xf numFmtId="4" fontId="0" fillId="0" borderId="0" xfId="0" applyNumberFormat="1"/>
    <xf numFmtId="49" fontId="1" fillId="2" borderId="3" xfId="0" applyNumberFormat="1" applyFont="1" applyFill="1" applyBorder="1"/>
    <xf numFmtId="49" fontId="0" fillId="0" borderId="3" xfId="0" applyNumberFormat="1" applyBorder="1"/>
    <xf numFmtId="0" fontId="1" fillId="2" borderId="3" xfId="0" applyNumberFormat="1" applyFont="1" applyFill="1" applyBorder="1"/>
    <xf numFmtId="166" fontId="1" fillId="5" borderId="3" xfId="0" applyNumberFormat="1" applyFont="1" applyFill="1" applyBorder="1"/>
    <xf numFmtId="166" fontId="0" fillId="0" borderId="3" xfId="0" applyNumberFormat="1" applyBorder="1"/>
    <xf numFmtId="166" fontId="1" fillId="2" borderId="3" xfId="0" applyNumberFormat="1" applyFont="1" applyFill="1" applyBorder="1"/>
    <xf numFmtId="165" fontId="3" fillId="5" borderId="12" xfId="0" applyFont="1" applyFill="1" applyBorder="1"/>
    <xf numFmtId="0" fontId="0" fillId="0" borderId="12" xfId="0" applyNumberFormat="1" applyBorder="1"/>
    <xf numFmtId="166" fontId="0" fillId="0" borderId="12" xfId="0" applyNumberFormat="1" applyBorder="1"/>
    <xf numFmtId="165" fontId="0" fillId="0" borderId="12" xfId="0" applyBorder="1"/>
    <xf numFmtId="165" fontId="5" fillId="0" borderId="12" xfId="0" applyFont="1" applyBorder="1"/>
    <xf numFmtId="4" fontId="0" fillId="0" borderId="12" xfId="0" applyNumberFormat="1" applyBorder="1"/>
    <xf numFmtId="166" fontId="3" fillId="0" borderId="9" xfId="0" applyNumberFormat="1" applyFont="1" applyBorder="1"/>
    <xf numFmtId="166" fontId="3" fillId="0" borderId="8" xfId="0" applyNumberFormat="1" applyFont="1" applyBorder="1"/>
    <xf numFmtId="165" fontId="3" fillId="0" borderId="12" xfId="0" applyFont="1" applyBorder="1"/>
    <xf numFmtId="165" fontId="2" fillId="0" borderId="12" xfId="0" applyFont="1" applyBorder="1"/>
    <xf numFmtId="165" fontId="2" fillId="0" borderId="13" xfId="0" applyFont="1" applyBorder="1"/>
    <xf numFmtId="165" fontId="2" fillId="0" borderId="14" xfId="0" applyFont="1" applyBorder="1"/>
    <xf numFmtId="0" fontId="7" fillId="0" borderId="15" xfId="0" applyNumberFormat="1" applyFont="1" applyBorder="1"/>
    <xf numFmtId="165" fontId="7" fillId="0" borderId="15" xfId="0" applyFont="1" applyBorder="1"/>
    <xf numFmtId="166" fontId="3" fillId="5" borderId="12" xfId="0" applyNumberFormat="1" applyFont="1" applyFill="1" applyBorder="1"/>
    <xf numFmtId="166" fontId="7" fillId="0" borderId="15" xfId="0" applyNumberFormat="1" applyFont="1" applyBorder="1"/>
    <xf numFmtId="14" fontId="7" fillId="0" borderId="2" xfId="0" applyNumberFormat="1" applyFont="1" applyBorder="1"/>
    <xf numFmtId="49" fontId="7" fillId="0" borderId="2" xfId="0" applyNumberFormat="1" applyFont="1" applyBorder="1"/>
    <xf numFmtId="165" fontId="7" fillId="0" borderId="3" xfId="0" applyFont="1" applyBorder="1"/>
    <xf numFmtId="0" fontId="7" fillId="0" borderId="0" xfId="0" applyNumberFormat="1" applyFont="1"/>
    <xf numFmtId="2" fontId="7" fillId="0" borderId="3" xfId="0" applyNumberFormat="1" applyFont="1" applyBorder="1"/>
    <xf numFmtId="167" fontId="7" fillId="0" borderId="0" xfId="0" applyNumberFormat="1" applyFont="1"/>
    <xf numFmtId="166" fontId="6" fillId="0" borderId="0" xfId="0" applyNumberFormat="1" applyFont="1"/>
    <xf numFmtId="14" fontId="5" fillId="0" borderId="0" xfId="0" applyNumberFormat="1" applyFont="1"/>
    <xf numFmtId="0" fontId="5" fillId="0" borderId="0" xfId="0" applyNumberFormat="1" applyFont="1"/>
    <xf numFmtId="165" fontId="9" fillId="0" borderId="0" xfId="0" applyFont="1"/>
    <xf numFmtId="165" fontId="1" fillId="0" borderId="18" xfId="0" applyFont="1" applyBorder="1"/>
    <xf numFmtId="166" fontId="1" fillId="0" borderId="15" xfId="0" applyNumberFormat="1" applyFont="1" applyBorder="1"/>
    <xf numFmtId="165" fontId="5" fillId="0" borderId="5" xfId="0" applyFont="1" applyBorder="1"/>
    <xf numFmtId="166" fontId="5" fillId="0" borderId="2" xfId="0" applyNumberFormat="1" applyFont="1" applyBorder="1"/>
    <xf numFmtId="165" fontId="0" fillId="0" borderId="5" xfId="0" applyBorder="1"/>
    <xf numFmtId="165" fontId="0" fillId="0" borderId="16" xfId="0" applyBorder="1"/>
    <xf numFmtId="166" fontId="0" fillId="0" borderId="17" xfId="0" applyNumberFormat="1" applyBorder="1"/>
    <xf numFmtId="165" fontId="0" fillId="0" borderId="18" xfId="0" applyBorder="1"/>
    <xf numFmtId="166" fontId="0" fillId="0" borderId="15" xfId="0" applyNumberFormat="1" applyBorder="1"/>
    <xf numFmtId="166" fontId="3" fillId="4" borderId="12" xfId="0" applyNumberFormat="1" applyFont="1" applyFill="1" applyBorder="1"/>
    <xf numFmtId="165" fontId="3" fillId="6" borderId="12" xfId="0" applyFont="1" applyFill="1" applyBorder="1"/>
    <xf numFmtId="166" fontId="3" fillId="6" borderId="12" xfId="0" applyNumberFormat="1" applyFont="1" applyFill="1" applyBorder="1"/>
    <xf numFmtId="165" fontId="3" fillId="7" borderId="12" xfId="0" applyFont="1" applyFill="1" applyBorder="1"/>
    <xf numFmtId="166" fontId="3" fillId="7" borderId="12" xfId="0" applyNumberFormat="1" applyFont="1" applyFill="1" applyBorder="1"/>
    <xf numFmtId="165" fontId="3" fillId="3" borderId="16" xfId="0" applyFont="1" applyFill="1" applyBorder="1"/>
    <xf numFmtId="165" fontId="0" fillId="3" borderId="7" xfId="0" applyFill="1" applyBorder="1"/>
    <xf numFmtId="165" fontId="0" fillId="3" borderId="17" xfId="0" applyFill="1" applyBorder="1"/>
    <xf numFmtId="165" fontId="0" fillId="4" borderId="12" xfId="0" applyFill="1" applyBorder="1"/>
    <xf numFmtId="166" fontId="0" fillId="4" borderId="12" xfId="0" applyNumberFormat="1" applyFill="1" applyBorder="1"/>
    <xf numFmtId="165" fontId="0" fillId="6" borderId="12" xfId="0" applyFill="1" applyBorder="1"/>
    <xf numFmtId="166" fontId="0" fillId="6" borderId="12" xfId="0" applyNumberFormat="1" applyFill="1" applyBorder="1"/>
    <xf numFmtId="165" fontId="0" fillId="7" borderId="12" xfId="0" applyFill="1" applyBorder="1"/>
    <xf numFmtId="166" fontId="0" fillId="7" borderId="12" xfId="0" applyNumberFormat="1" applyFill="1" applyBorder="1"/>
    <xf numFmtId="165" fontId="3" fillId="3" borderId="0" xfId="0" applyFont="1" applyFill="1"/>
    <xf numFmtId="165" fontId="3" fillId="4" borderId="8" xfId="0" applyFont="1" applyFill="1" applyBorder="1"/>
    <xf numFmtId="166" fontId="0" fillId="4" borderId="9" xfId="0" applyNumberFormat="1" applyFill="1" applyBorder="1"/>
    <xf numFmtId="165" fontId="3" fillId="6" borderId="8" xfId="0" applyFont="1" applyFill="1" applyBorder="1"/>
    <xf numFmtId="166" fontId="0" fillId="6" borderId="9" xfId="0" applyNumberFormat="1" applyFill="1" applyBorder="1"/>
    <xf numFmtId="165" fontId="3" fillId="7" borderId="8" xfId="0" applyFont="1" applyFill="1" applyBorder="1"/>
    <xf numFmtId="166" fontId="0" fillId="7" borderId="9" xfId="0" applyNumberFormat="1" applyFill="1" applyBorder="1"/>
    <xf numFmtId="166" fontId="5" fillId="0" borderId="12" xfId="0" applyNumberFormat="1" applyFont="1" applyBorder="1"/>
    <xf numFmtId="165" fontId="5" fillId="7" borderId="12" xfId="0" applyFont="1" applyFill="1" applyBorder="1"/>
    <xf numFmtId="166" fontId="5" fillId="7" borderId="12" xfId="0" applyNumberFormat="1" applyFont="1" applyFill="1" applyBorder="1"/>
    <xf numFmtId="49" fontId="11" fillId="0" borderId="0" xfId="0" applyNumberFormat="1" applyFont="1"/>
    <xf numFmtId="165" fontId="11" fillId="0" borderId="0" xfId="0" applyFont="1"/>
    <xf numFmtId="0" fontId="11" fillId="0" borderId="0" xfId="0" applyNumberFormat="1" applyFont="1"/>
    <xf numFmtId="166" fontId="11" fillId="0" borderId="1" xfId="0" applyNumberFormat="1" applyFont="1" applyBorder="1"/>
    <xf numFmtId="166" fontId="11" fillId="0" borderId="0" xfId="0" applyNumberFormat="1" applyFont="1"/>
    <xf numFmtId="14" fontId="12" fillId="0" borderId="2" xfId="0" applyNumberFormat="1" applyFont="1" applyBorder="1"/>
    <xf numFmtId="49" fontId="12" fillId="0" borderId="2" xfId="0" applyNumberFormat="1" applyFont="1" applyBorder="1"/>
    <xf numFmtId="165" fontId="13" fillId="0" borderId="0" xfId="0" applyFont="1"/>
    <xf numFmtId="165" fontId="12" fillId="0" borderId="0" xfId="0" applyFont="1"/>
    <xf numFmtId="166" fontId="12" fillId="0" borderId="0" xfId="0" applyNumberFormat="1" applyFont="1"/>
    <xf numFmtId="167" fontId="12" fillId="0" borderId="0" xfId="0" applyNumberFormat="1" applyFont="1"/>
    <xf numFmtId="165" fontId="12" fillId="0" borderId="3" xfId="0" applyFont="1" applyBorder="1"/>
    <xf numFmtId="0" fontId="12" fillId="0" borderId="0" xfId="0" applyNumberFormat="1" applyFont="1"/>
    <xf numFmtId="2" fontId="12" fillId="0" borderId="3" xfId="0" applyNumberFormat="1" applyFont="1" applyBorder="1"/>
    <xf numFmtId="49" fontId="5" fillId="0" borderId="2" xfId="0" applyNumberFormat="1" applyFont="1" applyBorder="1"/>
    <xf numFmtId="167" fontId="5" fillId="0" borderId="0" xfId="0" applyNumberFormat="1" applyFont="1"/>
    <xf numFmtId="166" fontId="5" fillId="0" borderId="0" xfId="0" applyNumberFormat="1" applyFont="1"/>
    <xf numFmtId="14" fontId="14" fillId="0" borderId="2" xfId="0" applyNumberFormat="1" applyFont="1" applyBorder="1"/>
    <xf numFmtId="49" fontId="14" fillId="0" borderId="2" xfId="0" applyNumberFormat="1" applyFont="1" applyBorder="1"/>
    <xf numFmtId="165" fontId="15" fillId="0" borderId="0" xfId="0" applyFont="1"/>
    <xf numFmtId="165" fontId="14" fillId="0" borderId="3" xfId="0" applyFont="1" applyBorder="1"/>
    <xf numFmtId="0" fontId="14" fillId="0" borderId="0" xfId="0" applyNumberFormat="1" applyFont="1"/>
    <xf numFmtId="166" fontId="14" fillId="0" borderId="0" xfId="0" applyNumberFormat="1" applyFont="1"/>
    <xf numFmtId="165" fontId="14" fillId="0" borderId="0" xfId="0" applyFont="1"/>
    <xf numFmtId="2" fontId="14" fillId="0" borderId="3" xfId="0" applyNumberFormat="1" applyFont="1" applyBorder="1"/>
    <xf numFmtId="14" fontId="16" fillId="0" borderId="2" xfId="0" applyNumberFormat="1" applyFont="1" applyBorder="1"/>
    <xf numFmtId="49" fontId="16" fillId="0" borderId="2" xfId="0" applyNumberFormat="1" applyFont="1" applyBorder="1"/>
    <xf numFmtId="165" fontId="17" fillId="0" borderId="0" xfId="0" applyFont="1"/>
    <xf numFmtId="165" fontId="16" fillId="0" borderId="3" xfId="0" applyFont="1" applyBorder="1"/>
    <xf numFmtId="165" fontId="16" fillId="0" borderId="0" xfId="0" applyFont="1"/>
    <xf numFmtId="0" fontId="16" fillId="0" borderId="0" xfId="0" applyNumberFormat="1" applyFont="1"/>
    <xf numFmtId="2" fontId="16" fillId="0" borderId="3" xfId="0" applyNumberFormat="1" applyFont="1" applyBorder="1"/>
    <xf numFmtId="166" fontId="16" fillId="0" borderId="0" xfId="0" applyNumberFormat="1" applyFont="1"/>
    <xf numFmtId="14" fontId="16" fillId="8" borderId="2" xfId="0" applyNumberFormat="1" applyFont="1" applyFill="1" applyBorder="1"/>
    <xf numFmtId="49" fontId="16" fillId="8" borderId="2" xfId="0" applyNumberFormat="1" applyFont="1" applyFill="1" applyBorder="1"/>
    <xf numFmtId="165" fontId="17" fillId="8" borderId="0" xfId="0" applyFont="1" applyFill="1"/>
    <xf numFmtId="165" fontId="16" fillId="8" borderId="3" xfId="0" applyFont="1" applyFill="1" applyBorder="1"/>
    <xf numFmtId="0" fontId="16" fillId="8" borderId="0" xfId="0" applyNumberFormat="1" applyFont="1" applyFill="1"/>
    <xf numFmtId="2" fontId="16" fillId="8" borderId="3" xfId="0" applyNumberFormat="1" applyFont="1" applyFill="1" applyBorder="1"/>
    <xf numFmtId="167" fontId="16" fillId="8" borderId="0" xfId="0" applyNumberFormat="1" applyFont="1" applyFill="1"/>
    <xf numFmtId="166" fontId="16" fillId="8" borderId="0" xfId="0" applyNumberFormat="1" applyFont="1" applyFill="1"/>
    <xf numFmtId="165" fontId="16" fillId="8" borderId="0" xfId="0" applyFont="1" applyFill="1"/>
    <xf numFmtId="2" fontId="16" fillId="0" borderId="0" xfId="0" applyNumberFormat="1" applyFont="1"/>
    <xf numFmtId="14" fontId="16" fillId="0" borderId="0" xfId="0" applyNumberFormat="1" applyFont="1"/>
    <xf numFmtId="14" fontId="14" fillId="0" borderId="0" xfId="0" applyNumberFormat="1" applyFont="1"/>
    <xf numFmtId="49" fontId="16" fillId="0" borderId="0" xfId="0" applyNumberFormat="1" applyFont="1"/>
    <xf numFmtId="165" fontId="10" fillId="0" borderId="3" xfId="1" applyBorder="1"/>
    <xf numFmtId="165" fontId="16" fillId="0" borderId="2" xfId="0" applyFont="1" applyBorder="1"/>
    <xf numFmtId="4" fontId="0" fillId="0" borderId="3" xfId="0" applyNumberFormat="1" applyBorder="1"/>
    <xf numFmtId="2" fontId="5" fillId="0" borderId="3" xfId="0" applyNumberFormat="1" applyFont="1" applyBorder="1"/>
    <xf numFmtId="14" fontId="0" fillId="2" borderId="2" xfId="0" applyNumberFormat="1" applyFill="1" applyBorder="1"/>
    <xf numFmtId="49" fontId="0" fillId="2" borderId="2" xfId="0" applyNumberFormat="1" applyFill="1" applyBorder="1"/>
    <xf numFmtId="165" fontId="3" fillId="2" borderId="0" xfId="0" applyFont="1" applyFill="1"/>
    <xf numFmtId="165" fontId="0" fillId="2" borderId="0" xfId="0" applyFill="1"/>
    <xf numFmtId="0" fontId="0" fillId="2" borderId="0" xfId="0" applyNumberFormat="1" applyFill="1"/>
    <xf numFmtId="2" fontId="0" fillId="2" borderId="0" xfId="0" applyNumberFormat="1" applyFill="1"/>
    <xf numFmtId="167" fontId="5" fillId="2" borderId="0" xfId="0" applyNumberFormat="1" applyFont="1" applyFill="1"/>
    <xf numFmtId="166" fontId="5" fillId="2" borderId="0" xfId="0" applyNumberFormat="1" applyFont="1" applyFill="1"/>
    <xf numFmtId="166" fontId="7" fillId="2" borderId="0" xfId="0" applyNumberFormat="1" applyFont="1" applyFill="1"/>
    <xf numFmtId="166" fontId="0" fillId="2" borderId="0" xfId="0" applyNumberFormat="1" applyFill="1"/>
    <xf numFmtId="0" fontId="7" fillId="2" borderId="0" xfId="0" applyNumberFormat="1" applyFont="1" applyFill="1"/>
    <xf numFmtId="14" fontId="14" fillId="2" borderId="2" xfId="0" applyNumberFormat="1" applyFont="1" applyFill="1" applyBorder="1"/>
    <xf numFmtId="49" fontId="14" fillId="2" borderId="2" xfId="0" applyNumberFormat="1" applyFont="1" applyFill="1" applyBorder="1"/>
    <xf numFmtId="165" fontId="15" fillId="2" borderId="0" xfId="0" applyFont="1" applyFill="1"/>
    <xf numFmtId="165" fontId="14" fillId="2" borderId="0" xfId="0" applyFont="1" applyFill="1"/>
    <xf numFmtId="0" fontId="14" fillId="2" borderId="0" xfId="0" applyNumberFormat="1" applyFont="1" applyFill="1"/>
    <xf numFmtId="2" fontId="14" fillId="2" borderId="0" xfId="0" applyNumberFormat="1" applyFont="1" applyFill="1"/>
    <xf numFmtId="14" fontId="16" fillId="2" borderId="2" xfId="0" applyNumberFormat="1" applyFont="1" applyFill="1" applyBorder="1"/>
    <xf numFmtId="49" fontId="16" fillId="2" borderId="2" xfId="0" applyNumberFormat="1" applyFont="1" applyFill="1" applyBorder="1"/>
    <xf numFmtId="165" fontId="17" fillId="2" borderId="0" xfId="0" applyFont="1" applyFill="1"/>
    <xf numFmtId="165" fontId="16" fillId="2" borderId="0" xfId="0" applyFont="1" applyFill="1"/>
    <xf numFmtId="2" fontId="16" fillId="2" borderId="0" xfId="0" applyNumberFormat="1" applyFont="1" applyFill="1"/>
    <xf numFmtId="167" fontId="16" fillId="2" borderId="0" xfId="0" applyNumberFormat="1" applyFont="1" applyFill="1"/>
    <xf numFmtId="166" fontId="16" fillId="2" borderId="0" xfId="0" applyNumberFormat="1" applyFont="1" applyFill="1"/>
    <xf numFmtId="2" fontId="0" fillId="2" borderId="3" xfId="0" applyNumberFormat="1" applyFill="1" applyBorder="1"/>
    <xf numFmtId="165" fontId="0" fillId="2" borderId="3" xfId="0" applyFill="1" applyBorder="1"/>
    <xf numFmtId="165" fontId="0" fillId="2" borderId="2" xfId="0" applyFill="1" applyBorder="1"/>
    <xf numFmtId="14" fontId="0" fillId="4" borderId="2" xfId="0" applyNumberFormat="1" applyFill="1" applyBorder="1"/>
    <xf numFmtId="49" fontId="0" fillId="4" borderId="2" xfId="0" applyNumberFormat="1" applyFill="1" applyBorder="1"/>
    <xf numFmtId="165" fontId="3" fillId="4" borderId="0" xfId="0" applyFont="1" applyFill="1"/>
    <xf numFmtId="2" fontId="0" fillId="4" borderId="0" xfId="0" applyNumberFormat="1" applyFill="1"/>
    <xf numFmtId="167" fontId="5" fillId="4" borderId="0" xfId="0" applyNumberFormat="1" applyFont="1" applyFill="1"/>
    <xf numFmtId="166" fontId="5" fillId="4" borderId="0" xfId="0" applyNumberFormat="1" applyFont="1" applyFill="1"/>
    <xf numFmtId="166" fontId="7" fillId="4" borderId="0" xfId="0" applyNumberFormat="1" applyFont="1" applyFill="1"/>
    <xf numFmtId="165" fontId="16" fillId="4" borderId="0" xfId="0" applyFont="1" applyFill="1"/>
    <xf numFmtId="166" fontId="16" fillId="4" borderId="0" xfId="0" applyNumberFormat="1" applyFont="1" applyFill="1"/>
    <xf numFmtId="165" fontId="5" fillId="4" borderId="0" xfId="0" applyFont="1" applyFill="1"/>
    <xf numFmtId="14" fontId="14" fillId="4" borderId="2" xfId="0" applyNumberFormat="1" applyFont="1" applyFill="1" applyBorder="1"/>
    <xf numFmtId="49" fontId="14" fillId="4" borderId="2" xfId="0" applyNumberFormat="1" applyFont="1" applyFill="1" applyBorder="1"/>
    <xf numFmtId="165" fontId="15" fillId="4" borderId="0" xfId="0" applyFont="1" applyFill="1"/>
    <xf numFmtId="165" fontId="14" fillId="4" borderId="0" xfId="0" applyFont="1" applyFill="1"/>
    <xf numFmtId="0" fontId="14" fillId="4" borderId="0" xfId="0" applyNumberFormat="1" applyFont="1" applyFill="1"/>
    <xf numFmtId="2" fontId="14" fillId="4" borderId="0" xfId="0" applyNumberFormat="1" applyFont="1" applyFill="1"/>
    <xf numFmtId="165" fontId="14" fillId="4" borderId="3" xfId="0" applyFont="1" applyFill="1" applyBorder="1"/>
    <xf numFmtId="2" fontId="14" fillId="4" borderId="3" xfId="0" applyNumberFormat="1" applyFont="1" applyFill="1" applyBorder="1"/>
    <xf numFmtId="165" fontId="14" fillId="4" borderId="2" xfId="0" applyFont="1" applyFill="1" applyBorder="1"/>
    <xf numFmtId="14" fontId="14" fillId="6" borderId="2" xfId="0" applyNumberFormat="1" applyFont="1" applyFill="1" applyBorder="1"/>
    <xf numFmtId="49" fontId="14" fillId="6" borderId="2" xfId="0" applyNumberFormat="1" applyFont="1" applyFill="1" applyBorder="1"/>
    <xf numFmtId="165" fontId="15" fillId="6" borderId="0" xfId="0" applyFont="1" applyFill="1"/>
    <xf numFmtId="165" fontId="14" fillId="6" borderId="3" xfId="0" applyFont="1" applyFill="1" applyBorder="1"/>
    <xf numFmtId="0" fontId="14" fillId="6" borderId="0" xfId="0" applyNumberFormat="1" applyFont="1" applyFill="1"/>
    <xf numFmtId="2" fontId="14" fillId="6" borderId="3" xfId="0" applyNumberFormat="1" applyFont="1" applyFill="1" applyBorder="1"/>
    <xf numFmtId="167" fontId="5" fillId="6" borderId="0" xfId="0" applyNumberFormat="1" applyFont="1" applyFill="1"/>
    <xf numFmtId="166" fontId="5" fillId="6" borderId="0" xfId="0" applyNumberFormat="1" applyFont="1" applyFill="1"/>
    <xf numFmtId="166" fontId="7" fillId="6" borderId="0" xfId="0" applyNumberFormat="1" applyFont="1" applyFill="1"/>
    <xf numFmtId="165" fontId="0" fillId="6" borderId="0" xfId="0" applyFill="1"/>
    <xf numFmtId="166" fontId="0" fillId="6" borderId="0" xfId="0" applyNumberFormat="1" applyFill="1"/>
    <xf numFmtId="14" fontId="16" fillId="3" borderId="2" xfId="0" applyNumberFormat="1" applyFont="1" applyFill="1" applyBorder="1"/>
    <xf numFmtId="49" fontId="16" fillId="3" borderId="2" xfId="0" applyNumberFormat="1" applyFont="1" applyFill="1" applyBorder="1"/>
    <xf numFmtId="165" fontId="17" fillId="3" borderId="0" xfId="0" applyFont="1" applyFill="1"/>
    <xf numFmtId="165" fontId="16" fillId="3" borderId="3" xfId="0" applyFont="1" applyFill="1" applyBorder="1"/>
    <xf numFmtId="0" fontId="16" fillId="3" borderId="0" xfId="0" applyNumberFormat="1" applyFont="1" applyFill="1"/>
    <xf numFmtId="2" fontId="16" fillId="3" borderId="3" xfId="0" applyNumberFormat="1" applyFont="1" applyFill="1" applyBorder="1"/>
    <xf numFmtId="167" fontId="5" fillId="3" borderId="0" xfId="0" applyNumberFormat="1" applyFont="1" applyFill="1"/>
    <xf numFmtId="166" fontId="7" fillId="3" borderId="0" xfId="0" applyNumberFormat="1" applyFont="1" applyFill="1"/>
    <xf numFmtId="166" fontId="0" fillId="3" borderId="0" xfId="0" applyNumberFormat="1" applyFill="1"/>
    <xf numFmtId="14" fontId="14" fillId="3" borderId="2" xfId="0" applyNumberFormat="1" applyFont="1" applyFill="1" applyBorder="1"/>
    <xf numFmtId="49" fontId="14" fillId="3" borderId="2" xfId="0" applyNumberFormat="1" applyFont="1" applyFill="1" applyBorder="1"/>
    <xf numFmtId="165" fontId="15" fillId="3" borderId="0" xfId="0" applyFont="1" applyFill="1"/>
    <xf numFmtId="165" fontId="14" fillId="3" borderId="3" xfId="0" applyFont="1" applyFill="1" applyBorder="1"/>
    <xf numFmtId="0" fontId="14" fillId="3" borderId="0" xfId="0" applyNumberFormat="1" applyFont="1" applyFill="1"/>
    <xf numFmtId="2" fontId="14" fillId="3" borderId="3" xfId="0" applyNumberFormat="1" applyFont="1" applyFill="1" applyBorder="1"/>
    <xf numFmtId="14" fontId="0" fillId="8" borderId="2" xfId="0" applyNumberFormat="1" applyFill="1" applyBorder="1"/>
    <xf numFmtId="49" fontId="0" fillId="8" borderId="2" xfId="0" applyNumberFormat="1" applyFill="1" applyBorder="1"/>
    <xf numFmtId="165" fontId="3" fillId="8" borderId="0" xfId="0" applyFont="1" applyFill="1"/>
    <xf numFmtId="165" fontId="0" fillId="8" borderId="3" xfId="0" applyFill="1" applyBorder="1"/>
    <xf numFmtId="0" fontId="0" fillId="8" borderId="0" xfId="0" applyNumberFormat="1" applyFill="1"/>
    <xf numFmtId="2" fontId="0" fillId="8" borderId="3" xfId="0" applyNumberFormat="1" applyFill="1" applyBorder="1"/>
    <xf numFmtId="167" fontId="0" fillId="8" borderId="0" xfId="0" applyNumberFormat="1" applyFill="1"/>
    <xf numFmtId="166" fontId="0" fillId="8" borderId="0" xfId="0" applyNumberFormat="1" applyFill="1"/>
    <xf numFmtId="2" fontId="0" fillId="0" borderId="12" xfId="0" applyNumberFormat="1" applyBorder="1"/>
    <xf numFmtId="14" fontId="5" fillId="0" borderId="1" xfId="0" applyNumberFormat="1" applyFont="1" applyBorder="1"/>
    <xf numFmtId="49" fontId="5" fillId="0" borderId="1" xfId="0" applyNumberFormat="1" applyFont="1" applyBorder="1"/>
    <xf numFmtId="0" fontId="5" fillId="0" borderId="1" xfId="0" applyNumberFormat="1" applyFont="1" applyBorder="1"/>
    <xf numFmtId="2" fontId="0" fillId="7" borderId="12" xfId="0" applyNumberFormat="1" applyFill="1" applyBorder="1"/>
    <xf numFmtId="0" fontId="0" fillId="7" borderId="12" xfId="0" applyNumberFormat="1" applyFill="1" applyBorder="1"/>
    <xf numFmtId="165" fontId="0" fillId="0" borderId="1" xfId="0" applyBorder="1" applyAlignment="1">
      <alignment wrapText="1"/>
    </xf>
    <xf numFmtId="165" fontId="5" fillId="0" borderId="1" xfId="0" applyFont="1" applyBorder="1" applyAlignment="1">
      <alignment wrapText="1"/>
    </xf>
    <xf numFmtId="165" fontId="3" fillId="0" borderId="13" xfId="0" applyFont="1" applyBorder="1"/>
    <xf numFmtId="165" fontId="3" fillId="0" borderId="14" xfId="0" applyFont="1" applyBorder="1"/>
    <xf numFmtId="0" fontId="0" fillId="0" borderId="15" xfId="0" applyNumberFormat="1" applyBorder="1"/>
    <xf numFmtId="165" fontId="0" fillId="0" borderId="15" xfId="0" applyBorder="1"/>
    <xf numFmtId="165" fontId="5" fillId="0" borderId="4" xfId="0" applyFont="1" applyBorder="1"/>
    <xf numFmtId="164" fontId="5" fillId="0" borderId="2" xfId="0" applyNumberFormat="1" applyFont="1" applyBorder="1"/>
    <xf numFmtId="165" fontId="5" fillId="0" borderId="2" xfId="0" applyFont="1" applyBorder="1"/>
    <xf numFmtId="49" fontId="5" fillId="0" borderId="0" xfId="0" applyNumberFormat="1" applyFont="1"/>
    <xf numFmtId="0" fontId="5" fillId="0" borderId="3" xfId="0" applyNumberFormat="1" applyFont="1" applyBorder="1"/>
    <xf numFmtId="165" fontId="2" fillId="0" borderId="2" xfId="0" applyFont="1" applyBorder="1" applyAlignment="1">
      <alignment horizontal="center" wrapText="1"/>
    </xf>
    <xf numFmtId="165" fontId="0" fillId="0" borderId="3" xfId="0" applyBorder="1" applyAlignment="1">
      <alignment horizontal="center" wrapText="1"/>
    </xf>
    <xf numFmtId="14" fontId="0" fillId="5" borderId="0" xfId="0" applyNumberFormat="1" applyFill="1"/>
    <xf numFmtId="49" fontId="0" fillId="5" borderId="2" xfId="0" applyNumberFormat="1" applyFill="1" applyBorder="1"/>
    <xf numFmtId="165" fontId="0" fillId="5" borderId="3" xfId="0" applyFill="1" applyBorder="1"/>
    <xf numFmtId="0" fontId="0" fillId="5" borderId="0" xfId="0" applyNumberFormat="1" applyFill="1"/>
    <xf numFmtId="2" fontId="0" fillId="5" borderId="3" xfId="0" applyNumberFormat="1" applyFill="1" applyBorder="1"/>
    <xf numFmtId="167" fontId="0" fillId="5" borderId="0" xfId="0" applyNumberFormat="1" applyFill="1"/>
    <xf numFmtId="166" fontId="0" fillId="5" borderId="1" xfId="0" applyNumberFormat="1" applyFill="1" applyBorder="1"/>
    <xf numFmtId="166" fontId="0" fillId="5" borderId="0" xfId="0" applyNumberFormat="1" applyFill="1"/>
    <xf numFmtId="165" fontId="0" fillId="5" borderId="3" xfId="0" applyFill="1" applyBorder="1" applyAlignment="1">
      <alignment wrapText="1"/>
    </xf>
    <xf numFmtId="14" fontId="0" fillId="5" borderId="2" xfId="0" applyNumberFormat="1" applyFill="1" applyBorder="1"/>
    <xf numFmtId="165" fontId="3" fillId="5" borderId="2" xfId="0" applyFont="1" applyFill="1" applyBorder="1"/>
    <xf numFmtId="49" fontId="0" fillId="5" borderId="0" xfId="0" applyNumberFormat="1" applyFill="1"/>
    <xf numFmtId="165" fontId="0" fillId="5" borderId="2" xfId="0" applyFill="1" applyBorder="1"/>
    <xf numFmtId="165" fontId="3" fillId="5" borderId="1" xfId="0" applyFont="1" applyFill="1" applyBorder="1"/>
    <xf numFmtId="165" fontId="8" fillId="0" borderId="0" xfId="0" applyFont="1"/>
    <xf numFmtId="14" fontId="0" fillId="3" borderId="0" xfId="0" applyNumberFormat="1" applyFill="1"/>
    <xf numFmtId="49" fontId="0" fillId="3" borderId="2" xfId="0" applyNumberFormat="1" applyFill="1" applyBorder="1"/>
    <xf numFmtId="165" fontId="0" fillId="3" borderId="3" xfId="0" applyFill="1" applyBorder="1"/>
    <xf numFmtId="0" fontId="0" fillId="3" borderId="0" xfId="0" applyNumberFormat="1" applyFill="1"/>
    <xf numFmtId="2" fontId="0" fillId="3" borderId="3" xfId="0" applyNumberFormat="1" applyFill="1" applyBorder="1"/>
    <xf numFmtId="167" fontId="0" fillId="3" borderId="0" xfId="0" applyNumberFormat="1" applyFill="1"/>
    <xf numFmtId="166" fontId="0" fillId="3" borderId="1" xfId="0" applyNumberFormat="1" applyFill="1" applyBorder="1"/>
    <xf numFmtId="0" fontId="0" fillId="9" borderId="0" xfId="0" applyNumberFormat="1" applyFill="1"/>
    <xf numFmtId="165" fontId="0" fillId="10" borderId="0" xfId="0" applyFill="1"/>
    <xf numFmtId="0" fontId="0" fillId="11" borderId="0" xfId="0" applyNumberFormat="1" applyFill="1"/>
    <xf numFmtId="165" fontId="18" fillId="0" borderId="0" xfId="0" applyFont="1"/>
    <xf numFmtId="165" fontId="19" fillId="0" borderId="0" xfId="0" applyFont="1"/>
    <xf numFmtId="2" fontId="5" fillId="0" borderId="0" xfId="0" applyNumberFormat="1" applyFont="1"/>
    <xf numFmtId="165" fontId="0" fillId="0" borderId="19" xfId="0" applyBorder="1"/>
    <xf numFmtId="0" fontId="0" fillId="0" borderId="19" xfId="0" applyNumberFormat="1" applyBorder="1"/>
    <xf numFmtId="165" fontId="2" fillId="0" borderId="0" xfId="0" applyFont="1" applyAlignment="1">
      <alignment horizontal="center"/>
    </xf>
    <xf numFmtId="165" fontId="0" fillId="0" borderId="1" xfId="0" applyBorder="1" applyAlignment="1">
      <alignment horizontal="center"/>
    </xf>
    <xf numFmtId="14" fontId="1" fillId="0" borderId="0" xfId="0" applyNumberFormat="1" applyFont="1" applyAlignment="1">
      <alignment horizontal="center"/>
    </xf>
    <xf numFmtId="14" fontId="1" fillId="0" borderId="1" xfId="0" applyNumberFormat="1" applyFont="1" applyBorder="1" applyAlignment="1">
      <alignment horizontal="center"/>
    </xf>
  </cellXfs>
  <cellStyles count="2">
    <cellStyle name="Hyperlink" xfId="1" builtinId="8"/>
    <cellStyle name="Normal" xfId="0" builtinId="0" customBuiltin="1"/>
  </cellStyles>
  <dxfs count="0"/>
  <tableStyles count="0" defaultTableStyle="TableStyleMedium2" defaultPivotStyle="PivotStyleMedium9"/>
  <colors>
    <mruColors>
      <color rgb="FFF66470"/>
      <color rgb="FFEDD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Ben Hornibrook" id="{0E8904A4-2508-4E7F-AC3A-A38F98E13860}" userId="cedf56af27d1f83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5-10-09T17:03:32.47" personId="{0E8904A4-2508-4E7F-AC3A-A38F98E13860}" id="{DE43DC6D-AFD0-44B4-8E1F-2016C81C8E49}">
    <text>These need to be moved to a Hanjin Sheet as are not related to Hydrotec</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57E96CB-91DF-48F2-9730-EBBEC4CE7BF3}">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icktick.com/features" TargetMode="Externa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38C05-180D-9947-9EAB-2258C0F36882}">
  <dimension ref="A1:AB181"/>
  <sheetViews>
    <sheetView workbookViewId="0">
      <selection activeCell="D27" sqref="D27"/>
    </sheetView>
  </sheetViews>
  <sheetFormatPr baseColWidth="10" defaultColWidth="10.83203125" defaultRowHeight="15" x14ac:dyDescent="0.2"/>
  <cols>
    <col min="1" max="1" width="10.83203125" style="10"/>
    <col min="2" max="2" width="13.83203125" style="22" customWidth="1"/>
    <col min="3" max="3" width="10.83203125" style="20"/>
    <col min="4" max="4" width="18" customWidth="1"/>
    <col min="5" max="5" width="44.6640625" customWidth="1"/>
    <col min="8" max="8" width="10.83203125" style="50"/>
    <col min="9" max="9" width="10.83203125" style="32"/>
    <col min="13" max="13" width="18.1640625" customWidth="1"/>
    <col min="19" max="19" width="14.83203125" style="32" customWidth="1"/>
    <col min="20" max="20" width="22.83203125" style="32" customWidth="1"/>
    <col min="21" max="21" width="19.1640625" style="32" customWidth="1"/>
    <col min="23" max="23" width="17.83203125" customWidth="1"/>
    <col min="24" max="24" width="16.33203125" bestFit="1" customWidth="1"/>
    <col min="25" max="25" width="12.6640625" bestFit="1" customWidth="1"/>
  </cols>
  <sheetData>
    <row r="1" spans="1:28" x14ac:dyDescent="0.2">
      <c r="A1" s="49" t="s">
        <v>0</v>
      </c>
      <c r="B1" s="47" t="s">
        <v>1</v>
      </c>
      <c r="C1" s="29" t="s">
        <v>2</v>
      </c>
      <c r="D1" s="25" t="s">
        <v>165</v>
      </c>
      <c r="E1" s="25" t="s">
        <v>4</v>
      </c>
      <c r="F1" s="25" t="s">
        <v>5</v>
      </c>
      <c r="G1" s="39" t="s">
        <v>261</v>
      </c>
      <c r="H1" s="43" t="s">
        <v>6</v>
      </c>
      <c r="I1" s="51" t="s">
        <v>377</v>
      </c>
      <c r="J1" s="46" t="s">
        <v>378</v>
      </c>
      <c r="K1" s="46" t="s">
        <v>379</v>
      </c>
      <c r="M1" s="72" t="s">
        <v>393</v>
      </c>
      <c r="N1" s="20" t="s">
        <v>381</v>
      </c>
      <c r="S1" s="75"/>
      <c r="T1" s="75"/>
      <c r="U1" s="75"/>
      <c r="W1" s="89"/>
      <c r="X1" s="100" t="s">
        <v>422</v>
      </c>
      <c r="Y1" s="100" t="s">
        <v>425</v>
      </c>
      <c r="Z1" s="86" t="s">
        <v>428</v>
      </c>
      <c r="AA1" s="86" t="s">
        <v>429</v>
      </c>
      <c r="AB1" s="86" t="s">
        <v>430</v>
      </c>
    </row>
    <row r="2" spans="1:28" ht="16" thickBot="1" x14ac:dyDescent="0.25">
      <c r="A2" s="324"/>
      <c r="B2" s="325"/>
      <c r="C2" s="31"/>
      <c r="D2" s="18"/>
      <c r="E2" s="18"/>
      <c r="F2" s="18"/>
      <c r="G2" s="22"/>
      <c r="H2" s="45"/>
      <c r="I2" s="52" t="str" cm="1">
        <f t="array" ref="I2">IFERROR(
  VALUE($H2) *
  VALUE(
    _xlfn.XLOOKUP(
      TRIM($F2) &amp; "|" &amp; LEFT(SUBSTITUTE($G2,CHAR(160)," "),5) &amp; "|Full Rate",
      TRIM(SUBSTITUTE($N$2:$N$38,CHAR(160)," ")) &amp; "|" &amp;
      LEFT(SUBSTITUTE($O$2:$O$38,CHAR(160)," "),5) &amp; "|" &amp;
      TRIM(SUBSTITUTE($P$2:$P$38,CHAR(160)," ")),
      $Q$2:$Q$38
    )
  ),
"")</f>
        <v/>
      </c>
      <c r="J2" s="32" t="str" cm="1">
        <f t="array" ref="J2">IFERROR(
  VALUE($H2) *
  VALUE(
    _xlfn.XLOOKUP(
      TRIM($F2) &amp; "|" &amp; LEFT(SUBSTITUTE($G2,CHAR(160)," "),5) &amp; "|Reduced Rate",
      TRIM(SUBSTITUTE($N$2:$N$38,CHAR(160)," ")) &amp; "|" &amp;
      LEFT(SUBSTITUTE($O$2:$O$38,CHAR(160)," "),5) &amp; "|" &amp;
      TRIM(SUBSTITUTE($P$2:$P$38,CHAR(160)," ")),
      $Q$2:$Q$38
    )
  ),
"")</f>
        <v/>
      </c>
      <c r="K2" s="32" t="str" cm="1">
        <f t="array" ref="K2">IFERROR(
  VALUE($H2) *
  VALUE(
    _xlfn.XLOOKUP(
      TRIM($F2) &amp; "|" &amp; LEFT(SUBSTITUTE($G2,CHAR(160)," "),5) &amp; "|Ideas Rate",
      TRIM(SUBSTITUTE($N$2:$N$38,CHAR(160)," ")) &amp; "|" &amp;
      LEFT(SUBSTITUTE($O$2:$O$38,CHAR(160)," "),5) &amp; "|" &amp;
      TRIM(SUBSTITUTE($P$2:$P$38,CHAR(160)," ")),
      $Q$2:$Q$38
    )
  ),
"")</f>
        <v/>
      </c>
      <c r="M2" s="73">
        <f>SUM(I:I)</f>
        <v>5920</v>
      </c>
      <c r="N2" s="58" t="s">
        <v>154</v>
      </c>
      <c r="O2" s="58" t="s">
        <v>371</v>
      </c>
      <c r="P2" s="58" t="s">
        <v>372</v>
      </c>
      <c r="Q2" s="59" t="s">
        <v>373</v>
      </c>
      <c r="W2" s="89" t="s">
        <v>10</v>
      </c>
      <c r="X2" s="87">
        <f>SUMIF(F:F,W2,H:H)</f>
        <v>0</v>
      </c>
      <c r="Y2" s="87">
        <f>COUNTIF($F:$F, W2)</f>
        <v>0</v>
      </c>
      <c r="Z2" s="88">
        <f>SUMIF($F:$F, $W2, $I:$I)</f>
        <v>0</v>
      </c>
      <c r="AA2" s="88">
        <f>SUMIF($F:$F, $W2, $J:$J)</f>
        <v>0</v>
      </c>
      <c r="AB2" s="88">
        <f>SUMIF($F:$F, $W2, $K:$K)</f>
        <v>0</v>
      </c>
    </row>
    <row r="3" spans="1:28" x14ac:dyDescent="0.2">
      <c r="A3" s="10">
        <v>45926</v>
      </c>
      <c r="B3" s="5" t="s">
        <v>618</v>
      </c>
      <c r="C3" s="20" t="s">
        <v>306</v>
      </c>
      <c r="D3" t="s">
        <v>178</v>
      </c>
      <c r="E3" t="s">
        <v>307</v>
      </c>
      <c r="F3" t="s">
        <v>9</v>
      </c>
      <c r="G3" t="s">
        <v>367</v>
      </c>
      <c r="H3" s="50">
        <v>0.5</v>
      </c>
      <c r="I3" s="52" cm="1">
        <f t="array" ref="I3">IFERROR(
  VALUE($H3) *
  VALUE(
    _xlfn.XLOOKUP(
      TRIM($F3) &amp; "|" &amp; LEFT(SUBSTITUTE($G3,CHAR(160)," "),5) &amp; "|Full Rate",
      TRIM(SUBSTITUTE($N$2:$N$38,CHAR(160)," ")) &amp; "|" &amp;
      LEFT(SUBSTITUTE($O$2:$O$38,CHAR(160)," "),5) &amp; "|" &amp;
      TRIM(SUBSTITUTE($P$2:$P$38,CHAR(160)," ")),
      $Q$2:$Q$38
    )
  ),
"")</f>
        <v>250</v>
      </c>
      <c r="J3" s="32" cm="1">
        <f t="array" ref="J3">IFERROR(
  VALUE($H3) *
  VALUE(
    _xlfn.XLOOKUP(
      TRIM($F3) &amp; "|" &amp; LEFT(SUBSTITUTE($G3,CHAR(160)," "),5) &amp; "|Reduced Rate",
      TRIM(SUBSTITUTE($N$2:$N$38,CHAR(160)," ")) &amp; "|" &amp;
      LEFT(SUBSTITUTE($O$2:$O$38,CHAR(160)," "),5) &amp; "|" &amp;
      TRIM(SUBSTITUTE($P$2:$P$38,CHAR(160)," ")),
      $Q$2:$Q$38
    )
  ),
"")</f>
        <v>150</v>
      </c>
      <c r="K3" s="32" cm="1">
        <f t="array" ref="K3">IFERROR(
  VALUE($H3) *
  VALUE(
    _xlfn.XLOOKUP(
      TRIM($F3) &amp; "|" &amp; LEFT(SUBSTITUTE($G3,CHAR(160)," "),5) &amp; "|Ideas Rate",
      TRIM(SUBSTITUTE($N$2:$N$38,CHAR(160)," ")) &amp; "|" &amp;
      LEFT(SUBSTITUTE($O$2:$O$38,CHAR(160)," "),5) &amp; "|" &amp;
      TRIM(SUBSTITUTE($P$2:$P$38,CHAR(160)," ")),
      $Q$2:$Q$38
    )
  ),
"")</f>
        <v>75</v>
      </c>
      <c r="M3" s="74" t="s">
        <v>394</v>
      </c>
      <c r="N3" t="s">
        <v>10</v>
      </c>
      <c r="O3" t="s">
        <v>375</v>
      </c>
      <c r="P3" t="s">
        <v>382</v>
      </c>
      <c r="Q3" s="32">
        <v>500</v>
      </c>
      <c r="W3" s="89" t="s">
        <v>9</v>
      </c>
      <c r="X3" s="87">
        <f>SUMIF(F:F,W3,H:H)</f>
        <v>6.75</v>
      </c>
      <c r="Y3" s="87">
        <f t="shared" ref="Y3:Y5" si="0">COUNTIF($F:$F, W3)</f>
        <v>9</v>
      </c>
      <c r="Z3" s="88">
        <f t="shared" ref="Z3:Z5" si="1">SUMIF($F:$F, $W3, $I:$I)</f>
        <v>2312.5</v>
      </c>
      <c r="AA3" s="88">
        <f t="shared" ref="AA3:AA5" si="2">SUMIF($F:$F, $W3, $J:$J)</f>
        <v>1387.5</v>
      </c>
      <c r="AB3" s="88">
        <f t="shared" ref="AB3:AB5" si="3">SUMIF($F:$F, $W3, $K:$K)</f>
        <v>693.75</v>
      </c>
    </row>
    <row r="4" spans="1:28" ht="16" thickBot="1" x14ac:dyDescent="0.25">
      <c r="A4" s="10">
        <v>45926</v>
      </c>
      <c r="B4" s="5" t="s">
        <v>618</v>
      </c>
      <c r="C4" s="20" t="s">
        <v>306</v>
      </c>
      <c r="D4" t="s">
        <v>178</v>
      </c>
      <c r="E4" t="s">
        <v>308</v>
      </c>
      <c r="F4" t="s">
        <v>9</v>
      </c>
      <c r="G4" t="s">
        <v>367</v>
      </c>
      <c r="H4" s="50">
        <v>0.5</v>
      </c>
      <c r="I4" s="52" cm="1">
        <f t="array" ref="I4">IFERROR(
  VALUE($H4) *
  VALUE(
    _xlfn.XLOOKUP(
      TRIM($F4) &amp; "|" &amp; LEFT(SUBSTITUTE($G4,CHAR(160)," "),5) &amp; "|Full Rate",
      TRIM(SUBSTITUTE($N$2:$N$38,CHAR(160)," ")) &amp; "|" &amp;
      LEFT(SUBSTITUTE($O$2:$O$38,CHAR(160)," "),5) &amp; "|" &amp;
      TRIM(SUBSTITUTE($P$2:$P$38,CHAR(160)," ")),
      $Q$2:$Q$38
    )
  ),
"")</f>
        <v>250</v>
      </c>
      <c r="J4" s="32" cm="1">
        <f t="array" ref="J4">IFERROR(
  VALUE($H4) *
  VALUE(
    _xlfn.XLOOKUP(
      TRIM($F4) &amp; "|" &amp; LEFT(SUBSTITUTE($G4,CHAR(160)," "),5) &amp; "|Reduced Rate",
      TRIM(SUBSTITUTE($N$2:$N$38,CHAR(160)," ")) &amp; "|" &amp;
      LEFT(SUBSTITUTE($O$2:$O$38,CHAR(160)," "),5) &amp; "|" &amp;
      TRIM(SUBSTITUTE($P$2:$P$38,CHAR(160)," ")),
      $Q$2:$Q$38
    )
  ),
"")</f>
        <v>150</v>
      </c>
      <c r="K4" s="32" cm="1">
        <f t="array" ref="K4">IFERROR(
  VALUE($H4) *
  VALUE(
    _xlfn.XLOOKUP(
      TRIM($F4) &amp; "|" &amp; LEFT(SUBSTITUTE($G4,CHAR(160)," "),5) &amp; "|Ideas Rate",
      TRIM(SUBSTITUTE($N$2:$N$38,CHAR(160)," ")) &amp; "|" &amp;
      LEFT(SUBSTITUTE($O$2:$O$38,CHAR(160)," "),5) &amp; "|" &amp;
      TRIM(SUBSTITUTE($P$2:$P$38,CHAR(160)," ")),
      $Q$2:$Q$38
    )
  ),
"")</f>
        <v>75</v>
      </c>
      <c r="M4" s="73">
        <f>SUM(J:J)</f>
        <v>3052.5</v>
      </c>
      <c r="N4" t="s">
        <v>10</v>
      </c>
      <c r="O4" t="s">
        <v>375</v>
      </c>
      <c r="P4" t="s">
        <v>383</v>
      </c>
      <c r="Q4" s="32">
        <v>300</v>
      </c>
      <c r="W4" s="89" t="s">
        <v>155</v>
      </c>
      <c r="X4" s="87">
        <f>SUMIF(F:F,W4,H:H)</f>
        <v>0</v>
      </c>
      <c r="Y4" s="87">
        <f t="shared" si="0"/>
        <v>0</v>
      </c>
      <c r="Z4" s="88">
        <f t="shared" si="1"/>
        <v>0</v>
      </c>
      <c r="AA4" s="88">
        <f t="shared" si="2"/>
        <v>0</v>
      </c>
      <c r="AB4" s="88">
        <f t="shared" si="3"/>
        <v>0</v>
      </c>
    </row>
    <row r="5" spans="1:28" x14ac:dyDescent="0.2">
      <c r="A5" s="10">
        <v>45933</v>
      </c>
      <c r="B5" s="5" t="s">
        <v>336</v>
      </c>
      <c r="C5" s="20" t="s">
        <v>306</v>
      </c>
      <c r="D5" t="s">
        <v>178</v>
      </c>
      <c r="E5" t="s">
        <v>329</v>
      </c>
      <c r="F5" t="s">
        <v>9</v>
      </c>
      <c r="G5" t="s">
        <v>367</v>
      </c>
      <c r="H5" s="50">
        <v>1.5</v>
      </c>
      <c r="I5" s="52" cm="1">
        <f t="array" ref="I5">IFERROR(
  VALUE($H5) *
  VALUE(
    _xlfn.XLOOKUP(
      TRIM($F5) &amp; "|" &amp; LEFT(SUBSTITUTE($G5,CHAR(160)," "),5) &amp; "|Full Rate",
      TRIM(SUBSTITUTE($N$2:$N$38,CHAR(160)," ")) &amp; "|" &amp;
      LEFT(SUBSTITUTE($O$2:$O$38,CHAR(160)," "),5) &amp; "|" &amp;
      TRIM(SUBSTITUTE($P$2:$P$38,CHAR(160)," ")),
      $Q$2:$Q$38
    )
  ),
"")</f>
        <v>750</v>
      </c>
      <c r="J5" s="32" cm="1">
        <f t="array" ref="J5">IFERROR(
  VALUE($H5) *
  VALUE(
    _xlfn.XLOOKUP(
      TRIM($F5) &amp; "|" &amp; LEFT(SUBSTITUTE($G5,CHAR(160)," "),5) &amp; "|Reduced Rate",
      TRIM(SUBSTITUTE($N$2:$N$38,CHAR(160)," ")) &amp; "|" &amp;
      LEFT(SUBSTITUTE($O$2:$O$38,CHAR(160)," "),5) &amp; "|" &amp;
      TRIM(SUBSTITUTE($P$2:$P$38,CHAR(160)," ")),
      $Q$2:$Q$38
    )
  ),
"")</f>
        <v>450</v>
      </c>
      <c r="K5" s="32" cm="1">
        <f t="array" ref="K5">IFERROR(
  VALUE($H5) *
  VALUE(
    _xlfn.XLOOKUP(
      TRIM($F5) &amp; "|" &amp; LEFT(SUBSTITUTE($G5,CHAR(160)," "),5) &amp; "|Ideas Rate",
      TRIM(SUBSTITUTE($N$2:$N$38,CHAR(160)," ")) &amp; "|" &amp;
      LEFT(SUBSTITUTE($O$2:$O$38,CHAR(160)," "),5) &amp; "|" &amp;
      TRIM(SUBSTITUTE($P$2:$P$38,CHAR(160)," ")),
      $Q$2:$Q$38
    )
  ),
"")</f>
        <v>225</v>
      </c>
      <c r="M5" s="74" t="s">
        <v>396</v>
      </c>
      <c r="N5" t="s">
        <v>10</v>
      </c>
      <c r="O5" t="s">
        <v>375</v>
      </c>
      <c r="P5" t="s">
        <v>379</v>
      </c>
      <c r="Q5" s="32">
        <v>150</v>
      </c>
      <c r="W5" s="89" t="s">
        <v>156</v>
      </c>
      <c r="X5" s="87">
        <f>SUMIF(F:F,W5, H:H)</f>
        <v>18.5</v>
      </c>
      <c r="Y5" s="87">
        <f t="shared" si="0"/>
        <v>4</v>
      </c>
      <c r="Z5" s="88">
        <f t="shared" si="1"/>
        <v>3607.5</v>
      </c>
      <c r="AA5" s="88">
        <f t="shared" si="2"/>
        <v>1665</v>
      </c>
      <c r="AB5" s="88">
        <f t="shared" si="3"/>
        <v>832.5</v>
      </c>
    </row>
    <row r="6" spans="1:28" ht="16" thickBot="1" x14ac:dyDescent="0.25">
      <c r="A6" s="10">
        <v>45937</v>
      </c>
      <c r="B6" s="5" t="s">
        <v>336</v>
      </c>
      <c r="C6" s="20" t="s">
        <v>306</v>
      </c>
      <c r="D6" t="s">
        <v>29</v>
      </c>
      <c r="E6" t="s">
        <v>333</v>
      </c>
      <c r="F6" t="s">
        <v>9</v>
      </c>
      <c r="G6" t="s">
        <v>380</v>
      </c>
      <c r="H6" s="50">
        <v>0.5</v>
      </c>
      <c r="I6" s="52" cm="1">
        <f t="array" ref="I6">IFERROR(
  VALUE($H6) *
  VALUE(
    _xlfn.XLOOKUP(
      TRIM($F6) &amp; "|" &amp; LEFT(SUBSTITUTE($G6,CHAR(160)," "),5) &amp; "|Full Rate",
      TRIM(SUBSTITUTE($N$2:$N$38,CHAR(160)," ")) &amp; "|" &amp;
      LEFT(SUBSTITUTE($O$2:$O$38,CHAR(160)," "),5) &amp; "|" &amp;
      TRIM(SUBSTITUTE($P$2:$P$38,CHAR(160)," ")),
      $Q$2:$Q$38
    )
  ),
"")</f>
        <v>125</v>
      </c>
      <c r="J6" s="32" cm="1">
        <f t="array" ref="J6">IFERROR(
  VALUE($H6) *
  VALUE(
    _xlfn.XLOOKUP(
      TRIM($F6) &amp; "|" &amp; LEFT(SUBSTITUTE($G6,CHAR(160)," "),5) &amp; "|Reduced Rate",
      TRIM(SUBSTITUTE($N$2:$N$38,CHAR(160)," ")) &amp; "|" &amp;
      LEFT(SUBSTITUTE($O$2:$O$38,CHAR(160)," "),5) &amp; "|" &amp;
      TRIM(SUBSTITUTE($P$2:$P$38,CHAR(160)," ")),
      $Q$2:$Q$38
    )
  ),
"")</f>
        <v>75</v>
      </c>
      <c r="K6" s="32" cm="1">
        <f t="array" ref="K6">IFERROR(
  VALUE($H6) *
  VALUE(
    _xlfn.XLOOKUP(
      TRIM($F6) &amp; "|" &amp; LEFT(SUBSTITUTE($G6,CHAR(160)," "),5) &amp; "|Ideas Rate",
      TRIM(SUBSTITUTE($N$2:$N$38,CHAR(160)," ")) &amp; "|" &amp;
      LEFT(SUBSTITUTE($O$2:$O$38,CHAR(160)," "),5) &amp; "|" &amp;
      TRIM(SUBSTITUTE($P$2:$P$38,CHAR(160)," ")),
      $Q$2:$Q$38
    )
  ),
"")</f>
        <v>37.5</v>
      </c>
      <c r="M6" s="63">
        <f>SUM(K:K)</f>
        <v>1526.25</v>
      </c>
      <c r="N6" t="s">
        <v>10</v>
      </c>
      <c r="O6" t="s">
        <v>376</v>
      </c>
      <c r="P6" t="s">
        <v>382</v>
      </c>
      <c r="Q6" s="32">
        <v>250</v>
      </c>
    </row>
    <row r="7" spans="1:28" x14ac:dyDescent="0.2">
      <c r="A7" s="10">
        <v>45938</v>
      </c>
      <c r="B7" s="5" t="s">
        <v>336</v>
      </c>
      <c r="C7" s="20" t="s">
        <v>306</v>
      </c>
      <c r="D7" t="s">
        <v>29</v>
      </c>
      <c r="E7" t="s">
        <v>333</v>
      </c>
      <c r="F7" t="s">
        <v>9</v>
      </c>
      <c r="G7" t="s">
        <v>380</v>
      </c>
      <c r="H7" s="50">
        <v>0.5</v>
      </c>
      <c r="I7" s="52" cm="1">
        <f t="array" ref="I7">IFERROR(
  VALUE($H7) *
  VALUE(
    _xlfn.XLOOKUP(
      TRIM($F7) &amp; "|" &amp; LEFT(SUBSTITUTE($G7,CHAR(160)," "),5) &amp; "|Full Rate",
      TRIM(SUBSTITUTE($N$2:$N$38,CHAR(160)," ")) &amp; "|" &amp;
      LEFT(SUBSTITUTE($O$2:$O$38,CHAR(160)," "),5) &amp; "|" &amp;
      TRIM(SUBSTITUTE($P$2:$P$38,CHAR(160)," ")),
      $Q$2:$Q$38
    )
  ),
"")</f>
        <v>125</v>
      </c>
      <c r="J7" s="32" cm="1">
        <f t="array" ref="J7">IFERROR(
  VALUE($H7) *
  VALUE(
    _xlfn.XLOOKUP(
      TRIM($F7) &amp; "|" &amp; LEFT(SUBSTITUTE($G7,CHAR(160)," "),5) &amp; "|Reduced Rate",
      TRIM(SUBSTITUTE($N$2:$N$38,CHAR(160)," ")) &amp; "|" &amp;
      LEFT(SUBSTITUTE($O$2:$O$38,CHAR(160)," "),5) &amp; "|" &amp;
      TRIM(SUBSTITUTE($P$2:$P$38,CHAR(160)," ")),
      $Q$2:$Q$38
    )
  ),
"")</f>
        <v>75</v>
      </c>
      <c r="K7" s="32" cm="1">
        <f t="array" ref="K7">IFERROR(
  VALUE($H7) *
  VALUE(
    _xlfn.XLOOKUP(
      TRIM($F7) &amp; "|" &amp; LEFT(SUBSTITUTE($G7,CHAR(160)," "),5) &amp; "|Ideas Rate",
      TRIM(SUBSTITUTE($N$2:$N$38,CHAR(160)," ")) &amp; "|" &amp;
      LEFT(SUBSTITUTE($O$2:$O$38,CHAR(160)," "),5) &amp; "|" &amp;
      TRIM(SUBSTITUTE($P$2:$P$38,CHAR(160)," ")),
      $Q$2:$Q$38
    )
  ),
"")</f>
        <v>37.5</v>
      </c>
      <c r="N7" t="s">
        <v>10</v>
      </c>
      <c r="O7" t="s">
        <v>376</v>
      </c>
      <c r="P7" t="s">
        <v>378</v>
      </c>
      <c r="Q7" s="32">
        <v>150</v>
      </c>
      <c r="W7" s="22"/>
    </row>
    <row r="8" spans="1:28" x14ac:dyDescent="0.2">
      <c r="A8" s="10">
        <v>45943</v>
      </c>
      <c r="B8" s="5" t="s">
        <v>336</v>
      </c>
      <c r="C8" s="20" t="s">
        <v>306</v>
      </c>
      <c r="D8" t="s">
        <v>178</v>
      </c>
      <c r="E8" t="s">
        <v>362</v>
      </c>
      <c r="F8" t="s">
        <v>9</v>
      </c>
      <c r="G8" t="s">
        <v>380</v>
      </c>
      <c r="H8" s="50">
        <v>0.25</v>
      </c>
      <c r="I8" s="52" cm="1">
        <f t="array" ref="I8">IFERROR(
  VALUE($H8) *
  VALUE(
    _xlfn.XLOOKUP(
      TRIM($F8) &amp; "|" &amp; LEFT(SUBSTITUTE($G8,CHAR(160)," "),5) &amp; "|Full Rate",
      TRIM(SUBSTITUTE($N$2:$N$38,CHAR(160)," ")) &amp; "|" &amp;
      LEFT(SUBSTITUTE($O$2:$O$38,CHAR(160)," "),5) &amp; "|" &amp;
      TRIM(SUBSTITUTE($P$2:$P$38,CHAR(160)," ")),
      $Q$2:$Q$38
    )
  ),
"")</f>
        <v>62.5</v>
      </c>
      <c r="J8" s="32" cm="1">
        <f t="array" ref="J8">IFERROR(
  VALUE($H8) *
  VALUE(
    _xlfn.XLOOKUP(
      TRIM($F8) &amp; "|" &amp; LEFT(SUBSTITUTE($G8,CHAR(160)," "),5) &amp; "|Reduced Rate",
      TRIM(SUBSTITUTE($N$2:$N$38,CHAR(160)," ")) &amp; "|" &amp;
      LEFT(SUBSTITUTE($O$2:$O$38,CHAR(160)," "),5) &amp; "|" &amp;
      TRIM(SUBSTITUTE($P$2:$P$38,CHAR(160)," ")),
      $Q$2:$Q$38
    )
  ),
"")</f>
        <v>37.5</v>
      </c>
      <c r="K8" s="32" cm="1">
        <f t="array" ref="K8">IFERROR(
  VALUE($H8) *
  VALUE(
    _xlfn.XLOOKUP(
      TRIM($F8) &amp; "|" &amp; LEFT(SUBSTITUTE($G8,CHAR(160)," "),5) &amp; "|Ideas Rate",
      TRIM(SUBSTITUTE($N$2:$N$38,CHAR(160)," ")) &amp; "|" &amp;
      LEFT(SUBSTITUTE($O$2:$O$38,CHAR(160)," "),5) &amp; "|" &amp;
      TRIM(SUBSTITUTE($P$2:$P$38,CHAR(160)," ")),
      $Q$2:$Q$38
    )
  ),
"")</f>
        <v>18.75</v>
      </c>
      <c r="N8" t="s">
        <v>10</v>
      </c>
      <c r="O8" t="s">
        <v>376</v>
      </c>
      <c r="P8" t="s">
        <v>384</v>
      </c>
      <c r="Q8" s="32">
        <v>75</v>
      </c>
    </row>
    <row r="9" spans="1:28" x14ac:dyDescent="0.2">
      <c r="A9" s="10">
        <v>45943</v>
      </c>
      <c r="B9" s="5" t="s">
        <v>336</v>
      </c>
      <c r="C9" s="20" t="s">
        <v>306</v>
      </c>
      <c r="D9" t="s">
        <v>191</v>
      </c>
      <c r="E9" t="s">
        <v>363</v>
      </c>
      <c r="F9" t="s">
        <v>9</v>
      </c>
      <c r="G9" t="s">
        <v>380</v>
      </c>
      <c r="H9" s="50">
        <v>1.25</v>
      </c>
      <c r="I9" s="52" cm="1">
        <f t="array" ref="I9">IFERROR(
  VALUE($H9) *
  VALUE(
    _xlfn.XLOOKUP(
      TRIM($F9) &amp; "|" &amp; LEFT(SUBSTITUTE($G9,CHAR(160)," "),5) &amp; "|Full Rate",
      TRIM(SUBSTITUTE($N$2:$N$38,CHAR(160)," ")) &amp; "|" &amp;
      LEFT(SUBSTITUTE($O$2:$O$38,CHAR(160)," "),5) &amp; "|" &amp;
      TRIM(SUBSTITUTE($P$2:$P$38,CHAR(160)," ")),
      $Q$2:$Q$38
    )
  ),
"")</f>
        <v>312.5</v>
      </c>
      <c r="J9" s="32" cm="1">
        <f t="array" ref="J9">IFERROR(
  VALUE($H9) *
  VALUE(
    _xlfn.XLOOKUP(
      TRIM($F9) &amp; "|" &amp; LEFT(SUBSTITUTE($G9,CHAR(160)," "),5) &amp; "|Reduced Rate",
      TRIM(SUBSTITUTE($N$2:$N$38,CHAR(160)," ")) &amp; "|" &amp;
      LEFT(SUBSTITUTE($O$2:$O$38,CHAR(160)," "),5) &amp; "|" &amp;
      TRIM(SUBSTITUTE($P$2:$P$38,CHAR(160)," ")),
      $Q$2:$Q$38
    )
  ),
"")</f>
        <v>187.5</v>
      </c>
      <c r="K9" s="32" cm="1">
        <f t="array" ref="K9">IFERROR(
  VALUE($H9) *
  VALUE(
    _xlfn.XLOOKUP(
      TRIM($F9) &amp; "|" &amp; LEFT(SUBSTITUTE($G9,CHAR(160)," "),5) &amp; "|Ideas Rate",
      TRIM(SUBSTITUTE($N$2:$N$38,CHAR(160)," ")) &amp; "|" &amp;
      LEFT(SUBSTITUTE($O$2:$O$38,CHAR(160)," "),5) &amp; "|" &amp;
      TRIM(SUBSTITUTE($P$2:$P$38,CHAR(160)," ")),
      $Q$2:$Q$38
    )
  ),
"")</f>
        <v>93.75</v>
      </c>
      <c r="N9" t="s">
        <v>10</v>
      </c>
      <c r="O9" t="s">
        <v>368</v>
      </c>
      <c r="P9" t="s">
        <v>382</v>
      </c>
      <c r="Q9" s="32">
        <v>100</v>
      </c>
    </row>
    <row r="10" spans="1:28" x14ac:dyDescent="0.2">
      <c r="A10" s="10">
        <v>45945</v>
      </c>
      <c r="B10" s="5" t="s">
        <v>336</v>
      </c>
      <c r="C10" s="20" t="s">
        <v>306</v>
      </c>
      <c r="D10" t="s">
        <v>187</v>
      </c>
      <c r="E10" t="s">
        <v>389</v>
      </c>
      <c r="F10" t="s">
        <v>9</v>
      </c>
      <c r="G10" t="s">
        <v>380</v>
      </c>
      <c r="H10" s="50">
        <v>1.5</v>
      </c>
      <c r="I10" s="52" cm="1">
        <f t="array" ref="I10">IFERROR(
  VALUE($H10) *
  VALUE(
    _xlfn.XLOOKUP(
      TRIM($F10) &amp; "|" &amp; LEFT(SUBSTITUTE($G10,CHAR(160)," "),5) &amp; "|Full Rate",
      TRIM(SUBSTITUTE($N$2:$N$38,CHAR(160)," ")) &amp; "|" &amp;
      LEFT(SUBSTITUTE($O$2:$O$38,CHAR(160)," "),5) &amp; "|" &amp;
      TRIM(SUBSTITUTE($P$2:$P$38,CHAR(160)," ")),
      $Q$2:$Q$38
    )
  ),
"")</f>
        <v>375</v>
      </c>
      <c r="J10" s="32" cm="1">
        <f t="array" ref="J10">IFERROR(
  VALUE($H10) *
  VALUE(
    _xlfn.XLOOKUP(
      TRIM($F10) &amp; "|" &amp; LEFT(SUBSTITUTE($G10,CHAR(160)," "),5) &amp; "|Reduced Rate",
      TRIM(SUBSTITUTE($N$2:$N$38,CHAR(160)," ")) &amp; "|" &amp;
      LEFT(SUBSTITUTE($O$2:$O$38,CHAR(160)," "),5) &amp; "|" &amp;
      TRIM(SUBSTITUTE($P$2:$P$38,CHAR(160)," ")),
      $Q$2:$Q$38
    )
  ),
"")</f>
        <v>225</v>
      </c>
      <c r="K10" s="32" cm="1">
        <f t="array" ref="K10">IFERROR(
  VALUE($H10) *
  VALUE(
    _xlfn.XLOOKUP(
      TRIM($F10) &amp; "|" &amp; LEFT(SUBSTITUTE($G10,CHAR(160)," "),5) &amp; "|Ideas Rate",
      TRIM(SUBSTITUTE($N$2:$N$38,CHAR(160)," ")) &amp; "|" &amp;
      LEFT(SUBSTITUTE($O$2:$O$38,CHAR(160)," "),5) &amp; "|" &amp;
      TRIM(SUBSTITUTE($P$2:$P$38,CHAR(160)," ")),
      $Q$2:$Q$38
    )
  ),
"")</f>
        <v>112.5</v>
      </c>
      <c r="N10" t="s">
        <v>10</v>
      </c>
      <c r="O10" t="s">
        <v>368</v>
      </c>
      <c r="P10" t="s">
        <v>378</v>
      </c>
      <c r="Q10" s="32">
        <v>50</v>
      </c>
      <c r="W10" s="95" t="s">
        <v>165</v>
      </c>
      <c r="X10" s="96" t="s">
        <v>433</v>
      </c>
      <c r="Y10" s="96" t="s">
        <v>434</v>
      </c>
      <c r="Z10" s="96" t="s">
        <v>435</v>
      </c>
    </row>
    <row r="11" spans="1:28" x14ac:dyDescent="0.2">
      <c r="A11" s="10">
        <v>45945</v>
      </c>
      <c r="B11" s="5" t="s">
        <v>336</v>
      </c>
      <c r="C11" s="20" t="s">
        <v>306</v>
      </c>
      <c r="D11" t="s">
        <v>178</v>
      </c>
      <c r="E11" t="s">
        <v>390</v>
      </c>
      <c r="F11" t="s">
        <v>9</v>
      </c>
      <c r="G11" t="s">
        <v>380</v>
      </c>
      <c r="H11" s="50">
        <v>0.25</v>
      </c>
      <c r="I11" s="52" cm="1">
        <f t="array" ref="I11">IFERROR(
  VALUE($H11) *
  VALUE(
    _xlfn.XLOOKUP(
      TRIM($F11) &amp; "|" &amp; LEFT(SUBSTITUTE($G11,CHAR(160)," "),5) &amp; "|Full Rate",
      TRIM(SUBSTITUTE($N$2:$N$38,CHAR(160)," ")) &amp; "|" &amp;
      LEFT(SUBSTITUTE($O$2:$O$38,CHAR(160)," "),5) &amp; "|" &amp;
      TRIM(SUBSTITUTE($P$2:$P$38,CHAR(160)," ")),
      $Q$2:$Q$38
    )
  ),
"")</f>
        <v>62.5</v>
      </c>
      <c r="J11" s="32" cm="1">
        <f t="array" ref="J11">IFERROR(
  VALUE($H11) *
  VALUE(
    _xlfn.XLOOKUP(
      TRIM($F11) &amp; "|" &amp; LEFT(SUBSTITUTE($G11,CHAR(160)," "),5) &amp; "|Reduced Rate",
      TRIM(SUBSTITUTE($N$2:$N$38,CHAR(160)," ")) &amp; "|" &amp;
      LEFT(SUBSTITUTE($O$2:$O$38,CHAR(160)," "),5) &amp; "|" &amp;
      TRIM(SUBSTITUTE($P$2:$P$38,CHAR(160)," ")),
      $Q$2:$Q$38
    )
  ),
"")</f>
        <v>37.5</v>
      </c>
      <c r="K11" s="32" cm="1">
        <f t="array" ref="K11">IFERROR(
  VALUE($H11) *
  VALUE(
    _xlfn.XLOOKUP(
      TRIM($F11) &amp; "|" &amp; LEFT(SUBSTITUTE($G11,CHAR(160)," "),5) &amp; "|Ideas Rate",
      TRIM(SUBSTITUTE($N$2:$N$38,CHAR(160)," ")) &amp; "|" &amp;
      LEFT(SUBSTITUTE($O$2:$O$38,CHAR(160)," "),5) &amp; "|" &amp;
      TRIM(SUBSTITUTE($P$2:$P$38,CHAR(160)," ")),
      $Q$2:$Q$38
    )
  ),
"")</f>
        <v>18.75</v>
      </c>
      <c r="N11" t="s">
        <v>10</v>
      </c>
      <c r="O11" t="s">
        <v>368</v>
      </c>
      <c r="P11" t="s">
        <v>384</v>
      </c>
      <c r="Q11" s="32">
        <v>30</v>
      </c>
      <c r="W11" s="97" t="s">
        <v>182</v>
      </c>
      <c r="X11" s="98">
        <f>SUMIF($D:$D,$W11,$H:$H)</f>
        <v>0</v>
      </c>
      <c r="Y11" s="101">
        <f>SUMIF($D:$D,$W11,$I:$I)</f>
        <v>0</v>
      </c>
      <c r="Z11" s="99"/>
    </row>
    <row r="12" spans="1:28" x14ac:dyDescent="0.2">
      <c r="A12" s="10">
        <v>45954</v>
      </c>
      <c r="B12" s="5" t="s">
        <v>336</v>
      </c>
      <c r="C12" s="20" t="s">
        <v>306</v>
      </c>
      <c r="D12" t="s">
        <v>192</v>
      </c>
      <c r="E12" t="s">
        <v>416</v>
      </c>
      <c r="F12" t="s">
        <v>156</v>
      </c>
      <c r="G12" t="s">
        <v>380</v>
      </c>
      <c r="H12" s="50">
        <v>4</v>
      </c>
      <c r="I12" s="32" cm="1">
        <f t="array" ref="I12">IFERROR(
  VALUE($H12) *
  VALUE(
    _xlfn.XLOOKUP(
      TRIM($F12) &amp; "|" &amp; LEFT(SUBSTITUTE($G12,CHAR(160)," "),5) &amp; "|Full Rate",
      TRIM(SUBSTITUTE($N$2:$N$38,CHAR(160)," ")) &amp; "|" &amp;
      LEFT(SUBSTITUTE($O$2:$O$38,CHAR(160)," "),5) &amp; "|" &amp;
      TRIM(SUBSTITUTE($P$2:$P$38,CHAR(160)," ")),
      $Q$2:$Q$38
    )
  ),
"")</f>
        <v>780</v>
      </c>
      <c r="J12" s="32" cm="1">
        <f t="array" ref="J12">IFERROR(
  VALUE($H12) *
  VALUE(
    _xlfn.XLOOKUP(
      TRIM($F12) &amp; "|" &amp; LEFT(SUBSTITUTE($G12,CHAR(160)," "),5) &amp; "|Reduced Rate",
      TRIM(SUBSTITUTE($N$2:$N$38,CHAR(160)," ")) &amp; "|" &amp;
      LEFT(SUBSTITUTE($O$2:$O$38,CHAR(160)," "),5) &amp; "|" &amp;
      TRIM(SUBSTITUTE($P$2:$P$38,CHAR(160)," ")),
      $Q$2:$Q$38
    )
  ),
"")</f>
        <v>360</v>
      </c>
      <c r="K12" s="32" cm="1">
        <f t="array" ref="K12">IFERROR(
  VALUE($H12) *
  VALUE(
    _xlfn.XLOOKUP(
      TRIM($F12) &amp; "|" &amp; LEFT(SUBSTITUTE($G12,CHAR(160)," "),5) &amp; "|Ideas Rate",
      TRIM(SUBSTITUTE($N$2:$N$38,CHAR(160)," ")) &amp; "|" &amp;
      LEFT(SUBSTITUTE($O$2:$O$38,CHAR(160)," "),5) &amp; "|" &amp;
      TRIM(SUBSTITUTE($P$2:$P$38,CHAR(160)," ")),
      $Q$2:$Q$38
    )
  ),
"")</f>
        <v>180</v>
      </c>
      <c r="N12" s="56" t="s">
        <v>9</v>
      </c>
      <c r="O12" s="56" t="s">
        <v>375</v>
      </c>
      <c r="P12" s="56" t="s">
        <v>382</v>
      </c>
      <c r="Q12" s="57">
        <v>500</v>
      </c>
      <c r="W12" s="97" t="s">
        <v>190</v>
      </c>
      <c r="X12" s="98">
        <f t="shared" ref="X12:X22" si="4">SUMIF($D:$D,$W12,$H:$H)</f>
        <v>0</v>
      </c>
      <c r="Y12" s="101">
        <f t="shared" ref="Y12:Y22" si="5">SUMIF($D:$D,$W12,$I:$I)</f>
        <v>0</v>
      </c>
      <c r="Z12" s="99"/>
    </row>
    <row r="13" spans="1:28" x14ac:dyDescent="0.2">
      <c r="A13" s="10">
        <v>45957</v>
      </c>
      <c r="B13" s="5" t="s">
        <v>336</v>
      </c>
      <c r="C13" s="20" t="s">
        <v>306</v>
      </c>
      <c r="D13" t="s">
        <v>192</v>
      </c>
      <c r="E13" t="s">
        <v>417</v>
      </c>
      <c r="F13" t="s">
        <v>156</v>
      </c>
      <c r="G13" t="s">
        <v>380</v>
      </c>
      <c r="H13" s="50">
        <v>4.5</v>
      </c>
      <c r="I13" s="32" cm="1">
        <f t="array" ref="I13">IFERROR(
  VALUE($H13) *
  VALUE(
    _xlfn.XLOOKUP(
      TRIM($F13) &amp; "|" &amp; LEFT(SUBSTITUTE($G13,CHAR(160)," "),5) &amp; "|Full Rate",
      TRIM(SUBSTITUTE($N$2:$N$38,CHAR(160)," ")) &amp; "|" &amp;
      LEFT(SUBSTITUTE($O$2:$O$38,CHAR(160)," "),5) &amp; "|" &amp;
      TRIM(SUBSTITUTE($P$2:$P$38,CHAR(160)," ")),
      $Q$2:$Q$38
    )
  ),
"")</f>
        <v>877.5</v>
      </c>
      <c r="J13" s="32" cm="1">
        <f t="array" ref="J13">IFERROR(
  VALUE($H13) *
  VALUE(
    _xlfn.XLOOKUP(
      TRIM($F13) &amp; "|" &amp; LEFT(SUBSTITUTE($G13,CHAR(160)," "),5) &amp; "|Reduced Rate",
      TRIM(SUBSTITUTE($N$2:$N$38,CHAR(160)," ")) &amp; "|" &amp;
      LEFT(SUBSTITUTE($O$2:$O$38,CHAR(160)," "),5) &amp; "|" &amp;
      TRIM(SUBSTITUTE($P$2:$P$38,CHAR(160)," ")),
      $Q$2:$Q$38
    )
  ),
"")</f>
        <v>405</v>
      </c>
      <c r="K13" s="32" cm="1">
        <f t="array" ref="K13">IFERROR(
  VALUE($H13) *
  VALUE(
    _xlfn.XLOOKUP(
      TRIM($F13) &amp; "|" &amp; LEFT(SUBSTITUTE($G13,CHAR(160)," "),5) &amp; "|Ideas Rate",
      TRIM(SUBSTITUTE($N$2:$N$38,CHAR(160)," ")) &amp; "|" &amp;
      LEFT(SUBSTITUTE($O$2:$O$38,CHAR(160)," "),5) &amp; "|" &amp;
      TRIM(SUBSTITUTE($P$2:$P$38,CHAR(160)," ")),
      $Q$2:$Q$38
    )
  ),
"")</f>
        <v>202.5</v>
      </c>
      <c r="N13" t="s">
        <v>9</v>
      </c>
      <c r="O13" t="s">
        <v>375</v>
      </c>
      <c r="P13" t="s">
        <v>383</v>
      </c>
      <c r="Q13" s="32">
        <v>300</v>
      </c>
      <c r="W13" s="97" t="s">
        <v>188</v>
      </c>
      <c r="X13" s="98">
        <f t="shared" si="4"/>
        <v>0</v>
      </c>
      <c r="Y13" s="101">
        <f t="shared" si="5"/>
        <v>0</v>
      </c>
      <c r="Z13" s="99"/>
    </row>
    <row r="14" spans="1:28" x14ac:dyDescent="0.2">
      <c r="A14" s="10">
        <v>45958</v>
      </c>
      <c r="B14" s="5" t="s">
        <v>336</v>
      </c>
      <c r="C14" s="20" t="s">
        <v>306</v>
      </c>
      <c r="D14" t="s">
        <v>192</v>
      </c>
      <c r="E14" t="s">
        <v>417</v>
      </c>
      <c r="F14" t="s">
        <v>156</v>
      </c>
      <c r="G14" t="s">
        <v>380</v>
      </c>
      <c r="H14" s="50">
        <v>4</v>
      </c>
      <c r="I14" s="32" cm="1">
        <f t="array" ref="I14">IFERROR(
  VALUE($H14) *
  VALUE(
    _xlfn.XLOOKUP(
      TRIM($F14) &amp; "|" &amp; LEFT(SUBSTITUTE($G14,CHAR(160)," "),5) &amp; "|Full Rate",
      TRIM(SUBSTITUTE($N$2:$N$38,CHAR(160)," ")) &amp; "|" &amp;
      LEFT(SUBSTITUTE($O$2:$O$38,CHAR(160)," "),5) &amp; "|" &amp;
      TRIM(SUBSTITUTE($P$2:$P$38,CHAR(160)," ")),
      $Q$2:$Q$38
    )
  ),
"")</f>
        <v>780</v>
      </c>
      <c r="J14" s="32" cm="1">
        <f t="array" ref="J14">IFERROR(
  VALUE($H14) *
  VALUE(
    _xlfn.XLOOKUP(
      TRIM($F14) &amp; "|" &amp; LEFT(SUBSTITUTE($G14,CHAR(160)," "),5) &amp; "|Reduced Rate",
      TRIM(SUBSTITUTE($N$2:$N$38,CHAR(160)," ")) &amp; "|" &amp;
      LEFT(SUBSTITUTE($O$2:$O$38,CHAR(160)," "),5) &amp; "|" &amp;
      TRIM(SUBSTITUTE($P$2:$P$38,CHAR(160)," ")),
      $Q$2:$Q$38
    )
  ),
"")</f>
        <v>360</v>
      </c>
      <c r="K14" s="32" cm="1">
        <f t="array" ref="K14">IFERROR(
  VALUE($H14) *
  VALUE(
    _xlfn.XLOOKUP(
      TRIM($F14) &amp; "|" &amp; LEFT(SUBSTITUTE($G14,CHAR(160)," "),5) &amp; "|Ideas Rate",
      TRIM(SUBSTITUTE($N$2:$N$38,CHAR(160)," ")) &amp; "|" &amp;
      LEFT(SUBSTITUTE($O$2:$O$38,CHAR(160)," "),5) &amp; "|" &amp;
      TRIM(SUBSTITUTE($P$2:$P$38,CHAR(160)," ")),
      $Q$2:$Q$38
    )
  ),
"")</f>
        <v>180</v>
      </c>
      <c r="N14" t="s">
        <v>9</v>
      </c>
      <c r="O14" t="s">
        <v>375</v>
      </c>
      <c r="P14" t="s">
        <v>384</v>
      </c>
      <c r="Q14" s="32">
        <v>150</v>
      </c>
      <c r="W14" s="97" t="s">
        <v>191</v>
      </c>
      <c r="X14" s="98">
        <f t="shared" si="4"/>
        <v>1.25</v>
      </c>
      <c r="Y14" s="101">
        <f t="shared" si="5"/>
        <v>312.5</v>
      </c>
      <c r="Z14" s="99"/>
    </row>
    <row r="15" spans="1:28" x14ac:dyDescent="0.2">
      <c r="A15" s="10">
        <v>45959</v>
      </c>
      <c r="B15" s="5" t="s">
        <v>336</v>
      </c>
      <c r="C15" s="20" t="s">
        <v>306</v>
      </c>
      <c r="D15" t="s">
        <v>192</v>
      </c>
      <c r="E15" t="s">
        <v>417</v>
      </c>
      <c r="F15" t="s">
        <v>156</v>
      </c>
      <c r="G15" t="s">
        <v>380</v>
      </c>
      <c r="H15" s="50">
        <v>6</v>
      </c>
      <c r="I15" s="32" cm="1">
        <f t="array" ref="I15">IFERROR(
  VALUE($H15) *
  VALUE(
    _xlfn.XLOOKUP(
      TRIM($F15) &amp; "|" &amp; LEFT(SUBSTITUTE($G15,CHAR(160)," "),5) &amp; "|Full Rate",
      TRIM(SUBSTITUTE($N$2:$N$38,CHAR(160)," ")) &amp; "|" &amp;
      LEFT(SUBSTITUTE($O$2:$O$38,CHAR(160)," "),5) &amp; "|" &amp;
      TRIM(SUBSTITUTE($P$2:$P$38,CHAR(160)," ")),
      $Q$2:$Q$38
    )
  ),
"")</f>
        <v>1170</v>
      </c>
      <c r="J15" s="32" cm="1">
        <f t="array" ref="J15">IFERROR(
  VALUE($H15) *
  VALUE(
    _xlfn.XLOOKUP(
      TRIM($F15) &amp; "|" &amp; LEFT(SUBSTITUTE($G15,CHAR(160)," "),5) &amp; "|Reduced Rate",
      TRIM(SUBSTITUTE($N$2:$N$38,CHAR(160)," ")) &amp; "|" &amp;
      LEFT(SUBSTITUTE($O$2:$O$38,CHAR(160)," "),5) &amp; "|" &amp;
      TRIM(SUBSTITUTE($P$2:$P$38,CHAR(160)," ")),
      $Q$2:$Q$38
    )
  ),
"")</f>
        <v>540</v>
      </c>
      <c r="K15" s="32" cm="1">
        <f t="array" ref="K15">IFERROR(
  VALUE($H15) *
  VALUE(
    _xlfn.XLOOKUP(
      TRIM($F15) &amp; "|" &amp; LEFT(SUBSTITUTE($G15,CHAR(160)," "),5) &amp; "|Ideas Rate",
      TRIM(SUBSTITUTE($N$2:$N$38,CHAR(160)," ")) &amp; "|" &amp;
      LEFT(SUBSTITUTE($O$2:$O$38,CHAR(160)," "),5) &amp; "|" &amp;
      TRIM(SUBSTITUTE($P$2:$P$38,CHAR(160)," ")),
      $Q$2:$Q$38
    )
  ),
"")</f>
        <v>270</v>
      </c>
      <c r="N15" t="s">
        <v>9</v>
      </c>
      <c r="O15" t="s">
        <v>376</v>
      </c>
      <c r="P15" t="s">
        <v>382</v>
      </c>
      <c r="Q15" s="32">
        <v>250</v>
      </c>
      <c r="W15" s="97" t="s">
        <v>178</v>
      </c>
      <c r="X15" s="98">
        <f t="shared" si="4"/>
        <v>3</v>
      </c>
      <c r="Y15" s="101">
        <f t="shared" si="5"/>
        <v>1375</v>
      </c>
      <c r="Z15" s="99"/>
    </row>
    <row r="16" spans="1:28" x14ac:dyDescent="0.2">
      <c r="B16" s="5"/>
      <c r="J16" s="32" t="str" cm="1">
        <f t="array" ref="J16">IFERROR(
  VALUE($H16) *
  VALUE(
    _xlfn.XLOOKUP(
      TRIM($F16) &amp; "|" &amp; LEFT(SUBSTITUTE($G16,CHAR(160)," "),5) &amp; "|Reduced Rate",
      TRIM(SUBSTITUTE($N$2:$N$38,CHAR(160)," ")) &amp; "|" &amp;
      LEFT(SUBSTITUTE($O$2:$O$38,CHAR(160)," "),5) &amp; "|" &amp;
      TRIM(SUBSTITUTE($P$2:$P$38,CHAR(160)," ")),
      $Q$2:$Q$38
    )
  ),
"")</f>
        <v/>
      </c>
      <c r="K16" s="32" t="str" cm="1">
        <f t="array" ref="K16">IFERROR(
  VALUE($H16) *
  VALUE(
    _xlfn.XLOOKUP(
      TRIM($F16) &amp; "|" &amp; LEFT(SUBSTITUTE($G16,CHAR(160)," "),5) &amp; "|Ideas Rate",
      TRIM(SUBSTITUTE($N$2:$N$38,CHAR(160)," ")) &amp; "|" &amp;
      LEFT(SUBSTITUTE($O$2:$O$38,CHAR(160)," "),5) &amp; "|" &amp;
      TRIM(SUBSTITUTE($P$2:$P$38,CHAR(160)," ")),
      $Q$2:$Q$38
    )
  ),
"")</f>
        <v/>
      </c>
      <c r="N16" t="s">
        <v>9</v>
      </c>
      <c r="O16" t="s">
        <v>376</v>
      </c>
      <c r="P16" t="s">
        <v>383</v>
      </c>
      <c r="Q16" s="32">
        <v>150</v>
      </c>
      <c r="W16" s="97" t="s">
        <v>81</v>
      </c>
      <c r="X16" s="98">
        <f t="shared" si="4"/>
        <v>0</v>
      </c>
      <c r="Y16" s="101">
        <f t="shared" si="5"/>
        <v>0</v>
      </c>
      <c r="Z16" s="99"/>
    </row>
    <row r="17" spans="2:26" x14ac:dyDescent="0.2">
      <c r="B17" s="48"/>
      <c r="J17" s="32" t="str" cm="1">
        <f t="array" ref="J17">IFERROR(
  VALUE($H17) *
  VALUE(
    _xlfn.XLOOKUP(
      TRIM($F17) &amp; "|" &amp; LEFT(SUBSTITUTE($G17,CHAR(160)," "),5) &amp; "|Reduced Rate",
      TRIM(SUBSTITUTE($N$2:$N$38,CHAR(160)," ")) &amp; "|" &amp;
      LEFT(SUBSTITUTE($O$2:$O$38,CHAR(160)," "),5) &amp; "|" &amp;
      TRIM(SUBSTITUTE($P$2:$P$38,CHAR(160)," ")),
      $Q$2:$Q$38
    )
  ),
"")</f>
        <v/>
      </c>
      <c r="K17" s="32" t="str" cm="1">
        <f t="array" ref="K17">IFERROR(
  VALUE($H17) *
  VALUE(
    _xlfn.XLOOKUP(
      TRIM($F17) &amp; "|" &amp; LEFT(SUBSTITUTE($G17,CHAR(160)," "),5) &amp; "|Ideas Rate",
      TRIM(SUBSTITUTE($N$2:$N$38,CHAR(160)," ")) &amp; "|" &amp;
      LEFT(SUBSTITUTE($O$2:$O$38,CHAR(160)," "),5) &amp; "|" &amp;
      TRIM(SUBSTITUTE($P$2:$P$38,CHAR(160)," ")),
      $Q$2:$Q$38
    )
  ),
"")</f>
        <v/>
      </c>
      <c r="N17" t="s">
        <v>9</v>
      </c>
      <c r="O17" t="s">
        <v>376</v>
      </c>
      <c r="P17" t="s">
        <v>384</v>
      </c>
      <c r="Q17" s="32">
        <v>75</v>
      </c>
      <c r="W17" s="97" t="s">
        <v>29</v>
      </c>
      <c r="X17" s="98">
        <f t="shared" si="4"/>
        <v>1</v>
      </c>
      <c r="Y17" s="101">
        <f t="shared" si="5"/>
        <v>250</v>
      </c>
      <c r="Z17" s="99"/>
    </row>
    <row r="18" spans="2:26" x14ac:dyDescent="0.2">
      <c r="B18" s="48"/>
      <c r="J18" s="32" t="str" cm="1">
        <f t="array" ref="J18">IFERROR(
  VALUE($H18) *
  VALUE(
    _xlfn.XLOOKUP(
      TRIM($F18) &amp; "|" &amp; LEFT(SUBSTITUTE($G18,CHAR(160)," "),5) &amp; "|Reduced Rate",
      TRIM(SUBSTITUTE($N$2:$N$38,CHAR(160)," ")) &amp; "|" &amp;
      LEFT(SUBSTITUTE($O$2:$O$38,CHAR(160)," "),5) &amp; "|" &amp;
      TRIM(SUBSTITUTE($P$2:$P$38,CHAR(160)," ")),
      $Q$2:$Q$38
    )
  ),
"")</f>
        <v/>
      </c>
      <c r="K18" s="32" t="str" cm="1">
        <f t="array" ref="K18">IFERROR(
  VALUE($H18) *
  VALUE(
    _xlfn.XLOOKUP(
      TRIM($F18) &amp; "|" &amp; LEFT(SUBSTITUTE($G18,CHAR(160)," "),5) &amp; "|Ideas Rate",
      TRIM(SUBSTITUTE($N$2:$N$38,CHAR(160)," ")) &amp; "|" &amp;
      LEFT(SUBSTITUTE($O$2:$O$38,CHAR(160)," "),5) &amp; "|" &amp;
      TRIM(SUBSTITUTE($P$2:$P$38,CHAR(160)," ")),
      $Q$2:$Q$38
    )
  ),
"")</f>
        <v/>
      </c>
      <c r="N18" t="s">
        <v>9</v>
      </c>
      <c r="O18" t="s">
        <v>368</v>
      </c>
      <c r="P18" t="s">
        <v>382</v>
      </c>
      <c r="Q18" s="32">
        <v>100</v>
      </c>
      <c r="W18" s="97" t="s">
        <v>192</v>
      </c>
      <c r="X18" s="98">
        <f t="shared" si="4"/>
        <v>18.5</v>
      </c>
      <c r="Y18" s="101">
        <f t="shared" si="5"/>
        <v>3607.5</v>
      </c>
      <c r="Z18" s="99"/>
    </row>
    <row r="19" spans="2:26" x14ac:dyDescent="0.2">
      <c r="B19" s="48"/>
      <c r="J19" s="32" t="str" cm="1">
        <f t="array" ref="J19">IFERROR(
  VALUE($H19) *
  VALUE(
    _xlfn.XLOOKUP(
      TRIM($F19) &amp; "|" &amp; LEFT(SUBSTITUTE($G19,CHAR(160)," "),5) &amp; "|Reduced Rate",
      TRIM(SUBSTITUTE($N$2:$N$38,CHAR(160)," ")) &amp; "|" &amp;
      LEFT(SUBSTITUTE($O$2:$O$38,CHAR(160)," "),5) &amp; "|" &amp;
      TRIM(SUBSTITUTE($P$2:$P$38,CHAR(160)," ")),
      $Q$2:$Q$38
    )
  ),
"")</f>
        <v/>
      </c>
      <c r="K19" s="32" t="str" cm="1">
        <f t="array" ref="K19">IFERROR(
  VALUE($H19) *
  VALUE(
    _xlfn.XLOOKUP(
      TRIM($F19) &amp; "|" &amp; LEFT(SUBSTITUTE($G19,CHAR(160)," "),5) &amp; "|Ideas Rate",
      TRIM(SUBSTITUTE($N$2:$N$38,CHAR(160)," ")) &amp; "|" &amp;
      LEFT(SUBSTITUTE($O$2:$O$38,CHAR(160)," "),5) &amp; "|" &amp;
      TRIM(SUBSTITUTE($P$2:$P$38,CHAR(160)," ")),
      $Q$2:$Q$38
    )
  ),
"")</f>
        <v/>
      </c>
      <c r="N19" t="s">
        <v>9</v>
      </c>
      <c r="O19" t="s">
        <v>368</v>
      </c>
      <c r="P19" t="s">
        <v>378</v>
      </c>
      <c r="Q19" s="32">
        <v>50</v>
      </c>
      <c r="W19" s="97" t="s">
        <v>184</v>
      </c>
      <c r="X19" s="98">
        <f t="shared" si="4"/>
        <v>0</v>
      </c>
      <c r="Y19" s="101">
        <f t="shared" si="5"/>
        <v>0</v>
      </c>
      <c r="Z19" s="99"/>
    </row>
    <row r="20" spans="2:26" x14ac:dyDescent="0.2">
      <c r="J20" s="32" t="str" cm="1">
        <f t="array" ref="J20">IFERROR(
  VALUE($H20) *
  VALUE(
    _xlfn.XLOOKUP(
      TRIM($F20) &amp; "|" &amp; LEFT(SUBSTITUTE($G20,CHAR(160)," "),5) &amp; "|Reduced Rate",
      TRIM(SUBSTITUTE($N$2:$N$38,CHAR(160)," ")) &amp; "|" &amp;
      LEFT(SUBSTITUTE($O$2:$O$38,CHAR(160)," "),5) &amp; "|" &amp;
      TRIM(SUBSTITUTE($P$2:$P$38,CHAR(160)," ")),
      $Q$2:$Q$38
    )
  ),
"")</f>
        <v/>
      </c>
      <c r="K20" s="32" t="str" cm="1">
        <f t="array" ref="K20">IFERROR(
  VALUE($H20) *
  VALUE(
    _xlfn.XLOOKUP(
      TRIM($F20) &amp; "|" &amp; LEFT(SUBSTITUTE($G20,CHAR(160)," "),5) &amp; "|Ideas Rate",
      TRIM(SUBSTITUTE($N$2:$N$38,CHAR(160)," ")) &amp; "|" &amp;
      LEFT(SUBSTITUTE($O$2:$O$38,CHAR(160)," "),5) &amp; "|" &amp;
      TRIM(SUBSTITUTE($P$2:$P$38,CHAR(160)," ")),
      $Q$2:$Q$38
    )
  ),
"")</f>
        <v/>
      </c>
      <c r="N20" t="s">
        <v>9</v>
      </c>
      <c r="O20" t="s">
        <v>368</v>
      </c>
      <c r="P20" s="66" t="s">
        <v>384</v>
      </c>
      <c r="Q20" s="32">
        <v>30</v>
      </c>
      <c r="W20" s="97" t="s">
        <v>187</v>
      </c>
      <c r="X20" s="98">
        <f t="shared" si="4"/>
        <v>1.5</v>
      </c>
      <c r="Y20" s="101">
        <f t="shared" si="5"/>
        <v>375</v>
      </c>
      <c r="Z20" s="99"/>
    </row>
    <row r="21" spans="2:26" x14ac:dyDescent="0.2">
      <c r="J21" s="32" t="str" cm="1">
        <f t="array" ref="J21">IFERROR(
  VALUE($H21) *
  VALUE(
    _xlfn.XLOOKUP(
      TRIM($F21) &amp; "|" &amp; LEFT(SUBSTITUTE($G21,CHAR(160)," "),5) &amp; "|Reduced Rate",
      TRIM(SUBSTITUTE($N$2:$N$38,CHAR(160)," ")) &amp; "|" &amp;
      LEFT(SUBSTITUTE($O$2:$O$38,CHAR(160)," "),5) &amp; "|" &amp;
      TRIM(SUBSTITUTE($P$2:$P$38,CHAR(160)," ")),
      $Q$2:$Q$38
    )
  ),
"")</f>
        <v/>
      </c>
      <c r="K21" s="32" t="str" cm="1">
        <f t="array" ref="K21">IFERROR(
  VALUE($H21) *
  VALUE(
    _xlfn.XLOOKUP(
      TRIM($F21) &amp; "|" &amp; LEFT(SUBSTITUTE($G21,CHAR(160)," "),5) &amp; "|Ideas Rate",
      TRIM(SUBSTITUTE($N$2:$N$38,CHAR(160)," ")) &amp; "|" &amp;
      LEFT(SUBSTITUTE($O$2:$O$38,CHAR(160)," "),5) &amp; "|" &amp;
      TRIM(SUBSTITUTE($P$2:$P$38,CHAR(160)," ")),
      $Q$2:$Q$38
    )
  ),
"")</f>
        <v/>
      </c>
      <c r="N21" s="56" t="s">
        <v>155</v>
      </c>
      <c r="O21" s="56" t="s">
        <v>375</v>
      </c>
      <c r="P21" t="s">
        <v>382</v>
      </c>
      <c r="Q21" s="57">
        <v>400</v>
      </c>
      <c r="W21" s="97" t="s">
        <v>323</v>
      </c>
      <c r="X21" s="98">
        <f t="shared" si="4"/>
        <v>0</v>
      </c>
      <c r="Y21" s="101">
        <f t="shared" si="5"/>
        <v>0</v>
      </c>
      <c r="Z21" s="99"/>
    </row>
    <row r="22" spans="2:26" x14ac:dyDescent="0.2">
      <c r="J22" s="32" t="str" cm="1">
        <f t="array" ref="J22">IFERROR(
  VALUE($H22) *
  VALUE(
    _xlfn.XLOOKUP(
      TRIM($F22) &amp; "|" &amp; LEFT(SUBSTITUTE($G22,CHAR(160)," "),5) &amp; "|Reduced Rate",
      TRIM(SUBSTITUTE($N$2:$N$38,CHAR(160)," ")) &amp; "|" &amp;
      LEFT(SUBSTITUTE($O$2:$O$38,CHAR(160)," "),5) &amp; "|" &amp;
      TRIM(SUBSTITUTE($P$2:$P$38,CHAR(160)," ")),
      $Q$2:$Q$38
    )
  ),
"")</f>
        <v/>
      </c>
      <c r="K22" s="32" t="str" cm="1">
        <f t="array" ref="K22">IFERROR(
  VALUE($H22) *
  VALUE(
    _xlfn.XLOOKUP(
      TRIM($F22) &amp; "|" &amp; LEFT(SUBSTITUTE($G22,CHAR(160)," "),5) &amp; "|Ideas Rate",
      TRIM(SUBSTITUTE($N$2:$N$38,CHAR(160)," ")) &amp; "|" &amp;
      LEFT(SUBSTITUTE($O$2:$O$38,CHAR(160)," "),5) &amp; "|" &amp;
      TRIM(SUBSTITUTE($P$2:$P$38,CHAR(160)," ")),
      $Q$2:$Q$38
    )
  ),
"")</f>
        <v/>
      </c>
      <c r="N22" t="s">
        <v>155</v>
      </c>
      <c r="O22" t="s">
        <v>375</v>
      </c>
      <c r="P22" t="s">
        <v>383</v>
      </c>
      <c r="Q22" s="32">
        <v>200</v>
      </c>
      <c r="W22" s="97" t="s">
        <v>324</v>
      </c>
      <c r="X22" s="98">
        <f t="shared" si="4"/>
        <v>0</v>
      </c>
      <c r="Y22" s="101">
        <f t="shared" si="5"/>
        <v>0</v>
      </c>
      <c r="Z22" s="99"/>
    </row>
    <row r="23" spans="2:26" x14ac:dyDescent="0.2">
      <c r="J23" s="32" t="str" cm="1">
        <f t="array" ref="J23">IFERROR(
  VALUE($H23) *
  VALUE(
    _xlfn.XLOOKUP(
      TRIM($F23) &amp; "|" &amp; LEFT(SUBSTITUTE($G23,CHAR(160)," "),5) &amp; "|Reduced Rate",
      TRIM(SUBSTITUTE($N$2:$N$38,CHAR(160)," ")) &amp; "|" &amp;
      LEFT(SUBSTITUTE($O$2:$O$38,CHAR(160)," "),5) &amp; "|" &amp;
      TRIM(SUBSTITUTE($P$2:$P$38,CHAR(160)," ")),
      $Q$2:$Q$38
    )
  ),
"")</f>
        <v/>
      </c>
      <c r="K23" s="32" t="str" cm="1">
        <f t="array" ref="K23">IFERROR(
  VALUE($H23) *
  VALUE(
    _xlfn.XLOOKUP(
      TRIM($F23) &amp; "|" &amp; LEFT(SUBSTITUTE($G23,CHAR(160)," "),5) &amp; "|Ideas Rate",
      TRIM(SUBSTITUTE($N$2:$N$38,CHAR(160)," ")) &amp; "|" &amp;
      LEFT(SUBSTITUTE($O$2:$O$38,CHAR(160)," "),5) &amp; "|" &amp;
      TRIM(SUBSTITUTE($P$2:$P$38,CHAR(160)," ")),
      $Q$2:$Q$38
    )
  ),
"")</f>
        <v/>
      </c>
      <c r="N23" t="s">
        <v>155</v>
      </c>
      <c r="O23" t="s">
        <v>375</v>
      </c>
      <c r="P23" t="s">
        <v>384</v>
      </c>
      <c r="Q23" s="32">
        <v>120</v>
      </c>
    </row>
    <row r="24" spans="2:26" x14ac:dyDescent="0.2">
      <c r="J24" s="32" t="str" cm="1">
        <f t="array" ref="J24">IFERROR(
  VALUE($H24) *
  VALUE(
    _xlfn.XLOOKUP(
      TRIM($F24) &amp; "|" &amp; LEFT(SUBSTITUTE($G24,CHAR(160)," "),5) &amp; "|Reduced Rate",
      TRIM(SUBSTITUTE($N$2:$N$38,CHAR(160)," ")) &amp; "|" &amp;
      LEFT(SUBSTITUTE($O$2:$O$38,CHAR(160)," "),5) &amp; "|" &amp;
      TRIM(SUBSTITUTE($P$2:$P$38,CHAR(160)," ")),
      $Q$2:$Q$38
    )
  ),
"")</f>
        <v/>
      </c>
      <c r="K24" s="32" t="str" cm="1">
        <f t="array" ref="K24">IFERROR(
  VALUE($H24) *
  VALUE(
    _xlfn.XLOOKUP(
      TRIM($F24) &amp; "|" &amp; LEFT(SUBSTITUTE($G24,CHAR(160)," "),5) &amp; "|Ideas Rate",
      TRIM(SUBSTITUTE($N$2:$N$38,CHAR(160)," ")) &amp; "|" &amp;
      LEFT(SUBSTITUTE($O$2:$O$38,CHAR(160)," "),5) &amp; "|" &amp;
      TRIM(SUBSTITUTE($P$2:$P$38,CHAR(160)," ")),
      $Q$2:$Q$38
    )
  ),
"")</f>
        <v/>
      </c>
      <c r="N24" t="s">
        <v>155</v>
      </c>
      <c r="O24" t="s">
        <v>376</v>
      </c>
      <c r="P24" t="s">
        <v>382</v>
      </c>
      <c r="Q24" s="32">
        <v>260</v>
      </c>
    </row>
    <row r="25" spans="2:26" x14ac:dyDescent="0.2">
      <c r="J25" s="32" t="str" cm="1">
        <f t="array" ref="J25">IFERROR(
  VALUE($H25) *
  VALUE(
    _xlfn.XLOOKUP(
      TRIM($F25) &amp; "|" &amp; LEFT(SUBSTITUTE($G25,CHAR(160)," "),5) &amp; "|Reduced Rate",
      TRIM(SUBSTITUTE($N$2:$N$38,CHAR(160)," ")) &amp; "|" &amp;
      LEFT(SUBSTITUTE($O$2:$O$38,CHAR(160)," "),5) &amp; "|" &amp;
      TRIM(SUBSTITUTE($P$2:$P$38,CHAR(160)," ")),
      $Q$2:$Q$38
    )
  ),
"")</f>
        <v/>
      </c>
      <c r="K25" s="32" t="str" cm="1">
        <f t="array" ref="K25">IFERROR(
  VALUE($H25) *
  VALUE(
    _xlfn.XLOOKUP(
      TRIM($F25) &amp; "|" &amp; LEFT(SUBSTITUTE($G25,CHAR(160)," "),5) &amp; "|Ideas Rate",
      TRIM(SUBSTITUTE($N$2:$N$38,CHAR(160)," ")) &amp; "|" &amp;
      LEFT(SUBSTITUTE($O$2:$O$38,CHAR(160)," "),5) &amp; "|" &amp;
      TRIM(SUBSTITUTE($P$2:$P$38,CHAR(160)," ")),
      $Q$2:$Q$38
    )
  ),
"")</f>
        <v/>
      </c>
      <c r="N25" t="s">
        <v>155</v>
      </c>
      <c r="O25" t="s">
        <v>376</v>
      </c>
      <c r="P25" t="s">
        <v>383</v>
      </c>
      <c r="Q25" s="32">
        <v>120</v>
      </c>
    </row>
    <row r="26" spans="2:26" x14ac:dyDescent="0.2">
      <c r="J26" s="32" t="str" cm="1">
        <f t="array" ref="J26">IFERROR(
  VALUE($H26) *
  VALUE(
    _xlfn.XLOOKUP(
      TRIM($F26) &amp; "|" &amp; LEFT(SUBSTITUTE($G26,CHAR(160)," "),5) &amp; "|Reduced Rate",
      TRIM(SUBSTITUTE($N$2:$N$38,CHAR(160)," ")) &amp; "|" &amp;
      LEFT(SUBSTITUTE($O$2:$O$38,CHAR(160)," "),5) &amp; "|" &amp;
      TRIM(SUBSTITUTE($P$2:$P$38,CHAR(160)," ")),
      $Q$2:$Q$38
    )
  ),
"")</f>
        <v/>
      </c>
      <c r="K26" s="32" t="str" cm="1">
        <f t="array" ref="K26">IFERROR(
  VALUE($H26) *
  VALUE(
    _xlfn.XLOOKUP(
      TRIM($F26) &amp; "|" &amp; LEFT(SUBSTITUTE($G26,CHAR(160)," "),5) &amp; "|Ideas Rate",
      TRIM(SUBSTITUTE($N$2:$N$38,CHAR(160)," ")) &amp; "|" &amp;
      LEFT(SUBSTITUTE($O$2:$O$38,CHAR(160)," "),5) &amp; "|" &amp;
      TRIM(SUBSTITUTE($P$2:$P$38,CHAR(160)," ")),
      $Q$2:$Q$38
    )
  ),
"")</f>
        <v/>
      </c>
      <c r="N26" t="s">
        <v>155</v>
      </c>
      <c r="O26" t="s">
        <v>376</v>
      </c>
      <c r="P26" t="s">
        <v>384</v>
      </c>
      <c r="Q26" s="32">
        <v>90</v>
      </c>
    </row>
    <row r="27" spans="2:26" x14ac:dyDescent="0.2">
      <c r="J27" s="32" t="str" cm="1">
        <f t="array" ref="J27">IFERROR(
  VALUE($H27) *
  VALUE(
    _xlfn.XLOOKUP(
      TRIM($F27) &amp; "|" &amp; LEFT(SUBSTITUTE($G27,CHAR(160)," "),5) &amp; "|Reduced Rate",
      TRIM(SUBSTITUTE($N$2:$N$38,CHAR(160)," ")) &amp; "|" &amp;
      LEFT(SUBSTITUTE($O$2:$O$38,CHAR(160)," "),5) &amp; "|" &amp;
      TRIM(SUBSTITUTE($P$2:$P$38,CHAR(160)," ")),
      $Q$2:$Q$38
    )
  ),
"")</f>
        <v/>
      </c>
      <c r="K27" s="32" t="str" cm="1">
        <f t="array" ref="K27">IFERROR(
  VALUE($H27) *
  VALUE(
    _xlfn.XLOOKUP(
      TRIM($F27) &amp; "|" &amp; LEFT(SUBSTITUTE($G27,CHAR(160)," "),5) &amp; "|Ideas Rate",
      TRIM(SUBSTITUTE($N$2:$N$38,CHAR(160)," ")) &amp; "|" &amp;
      LEFT(SUBSTITUTE($O$2:$O$38,CHAR(160)," "),5) &amp; "|" &amp;
      TRIM(SUBSTITUTE($P$2:$P$38,CHAR(160)," ")),
      $Q$2:$Q$38
    )
  ),
"")</f>
        <v/>
      </c>
      <c r="N27" t="s">
        <v>155</v>
      </c>
      <c r="O27" t="s">
        <v>368</v>
      </c>
      <c r="P27" t="s">
        <v>382</v>
      </c>
      <c r="Q27" s="32">
        <v>100</v>
      </c>
    </row>
    <row r="28" spans="2:26" x14ac:dyDescent="0.2">
      <c r="J28" s="32" t="str" cm="1">
        <f t="array" ref="J28">IFERROR(
  VALUE($H28) *
  VALUE(
    _xlfn.XLOOKUP(
      TRIM($F28) &amp; "|" &amp; LEFT(SUBSTITUTE($G28,CHAR(160)," "),5) &amp; "|Reduced Rate",
      TRIM(SUBSTITUTE($N$2:$N$38,CHAR(160)," ")) &amp; "|" &amp;
      LEFT(SUBSTITUTE($O$2:$O$38,CHAR(160)," "),5) &amp; "|" &amp;
      TRIM(SUBSTITUTE($P$2:$P$38,CHAR(160)," ")),
      $Q$2:$Q$38
    )
  ),
"")</f>
        <v/>
      </c>
      <c r="K28" s="32" t="str" cm="1">
        <f t="array" ref="K28">IFERROR(
  VALUE($H28) *
  VALUE(
    _xlfn.XLOOKUP(
      TRIM($F28) &amp; "|" &amp; LEFT(SUBSTITUTE($G28,CHAR(160)," "),5) &amp; "|Ideas Rate",
      TRIM(SUBSTITUTE($N$2:$N$38,CHAR(160)," ")) &amp; "|" &amp;
      LEFT(SUBSTITUTE($O$2:$O$38,CHAR(160)," "),5) &amp; "|" &amp;
      TRIM(SUBSTITUTE($P$2:$P$38,CHAR(160)," ")),
      $Q$2:$Q$38
    )
  ),
"")</f>
        <v/>
      </c>
      <c r="N28" t="s">
        <v>155</v>
      </c>
      <c r="O28" t="s">
        <v>368</v>
      </c>
      <c r="P28" t="s">
        <v>383</v>
      </c>
      <c r="Q28" s="32">
        <v>50</v>
      </c>
    </row>
    <row r="29" spans="2:26" x14ac:dyDescent="0.2">
      <c r="J29" s="32" t="str" cm="1">
        <f t="array" ref="J29">IFERROR(
  VALUE($H29) *
  VALUE(
    _xlfn.XLOOKUP(
      TRIM($F29) &amp; "|" &amp; LEFT(SUBSTITUTE($G29,CHAR(160)," "),5) &amp; "|Reduced Rate",
      TRIM(SUBSTITUTE($N$2:$N$38,CHAR(160)," ")) &amp; "|" &amp;
      LEFT(SUBSTITUTE($O$2:$O$38,CHAR(160)," "),5) &amp; "|" &amp;
      TRIM(SUBSTITUTE($P$2:$P$38,CHAR(160)," ")),
      $Q$2:$Q$38
    )
  ),
"")</f>
        <v/>
      </c>
      <c r="K29" s="32" t="str" cm="1">
        <f t="array" ref="K29">IFERROR(
  VALUE($H29) *
  VALUE(
    _xlfn.XLOOKUP(
      TRIM($F29) &amp; "|" &amp; LEFT(SUBSTITUTE($G29,CHAR(160)," "),5) &amp; "|Ideas Rate",
      TRIM(SUBSTITUTE($N$2:$N$38,CHAR(160)," ")) &amp; "|" &amp;
      LEFT(SUBSTITUTE($O$2:$O$38,CHAR(160)," "),5) &amp; "|" &amp;
      TRIM(SUBSTITUTE($P$2:$P$38,CHAR(160)," ")),
      $Q$2:$Q$38
    )
  ),
"")</f>
        <v/>
      </c>
      <c r="N29" t="s">
        <v>155</v>
      </c>
      <c r="O29" t="s">
        <v>368</v>
      </c>
      <c r="P29" s="66" t="s">
        <v>384</v>
      </c>
      <c r="Q29" s="32">
        <v>30</v>
      </c>
    </row>
    <row r="30" spans="2:26" x14ac:dyDescent="0.2">
      <c r="J30" s="32" t="str" cm="1">
        <f t="array" ref="J30">IFERROR(
  VALUE($H30) *
  VALUE(
    _xlfn.XLOOKUP(
      TRIM($F30) &amp; "|" &amp; LEFT(SUBSTITUTE($G30,CHAR(160)," "),5) &amp; "|Reduced Rate",
      TRIM(SUBSTITUTE($N$2:$N$38,CHAR(160)," ")) &amp; "|" &amp;
      LEFT(SUBSTITUTE($O$2:$O$38,CHAR(160)," "),5) &amp; "|" &amp;
      TRIM(SUBSTITUTE($P$2:$P$38,CHAR(160)," ")),
      $Q$2:$Q$38
    )
  ),
"")</f>
        <v/>
      </c>
      <c r="K30" s="32" t="str" cm="1">
        <f t="array" ref="K30">IFERROR(
  VALUE($H30) *
  VALUE(
    _xlfn.XLOOKUP(
      TRIM($F30) &amp; "|" &amp; LEFT(SUBSTITUTE($G30,CHAR(160)," "),5) &amp; "|Ideas Rate",
      TRIM(SUBSTITUTE($N$2:$N$38,CHAR(160)," ")) &amp; "|" &amp;
      LEFT(SUBSTITUTE($O$2:$O$38,CHAR(160)," "),5) &amp; "|" &amp;
      TRIM(SUBSTITUTE($P$2:$P$38,CHAR(160)," ")),
      $Q$2:$Q$38
    )
  ),
"")</f>
        <v/>
      </c>
      <c r="N30" s="56" t="s">
        <v>156</v>
      </c>
      <c r="O30" s="56" t="s">
        <v>375</v>
      </c>
      <c r="P30" t="s">
        <v>382</v>
      </c>
      <c r="Q30" s="57">
        <v>325</v>
      </c>
    </row>
    <row r="31" spans="2:26" x14ac:dyDescent="0.2">
      <c r="J31" s="32" t="str" cm="1">
        <f t="array" ref="J31">IFERROR(
  VALUE($H31) *
  VALUE(
    _xlfn.XLOOKUP(
      TRIM($F31) &amp; "|" &amp; LEFT(SUBSTITUTE($G31,CHAR(160)," "),5) &amp; "|Reduced Rate",
      TRIM(SUBSTITUTE($N$2:$N$38,CHAR(160)," ")) &amp; "|" &amp;
      LEFT(SUBSTITUTE($O$2:$O$38,CHAR(160)," "),5) &amp; "|" &amp;
      TRIM(SUBSTITUTE($P$2:$P$38,CHAR(160)," ")),
      $Q$2:$Q$38
    )
  ),
"")</f>
        <v/>
      </c>
      <c r="K31" s="32" t="str" cm="1">
        <f t="array" ref="K31">IFERROR(
  VALUE($H31) *
  VALUE(
    _xlfn.XLOOKUP(
      TRIM($F31) &amp; "|" &amp; LEFT(SUBSTITUTE($G31,CHAR(160)," "),5) &amp; "|Ideas Rate",
      TRIM(SUBSTITUTE($N$2:$N$38,CHAR(160)," ")) &amp; "|" &amp;
      LEFT(SUBSTITUTE($O$2:$O$38,CHAR(160)," "),5) &amp; "|" &amp;
      TRIM(SUBSTITUTE($P$2:$P$38,CHAR(160)," ")),
      $Q$2:$Q$38
    )
  ),
"")</f>
        <v/>
      </c>
      <c r="N31" t="s">
        <v>156</v>
      </c>
      <c r="O31" t="s">
        <v>375</v>
      </c>
      <c r="P31" t="s">
        <v>383</v>
      </c>
      <c r="Q31" s="32">
        <v>175</v>
      </c>
    </row>
    <row r="32" spans="2:26" x14ac:dyDescent="0.2">
      <c r="J32" s="32" t="str" cm="1">
        <f t="array" ref="J32">IFERROR(
  VALUE($H32) *
  VALUE(
    _xlfn.XLOOKUP(
      TRIM($F32) &amp; "|" &amp; LEFT(SUBSTITUTE($G32,CHAR(160)," "),5) &amp; "|Reduced Rate",
      TRIM(SUBSTITUTE($N$2:$N$38,CHAR(160)," ")) &amp; "|" &amp;
      LEFT(SUBSTITUTE($O$2:$O$38,CHAR(160)," "),5) &amp; "|" &amp;
      TRIM(SUBSTITUTE($P$2:$P$38,CHAR(160)," ")),
      $Q$2:$Q$38
    )
  ),
"")</f>
        <v/>
      </c>
      <c r="K32" s="32" t="str" cm="1">
        <f t="array" ref="K32">IFERROR(
  VALUE($H32) *
  VALUE(
    _xlfn.XLOOKUP(
      TRIM($F32) &amp; "|" &amp; LEFT(SUBSTITUTE($G32,CHAR(160)," "),5) &amp; "|Ideas Rate",
      TRIM(SUBSTITUTE($N$2:$N$38,CHAR(160)," ")) &amp; "|" &amp;
      LEFT(SUBSTITUTE($O$2:$O$38,CHAR(160)," "),5) &amp; "|" &amp;
      TRIM(SUBSTITUTE($P$2:$P$38,CHAR(160)," ")),
      $Q$2:$Q$38
    )
  ),
"")</f>
        <v/>
      </c>
      <c r="N32" t="s">
        <v>156</v>
      </c>
      <c r="O32" t="s">
        <v>375</v>
      </c>
      <c r="P32" t="s">
        <v>384</v>
      </c>
      <c r="Q32" s="32">
        <v>95</v>
      </c>
    </row>
    <row r="33" spans="10:17" x14ac:dyDescent="0.2">
      <c r="J33" s="32" t="str" cm="1">
        <f t="array" ref="J33">IFERROR(
  VALUE($H33) *
  VALUE(
    _xlfn.XLOOKUP(
      TRIM($F33) &amp; "|" &amp; LEFT(SUBSTITUTE($G33,CHAR(160)," "),5) &amp; "|Reduced Rate",
      TRIM(SUBSTITUTE($N$2:$N$38,CHAR(160)," ")) &amp; "|" &amp;
      LEFT(SUBSTITUTE($O$2:$O$38,CHAR(160)," "),5) &amp; "|" &amp;
      TRIM(SUBSTITUTE($P$2:$P$38,CHAR(160)," ")),
      $Q$2:$Q$38
    )
  ),
"")</f>
        <v/>
      </c>
      <c r="K33" s="32" t="str" cm="1">
        <f t="array" ref="K33">IFERROR(
  VALUE($H33) *
  VALUE(
    _xlfn.XLOOKUP(
      TRIM($F33) &amp; "|" &amp; LEFT(SUBSTITUTE($G33,CHAR(160)," "),5) &amp; "|Ideas Rate",
      TRIM(SUBSTITUTE($N$2:$N$38,CHAR(160)," ")) &amp; "|" &amp;
      LEFT(SUBSTITUTE($O$2:$O$38,CHAR(160)," "),5) &amp; "|" &amp;
      TRIM(SUBSTITUTE($P$2:$P$38,CHAR(160)," ")),
      $Q$2:$Q$38
    )
  ),
"")</f>
        <v/>
      </c>
      <c r="N33" t="s">
        <v>156</v>
      </c>
      <c r="O33" t="s">
        <v>376</v>
      </c>
      <c r="P33" t="s">
        <v>382</v>
      </c>
      <c r="Q33" s="32">
        <v>195</v>
      </c>
    </row>
    <row r="34" spans="10:17" x14ac:dyDescent="0.2">
      <c r="J34" s="32" t="str" cm="1">
        <f t="array" ref="J34">IFERROR(
  VALUE($H34) *
  VALUE(
    _xlfn.XLOOKUP(
      TRIM($F34) &amp; "|" &amp; LEFT(SUBSTITUTE($G34,CHAR(160)," "),5) &amp; "|Reduced Rate",
      TRIM(SUBSTITUTE($N$2:$N$38,CHAR(160)," ")) &amp; "|" &amp;
      LEFT(SUBSTITUTE($O$2:$O$38,CHAR(160)," "),5) &amp; "|" &amp;
      TRIM(SUBSTITUTE($P$2:$P$38,CHAR(160)," ")),
      $Q$2:$Q$38
    )
  ),
"")</f>
        <v/>
      </c>
      <c r="K34" s="32" t="str" cm="1">
        <f t="array" ref="K34">IFERROR(
  VALUE($H34) *
  VALUE(
    _xlfn.XLOOKUP(
      TRIM($F34) &amp; "|" &amp; LEFT(SUBSTITUTE($G34,CHAR(160)," "),5) &amp; "|Ideas Rate",
      TRIM(SUBSTITUTE($N$2:$N$38,CHAR(160)," ")) &amp; "|" &amp;
      LEFT(SUBSTITUTE($O$2:$O$38,CHAR(160)," "),5) &amp; "|" &amp;
      TRIM(SUBSTITUTE($P$2:$P$38,CHAR(160)," ")),
      $Q$2:$Q$38
    )
  ),
"")</f>
        <v/>
      </c>
      <c r="N34" t="s">
        <v>156</v>
      </c>
      <c r="O34" t="s">
        <v>376</v>
      </c>
      <c r="P34" t="s">
        <v>383</v>
      </c>
      <c r="Q34" s="32">
        <v>90</v>
      </c>
    </row>
    <row r="35" spans="10:17" x14ac:dyDescent="0.2">
      <c r="J35" s="32" t="str" cm="1">
        <f t="array" ref="J35">IFERROR(
  VALUE($H35) *
  VALUE(
    _xlfn.XLOOKUP(
      TRIM($F35) &amp; "|" &amp; LEFT(SUBSTITUTE($G35,CHAR(160)," "),5) &amp; "|Reduced Rate",
      TRIM(SUBSTITUTE($N$2:$N$38,CHAR(160)," ")) &amp; "|" &amp;
      LEFT(SUBSTITUTE($O$2:$O$38,CHAR(160)," "),5) &amp; "|" &amp;
      TRIM(SUBSTITUTE($P$2:$P$38,CHAR(160)," ")),
      $Q$2:$Q$38
    )
  ),
"")</f>
        <v/>
      </c>
      <c r="K35" s="32" t="str" cm="1">
        <f t="array" ref="K35">IFERROR(
  VALUE($H35) *
  VALUE(
    _xlfn.XLOOKUP(
      TRIM($F35) &amp; "|" &amp; LEFT(SUBSTITUTE($G35,CHAR(160)," "),5) &amp; "|Ideas Rate",
      TRIM(SUBSTITUTE($N$2:$N$38,CHAR(160)," ")) &amp; "|" &amp;
      LEFT(SUBSTITUTE($O$2:$O$38,CHAR(160)," "),5) &amp; "|" &amp;
      TRIM(SUBSTITUTE($P$2:$P$38,CHAR(160)," ")),
      $Q$2:$Q$38
    )
  ),
"")</f>
        <v/>
      </c>
      <c r="N35" t="s">
        <v>156</v>
      </c>
      <c r="O35" t="s">
        <v>376</v>
      </c>
      <c r="P35" t="s">
        <v>384</v>
      </c>
      <c r="Q35" s="32">
        <v>45</v>
      </c>
    </row>
    <row r="36" spans="10:17" x14ac:dyDescent="0.2">
      <c r="J36" s="32" t="str" cm="1">
        <f t="array" ref="J36">IFERROR(
  VALUE($H36) *
  VALUE(
    _xlfn.XLOOKUP(
      TRIM($F36) &amp; "|" &amp; LEFT(SUBSTITUTE($G36,CHAR(160)," "),5) &amp; "|Reduced Rate",
      TRIM(SUBSTITUTE($N$2:$N$38,CHAR(160)," ")) &amp; "|" &amp;
      LEFT(SUBSTITUTE($O$2:$O$38,CHAR(160)," "),5) &amp; "|" &amp;
      TRIM(SUBSTITUTE($P$2:$P$38,CHAR(160)," ")),
      $Q$2:$Q$38
    )
  ),
"")</f>
        <v/>
      </c>
      <c r="K36" s="32" t="str" cm="1">
        <f t="array" ref="K36">IFERROR(
  VALUE($H36) *
  VALUE(
    _xlfn.XLOOKUP(
      TRIM($F36) &amp; "|" &amp; LEFT(SUBSTITUTE($G36,CHAR(160)," "),5) &amp; "|Ideas Rate",
      TRIM(SUBSTITUTE($N$2:$N$38,CHAR(160)," ")) &amp; "|" &amp;
      LEFT(SUBSTITUTE($O$2:$O$38,CHAR(160)," "),5) &amp; "|" &amp;
      TRIM(SUBSTITUTE($P$2:$P$38,CHAR(160)," ")),
      $Q$2:$Q$38
    )
  ),
"")</f>
        <v/>
      </c>
      <c r="N36" t="s">
        <v>156</v>
      </c>
      <c r="O36" t="s">
        <v>368</v>
      </c>
      <c r="P36" t="s">
        <v>382</v>
      </c>
      <c r="Q36" s="32">
        <v>100</v>
      </c>
    </row>
    <row r="37" spans="10:17" x14ac:dyDescent="0.2">
      <c r="J37" s="32" t="str" cm="1">
        <f t="array" ref="J37">IFERROR(
  VALUE($H37) *
  VALUE(
    _xlfn.XLOOKUP(
      TRIM($F37) &amp; "|" &amp; LEFT(SUBSTITUTE($G37,CHAR(160)," "),5) &amp; "|Reduced Rate",
      TRIM(SUBSTITUTE($N$2:$N$38,CHAR(160)," ")) &amp; "|" &amp;
      LEFT(SUBSTITUTE($O$2:$O$38,CHAR(160)," "),5) &amp; "|" &amp;
      TRIM(SUBSTITUTE($P$2:$P$38,CHAR(160)," ")),
      $Q$2:$Q$38
    )
  ),
"")</f>
        <v/>
      </c>
      <c r="K37" s="32" t="str" cm="1">
        <f t="array" ref="K37">IFERROR(
  VALUE($H37) *
  VALUE(
    _xlfn.XLOOKUP(
      TRIM($F37) &amp; "|" &amp; LEFT(SUBSTITUTE($G37,CHAR(160)," "),5) &amp; "|Ideas Rate",
      TRIM(SUBSTITUTE($N$2:$N$38,CHAR(160)," ")) &amp; "|" &amp;
      LEFT(SUBSTITUTE($O$2:$O$38,CHAR(160)," "),5) &amp; "|" &amp;
      TRIM(SUBSTITUTE($P$2:$P$38,CHAR(160)," ")),
      $Q$2:$Q$38
    )
  ),
"")</f>
        <v/>
      </c>
      <c r="N37" t="s">
        <v>156</v>
      </c>
      <c r="O37" t="s">
        <v>368</v>
      </c>
      <c r="P37" t="s">
        <v>383</v>
      </c>
      <c r="Q37" s="32">
        <v>50</v>
      </c>
    </row>
    <row r="38" spans="10:17" x14ac:dyDescent="0.2">
      <c r="J38" s="32" t="str" cm="1">
        <f t="array" ref="J38">IFERROR(
  VALUE($H38) *
  VALUE(
    _xlfn.XLOOKUP(
      TRIM($F38) &amp; "|" &amp; LEFT(SUBSTITUTE($G38,CHAR(160)," "),5) &amp; "|Reduced Rate",
      TRIM(SUBSTITUTE($N$2:$N$38,CHAR(160)," ")) &amp; "|" &amp;
      LEFT(SUBSTITUTE($O$2:$O$38,CHAR(160)," "),5) &amp; "|" &amp;
      TRIM(SUBSTITUTE($P$2:$P$38,CHAR(160)," ")),
      $Q$2:$Q$38
    )
  ),
"")</f>
        <v/>
      </c>
      <c r="K38" s="32" t="str" cm="1">
        <f t="array" ref="K38">IFERROR(
  VALUE($H38) *
  VALUE(
    _xlfn.XLOOKUP(
      TRIM($F38) &amp; "|" &amp; LEFT(SUBSTITUTE($G38,CHAR(160)," "),5) &amp; "|Ideas Rate",
      TRIM(SUBSTITUTE($N$2:$N$38,CHAR(160)," ")) &amp; "|" &amp;
      LEFT(SUBSTITUTE($O$2:$O$38,CHAR(160)," "),5) &amp; "|" &amp;
      TRIM(SUBSTITUTE($P$2:$P$38,CHAR(160)," ")),
      $Q$2:$Q$38
    )
  ),
"")</f>
        <v/>
      </c>
      <c r="N38" t="s">
        <v>156</v>
      </c>
      <c r="O38" t="s">
        <v>368</v>
      </c>
      <c r="P38" t="s">
        <v>384</v>
      </c>
      <c r="Q38" s="32">
        <v>30</v>
      </c>
    </row>
    <row r="39" spans="10:17" x14ac:dyDescent="0.2">
      <c r="J39" s="32" t="str" cm="1">
        <f t="array" ref="J39">IFERROR(
  VALUE($H39) *
  VALUE(
    _xlfn.XLOOKUP(
      TRIM($F39) &amp; "|" &amp; LEFT(SUBSTITUTE($G39,CHAR(160)," "),5) &amp; "|Reduced Rate",
      TRIM(SUBSTITUTE($N$2:$N$38,CHAR(160)," ")) &amp; "|" &amp;
      LEFT(SUBSTITUTE($O$2:$O$38,CHAR(160)," "),5) &amp; "|" &amp;
      TRIM(SUBSTITUTE($P$2:$P$38,CHAR(160)," ")),
      $Q$2:$Q$38
    )
  ),
"")</f>
        <v/>
      </c>
      <c r="K39" s="32" t="str" cm="1">
        <f t="array" ref="K39">IFERROR(
  VALUE($H39) *
  VALUE(
    _xlfn.XLOOKUP(
      TRIM($F39) &amp; "|" &amp; LEFT(SUBSTITUTE($G39,CHAR(160)," "),5) &amp; "|Ideas Rate",
      TRIM(SUBSTITUTE($N$2:$N$38,CHAR(160)," ")) &amp; "|" &amp;
      LEFT(SUBSTITUTE($O$2:$O$38,CHAR(160)," "),5) &amp; "|" &amp;
      TRIM(SUBSTITUTE($P$2:$P$38,CHAR(160)," ")),
      $Q$2:$Q$38
    )
  ),
"")</f>
        <v/>
      </c>
    </row>
    <row r="40" spans="10:17" x14ac:dyDescent="0.2">
      <c r="J40" s="32" t="str" cm="1">
        <f t="array" ref="J40">IFERROR(
  VALUE($H40) *
  VALUE(
    _xlfn.XLOOKUP(
      TRIM($F40) &amp; "|" &amp; LEFT(SUBSTITUTE($G40,CHAR(160)," "),5) &amp; "|Reduced Rate",
      TRIM(SUBSTITUTE($N$2:$N$38,CHAR(160)," ")) &amp; "|" &amp;
      LEFT(SUBSTITUTE($O$2:$O$38,CHAR(160)," "),5) &amp; "|" &amp;
      TRIM(SUBSTITUTE($P$2:$P$38,CHAR(160)," ")),
      $Q$2:$Q$38
    )
  ),
"")</f>
        <v/>
      </c>
      <c r="K40" s="32" t="str" cm="1">
        <f t="array" ref="K40">IFERROR(
  VALUE($H40) *
  VALUE(
    _xlfn.XLOOKUP(
      TRIM($F40) &amp; "|" &amp; LEFT(SUBSTITUTE($G40,CHAR(160)," "),5) &amp; "|Ideas Rate",
      TRIM(SUBSTITUTE($N$2:$N$38,CHAR(160)," ")) &amp; "|" &amp;
      LEFT(SUBSTITUTE($O$2:$O$38,CHAR(160)," "),5) &amp; "|" &amp;
      TRIM(SUBSTITUTE($P$2:$P$38,CHAR(160)," ")),
      $Q$2:$Q$38
    )
  ),
"")</f>
        <v/>
      </c>
    </row>
    <row r="41" spans="10:17" x14ac:dyDescent="0.2">
      <c r="J41" s="32" t="str" cm="1">
        <f t="array" ref="J41">IFERROR(
  VALUE($H41) *
  VALUE(
    _xlfn.XLOOKUP(
      TRIM($F41) &amp; "|" &amp; LEFT(SUBSTITUTE($G41,CHAR(160)," "),5) &amp; "|Reduced Rate",
      TRIM(SUBSTITUTE($N$2:$N$38,CHAR(160)," ")) &amp; "|" &amp;
      LEFT(SUBSTITUTE($O$2:$O$38,CHAR(160)," "),5) &amp; "|" &amp;
      TRIM(SUBSTITUTE($P$2:$P$38,CHAR(160)," ")),
      $Q$2:$Q$38
    )
  ),
"")</f>
        <v/>
      </c>
      <c r="K41" s="32" t="str" cm="1">
        <f t="array" ref="K41">IFERROR(
  VALUE($H41) *
  VALUE(
    _xlfn.XLOOKUP(
      TRIM($F41) &amp; "|" &amp; LEFT(SUBSTITUTE($G41,CHAR(160)," "),5) &amp; "|Ideas Rate",
      TRIM(SUBSTITUTE($N$2:$N$38,CHAR(160)," ")) &amp; "|" &amp;
      LEFT(SUBSTITUTE($O$2:$O$38,CHAR(160)," "),5) &amp; "|" &amp;
      TRIM(SUBSTITUTE($P$2:$P$38,CHAR(160)," ")),
      $Q$2:$Q$38
    )
  ),
"")</f>
        <v/>
      </c>
    </row>
    <row r="42" spans="10:17" x14ac:dyDescent="0.2">
      <c r="J42" s="32" t="str" cm="1">
        <f t="array" ref="J42">IFERROR(
  VALUE($H42) *
  VALUE(
    _xlfn.XLOOKUP(
      TRIM($F42) &amp; "|" &amp; LEFT(SUBSTITUTE($G42,CHAR(160)," "),5) &amp; "|Reduced Rate",
      TRIM(SUBSTITUTE($N$2:$N$38,CHAR(160)," ")) &amp; "|" &amp;
      LEFT(SUBSTITUTE($O$2:$O$38,CHAR(160)," "),5) &amp; "|" &amp;
      TRIM(SUBSTITUTE($P$2:$P$38,CHAR(160)," ")),
      $Q$2:$Q$38
    )
  ),
"")</f>
        <v/>
      </c>
      <c r="K42" s="32" t="str" cm="1">
        <f t="array" ref="K42">IFERROR(
  VALUE($H42) *
  VALUE(
    _xlfn.XLOOKUP(
      TRIM($F42) &amp; "|" &amp; LEFT(SUBSTITUTE($G42,CHAR(160)," "),5) &amp; "|Ideas Rate",
      TRIM(SUBSTITUTE($N$2:$N$38,CHAR(160)," ")) &amp; "|" &amp;
      LEFT(SUBSTITUTE($O$2:$O$38,CHAR(160)," "),5) &amp; "|" &amp;
      TRIM(SUBSTITUTE($P$2:$P$38,CHAR(160)," ")),
      $Q$2:$Q$38
    )
  ),
"")</f>
        <v/>
      </c>
    </row>
    <row r="43" spans="10:17" x14ac:dyDescent="0.2">
      <c r="J43" s="32" t="str" cm="1">
        <f t="array" ref="J43">IFERROR(
  VALUE($H43) *
  VALUE(
    _xlfn.XLOOKUP(
      TRIM($F43) &amp; "|" &amp; LEFT(SUBSTITUTE($G43,CHAR(160)," "),5) &amp; "|Reduced Rate",
      TRIM(SUBSTITUTE($N$2:$N$38,CHAR(160)," ")) &amp; "|" &amp;
      LEFT(SUBSTITUTE($O$2:$O$38,CHAR(160)," "),5) &amp; "|" &amp;
      TRIM(SUBSTITUTE($P$2:$P$38,CHAR(160)," ")),
      $Q$2:$Q$38
    )
  ),
"")</f>
        <v/>
      </c>
      <c r="K43" s="32" t="str" cm="1">
        <f t="array" ref="K43">IFERROR(
  VALUE($H43) *
  VALUE(
    _xlfn.XLOOKUP(
      TRIM($F43) &amp; "|" &amp; LEFT(SUBSTITUTE($G43,CHAR(160)," "),5) &amp; "|Ideas Rate",
      TRIM(SUBSTITUTE($N$2:$N$38,CHAR(160)," ")) &amp; "|" &amp;
      LEFT(SUBSTITUTE($O$2:$O$38,CHAR(160)," "),5) &amp; "|" &amp;
      TRIM(SUBSTITUTE($P$2:$P$38,CHAR(160)," ")),
      $Q$2:$Q$38
    )
  ),
"")</f>
        <v/>
      </c>
    </row>
    <row r="44" spans="10:17" x14ac:dyDescent="0.2">
      <c r="J44" s="32" t="str" cm="1">
        <f t="array" ref="J44">IFERROR(
  VALUE($H44) *
  VALUE(
    _xlfn.XLOOKUP(
      TRIM($F44) &amp; "|" &amp; LEFT(SUBSTITUTE($G44,CHAR(160)," "),5) &amp; "|Reduced Rate",
      TRIM(SUBSTITUTE($N$2:$N$38,CHAR(160)," ")) &amp; "|" &amp;
      LEFT(SUBSTITUTE($O$2:$O$38,CHAR(160)," "),5) &amp; "|" &amp;
      TRIM(SUBSTITUTE($P$2:$P$38,CHAR(160)," ")),
      $Q$2:$Q$38
    )
  ),
"")</f>
        <v/>
      </c>
      <c r="K44" s="32" t="str" cm="1">
        <f t="array" ref="K44">IFERROR(
  VALUE($H44) *
  VALUE(
    _xlfn.XLOOKUP(
      TRIM($F44) &amp; "|" &amp; LEFT(SUBSTITUTE($G44,CHAR(160)," "),5) &amp; "|Ideas Rate",
      TRIM(SUBSTITUTE($N$2:$N$38,CHAR(160)," ")) &amp; "|" &amp;
      LEFT(SUBSTITUTE($O$2:$O$38,CHAR(160)," "),5) &amp; "|" &amp;
      TRIM(SUBSTITUTE($P$2:$P$38,CHAR(160)," ")),
      $Q$2:$Q$38
    )
  ),
"")</f>
        <v/>
      </c>
    </row>
    <row r="45" spans="10:17" x14ac:dyDescent="0.2">
      <c r="J45" s="32" t="str" cm="1">
        <f t="array" ref="J45">IFERROR(
  VALUE($H45) *
  VALUE(
    _xlfn.XLOOKUP(
      TRIM($F45) &amp; "|" &amp; LEFT(SUBSTITUTE($G45,CHAR(160)," "),5) &amp; "|Reduced Rate",
      TRIM(SUBSTITUTE($N$2:$N$38,CHAR(160)," ")) &amp; "|" &amp;
      LEFT(SUBSTITUTE($O$2:$O$38,CHAR(160)," "),5) &amp; "|" &amp;
      TRIM(SUBSTITUTE($P$2:$P$38,CHAR(160)," ")),
      $Q$2:$Q$38
    )
  ),
"")</f>
        <v/>
      </c>
      <c r="K45" s="32" t="str" cm="1">
        <f t="array" ref="K45">IFERROR(
  VALUE($H45) *
  VALUE(
    _xlfn.XLOOKUP(
      TRIM($F45) &amp; "|" &amp; LEFT(SUBSTITUTE($G45,CHAR(160)," "),5) &amp; "|Ideas Rate",
      TRIM(SUBSTITUTE($N$2:$N$38,CHAR(160)," ")) &amp; "|" &amp;
      LEFT(SUBSTITUTE($O$2:$O$38,CHAR(160)," "),5) &amp; "|" &amp;
      TRIM(SUBSTITUTE($P$2:$P$38,CHAR(160)," ")),
      $Q$2:$Q$38
    )
  ),
"")</f>
        <v/>
      </c>
    </row>
    <row r="46" spans="10:17" x14ac:dyDescent="0.2">
      <c r="J46" s="32" t="str" cm="1">
        <f t="array" ref="J46">IFERROR(
  VALUE($H46) *
  VALUE(
    _xlfn.XLOOKUP(
      TRIM($F46) &amp; "|" &amp; LEFT(SUBSTITUTE($G46,CHAR(160)," "),5) &amp; "|Reduced Rate",
      TRIM(SUBSTITUTE($N$2:$N$38,CHAR(160)," ")) &amp; "|" &amp;
      LEFT(SUBSTITUTE($O$2:$O$38,CHAR(160)," "),5) &amp; "|" &amp;
      TRIM(SUBSTITUTE($P$2:$P$38,CHAR(160)," ")),
      $Q$2:$Q$38
    )
  ),
"")</f>
        <v/>
      </c>
      <c r="K46" s="32" t="str" cm="1">
        <f t="array" ref="K46">IFERROR(
  VALUE($H46) *
  VALUE(
    _xlfn.XLOOKUP(
      TRIM($F46) &amp; "|" &amp; LEFT(SUBSTITUTE($G46,CHAR(160)," "),5) &amp; "|Ideas Rate",
      TRIM(SUBSTITUTE($N$2:$N$38,CHAR(160)," ")) &amp; "|" &amp;
      LEFT(SUBSTITUTE($O$2:$O$38,CHAR(160)," "),5) &amp; "|" &amp;
      TRIM(SUBSTITUTE($P$2:$P$38,CHAR(160)," ")),
      $Q$2:$Q$38
    )
  ),
"")</f>
        <v/>
      </c>
    </row>
    <row r="47" spans="10:17" x14ac:dyDescent="0.2">
      <c r="J47" s="32" t="str" cm="1">
        <f t="array" ref="J47">IFERROR(
  VALUE($H47) *
  VALUE(
    _xlfn.XLOOKUP(
      TRIM($F47) &amp; "|" &amp; LEFT(SUBSTITUTE($G47,CHAR(160)," "),5) &amp; "|Reduced Rate",
      TRIM(SUBSTITUTE($N$2:$N$38,CHAR(160)," ")) &amp; "|" &amp;
      LEFT(SUBSTITUTE($O$2:$O$38,CHAR(160)," "),5) &amp; "|" &amp;
      TRIM(SUBSTITUTE($P$2:$P$38,CHAR(160)," ")),
      $Q$2:$Q$38
    )
  ),
"")</f>
        <v/>
      </c>
      <c r="K47" s="32" t="str" cm="1">
        <f t="array" ref="K47">IFERROR(
  VALUE($H47) *
  VALUE(
    _xlfn.XLOOKUP(
      TRIM($F47) &amp; "|" &amp; LEFT(SUBSTITUTE($G47,CHAR(160)," "),5) &amp; "|Ideas Rate",
      TRIM(SUBSTITUTE($N$2:$N$38,CHAR(160)," ")) &amp; "|" &amp;
      LEFT(SUBSTITUTE($O$2:$O$38,CHAR(160)," "),5) &amp; "|" &amp;
      TRIM(SUBSTITUTE($P$2:$P$38,CHAR(160)," ")),
      $Q$2:$Q$38
    )
  ),
"")</f>
        <v/>
      </c>
    </row>
    <row r="48" spans="10:17" x14ac:dyDescent="0.2">
      <c r="J48" s="32" t="str" cm="1">
        <f t="array" ref="J48">IFERROR(
  VALUE($H48) *
  VALUE(
    _xlfn.XLOOKUP(
      TRIM($F48) &amp; "|" &amp; LEFT(SUBSTITUTE($G48,CHAR(160)," "),5) &amp; "|Reduced Rate",
      TRIM(SUBSTITUTE($N$2:$N$38,CHAR(160)," ")) &amp; "|" &amp;
      LEFT(SUBSTITUTE($O$2:$O$38,CHAR(160)," "),5) &amp; "|" &amp;
      TRIM(SUBSTITUTE($P$2:$P$38,CHAR(160)," ")),
      $Q$2:$Q$38
    )
  ),
"")</f>
        <v/>
      </c>
      <c r="K48" s="32" t="str" cm="1">
        <f t="array" ref="K48">IFERROR(
  VALUE($H48) *
  VALUE(
    _xlfn.XLOOKUP(
      TRIM($F48) &amp; "|" &amp; LEFT(SUBSTITUTE($G48,CHAR(160)," "),5) &amp; "|Ideas Rate",
      TRIM(SUBSTITUTE($N$2:$N$38,CHAR(160)," ")) &amp; "|" &amp;
      LEFT(SUBSTITUTE($O$2:$O$38,CHAR(160)," "),5) &amp; "|" &amp;
      TRIM(SUBSTITUTE($P$2:$P$38,CHAR(160)," ")),
      $Q$2:$Q$38
    )
  ),
"")</f>
        <v/>
      </c>
    </row>
    <row r="49" spans="10:11" x14ac:dyDescent="0.2">
      <c r="J49" s="32" t="str" cm="1">
        <f t="array" ref="J49">IFERROR(
  VALUE($H49) *
  VALUE(
    _xlfn.XLOOKUP(
      TRIM($F49) &amp; "|" &amp; LEFT(SUBSTITUTE($G49,CHAR(160)," "),5) &amp; "|Reduced Rate",
      TRIM(SUBSTITUTE($N$2:$N$38,CHAR(160)," ")) &amp; "|" &amp;
      LEFT(SUBSTITUTE($O$2:$O$38,CHAR(160)," "),5) &amp; "|" &amp;
      TRIM(SUBSTITUTE($P$2:$P$38,CHAR(160)," ")),
      $Q$2:$Q$38
    )
  ),
"")</f>
        <v/>
      </c>
      <c r="K49" s="32" t="str" cm="1">
        <f t="array" ref="K49">IFERROR(
  VALUE($H49) *
  VALUE(
    _xlfn.XLOOKUP(
      TRIM($F49) &amp; "|" &amp; LEFT(SUBSTITUTE($G49,CHAR(160)," "),5) &amp; "|Ideas Rate",
      TRIM(SUBSTITUTE($N$2:$N$38,CHAR(160)," ")) &amp; "|" &amp;
      LEFT(SUBSTITUTE($O$2:$O$38,CHAR(160)," "),5) &amp; "|" &amp;
      TRIM(SUBSTITUTE($P$2:$P$38,CHAR(160)," ")),
      $Q$2:$Q$38
    )
  ),
"")</f>
        <v/>
      </c>
    </row>
    <row r="50" spans="10:11" x14ac:dyDescent="0.2">
      <c r="J50" s="32" t="str" cm="1">
        <f t="array" ref="J50">IFERROR(
  VALUE($H50) *
  VALUE(
    _xlfn.XLOOKUP(
      TRIM($F50) &amp; "|" &amp; LEFT(SUBSTITUTE($G50,CHAR(160)," "),5) &amp; "|Reduced Rate",
      TRIM(SUBSTITUTE($N$2:$N$38,CHAR(160)," ")) &amp; "|" &amp;
      LEFT(SUBSTITUTE($O$2:$O$38,CHAR(160)," "),5) &amp; "|" &amp;
      TRIM(SUBSTITUTE($P$2:$P$38,CHAR(160)," ")),
      $Q$2:$Q$38
    )
  ),
"")</f>
        <v/>
      </c>
      <c r="K50" s="32" t="str" cm="1">
        <f t="array" ref="K50">IFERROR(
  VALUE($H50) *
  VALUE(
    _xlfn.XLOOKUP(
      TRIM($F50) &amp; "|" &amp; LEFT(SUBSTITUTE($G50,CHAR(160)," "),5) &amp; "|Ideas Rate",
      TRIM(SUBSTITUTE($N$2:$N$38,CHAR(160)," ")) &amp; "|" &amp;
      LEFT(SUBSTITUTE($O$2:$O$38,CHAR(160)," "),5) &amp; "|" &amp;
      TRIM(SUBSTITUTE($P$2:$P$38,CHAR(160)," ")),
      $Q$2:$Q$38
    )
  ),
"")</f>
        <v/>
      </c>
    </row>
    <row r="51" spans="10:11" x14ac:dyDescent="0.2">
      <c r="J51" s="32" t="str" cm="1">
        <f t="array" ref="J51">IFERROR(
  VALUE($H51) *
  VALUE(
    _xlfn.XLOOKUP(
      TRIM($F51) &amp; "|" &amp; LEFT(SUBSTITUTE($G51,CHAR(160)," "),5) &amp; "|Reduced Rate",
      TRIM(SUBSTITUTE($N$2:$N$38,CHAR(160)," ")) &amp; "|" &amp;
      LEFT(SUBSTITUTE($O$2:$O$38,CHAR(160)," "),5) &amp; "|" &amp;
      TRIM(SUBSTITUTE($P$2:$P$38,CHAR(160)," ")),
      $Q$2:$Q$38
    )
  ),
"")</f>
        <v/>
      </c>
      <c r="K51" s="32" t="str" cm="1">
        <f t="array" ref="K51">IFERROR(
  VALUE($H51) *
  VALUE(
    _xlfn.XLOOKUP(
      TRIM($F51) &amp; "|" &amp; LEFT(SUBSTITUTE($G51,CHAR(160)," "),5) &amp; "|Ideas Rate",
      TRIM(SUBSTITUTE($N$2:$N$38,CHAR(160)," ")) &amp; "|" &amp;
      LEFT(SUBSTITUTE($O$2:$O$38,CHAR(160)," "),5) &amp; "|" &amp;
      TRIM(SUBSTITUTE($P$2:$P$38,CHAR(160)," ")),
      $Q$2:$Q$38
    )
  ),
"")</f>
        <v/>
      </c>
    </row>
    <row r="52" spans="10:11" x14ac:dyDescent="0.2">
      <c r="J52" s="32" t="str" cm="1">
        <f t="array" ref="J52">IFERROR(
  VALUE($H52) *
  VALUE(
    _xlfn.XLOOKUP(
      TRIM($F52) &amp; "|" &amp; LEFT(SUBSTITUTE($G52,CHAR(160)," "),5) &amp; "|Reduced Rate",
      TRIM(SUBSTITUTE($N$2:$N$38,CHAR(160)," ")) &amp; "|" &amp;
      LEFT(SUBSTITUTE($O$2:$O$38,CHAR(160)," "),5) &amp; "|" &amp;
      TRIM(SUBSTITUTE($P$2:$P$38,CHAR(160)," ")),
      $Q$2:$Q$38
    )
  ),
"")</f>
        <v/>
      </c>
      <c r="K52" s="32" t="str" cm="1">
        <f t="array" ref="K52">IFERROR(
  VALUE($H52) *
  VALUE(
    _xlfn.XLOOKUP(
      TRIM($F52) &amp; "|" &amp; LEFT(SUBSTITUTE($G52,CHAR(160)," "),5) &amp; "|Ideas Rate",
      TRIM(SUBSTITUTE($N$2:$N$38,CHAR(160)," ")) &amp; "|" &amp;
      LEFT(SUBSTITUTE($O$2:$O$38,CHAR(160)," "),5) &amp; "|" &amp;
      TRIM(SUBSTITUTE($P$2:$P$38,CHAR(160)," ")),
      $Q$2:$Q$38
    )
  ),
"")</f>
        <v/>
      </c>
    </row>
    <row r="53" spans="10:11" x14ac:dyDescent="0.2">
      <c r="J53" s="32" t="str" cm="1">
        <f t="array" ref="J53">IFERROR(
  VALUE($H53) *
  VALUE(
    _xlfn.XLOOKUP(
      TRIM($F53) &amp; "|" &amp; LEFT(SUBSTITUTE($G53,CHAR(160)," "),5) &amp; "|Reduced Rate",
      TRIM(SUBSTITUTE($N$2:$N$38,CHAR(160)," ")) &amp; "|" &amp;
      LEFT(SUBSTITUTE($O$2:$O$38,CHAR(160)," "),5) &amp; "|" &amp;
      TRIM(SUBSTITUTE($P$2:$P$38,CHAR(160)," ")),
      $Q$2:$Q$38
    )
  ),
"")</f>
        <v/>
      </c>
      <c r="K53" s="32" t="str" cm="1">
        <f t="array" ref="K53">IFERROR(
  VALUE($H53) *
  VALUE(
    _xlfn.XLOOKUP(
      TRIM($F53) &amp; "|" &amp; LEFT(SUBSTITUTE($G53,CHAR(160)," "),5) &amp; "|Ideas Rate",
      TRIM(SUBSTITUTE($N$2:$N$38,CHAR(160)," ")) &amp; "|" &amp;
      LEFT(SUBSTITUTE($O$2:$O$38,CHAR(160)," "),5) &amp; "|" &amp;
      TRIM(SUBSTITUTE($P$2:$P$38,CHAR(160)," ")),
      $Q$2:$Q$38
    )
  ),
"")</f>
        <v/>
      </c>
    </row>
    <row r="54" spans="10:11" x14ac:dyDescent="0.2">
      <c r="J54" s="32" t="str" cm="1">
        <f t="array" ref="J54">IFERROR(
  VALUE($H54) *
  VALUE(
    _xlfn.XLOOKUP(
      TRIM($F54) &amp; "|" &amp; LEFT(SUBSTITUTE($G54,CHAR(160)," "),5) &amp; "|Reduced Rate",
      TRIM(SUBSTITUTE($N$2:$N$38,CHAR(160)," ")) &amp; "|" &amp;
      LEFT(SUBSTITUTE($O$2:$O$38,CHAR(160)," "),5) &amp; "|" &amp;
      TRIM(SUBSTITUTE($P$2:$P$38,CHAR(160)," ")),
      $Q$2:$Q$38
    )
  ),
"")</f>
        <v/>
      </c>
      <c r="K54" s="32" t="str" cm="1">
        <f t="array" ref="K54">IFERROR(
  VALUE($H54) *
  VALUE(
    _xlfn.XLOOKUP(
      TRIM($F54) &amp; "|" &amp; LEFT(SUBSTITUTE($G54,CHAR(160)," "),5) &amp; "|Ideas Rate",
      TRIM(SUBSTITUTE($N$2:$N$38,CHAR(160)," ")) &amp; "|" &amp;
      LEFT(SUBSTITUTE($O$2:$O$38,CHAR(160)," "),5) &amp; "|" &amp;
      TRIM(SUBSTITUTE($P$2:$P$38,CHAR(160)," ")),
      $Q$2:$Q$38
    )
  ),
"")</f>
        <v/>
      </c>
    </row>
    <row r="55" spans="10:11" x14ac:dyDescent="0.2">
      <c r="J55" s="32" t="str" cm="1">
        <f t="array" ref="J55">IFERROR(
  VALUE($H55) *
  VALUE(
    _xlfn.XLOOKUP(
      TRIM($F55) &amp; "|" &amp; LEFT(SUBSTITUTE($G55,CHAR(160)," "),5) &amp; "|Reduced Rate",
      TRIM(SUBSTITUTE($N$2:$N$38,CHAR(160)," ")) &amp; "|" &amp;
      LEFT(SUBSTITUTE($O$2:$O$38,CHAR(160)," "),5) &amp; "|" &amp;
      TRIM(SUBSTITUTE($P$2:$P$38,CHAR(160)," ")),
      $Q$2:$Q$38
    )
  ),
"")</f>
        <v/>
      </c>
      <c r="K55" s="32" t="str" cm="1">
        <f t="array" ref="K55">IFERROR(
  VALUE($H55) *
  VALUE(
    _xlfn.XLOOKUP(
      TRIM($F55) &amp; "|" &amp; LEFT(SUBSTITUTE($G55,CHAR(160)," "),5) &amp; "|Ideas Rate",
      TRIM(SUBSTITUTE($N$2:$N$38,CHAR(160)," ")) &amp; "|" &amp;
      LEFT(SUBSTITUTE($O$2:$O$38,CHAR(160)," "),5) &amp; "|" &amp;
      TRIM(SUBSTITUTE($P$2:$P$38,CHAR(160)," ")),
      $Q$2:$Q$38
    )
  ),
"")</f>
        <v/>
      </c>
    </row>
    <row r="56" spans="10:11" x14ac:dyDescent="0.2">
      <c r="J56" s="32" t="str" cm="1">
        <f t="array" ref="J56">IFERROR(
  VALUE($H56) *
  VALUE(
    _xlfn.XLOOKUP(
      TRIM($F56) &amp; "|" &amp; LEFT(SUBSTITUTE($G56,CHAR(160)," "),5) &amp; "|Reduced Rate",
      TRIM(SUBSTITUTE($N$2:$N$38,CHAR(160)," ")) &amp; "|" &amp;
      LEFT(SUBSTITUTE($O$2:$O$38,CHAR(160)," "),5) &amp; "|" &amp;
      TRIM(SUBSTITUTE($P$2:$P$38,CHAR(160)," ")),
      $Q$2:$Q$38
    )
  ),
"")</f>
        <v/>
      </c>
      <c r="K56" s="32" t="str" cm="1">
        <f t="array" ref="K56">IFERROR(
  VALUE($H56) *
  VALUE(
    _xlfn.XLOOKUP(
      TRIM($F56) &amp; "|" &amp; LEFT(SUBSTITUTE($G56,CHAR(160)," "),5) &amp; "|Ideas Rate",
      TRIM(SUBSTITUTE($N$2:$N$38,CHAR(160)," ")) &amp; "|" &amp;
      LEFT(SUBSTITUTE($O$2:$O$38,CHAR(160)," "),5) &amp; "|" &amp;
      TRIM(SUBSTITUTE($P$2:$P$38,CHAR(160)," ")),
      $Q$2:$Q$38
    )
  ),
"")</f>
        <v/>
      </c>
    </row>
    <row r="57" spans="10:11" x14ac:dyDescent="0.2">
      <c r="J57" s="32" t="str" cm="1">
        <f t="array" ref="J57">IFERROR(
  VALUE($H57) *
  VALUE(
    _xlfn.XLOOKUP(
      TRIM($F57) &amp; "|" &amp; LEFT(SUBSTITUTE($G57,CHAR(160)," "),5) &amp; "|Reduced Rate",
      TRIM(SUBSTITUTE($N$2:$N$38,CHAR(160)," ")) &amp; "|" &amp;
      LEFT(SUBSTITUTE($O$2:$O$38,CHAR(160)," "),5) &amp; "|" &amp;
      TRIM(SUBSTITUTE($P$2:$P$38,CHAR(160)," ")),
      $Q$2:$Q$38
    )
  ),
"")</f>
        <v/>
      </c>
      <c r="K57" s="32" t="str" cm="1">
        <f t="array" ref="K57">IFERROR(
  VALUE($H57) *
  VALUE(
    _xlfn.XLOOKUP(
      TRIM($F57) &amp; "|" &amp; LEFT(SUBSTITUTE($G57,CHAR(160)," "),5) &amp; "|Ideas Rate",
      TRIM(SUBSTITUTE($N$2:$N$38,CHAR(160)," ")) &amp; "|" &amp;
      LEFT(SUBSTITUTE($O$2:$O$38,CHAR(160)," "),5) &amp; "|" &amp;
      TRIM(SUBSTITUTE($P$2:$P$38,CHAR(160)," ")),
      $Q$2:$Q$38
    )
  ),
"")</f>
        <v/>
      </c>
    </row>
    <row r="58" spans="10:11" x14ac:dyDescent="0.2">
      <c r="J58" s="32" t="str" cm="1">
        <f t="array" ref="J58">IFERROR(
  VALUE($H58) *
  VALUE(
    _xlfn.XLOOKUP(
      TRIM($F58) &amp; "|" &amp; LEFT(SUBSTITUTE($G58,CHAR(160)," "),5) &amp; "|Reduced Rate",
      TRIM(SUBSTITUTE($N$2:$N$38,CHAR(160)," ")) &amp; "|" &amp;
      LEFT(SUBSTITUTE($O$2:$O$38,CHAR(160)," "),5) &amp; "|" &amp;
      TRIM(SUBSTITUTE($P$2:$P$38,CHAR(160)," ")),
      $Q$2:$Q$38
    )
  ),
"")</f>
        <v/>
      </c>
      <c r="K58" s="32" t="str" cm="1">
        <f t="array" ref="K58">IFERROR(
  VALUE($H58) *
  VALUE(
    _xlfn.XLOOKUP(
      TRIM($F58) &amp; "|" &amp; LEFT(SUBSTITUTE($G58,CHAR(160)," "),5) &amp; "|Ideas Rate",
      TRIM(SUBSTITUTE($N$2:$N$38,CHAR(160)," ")) &amp; "|" &amp;
      LEFT(SUBSTITUTE($O$2:$O$38,CHAR(160)," "),5) &amp; "|" &amp;
      TRIM(SUBSTITUTE($P$2:$P$38,CHAR(160)," ")),
      $Q$2:$Q$38
    )
  ),
"")</f>
        <v/>
      </c>
    </row>
    <row r="59" spans="10:11" x14ac:dyDescent="0.2">
      <c r="J59" s="32" t="str" cm="1">
        <f t="array" ref="J59">IFERROR(
  VALUE($H59) *
  VALUE(
    _xlfn.XLOOKUP(
      TRIM($F59) &amp; "|" &amp; LEFT(SUBSTITUTE($G59,CHAR(160)," "),5) &amp; "|Reduced Rate",
      TRIM(SUBSTITUTE($N$2:$N$38,CHAR(160)," ")) &amp; "|" &amp;
      LEFT(SUBSTITUTE($O$2:$O$38,CHAR(160)," "),5) &amp; "|" &amp;
      TRIM(SUBSTITUTE($P$2:$P$38,CHAR(160)," ")),
      $Q$2:$Q$38
    )
  ),
"")</f>
        <v/>
      </c>
      <c r="K59" s="32" t="str" cm="1">
        <f t="array" ref="K59">IFERROR(
  VALUE($H59) *
  VALUE(
    _xlfn.XLOOKUP(
      TRIM($F59) &amp; "|" &amp; LEFT(SUBSTITUTE($G59,CHAR(160)," "),5) &amp; "|Ideas Rate",
      TRIM(SUBSTITUTE($N$2:$N$38,CHAR(160)," ")) &amp; "|" &amp;
      LEFT(SUBSTITUTE($O$2:$O$38,CHAR(160)," "),5) &amp; "|" &amp;
      TRIM(SUBSTITUTE($P$2:$P$38,CHAR(160)," ")),
      $Q$2:$Q$38
    )
  ),
"")</f>
        <v/>
      </c>
    </row>
    <row r="60" spans="10:11" x14ac:dyDescent="0.2">
      <c r="J60" s="32" t="str" cm="1">
        <f t="array" ref="J60">IFERROR(
  VALUE($H60) *
  VALUE(
    _xlfn.XLOOKUP(
      TRIM($F60) &amp; "|" &amp; LEFT(SUBSTITUTE($G60,CHAR(160)," "),5) &amp; "|Reduced Rate",
      TRIM(SUBSTITUTE($N$2:$N$38,CHAR(160)," ")) &amp; "|" &amp;
      LEFT(SUBSTITUTE($O$2:$O$38,CHAR(160)," "),5) &amp; "|" &amp;
      TRIM(SUBSTITUTE($P$2:$P$38,CHAR(160)," ")),
      $Q$2:$Q$38
    )
  ),
"")</f>
        <v/>
      </c>
      <c r="K60" s="32" t="str" cm="1">
        <f t="array" ref="K60">IFERROR(
  VALUE($H60) *
  VALUE(
    _xlfn.XLOOKUP(
      TRIM($F60) &amp; "|" &amp; LEFT(SUBSTITUTE($G60,CHAR(160)," "),5) &amp; "|Ideas Rate",
      TRIM(SUBSTITUTE($N$2:$N$38,CHAR(160)," ")) &amp; "|" &amp;
      LEFT(SUBSTITUTE($O$2:$O$38,CHAR(160)," "),5) &amp; "|" &amp;
      TRIM(SUBSTITUTE($P$2:$P$38,CHAR(160)," ")),
      $Q$2:$Q$38
    )
  ),
"")</f>
        <v/>
      </c>
    </row>
    <row r="61" spans="10:11" x14ac:dyDescent="0.2">
      <c r="J61" s="32" t="str" cm="1">
        <f t="array" ref="J61">IFERROR(
  VALUE($H61) *
  VALUE(
    _xlfn.XLOOKUP(
      TRIM($F61) &amp; "|" &amp; LEFT(SUBSTITUTE($G61,CHAR(160)," "),5) &amp; "|Reduced Rate",
      TRIM(SUBSTITUTE($N$2:$N$38,CHAR(160)," ")) &amp; "|" &amp;
      LEFT(SUBSTITUTE($O$2:$O$38,CHAR(160)," "),5) &amp; "|" &amp;
      TRIM(SUBSTITUTE($P$2:$P$38,CHAR(160)," ")),
      $Q$2:$Q$38
    )
  ),
"")</f>
        <v/>
      </c>
      <c r="K61" s="32" t="str" cm="1">
        <f t="array" ref="K61">IFERROR(
  VALUE($H61) *
  VALUE(
    _xlfn.XLOOKUP(
      TRIM($F61) &amp; "|" &amp; LEFT(SUBSTITUTE($G61,CHAR(160)," "),5) &amp; "|Ideas Rate",
      TRIM(SUBSTITUTE($N$2:$N$38,CHAR(160)," ")) &amp; "|" &amp;
      LEFT(SUBSTITUTE($O$2:$O$38,CHAR(160)," "),5) &amp; "|" &amp;
      TRIM(SUBSTITUTE($P$2:$P$38,CHAR(160)," ")),
      $Q$2:$Q$38
    )
  ),
"")</f>
        <v/>
      </c>
    </row>
    <row r="62" spans="10:11" x14ac:dyDescent="0.2">
      <c r="J62" s="32" t="str" cm="1">
        <f t="array" ref="J62">IFERROR(
  VALUE($H62) *
  VALUE(
    _xlfn.XLOOKUP(
      TRIM($F62) &amp; "|" &amp; LEFT(SUBSTITUTE($G62,CHAR(160)," "),5) &amp; "|Reduced Rate",
      TRIM(SUBSTITUTE($N$2:$N$38,CHAR(160)," ")) &amp; "|" &amp;
      LEFT(SUBSTITUTE($O$2:$O$38,CHAR(160)," "),5) &amp; "|" &amp;
      TRIM(SUBSTITUTE($P$2:$P$38,CHAR(160)," ")),
      $Q$2:$Q$38
    )
  ),
"")</f>
        <v/>
      </c>
      <c r="K62" s="32" t="str" cm="1">
        <f t="array" ref="K62">IFERROR(
  VALUE($H62) *
  VALUE(
    _xlfn.XLOOKUP(
      TRIM($F62) &amp; "|" &amp; LEFT(SUBSTITUTE($G62,CHAR(160)," "),5) &amp; "|Ideas Rate",
      TRIM(SUBSTITUTE($N$2:$N$38,CHAR(160)," ")) &amp; "|" &amp;
      LEFT(SUBSTITUTE($O$2:$O$38,CHAR(160)," "),5) &amp; "|" &amp;
      TRIM(SUBSTITUTE($P$2:$P$38,CHAR(160)," ")),
      $Q$2:$Q$38
    )
  ),
"")</f>
        <v/>
      </c>
    </row>
    <row r="63" spans="10:11" x14ac:dyDescent="0.2">
      <c r="J63" s="32" t="str" cm="1">
        <f t="array" ref="J63">IFERROR(
  VALUE($H63) *
  VALUE(
    _xlfn.XLOOKUP(
      TRIM($F63) &amp; "|" &amp; LEFT(SUBSTITUTE($G63,CHAR(160)," "),5) &amp; "|Reduced Rate",
      TRIM(SUBSTITUTE($N$2:$N$38,CHAR(160)," ")) &amp; "|" &amp;
      LEFT(SUBSTITUTE($O$2:$O$38,CHAR(160)," "),5) &amp; "|" &amp;
      TRIM(SUBSTITUTE($P$2:$P$38,CHAR(160)," ")),
      $Q$2:$Q$38
    )
  ),
"")</f>
        <v/>
      </c>
      <c r="K63" s="32" t="str" cm="1">
        <f t="array" ref="K63">IFERROR(
  VALUE($H63) *
  VALUE(
    _xlfn.XLOOKUP(
      TRIM($F63) &amp; "|" &amp; LEFT(SUBSTITUTE($G63,CHAR(160)," "),5) &amp; "|Ideas Rate",
      TRIM(SUBSTITUTE($N$2:$N$38,CHAR(160)," ")) &amp; "|" &amp;
      LEFT(SUBSTITUTE($O$2:$O$38,CHAR(160)," "),5) &amp; "|" &amp;
      TRIM(SUBSTITUTE($P$2:$P$38,CHAR(160)," ")),
      $Q$2:$Q$38
    )
  ),
"")</f>
        <v/>
      </c>
    </row>
    <row r="64" spans="10:11" x14ac:dyDescent="0.2">
      <c r="J64" s="32" t="str" cm="1">
        <f t="array" ref="J64">IFERROR(
  VALUE($H64) *
  VALUE(
    _xlfn.XLOOKUP(
      TRIM($F64) &amp; "|" &amp; LEFT(SUBSTITUTE($G64,CHAR(160)," "),5) &amp; "|Reduced Rate",
      TRIM(SUBSTITUTE($N$2:$N$38,CHAR(160)," ")) &amp; "|" &amp;
      LEFT(SUBSTITUTE($O$2:$O$38,CHAR(160)," "),5) &amp; "|" &amp;
      TRIM(SUBSTITUTE($P$2:$P$38,CHAR(160)," ")),
      $Q$2:$Q$38
    )
  ),
"")</f>
        <v/>
      </c>
      <c r="K64" s="32" t="str" cm="1">
        <f t="array" ref="K64">IFERROR(
  VALUE($H64) *
  VALUE(
    _xlfn.XLOOKUP(
      TRIM($F64) &amp; "|" &amp; LEFT(SUBSTITUTE($G64,CHAR(160)," "),5) &amp; "|Ideas Rate",
      TRIM(SUBSTITUTE($N$2:$N$38,CHAR(160)," ")) &amp; "|" &amp;
      LEFT(SUBSTITUTE($O$2:$O$38,CHAR(160)," "),5) &amp; "|" &amp;
      TRIM(SUBSTITUTE($P$2:$P$38,CHAR(160)," ")),
      $Q$2:$Q$38
    )
  ),
"")</f>
        <v/>
      </c>
    </row>
    <row r="65" spans="10:11" x14ac:dyDescent="0.2">
      <c r="J65" s="32" t="str" cm="1">
        <f t="array" ref="J65">IFERROR(
  VALUE($H65) *
  VALUE(
    _xlfn.XLOOKUP(
      TRIM($F65) &amp; "|" &amp; LEFT(SUBSTITUTE($G65,CHAR(160)," "),5) &amp; "|Reduced Rate",
      TRIM(SUBSTITUTE($N$2:$N$38,CHAR(160)," ")) &amp; "|" &amp;
      LEFT(SUBSTITUTE($O$2:$O$38,CHAR(160)," "),5) &amp; "|" &amp;
      TRIM(SUBSTITUTE($P$2:$P$38,CHAR(160)," ")),
      $Q$2:$Q$38
    )
  ),
"")</f>
        <v/>
      </c>
      <c r="K65" s="32" t="str" cm="1">
        <f t="array" ref="K65">IFERROR(
  VALUE($H65) *
  VALUE(
    _xlfn.XLOOKUP(
      TRIM($F65) &amp; "|" &amp; LEFT(SUBSTITUTE($G65,CHAR(160)," "),5) &amp; "|Ideas Rate",
      TRIM(SUBSTITUTE($N$2:$N$38,CHAR(160)," ")) &amp; "|" &amp;
      LEFT(SUBSTITUTE($O$2:$O$38,CHAR(160)," "),5) &amp; "|" &amp;
      TRIM(SUBSTITUTE($P$2:$P$38,CHAR(160)," ")),
      $Q$2:$Q$38
    )
  ),
"")</f>
        <v/>
      </c>
    </row>
    <row r="66" spans="10:11" x14ac:dyDescent="0.2">
      <c r="J66" s="32" t="str" cm="1">
        <f t="array" ref="J66">IFERROR(
  VALUE($H66) *
  VALUE(
    _xlfn.XLOOKUP(
      TRIM($F66) &amp; "|" &amp; LEFT(SUBSTITUTE($G66,CHAR(160)," "),5) &amp; "|Reduced Rate",
      TRIM(SUBSTITUTE($N$2:$N$38,CHAR(160)," ")) &amp; "|" &amp;
      LEFT(SUBSTITUTE($O$2:$O$38,CHAR(160)," "),5) &amp; "|" &amp;
      TRIM(SUBSTITUTE($P$2:$P$38,CHAR(160)," ")),
      $Q$2:$Q$38
    )
  ),
"")</f>
        <v/>
      </c>
      <c r="K66" s="32" t="str" cm="1">
        <f t="array" ref="K66">IFERROR(
  VALUE($H66) *
  VALUE(
    _xlfn.XLOOKUP(
      TRIM($F66) &amp; "|" &amp; LEFT(SUBSTITUTE($G66,CHAR(160)," "),5) &amp; "|Ideas Rate",
      TRIM(SUBSTITUTE($N$2:$N$38,CHAR(160)," ")) &amp; "|" &amp;
      LEFT(SUBSTITUTE($O$2:$O$38,CHAR(160)," "),5) &amp; "|" &amp;
      TRIM(SUBSTITUTE($P$2:$P$38,CHAR(160)," ")),
      $Q$2:$Q$38
    )
  ),
"")</f>
        <v/>
      </c>
    </row>
    <row r="67" spans="10:11" x14ac:dyDescent="0.2">
      <c r="J67" s="32" t="str" cm="1">
        <f t="array" ref="J67">IFERROR(
  VALUE($H67) *
  VALUE(
    _xlfn.XLOOKUP(
      TRIM($F67) &amp; "|" &amp; LEFT(SUBSTITUTE($G67,CHAR(160)," "),5) &amp; "|Reduced Rate",
      TRIM(SUBSTITUTE($N$2:$N$38,CHAR(160)," ")) &amp; "|" &amp;
      LEFT(SUBSTITUTE($O$2:$O$38,CHAR(160)," "),5) &amp; "|" &amp;
      TRIM(SUBSTITUTE($P$2:$P$38,CHAR(160)," ")),
      $Q$2:$Q$38
    )
  ),
"")</f>
        <v/>
      </c>
      <c r="K67" s="32" t="str" cm="1">
        <f t="array" ref="K67">IFERROR(
  VALUE($H67) *
  VALUE(
    _xlfn.XLOOKUP(
      TRIM($F67) &amp; "|" &amp; LEFT(SUBSTITUTE($G67,CHAR(160)," "),5) &amp; "|Ideas Rate",
      TRIM(SUBSTITUTE($N$2:$N$38,CHAR(160)," ")) &amp; "|" &amp;
      LEFT(SUBSTITUTE($O$2:$O$38,CHAR(160)," "),5) &amp; "|" &amp;
      TRIM(SUBSTITUTE($P$2:$P$38,CHAR(160)," ")),
      $Q$2:$Q$38
    )
  ),
"")</f>
        <v/>
      </c>
    </row>
    <row r="68" spans="10:11" x14ac:dyDescent="0.2">
      <c r="J68" s="32" t="str" cm="1">
        <f t="array" ref="J68">IFERROR(
  VALUE($H68) *
  VALUE(
    _xlfn.XLOOKUP(
      TRIM($F68) &amp; "|" &amp; LEFT(SUBSTITUTE($G68,CHAR(160)," "),5) &amp; "|Reduced Rate",
      TRIM(SUBSTITUTE($N$2:$N$38,CHAR(160)," ")) &amp; "|" &amp;
      LEFT(SUBSTITUTE($O$2:$O$38,CHAR(160)," "),5) &amp; "|" &amp;
      TRIM(SUBSTITUTE($P$2:$P$38,CHAR(160)," ")),
      $Q$2:$Q$38
    )
  ),
"")</f>
        <v/>
      </c>
      <c r="K68" s="32" t="str" cm="1">
        <f t="array" ref="K68">IFERROR(
  VALUE($H68) *
  VALUE(
    _xlfn.XLOOKUP(
      TRIM($F68) &amp; "|" &amp; LEFT(SUBSTITUTE($G68,CHAR(160)," "),5) &amp; "|Ideas Rate",
      TRIM(SUBSTITUTE($N$2:$N$38,CHAR(160)," ")) &amp; "|" &amp;
      LEFT(SUBSTITUTE($O$2:$O$38,CHAR(160)," "),5) &amp; "|" &amp;
      TRIM(SUBSTITUTE($P$2:$P$38,CHAR(160)," ")),
      $Q$2:$Q$38
    )
  ),
"")</f>
        <v/>
      </c>
    </row>
    <row r="69" spans="10:11" x14ac:dyDescent="0.2">
      <c r="J69" s="32" t="str" cm="1">
        <f t="array" ref="J69">IFERROR(
  VALUE($H69) *
  VALUE(
    _xlfn.XLOOKUP(
      TRIM($F69) &amp; "|" &amp; LEFT(SUBSTITUTE($G69,CHAR(160)," "),5) &amp; "|Reduced Rate",
      TRIM(SUBSTITUTE($N$2:$N$38,CHAR(160)," ")) &amp; "|" &amp;
      LEFT(SUBSTITUTE($O$2:$O$38,CHAR(160)," "),5) &amp; "|" &amp;
      TRIM(SUBSTITUTE($P$2:$P$38,CHAR(160)," ")),
      $Q$2:$Q$38
    )
  ),
"")</f>
        <v/>
      </c>
      <c r="K69" s="32" t="str" cm="1">
        <f t="array" ref="K69">IFERROR(
  VALUE($H69) *
  VALUE(
    _xlfn.XLOOKUP(
      TRIM($F69) &amp; "|" &amp; LEFT(SUBSTITUTE($G69,CHAR(160)," "),5) &amp; "|Ideas Rate",
      TRIM(SUBSTITUTE($N$2:$N$38,CHAR(160)," ")) &amp; "|" &amp;
      LEFT(SUBSTITUTE($O$2:$O$38,CHAR(160)," "),5) &amp; "|" &amp;
      TRIM(SUBSTITUTE($P$2:$P$38,CHAR(160)," ")),
      $Q$2:$Q$38
    )
  ),
"")</f>
        <v/>
      </c>
    </row>
    <row r="70" spans="10:11" x14ac:dyDescent="0.2">
      <c r="J70" s="32" t="str" cm="1">
        <f t="array" ref="J70">IFERROR(
  VALUE($H70) *
  VALUE(
    _xlfn.XLOOKUP(
      TRIM($F70) &amp; "|" &amp; LEFT(SUBSTITUTE($G70,CHAR(160)," "),5) &amp; "|Reduced Rate",
      TRIM(SUBSTITUTE($N$2:$N$38,CHAR(160)," ")) &amp; "|" &amp;
      LEFT(SUBSTITUTE($O$2:$O$38,CHAR(160)," "),5) &amp; "|" &amp;
      TRIM(SUBSTITUTE($P$2:$P$38,CHAR(160)," ")),
      $Q$2:$Q$38
    )
  ),
"")</f>
        <v/>
      </c>
      <c r="K70" s="32" t="str" cm="1">
        <f t="array" ref="K70">IFERROR(
  VALUE($H70) *
  VALUE(
    _xlfn.XLOOKUP(
      TRIM($F70) &amp; "|" &amp; LEFT(SUBSTITUTE($G70,CHAR(160)," "),5) &amp; "|Ideas Rate",
      TRIM(SUBSTITUTE($N$2:$N$38,CHAR(160)," ")) &amp; "|" &amp;
      LEFT(SUBSTITUTE($O$2:$O$38,CHAR(160)," "),5) &amp; "|" &amp;
      TRIM(SUBSTITUTE($P$2:$P$38,CHAR(160)," ")),
      $Q$2:$Q$38
    )
  ),
"")</f>
        <v/>
      </c>
    </row>
    <row r="71" spans="10:11" x14ac:dyDescent="0.2">
      <c r="J71" s="32" t="str" cm="1">
        <f t="array" ref="J71">IFERROR(
  VALUE($H71) *
  VALUE(
    _xlfn.XLOOKUP(
      TRIM($F71) &amp; "|" &amp; LEFT(SUBSTITUTE($G71,CHAR(160)," "),5) &amp; "|Reduced Rate",
      TRIM(SUBSTITUTE($N$2:$N$38,CHAR(160)," ")) &amp; "|" &amp;
      LEFT(SUBSTITUTE($O$2:$O$38,CHAR(160)," "),5) &amp; "|" &amp;
      TRIM(SUBSTITUTE($P$2:$P$38,CHAR(160)," ")),
      $Q$2:$Q$38
    )
  ),
"")</f>
        <v/>
      </c>
      <c r="K71" s="32" t="str" cm="1">
        <f t="array" ref="K71">IFERROR(
  VALUE($H71) *
  VALUE(
    _xlfn.XLOOKUP(
      TRIM($F71) &amp; "|" &amp; LEFT(SUBSTITUTE($G71,CHAR(160)," "),5) &amp; "|Ideas Rate",
      TRIM(SUBSTITUTE($N$2:$N$38,CHAR(160)," ")) &amp; "|" &amp;
      LEFT(SUBSTITUTE($O$2:$O$38,CHAR(160)," "),5) &amp; "|" &amp;
      TRIM(SUBSTITUTE($P$2:$P$38,CHAR(160)," ")),
      $Q$2:$Q$38
    )
  ),
"")</f>
        <v/>
      </c>
    </row>
    <row r="72" spans="10:11" x14ac:dyDescent="0.2">
      <c r="J72" s="32" t="str" cm="1">
        <f t="array" ref="J72">IFERROR(
  VALUE($H72) *
  VALUE(
    _xlfn.XLOOKUP(
      TRIM($F72) &amp; "|" &amp; LEFT(SUBSTITUTE($G72,CHAR(160)," "),5) &amp; "|Reduced Rate",
      TRIM(SUBSTITUTE($N$2:$N$38,CHAR(160)," ")) &amp; "|" &amp;
      LEFT(SUBSTITUTE($O$2:$O$38,CHAR(160)," "),5) &amp; "|" &amp;
      TRIM(SUBSTITUTE($P$2:$P$38,CHAR(160)," ")),
      $Q$2:$Q$38
    )
  ),
"")</f>
        <v/>
      </c>
      <c r="K72" s="32" t="str" cm="1">
        <f t="array" ref="K72">IFERROR(
  VALUE($H72) *
  VALUE(
    _xlfn.XLOOKUP(
      TRIM($F72) &amp; "|" &amp; LEFT(SUBSTITUTE($G72,CHAR(160)," "),5) &amp; "|Ideas Rate",
      TRIM(SUBSTITUTE($N$2:$N$38,CHAR(160)," ")) &amp; "|" &amp;
      LEFT(SUBSTITUTE($O$2:$O$38,CHAR(160)," "),5) &amp; "|" &amp;
      TRIM(SUBSTITUTE($P$2:$P$38,CHAR(160)," ")),
      $Q$2:$Q$38
    )
  ),
"")</f>
        <v/>
      </c>
    </row>
    <row r="73" spans="10:11" x14ac:dyDescent="0.2">
      <c r="J73" s="32" t="str" cm="1">
        <f t="array" ref="J73">IFERROR(
  VALUE($H73) *
  VALUE(
    _xlfn.XLOOKUP(
      TRIM($F73) &amp; "|" &amp; LEFT(SUBSTITUTE($G73,CHAR(160)," "),5) &amp; "|Reduced Rate",
      TRIM(SUBSTITUTE($N$2:$N$38,CHAR(160)," ")) &amp; "|" &amp;
      LEFT(SUBSTITUTE($O$2:$O$38,CHAR(160)," "),5) &amp; "|" &amp;
      TRIM(SUBSTITUTE($P$2:$P$38,CHAR(160)," ")),
      $Q$2:$Q$38
    )
  ),
"")</f>
        <v/>
      </c>
      <c r="K73" s="32" t="str" cm="1">
        <f t="array" ref="K73">IFERROR(
  VALUE($H73) *
  VALUE(
    _xlfn.XLOOKUP(
      TRIM($F73) &amp; "|" &amp; LEFT(SUBSTITUTE($G73,CHAR(160)," "),5) &amp; "|Ideas Rate",
      TRIM(SUBSTITUTE($N$2:$N$38,CHAR(160)," ")) &amp; "|" &amp;
      LEFT(SUBSTITUTE($O$2:$O$38,CHAR(160)," "),5) &amp; "|" &amp;
      TRIM(SUBSTITUTE($P$2:$P$38,CHAR(160)," ")),
      $Q$2:$Q$38
    )
  ),
"")</f>
        <v/>
      </c>
    </row>
    <row r="74" spans="10:11" x14ac:dyDescent="0.2">
      <c r="J74" s="32" t="str" cm="1">
        <f t="array" ref="J74">IFERROR(
  VALUE($H74) *
  VALUE(
    _xlfn.XLOOKUP(
      TRIM($F74) &amp; "|" &amp; LEFT(SUBSTITUTE($G74,CHAR(160)," "),5) &amp; "|Reduced Rate",
      TRIM(SUBSTITUTE($N$2:$N$38,CHAR(160)," ")) &amp; "|" &amp;
      LEFT(SUBSTITUTE($O$2:$O$38,CHAR(160)," "),5) &amp; "|" &amp;
      TRIM(SUBSTITUTE($P$2:$P$38,CHAR(160)," ")),
      $Q$2:$Q$38
    )
  ),
"")</f>
        <v/>
      </c>
      <c r="K74" s="32" t="str" cm="1">
        <f t="array" ref="K74">IFERROR(
  VALUE($H74) *
  VALUE(
    _xlfn.XLOOKUP(
      TRIM($F74) &amp; "|" &amp; LEFT(SUBSTITUTE($G74,CHAR(160)," "),5) &amp; "|Ideas Rate",
      TRIM(SUBSTITUTE($N$2:$N$38,CHAR(160)," ")) &amp; "|" &amp;
      LEFT(SUBSTITUTE($O$2:$O$38,CHAR(160)," "),5) &amp; "|" &amp;
      TRIM(SUBSTITUTE($P$2:$P$38,CHAR(160)," ")),
      $Q$2:$Q$38
    )
  ),
"")</f>
        <v/>
      </c>
    </row>
    <row r="75" spans="10:11" x14ac:dyDescent="0.2">
      <c r="J75" s="32" t="str" cm="1">
        <f t="array" ref="J75">IFERROR(
  VALUE($H75) *
  VALUE(
    _xlfn.XLOOKUP(
      TRIM($F75) &amp; "|" &amp; LEFT(SUBSTITUTE($G75,CHAR(160)," "),5) &amp; "|Reduced Rate",
      TRIM(SUBSTITUTE($N$2:$N$38,CHAR(160)," ")) &amp; "|" &amp;
      LEFT(SUBSTITUTE($O$2:$O$38,CHAR(160)," "),5) &amp; "|" &amp;
      TRIM(SUBSTITUTE($P$2:$P$38,CHAR(160)," ")),
      $Q$2:$Q$38
    )
  ),
"")</f>
        <v/>
      </c>
      <c r="K75" s="32" t="str" cm="1">
        <f t="array" ref="K75">IFERROR(
  VALUE($H75) *
  VALUE(
    _xlfn.XLOOKUP(
      TRIM($F75) &amp; "|" &amp; LEFT(SUBSTITUTE($G75,CHAR(160)," "),5) &amp; "|Ideas Rate",
      TRIM(SUBSTITUTE($N$2:$N$38,CHAR(160)," ")) &amp; "|" &amp;
      LEFT(SUBSTITUTE($O$2:$O$38,CHAR(160)," "),5) &amp; "|" &amp;
      TRIM(SUBSTITUTE($P$2:$P$38,CHAR(160)," ")),
      $Q$2:$Q$38
    )
  ),
"")</f>
        <v/>
      </c>
    </row>
    <row r="76" spans="10:11" x14ac:dyDescent="0.2">
      <c r="J76" s="32" t="str" cm="1">
        <f t="array" ref="J76">IFERROR(
  VALUE($H76) *
  VALUE(
    _xlfn.XLOOKUP(
      TRIM($F76) &amp; "|" &amp; LEFT(SUBSTITUTE($G76,CHAR(160)," "),5) &amp; "|Reduced Rate",
      TRIM(SUBSTITUTE($N$2:$N$38,CHAR(160)," ")) &amp; "|" &amp;
      LEFT(SUBSTITUTE($O$2:$O$38,CHAR(160)," "),5) &amp; "|" &amp;
      TRIM(SUBSTITUTE($P$2:$P$38,CHAR(160)," ")),
      $Q$2:$Q$38
    )
  ),
"")</f>
        <v/>
      </c>
      <c r="K76" s="32" t="str" cm="1">
        <f t="array" ref="K76">IFERROR(
  VALUE($H76) *
  VALUE(
    _xlfn.XLOOKUP(
      TRIM($F76) &amp; "|" &amp; LEFT(SUBSTITUTE($G76,CHAR(160)," "),5) &amp; "|Ideas Rate",
      TRIM(SUBSTITUTE($N$2:$N$38,CHAR(160)," ")) &amp; "|" &amp;
      LEFT(SUBSTITUTE($O$2:$O$38,CHAR(160)," "),5) &amp; "|" &amp;
      TRIM(SUBSTITUTE($P$2:$P$38,CHAR(160)," ")),
      $Q$2:$Q$38
    )
  ),
"")</f>
        <v/>
      </c>
    </row>
    <row r="77" spans="10:11" x14ac:dyDescent="0.2">
      <c r="J77" s="32" t="str" cm="1">
        <f t="array" ref="J77">IFERROR(
  VALUE($H77) *
  VALUE(
    _xlfn.XLOOKUP(
      TRIM($F77) &amp; "|" &amp; LEFT(SUBSTITUTE($G77,CHAR(160)," "),5) &amp; "|Reduced Rate",
      TRIM(SUBSTITUTE($N$2:$N$38,CHAR(160)," ")) &amp; "|" &amp;
      LEFT(SUBSTITUTE($O$2:$O$38,CHAR(160)," "),5) &amp; "|" &amp;
      TRIM(SUBSTITUTE($P$2:$P$38,CHAR(160)," ")),
      $Q$2:$Q$38
    )
  ),
"")</f>
        <v/>
      </c>
      <c r="K77" s="32" t="str" cm="1">
        <f t="array" ref="K77">IFERROR(
  VALUE($H77) *
  VALUE(
    _xlfn.XLOOKUP(
      TRIM($F77) &amp; "|" &amp; LEFT(SUBSTITUTE($G77,CHAR(160)," "),5) &amp; "|Ideas Rate",
      TRIM(SUBSTITUTE($N$2:$N$38,CHAR(160)," ")) &amp; "|" &amp;
      LEFT(SUBSTITUTE($O$2:$O$38,CHAR(160)," "),5) &amp; "|" &amp;
      TRIM(SUBSTITUTE($P$2:$P$38,CHAR(160)," ")),
      $Q$2:$Q$38
    )
  ),
"")</f>
        <v/>
      </c>
    </row>
    <row r="78" spans="10:11" x14ac:dyDescent="0.2">
      <c r="J78" s="32" t="str" cm="1">
        <f t="array" ref="J78">IFERROR(
  VALUE($H78) *
  VALUE(
    _xlfn.XLOOKUP(
      TRIM($F78) &amp; "|" &amp; LEFT(SUBSTITUTE($G78,CHAR(160)," "),5) &amp; "|Reduced Rate",
      TRIM(SUBSTITUTE($N$2:$N$38,CHAR(160)," ")) &amp; "|" &amp;
      LEFT(SUBSTITUTE($O$2:$O$38,CHAR(160)," "),5) &amp; "|" &amp;
      TRIM(SUBSTITUTE($P$2:$P$38,CHAR(160)," ")),
      $Q$2:$Q$38
    )
  ),
"")</f>
        <v/>
      </c>
      <c r="K78" s="32" t="str" cm="1">
        <f t="array" ref="K78">IFERROR(
  VALUE($H78) *
  VALUE(
    _xlfn.XLOOKUP(
      TRIM($F78) &amp; "|" &amp; LEFT(SUBSTITUTE($G78,CHAR(160)," "),5) &amp; "|Ideas Rate",
      TRIM(SUBSTITUTE($N$2:$N$38,CHAR(160)," ")) &amp; "|" &amp;
      LEFT(SUBSTITUTE($O$2:$O$38,CHAR(160)," "),5) &amp; "|" &amp;
      TRIM(SUBSTITUTE($P$2:$P$38,CHAR(160)," ")),
      $Q$2:$Q$38
    )
  ),
"")</f>
        <v/>
      </c>
    </row>
    <row r="79" spans="10:11" x14ac:dyDescent="0.2">
      <c r="J79" s="32" t="str" cm="1">
        <f t="array" ref="J79">IFERROR(
  VALUE($H79) *
  VALUE(
    _xlfn.XLOOKUP(
      TRIM($F79) &amp; "|" &amp; LEFT(SUBSTITUTE($G79,CHAR(160)," "),5) &amp; "|Reduced Rate",
      TRIM(SUBSTITUTE($N$2:$N$38,CHAR(160)," ")) &amp; "|" &amp;
      LEFT(SUBSTITUTE($O$2:$O$38,CHAR(160)," "),5) &amp; "|" &amp;
      TRIM(SUBSTITUTE($P$2:$P$38,CHAR(160)," ")),
      $Q$2:$Q$38
    )
  ),
"")</f>
        <v/>
      </c>
      <c r="K79" s="32" t="str" cm="1">
        <f t="array" ref="K79">IFERROR(
  VALUE($H79) *
  VALUE(
    _xlfn.XLOOKUP(
      TRIM($F79) &amp; "|" &amp; LEFT(SUBSTITUTE($G79,CHAR(160)," "),5) &amp; "|Ideas Rate",
      TRIM(SUBSTITUTE($N$2:$N$38,CHAR(160)," ")) &amp; "|" &amp;
      LEFT(SUBSTITUTE($O$2:$O$38,CHAR(160)," "),5) &amp; "|" &amp;
      TRIM(SUBSTITUTE($P$2:$P$38,CHAR(160)," ")),
      $Q$2:$Q$38
    )
  ),
"")</f>
        <v/>
      </c>
    </row>
    <row r="80" spans="10:11" x14ac:dyDescent="0.2">
      <c r="J80" s="32" t="str" cm="1">
        <f t="array" ref="J80">IFERROR(
  VALUE($H80) *
  VALUE(
    _xlfn.XLOOKUP(
      TRIM($F80) &amp; "|" &amp; LEFT(SUBSTITUTE($G80,CHAR(160)," "),5) &amp; "|Reduced Rate",
      TRIM(SUBSTITUTE($N$2:$N$38,CHAR(160)," ")) &amp; "|" &amp;
      LEFT(SUBSTITUTE($O$2:$O$38,CHAR(160)," "),5) &amp; "|" &amp;
      TRIM(SUBSTITUTE($P$2:$P$38,CHAR(160)," ")),
      $Q$2:$Q$38
    )
  ),
"")</f>
        <v/>
      </c>
      <c r="K80" s="32" t="str" cm="1">
        <f t="array" ref="K80">IFERROR(
  VALUE($H80) *
  VALUE(
    _xlfn.XLOOKUP(
      TRIM($F80) &amp; "|" &amp; LEFT(SUBSTITUTE($G80,CHAR(160)," "),5) &amp; "|Ideas Rate",
      TRIM(SUBSTITUTE($N$2:$N$38,CHAR(160)," ")) &amp; "|" &amp;
      LEFT(SUBSTITUTE($O$2:$O$38,CHAR(160)," "),5) &amp; "|" &amp;
      TRIM(SUBSTITUTE($P$2:$P$38,CHAR(160)," ")),
      $Q$2:$Q$38
    )
  ),
"")</f>
        <v/>
      </c>
    </row>
    <row r="81" spans="10:11" x14ac:dyDescent="0.2">
      <c r="J81" s="32" t="str" cm="1">
        <f t="array" ref="J81">IFERROR(
  VALUE($H81) *
  VALUE(
    _xlfn.XLOOKUP(
      TRIM($F81) &amp; "|" &amp; LEFT(SUBSTITUTE($G81,CHAR(160)," "),5) &amp; "|Reduced Rate",
      TRIM(SUBSTITUTE($N$2:$N$38,CHAR(160)," ")) &amp; "|" &amp;
      LEFT(SUBSTITUTE($O$2:$O$38,CHAR(160)," "),5) &amp; "|" &amp;
      TRIM(SUBSTITUTE($P$2:$P$38,CHAR(160)," ")),
      $Q$2:$Q$38
    )
  ),
"")</f>
        <v/>
      </c>
      <c r="K81" s="32" t="str" cm="1">
        <f t="array" ref="K81">IFERROR(
  VALUE($H81) *
  VALUE(
    _xlfn.XLOOKUP(
      TRIM($F81) &amp; "|" &amp; LEFT(SUBSTITUTE($G81,CHAR(160)," "),5) &amp; "|Ideas Rate",
      TRIM(SUBSTITUTE($N$2:$N$38,CHAR(160)," ")) &amp; "|" &amp;
      LEFT(SUBSTITUTE($O$2:$O$38,CHAR(160)," "),5) &amp; "|" &amp;
      TRIM(SUBSTITUTE($P$2:$P$38,CHAR(160)," ")),
      $Q$2:$Q$38
    )
  ),
"")</f>
        <v/>
      </c>
    </row>
    <row r="82" spans="10:11" x14ac:dyDescent="0.2">
      <c r="J82" s="32" t="str" cm="1">
        <f t="array" ref="J82">IFERROR(
  VALUE($H82) *
  VALUE(
    _xlfn.XLOOKUP(
      TRIM($F82) &amp; "|" &amp; LEFT(SUBSTITUTE($G82,CHAR(160)," "),5) &amp; "|Reduced Rate",
      TRIM(SUBSTITUTE($N$2:$N$38,CHAR(160)," ")) &amp; "|" &amp;
      LEFT(SUBSTITUTE($O$2:$O$38,CHAR(160)," "),5) &amp; "|" &amp;
      TRIM(SUBSTITUTE($P$2:$P$38,CHAR(160)," ")),
      $Q$2:$Q$38
    )
  ),
"")</f>
        <v/>
      </c>
      <c r="K82" s="32" t="str" cm="1">
        <f t="array" ref="K82">IFERROR(
  VALUE($H82) *
  VALUE(
    _xlfn.XLOOKUP(
      TRIM($F82) &amp; "|" &amp; LEFT(SUBSTITUTE($G82,CHAR(160)," "),5) &amp; "|Ideas Rate",
      TRIM(SUBSTITUTE($N$2:$N$38,CHAR(160)," ")) &amp; "|" &amp;
      LEFT(SUBSTITUTE($O$2:$O$38,CHAR(160)," "),5) &amp; "|" &amp;
      TRIM(SUBSTITUTE($P$2:$P$38,CHAR(160)," ")),
      $Q$2:$Q$38
    )
  ),
"")</f>
        <v/>
      </c>
    </row>
    <row r="83" spans="10:11" x14ac:dyDescent="0.2">
      <c r="J83" s="32" t="str" cm="1">
        <f t="array" ref="J83">IFERROR(
  VALUE($H83) *
  VALUE(
    _xlfn.XLOOKUP(
      TRIM($F83) &amp; "|" &amp; LEFT(SUBSTITUTE($G83,CHAR(160)," "),5) &amp; "|Reduced Rate",
      TRIM(SUBSTITUTE($N$2:$N$38,CHAR(160)," ")) &amp; "|" &amp;
      LEFT(SUBSTITUTE($O$2:$O$38,CHAR(160)," "),5) &amp; "|" &amp;
      TRIM(SUBSTITUTE($P$2:$P$38,CHAR(160)," ")),
      $Q$2:$Q$38
    )
  ),
"")</f>
        <v/>
      </c>
      <c r="K83" s="32" t="str" cm="1">
        <f t="array" ref="K83">IFERROR(
  VALUE($H83) *
  VALUE(
    _xlfn.XLOOKUP(
      TRIM($F83) &amp; "|" &amp; LEFT(SUBSTITUTE($G83,CHAR(160)," "),5) &amp; "|Ideas Rate",
      TRIM(SUBSTITUTE($N$2:$N$38,CHAR(160)," ")) &amp; "|" &amp;
      LEFT(SUBSTITUTE($O$2:$O$38,CHAR(160)," "),5) &amp; "|" &amp;
      TRIM(SUBSTITUTE($P$2:$P$38,CHAR(160)," ")),
      $Q$2:$Q$38
    )
  ),
"")</f>
        <v/>
      </c>
    </row>
    <row r="84" spans="10:11" x14ac:dyDescent="0.2">
      <c r="J84" s="32" t="str" cm="1">
        <f t="array" ref="J84">IFERROR(
  VALUE($H84) *
  VALUE(
    _xlfn.XLOOKUP(
      TRIM($F84) &amp; "|" &amp; LEFT(SUBSTITUTE($G84,CHAR(160)," "),5) &amp; "|Reduced Rate",
      TRIM(SUBSTITUTE($N$2:$N$38,CHAR(160)," ")) &amp; "|" &amp;
      LEFT(SUBSTITUTE($O$2:$O$38,CHAR(160)," "),5) &amp; "|" &amp;
      TRIM(SUBSTITUTE($P$2:$P$38,CHAR(160)," ")),
      $Q$2:$Q$38
    )
  ),
"")</f>
        <v/>
      </c>
      <c r="K84" s="32" t="str" cm="1">
        <f t="array" ref="K84">IFERROR(
  VALUE($H84) *
  VALUE(
    _xlfn.XLOOKUP(
      TRIM($F84) &amp; "|" &amp; LEFT(SUBSTITUTE($G84,CHAR(160)," "),5) &amp; "|Ideas Rate",
      TRIM(SUBSTITUTE($N$2:$N$38,CHAR(160)," ")) &amp; "|" &amp;
      LEFT(SUBSTITUTE($O$2:$O$38,CHAR(160)," "),5) &amp; "|" &amp;
      TRIM(SUBSTITUTE($P$2:$P$38,CHAR(160)," ")),
      $Q$2:$Q$38
    )
  ),
"")</f>
        <v/>
      </c>
    </row>
    <row r="85" spans="10:11" x14ac:dyDescent="0.2">
      <c r="J85" s="32" t="str" cm="1">
        <f t="array" ref="J85">IFERROR(
  VALUE($H85) *
  VALUE(
    _xlfn.XLOOKUP(
      TRIM($F85) &amp; "|" &amp; LEFT(SUBSTITUTE($G85,CHAR(160)," "),5) &amp; "|Reduced Rate",
      TRIM(SUBSTITUTE($N$2:$N$38,CHAR(160)," ")) &amp; "|" &amp;
      LEFT(SUBSTITUTE($O$2:$O$38,CHAR(160)," "),5) &amp; "|" &amp;
      TRIM(SUBSTITUTE($P$2:$P$38,CHAR(160)," ")),
      $Q$2:$Q$38
    )
  ),
"")</f>
        <v/>
      </c>
      <c r="K85" s="32" t="str" cm="1">
        <f t="array" ref="K85">IFERROR(
  VALUE($H85) *
  VALUE(
    _xlfn.XLOOKUP(
      TRIM($F85) &amp; "|" &amp; LEFT(SUBSTITUTE($G85,CHAR(160)," "),5) &amp; "|Ideas Rate",
      TRIM(SUBSTITUTE($N$2:$N$38,CHAR(160)," ")) &amp; "|" &amp;
      LEFT(SUBSTITUTE($O$2:$O$38,CHAR(160)," "),5) &amp; "|" &amp;
      TRIM(SUBSTITUTE($P$2:$P$38,CHAR(160)," ")),
      $Q$2:$Q$38
    )
  ),
"")</f>
        <v/>
      </c>
    </row>
    <row r="86" spans="10:11" x14ac:dyDescent="0.2">
      <c r="J86" s="32" t="str" cm="1">
        <f t="array" ref="J86">IFERROR(
  VALUE($H86) *
  VALUE(
    _xlfn.XLOOKUP(
      TRIM($F86) &amp; "|" &amp; LEFT(SUBSTITUTE($G86,CHAR(160)," "),5) &amp; "|Reduced Rate",
      TRIM(SUBSTITUTE($N$2:$N$38,CHAR(160)," ")) &amp; "|" &amp;
      LEFT(SUBSTITUTE($O$2:$O$38,CHAR(160)," "),5) &amp; "|" &amp;
      TRIM(SUBSTITUTE($P$2:$P$38,CHAR(160)," ")),
      $Q$2:$Q$38
    )
  ),
"")</f>
        <v/>
      </c>
      <c r="K86" s="32" t="str" cm="1">
        <f t="array" ref="K86">IFERROR(
  VALUE($H86) *
  VALUE(
    _xlfn.XLOOKUP(
      TRIM($F86) &amp; "|" &amp; LEFT(SUBSTITUTE($G86,CHAR(160)," "),5) &amp; "|Ideas Rate",
      TRIM(SUBSTITUTE($N$2:$N$38,CHAR(160)," ")) &amp; "|" &amp;
      LEFT(SUBSTITUTE($O$2:$O$38,CHAR(160)," "),5) &amp; "|" &amp;
      TRIM(SUBSTITUTE($P$2:$P$38,CHAR(160)," ")),
      $Q$2:$Q$38
    )
  ),
"")</f>
        <v/>
      </c>
    </row>
    <row r="87" spans="10:11" x14ac:dyDescent="0.2">
      <c r="J87" s="32" t="str" cm="1">
        <f t="array" ref="J87">IFERROR(
  VALUE($H87) *
  VALUE(
    _xlfn.XLOOKUP(
      TRIM($F87) &amp; "|" &amp; LEFT(SUBSTITUTE($G87,CHAR(160)," "),5) &amp; "|Reduced Rate",
      TRIM(SUBSTITUTE($N$2:$N$38,CHAR(160)," ")) &amp; "|" &amp;
      LEFT(SUBSTITUTE($O$2:$O$38,CHAR(160)," "),5) &amp; "|" &amp;
      TRIM(SUBSTITUTE($P$2:$P$38,CHAR(160)," ")),
      $Q$2:$Q$38
    )
  ),
"")</f>
        <v/>
      </c>
      <c r="K87" s="32" t="str" cm="1">
        <f t="array" ref="K87">IFERROR(
  VALUE($H87) *
  VALUE(
    _xlfn.XLOOKUP(
      TRIM($F87) &amp; "|" &amp; LEFT(SUBSTITUTE($G87,CHAR(160)," "),5) &amp; "|Ideas Rate",
      TRIM(SUBSTITUTE($N$2:$N$38,CHAR(160)," ")) &amp; "|" &amp;
      LEFT(SUBSTITUTE($O$2:$O$38,CHAR(160)," "),5) &amp; "|" &amp;
      TRIM(SUBSTITUTE($P$2:$P$38,CHAR(160)," ")),
      $Q$2:$Q$38
    )
  ),
"")</f>
        <v/>
      </c>
    </row>
    <row r="88" spans="10:11" x14ac:dyDescent="0.2">
      <c r="J88" s="32" t="str" cm="1">
        <f t="array" ref="J88">IFERROR(
  VALUE($H88) *
  VALUE(
    _xlfn.XLOOKUP(
      TRIM($F88) &amp; "|" &amp; LEFT(SUBSTITUTE($G88,CHAR(160)," "),5) &amp; "|Reduced Rate",
      TRIM(SUBSTITUTE($N$2:$N$38,CHAR(160)," ")) &amp; "|" &amp;
      LEFT(SUBSTITUTE($O$2:$O$38,CHAR(160)," "),5) &amp; "|" &amp;
      TRIM(SUBSTITUTE($P$2:$P$38,CHAR(160)," ")),
      $Q$2:$Q$38
    )
  ),
"")</f>
        <v/>
      </c>
      <c r="K88" s="32" t="str" cm="1">
        <f t="array" ref="K88">IFERROR(
  VALUE($H88) *
  VALUE(
    _xlfn.XLOOKUP(
      TRIM($F88) &amp; "|" &amp; LEFT(SUBSTITUTE($G88,CHAR(160)," "),5) &amp; "|Ideas Rate",
      TRIM(SUBSTITUTE($N$2:$N$38,CHAR(160)," ")) &amp; "|" &amp;
      LEFT(SUBSTITUTE($O$2:$O$38,CHAR(160)," "),5) &amp; "|" &amp;
      TRIM(SUBSTITUTE($P$2:$P$38,CHAR(160)," ")),
      $Q$2:$Q$38
    )
  ),
"")</f>
        <v/>
      </c>
    </row>
    <row r="89" spans="10:11" x14ac:dyDescent="0.2">
      <c r="J89" s="32" t="str" cm="1">
        <f t="array" ref="J89">IFERROR(
  VALUE($H89) *
  VALUE(
    _xlfn.XLOOKUP(
      TRIM($F89) &amp; "|" &amp; LEFT(SUBSTITUTE($G89,CHAR(160)," "),5) &amp; "|Reduced Rate",
      TRIM(SUBSTITUTE($N$2:$N$38,CHAR(160)," ")) &amp; "|" &amp;
      LEFT(SUBSTITUTE($O$2:$O$38,CHAR(160)," "),5) &amp; "|" &amp;
      TRIM(SUBSTITUTE($P$2:$P$38,CHAR(160)," ")),
      $Q$2:$Q$38
    )
  ),
"")</f>
        <v/>
      </c>
      <c r="K89" s="32" t="str" cm="1">
        <f t="array" ref="K89">IFERROR(
  VALUE($H89) *
  VALUE(
    _xlfn.XLOOKUP(
      TRIM($F89) &amp; "|" &amp; LEFT(SUBSTITUTE($G89,CHAR(160)," "),5) &amp; "|Ideas Rate",
      TRIM(SUBSTITUTE($N$2:$N$38,CHAR(160)," ")) &amp; "|" &amp;
      LEFT(SUBSTITUTE($O$2:$O$38,CHAR(160)," "),5) &amp; "|" &amp;
      TRIM(SUBSTITUTE($P$2:$P$38,CHAR(160)," ")),
      $Q$2:$Q$38
    )
  ),
"")</f>
        <v/>
      </c>
    </row>
    <row r="90" spans="10:11" x14ac:dyDescent="0.2">
      <c r="J90" s="32" t="str" cm="1">
        <f t="array" ref="J90">IFERROR(
  VALUE($H90) *
  VALUE(
    _xlfn.XLOOKUP(
      TRIM($F90) &amp; "|" &amp; LEFT(SUBSTITUTE($G90,CHAR(160)," "),5) &amp; "|Reduced Rate",
      TRIM(SUBSTITUTE($N$2:$N$38,CHAR(160)," ")) &amp; "|" &amp;
      LEFT(SUBSTITUTE($O$2:$O$38,CHAR(160)," "),5) &amp; "|" &amp;
      TRIM(SUBSTITUTE($P$2:$P$38,CHAR(160)," ")),
      $Q$2:$Q$38
    )
  ),
"")</f>
        <v/>
      </c>
      <c r="K90" s="32" t="str" cm="1">
        <f t="array" ref="K90">IFERROR(
  VALUE($H90) *
  VALUE(
    _xlfn.XLOOKUP(
      TRIM($F90) &amp; "|" &amp; LEFT(SUBSTITUTE($G90,CHAR(160)," "),5) &amp; "|Ideas Rate",
      TRIM(SUBSTITUTE($N$2:$N$38,CHAR(160)," ")) &amp; "|" &amp;
      LEFT(SUBSTITUTE($O$2:$O$38,CHAR(160)," "),5) &amp; "|" &amp;
      TRIM(SUBSTITUTE($P$2:$P$38,CHAR(160)," ")),
      $Q$2:$Q$38
    )
  ),
"")</f>
        <v/>
      </c>
    </row>
    <row r="91" spans="10:11" x14ac:dyDescent="0.2">
      <c r="J91" s="32" t="str" cm="1">
        <f t="array" ref="J91">IFERROR(
  VALUE($H91) *
  VALUE(
    _xlfn.XLOOKUP(
      TRIM($F91) &amp; "|" &amp; LEFT(SUBSTITUTE($G91,CHAR(160)," "),5) &amp; "|Reduced Rate",
      TRIM(SUBSTITUTE($N$2:$N$38,CHAR(160)," ")) &amp; "|" &amp;
      LEFT(SUBSTITUTE($O$2:$O$38,CHAR(160)," "),5) &amp; "|" &amp;
      TRIM(SUBSTITUTE($P$2:$P$38,CHAR(160)," ")),
      $Q$2:$Q$38
    )
  ),
"")</f>
        <v/>
      </c>
      <c r="K91" s="32" t="str" cm="1">
        <f t="array" ref="K91">IFERROR(
  VALUE($H91) *
  VALUE(
    _xlfn.XLOOKUP(
      TRIM($F91) &amp; "|" &amp; LEFT(SUBSTITUTE($G91,CHAR(160)," "),5) &amp; "|Ideas Rate",
      TRIM(SUBSTITUTE($N$2:$N$38,CHAR(160)," ")) &amp; "|" &amp;
      LEFT(SUBSTITUTE($O$2:$O$38,CHAR(160)," "),5) &amp; "|" &amp;
      TRIM(SUBSTITUTE($P$2:$P$38,CHAR(160)," ")),
      $Q$2:$Q$38
    )
  ),
"")</f>
        <v/>
      </c>
    </row>
    <row r="92" spans="10:11" x14ac:dyDescent="0.2">
      <c r="J92" s="32" t="str" cm="1">
        <f t="array" ref="J92">IFERROR(
  VALUE($H92) *
  VALUE(
    _xlfn.XLOOKUP(
      TRIM($F92) &amp; "|" &amp; LEFT(SUBSTITUTE($G92,CHAR(160)," "),5) &amp; "|Reduced Rate",
      TRIM(SUBSTITUTE($N$2:$N$38,CHAR(160)," ")) &amp; "|" &amp;
      LEFT(SUBSTITUTE($O$2:$O$38,CHAR(160)," "),5) &amp; "|" &amp;
      TRIM(SUBSTITUTE($P$2:$P$38,CHAR(160)," ")),
      $Q$2:$Q$38
    )
  ),
"")</f>
        <v/>
      </c>
      <c r="K92" s="32" t="str" cm="1">
        <f t="array" ref="K92">IFERROR(
  VALUE($H92) *
  VALUE(
    _xlfn.XLOOKUP(
      TRIM($F92) &amp; "|" &amp; LEFT(SUBSTITUTE($G92,CHAR(160)," "),5) &amp; "|Ideas Rate",
      TRIM(SUBSTITUTE($N$2:$N$38,CHAR(160)," ")) &amp; "|" &amp;
      LEFT(SUBSTITUTE($O$2:$O$38,CHAR(160)," "),5) &amp; "|" &amp;
      TRIM(SUBSTITUTE($P$2:$P$38,CHAR(160)," ")),
      $Q$2:$Q$38
    )
  ),
"")</f>
        <v/>
      </c>
    </row>
    <row r="93" spans="10:11" x14ac:dyDescent="0.2">
      <c r="J93" s="32" t="str" cm="1">
        <f t="array" ref="J93">IFERROR(
  VALUE($H93) *
  VALUE(
    _xlfn.XLOOKUP(
      TRIM($F93) &amp; "|" &amp; LEFT(SUBSTITUTE($G93,CHAR(160)," "),5) &amp; "|Reduced Rate",
      TRIM(SUBSTITUTE($N$2:$N$38,CHAR(160)," ")) &amp; "|" &amp;
      LEFT(SUBSTITUTE($O$2:$O$38,CHAR(160)," "),5) &amp; "|" &amp;
      TRIM(SUBSTITUTE($P$2:$P$38,CHAR(160)," ")),
      $Q$2:$Q$38
    )
  ),
"")</f>
        <v/>
      </c>
      <c r="K93" s="32" t="str" cm="1">
        <f t="array" ref="K93">IFERROR(
  VALUE($H93) *
  VALUE(
    _xlfn.XLOOKUP(
      TRIM($F93) &amp; "|" &amp; LEFT(SUBSTITUTE($G93,CHAR(160)," "),5) &amp; "|Ideas Rate",
      TRIM(SUBSTITUTE($N$2:$N$38,CHAR(160)," ")) &amp; "|" &amp;
      LEFT(SUBSTITUTE($O$2:$O$38,CHAR(160)," "),5) &amp; "|" &amp;
      TRIM(SUBSTITUTE($P$2:$P$38,CHAR(160)," ")),
      $Q$2:$Q$38
    )
  ),
"")</f>
        <v/>
      </c>
    </row>
    <row r="94" spans="10:11" x14ac:dyDescent="0.2">
      <c r="J94" s="32" t="str" cm="1">
        <f t="array" ref="J94">IFERROR(
  VALUE($H94) *
  VALUE(
    _xlfn.XLOOKUP(
      TRIM($F94) &amp; "|" &amp; LEFT(SUBSTITUTE($G94,CHAR(160)," "),5) &amp; "|Reduced Rate",
      TRIM(SUBSTITUTE($N$2:$N$38,CHAR(160)," ")) &amp; "|" &amp;
      LEFT(SUBSTITUTE($O$2:$O$38,CHAR(160)," "),5) &amp; "|" &amp;
      TRIM(SUBSTITUTE($P$2:$P$38,CHAR(160)," ")),
      $Q$2:$Q$38
    )
  ),
"")</f>
        <v/>
      </c>
      <c r="K94" s="32" t="str" cm="1">
        <f t="array" ref="K94">IFERROR(
  VALUE($H94) *
  VALUE(
    _xlfn.XLOOKUP(
      TRIM($F94) &amp; "|" &amp; LEFT(SUBSTITUTE($G94,CHAR(160)," "),5) &amp; "|Ideas Rate",
      TRIM(SUBSTITUTE($N$2:$N$38,CHAR(160)," ")) &amp; "|" &amp;
      LEFT(SUBSTITUTE($O$2:$O$38,CHAR(160)," "),5) &amp; "|" &amp;
      TRIM(SUBSTITUTE($P$2:$P$38,CHAR(160)," ")),
      $Q$2:$Q$38
    )
  ),
"")</f>
        <v/>
      </c>
    </row>
    <row r="95" spans="10:11" x14ac:dyDescent="0.2">
      <c r="J95" s="32" t="str" cm="1">
        <f t="array" ref="J95">IFERROR(
  VALUE($H95) *
  VALUE(
    _xlfn.XLOOKUP(
      TRIM($F95) &amp; "|" &amp; LEFT(SUBSTITUTE($G95,CHAR(160)," "),5) &amp; "|Reduced Rate",
      TRIM(SUBSTITUTE($N$2:$N$38,CHAR(160)," ")) &amp; "|" &amp;
      LEFT(SUBSTITUTE($O$2:$O$38,CHAR(160)," "),5) &amp; "|" &amp;
      TRIM(SUBSTITUTE($P$2:$P$38,CHAR(160)," ")),
      $Q$2:$Q$38
    )
  ),
"")</f>
        <v/>
      </c>
      <c r="K95" s="32" t="str" cm="1">
        <f t="array" ref="K95">IFERROR(
  VALUE($H95) *
  VALUE(
    _xlfn.XLOOKUP(
      TRIM($F95) &amp; "|" &amp; LEFT(SUBSTITUTE($G95,CHAR(160)," "),5) &amp; "|Ideas Rate",
      TRIM(SUBSTITUTE($N$2:$N$38,CHAR(160)," ")) &amp; "|" &amp;
      LEFT(SUBSTITUTE($O$2:$O$38,CHAR(160)," "),5) &amp; "|" &amp;
      TRIM(SUBSTITUTE($P$2:$P$38,CHAR(160)," ")),
      $Q$2:$Q$38
    )
  ),
"")</f>
        <v/>
      </c>
    </row>
    <row r="96" spans="10:11" x14ac:dyDescent="0.2">
      <c r="J96" s="32" t="str" cm="1">
        <f t="array" ref="J96">IFERROR(
  VALUE($H96) *
  VALUE(
    _xlfn.XLOOKUP(
      TRIM($F96) &amp; "|" &amp; LEFT(SUBSTITUTE($G96,CHAR(160)," "),5) &amp; "|Reduced Rate",
      TRIM(SUBSTITUTE($N$2:$N$38,CHAR(160)," ")) &amp; "|" &amp;
      LEFT(SUBSTITUTE($O$2:$O$38,CHAR(160)," "),5) &amp; "|" &amp;
      TRIM(SUBSTITUTE($P$2:$P$38,CHAR(160)," ")),
      $Q$2:$Q$38
    )
  ),
"")</f>
        <v/>
      </c>
      <c r="K96" s="32" t="str" cm="1">
        <f t="array" ref="K96">IFERROR(
  VALUE($H96) *
  VALUE(
    _xlfn.XLOOKUP(
      TRIM($F96) &amp; "|" &amp; LEFT(SUBSTITUTE($G96,CHAR(160)," "),5) &amp; "|Ideas Rate",
      TRIM(SUBSTITUTE($N$2:$N$38,CHAR(160)," ")) &amp; "|" &amp;
      LEFT(SUBSTITUTE($O$2:$O$38,CHAR(160)," "),5) &amp; "|" &amp;
      TRIM(SUBSTITUTE($P$2:$P$38,CHAR(160)," ")),
      $Q$2:$Q$38
    )
  ),
"")</f>
        <v/>
      </c>
    </row>
    <row r="97" spans="10:11" x14ac:dyDescent="0.2">
      <c r="J97" s="32" t="str" cm="1">
        <f t="array" ref="J97">IFERROR(
  VALUE($H97) *
  VALUE(
    _xlfn.XLOOKUP(
      TRIM($F97) &amp; "|" &amp; LEFT(SUBSTITUTE($G97,CHAR(160)," "),5) &amp; "|Reduced Rate",
      TRIM(SUBSTITUTE($N$2:$N$38,CHAR(160)," ")) &amp; "|" &amp;
      LEFT(SUBSTITUTE($O$2:$O$38,CHAR(160)," "),5) &amp; "|" &amp;
      TRIM(SUBSTITUTE($P$2:$P$38,CHAR(160)," ")),
      $Q$2:$Q$38
    )
  ),
"")</f>
        <v/>
      </c>
      <c r="K97" s="32" t="str" cm="1">
        <f t="array" ref="K97">IFERROR(
  VALUE($H97) *
  VALUE(
    _xlfn.XLOOKUP(
      TRIM($F97) &amp; "|" &amp; LEFT(SUBSTITUTE($G97,CHAR(160)," "),5) &amp; "|Ideas Rate",
      TRIM(SUBSTITUTE($N$2:$N$38,CHAR(160)," ")) &amp; "|" &amp;
      LEFT(SUBSTITUTE($O$2:$O$38,CHAR(160)," "),5) &amp; "|" &amp;
      TRIM(SUBSTITUTE($P$2:$P$38,CHAR(160)," ")),
      $Q$2:$Q$38
    )
  ),
"")</f>
        <v/>
      </c>
    </row>
    <row r="98" spans="10:11" x14ac:dyDescent="0.2">
      <c r="J98" s="32" t="str" cm="1">
        <f t="array" ref="J98">IFERROR(
  VALUE($H98) *
  VALUE(
    _xlfn.XLOOKUP(
      TRIM($F98) &amp; "|" &amp; LEFT(SUBSTITUTE($G98,CHAR(160)," "),5) &amp; "|Reduced Rate",
      TRIM(SUBSTITUTE($N$2:$N$38,CHAR(160)," ")) &amp; "|" &amp;
      LEFT(SUBSTITUTE($O$2:$O$38,CHAR(160)," "),5) &amp; "|" &amp;
      TRIM(SUBSTITUTE($P$2:$P$38,CHAR(160)," ")),
      $Q$2:$Q$38
    )
  ),
"")</f>
        <v/>
      </c>
      <c r="K98" s="32" t="str" cm="1">
        <f t="array" ref="K98">IFERROR(
  VALUE($H98) *
  VALUE(
    _xlfn.XLOOKUP(
      TRIM($F98) &amp; "|" &amp; LEFT(SUBSTITUTE($G98,CHAR(160)," "),5) &amp; "|Ideas Rate",
      TRIM(SUBSTITUTE($N$2:$N$38,CHAR(160)," ")) &amp; "|" &amp;
      LEFT(SUBSTITUTE($O$2:$O$38,CHAR(160)," "),5) &amp; "|" &amp;
      TRIM(SUBSTITUTE($P$2:$P$38,CHAR(160)," ")),
      $Q$2:$Q$38
    )
  ),
"")</f>
        <v/>
      </c>
    </row>
    <row r="99" spans="10:11" x14ac:dyDescent="0.2">
      <c r="J99" s="32" t="str" cm="1">
        <f t="array" ref="J99">IFERROR(
  VALUE($H99) *
  VALUE(
    _xlfn.XLOOKUP(
      TRIM($F99) &amp; "|" &amp; LEFT(SUBSTITUTE($G99,CHAR(160)," "),5) &amp; "|Reduced Rate",
      TRIM(SUBSTITUTE($N$2:$N$38,CHAR(160)," ")) &amp; "|" &amp;
      LEFT(SUBSTITUTE($O$2:$O$38,CHAR(160)," "),5) &amp; "|" &amp;
      TRIM(SUBSTITUTE($P$2:$P$38,CHAR(160)," ")),
      $Q$2:$Q$38
    )
  ),
"")</f>
        <v/>
      </c>
      <c r="K99" s="32" t="str" cm="1">
        <f t="array" ref="K99">IFERROR(
  VALUE($H99) *
  VALUE(
    _xlfn.XLOOKUP(
      TRIM($F99) &amp; "|" &amp; LEFT(SUBSTITUTE($G99,CHAR(160)," "),5) &amp; "|Ideas Rate",
      TRIM(SUBSTITUTE($N$2:$N$38,CHAR(160)," ")) &amp; "|" &amp;
      LEFT(SUBSTITUTE($O$2:$O$38,CHAR(160)," "),5) &amp; "|" &amp;
      TRIM(SUBSTITUTE($P$2:$P$38,CHAR(160)," ")),
      $Q$2:$Q$38
    )
  ),
"")</f>
        <v/>
      </c>
    </row>
    <row r="100" spans="10:11" x14ac:dyDescent="0.2">
      <c r="J100" s="32" t="str" cm="1">
        <f t="array" ref="J100">IFERROR(
  VALUE($H100) *
  VALUE(
    _xlfn.XLOOKUP(
      TRIM($F100) &amp; "|" &amp; LEFT(SUBSTITUTE($G100,CHAR(160)," "),5) &amp; "|Reduced Rate",
      TRIM(SUBSTITUTE($N$2:$N$38,CHAR(160)," ")) &amp; "|" &amp;
      LEFT(SUBSTITUTE($O$2:$O$38,CHAR(160)," "),5) &amp; "|" &amp;
      TRIM(SUBSTITUTE($P$2:$P$38,CHAR(160)," ")),
      $Q$2:$Q$38
    )
  ),
"")</f>
        <v/>
      </c>
      <c r="K100" s="32" t="str" cm="1">
        <f t="array" ref="K100">IFERROR(
  VALUE($H100) *
  VALUE(
    _xlfn.XLOOKUP(
      TRIM($F100) &amp; "|" &amp; LEFT(SUBSTITUTE($G100,CHAR(160)," "),5) &amp; "|Ideas Rate",
      TRIM(SUBSTITUTE($N$2:$N$38,CHAR(160)," ")) &amp; "|" &amp;
      LEFT(SUBSTITUTE($O$2:$O$38,CHAR(160)," "),5) &amp; "|" &amp;
      TRIM(SUBSTITUTE($P$2:$P$38,CHAR(160)," ")),
      $Q$2:$Q$38
    )
  ),
"")</f>
        <v/>
      </c>
    </row>
    <row r="101" spans="10:11" x14ac:dyDescent="0.2">
      <c r="J101" s="32" t="str" cm="1">
        <f t="array" ref="J101">IFERROR(
  VALUE($H101) *
  VALUE(
    _xlfn.XLOOKUP(
      TRIM($F101) &amp; "|" &amp; LEFT(SUBSTITUTE($G101,CHAR(160)," "),5) &amp; "|Reduced Rate",
      TRIM(SUBSTITUTE($N$2:$N$38,CHAR(160)," ")) &amp; "|" &amp;
      LEFT(SUBSTITUTE($O$2:$O$38,CHAR(160)," "),5) &amp; "|" &amp;
      TRIM(SUBSTITUTE($P$2:$P$38,CHAR(160)," ")),
      $Q$2:$Q$38
    )
  ),
"")</f>
        <v/>
      </c>
      <c r="K101" s="32" t="str" cm="1">
        <f t="array" ref="K101">IFERROR(
  VALUE($H101) *
  VALUE(
    _xlfn.XLOOKUP(
      TRIM($F101) &amp; "|" &amp; LEFT(SUBSTITUTE($G101,CHAR(160)," "),5) &amp; "|Ideas Rate",
      TRIM(SUBSTITUTE($N$2:$N$38,CHAR(160)," ")) &amp; "|" &amp;
      LEFT(SUBSTITUTE($O$2:$O$38,CHAR(160)," "),5) &amp; "|" &amp;
      TRIM(SUBSTITUTE($P$2:$P$38,CHAR(160)," ")),
      $Q$2:$Q$38
    )
  ),
"")</f>
        <v/>
      </c>
    </row>
    <row r="102" spans="10:11" x14ac:dyDescent="0.2">
      <c r="J102" s="32" t="str" cm="1">
        <f t="array" ref="J102">IFERROR(
  VALUE($H102) *
  VALUE(
    _xlfn.XLOOKUP(
      TRIM($F102) &amp; "|" &amp; LEFT(SUBSTITUTE($G102,CHAR(160)," "),5) &amp; "|Reduced Rate",
      TRIM(SUBSTITUTE($N$2:$N$38,CHAR(160)," ")) &amp; "|" &amp;
      LEFT(SUBSTITUTE($O$2:$O$38,CHAR(160)," "),5) &amp; "|" &amp;
      TRIM(SUBSTITUTE($P$2:$P$38,CHAR(160)," ")),
      $Q$2:$Q$38
    )
  ),
"")</f>
        <v/>
      </c>
      <c r="K102" s="32" t="str" cm="1">
        <f t="array" ref="K102">IFERROR(
  VALUE($H102) *
  VALUE(
    _xlfn.XLOOKUP(
      TRIM($F102) &amp; "|" &amp; LEFT(SUBSTITUTE($G102,CHAR(160)," "),5) &amp; "|Ideas Rate",
      TRIM(SUBSTITUTE($N$2:$N$38,CHAR(160)," ")) &amp; "|" &amp;
      LEFT(SUBSTITUTE($O$2:$O$38,CHAR(160)," "),5) &amp; "|" &amp;
      TRIM(SUBSTITUTE($P$2:$P$38,CHAR(160)," ")),
      $Q$2:$Q$38
    )
  ),
"")</f>
        <v/>
      </c>
    </row>
    <row r="103" spans="10:11" x14ac:dyDescent="0.2">
      <c r="J103" s="32" t="str" cm="1">
        <f t="array" ref="J103">IFERROR(
  VALUE($H103) *
  VALUE(
    _xlfn.XLOOKUP(
      TRIM($F103) &amp; "|" &amp; LEFT(SUBSTITUTE($G103,CHAR(160)," "),5) &amp; "|Reduced Rate",
      TRIM(SUBSTITUTE($N$2:$N$38,CHAR(160)," ")) &amp; "|" &amp;
      LEFT(SUBSTITUTE($O$2:$O$38,CHAR(160)," "),5) &amp; "|" &amp;
      TRIM(SUBSTITUTE($P$2:$P$38,CHAR(160)," ")),
      $Q$2:$Q$38
    )
  ),
"")</f>
        <v/>
      </c>
      <c r="K103" s="32" t="str" cm="1">
        <f t="array" ref="K103">IFERROR(
  VALUE($H103) *
  VALUE(
    _xlfn.XLOOKUP(
      TRIM($F103) &amp; "|" &amp; LEFT(SUBSTITUTE($G103,CHAR(160)," "),5) &amp; "|Ideas Rate",
      TRIM(SUBSTITUTE($N$2:$N$38,CHAR(160)," ")) &amp; "|" &amp;
      LEFT(SUBSTITUTE($O$2:$O$38,CHAR(160)," "),5) &amp; "|" &amp;
      TRIM(SUBSTITUTE($P$2:$P$38,CHAR(160)," ")),
      $Q$2:$Q$38
    )
  ),
"")</f>
        <v/>
      </c>
    </row>
    <row r="104" spans="10:11" x14ac:dyDescent="0.2">
      <c r="J104" s="32" t="str" cm="1">
        <f t="array" ref="J104">IFERROR(
  VALUE($H104) *
  VALUE(
    _xlfn.XLOOKUP(
      TRIM($F104) &amp; "|" &amp; LEFT(SUBSTITUTE($G104,CHAR(160)," "),5) &amp; "|Reduced Rate",
      TRIM(SUBSTITUTE($N$2:$N$38,CHAR(160)," ")) &amp; "|" &amp;
      LEFT(SUBSTITUTE($O$2:$O$38,CHAR(160)," "),5) &amp; "|" &amp;
      TRIM(SUBSTITUTE($P$2:$P$38,CHAR(160)," ")),
      $Q$2:$Q$38
    )
  ),
"")</f>
        <v/>
      </c>
      <c r="K104" s="32" t="str" cm="1">
        <f t="array" ref="K104">IFERROR(
  VALUE($H104) *
  VALUE(
    _xlfn.XLOOKUP(
      TRIM($F104) &amp; "|" &amp; LEFT(SUBSTITUTE($G104,CHAR(160)," "),5) &amp; "|Ideas Rate",
      TRIM(SUBSTITUTE($N$2:$N$38,CHAR(160)," ")) &amp; "|" &amp;
      LEFT(SUBSTITUTE($O$2:$O$38,CHAR(160)," "),5) &amp; "|" &amp;
      TRIM(SUBSTITUTE($P$2:$P$38,CHAR(160)," ")),
      $Q$2:$Q$38
    )
  ),
"")</f>
        <v/>
      </c>
    </row>
    <row r="105" spans="10:11" x14ac:dyDescent="0.2">
      <c r="J105" s="32" t="str" cm="1">
        <f t="array" ref="J105">IFERROR(
  VALUE($H105) *
  VALUE(
    _xlfn.XLOOKUP(
      TRIM($F105) &amp; "|" &amp; LEFT(SUBSTITUTE($G105,CHAR(160)," "),5) &amp; "|Reduced Rate",
      TRIM(SUBSTITUTE($N$2:$N$38,CHAR(160)," ")) &amp; "|" &amp;
      LEFT(SUBSTITUTE($O$2:$O$38,CHAR(160)," "),5) &amp; "|" &amp;
      TRIM(SUBSTITUTE($P$2:$P$38,CHAR(160)," ")),
      $Q$2:$Q$38
    )
  ),
"")</f>
        <v/>
      </c>
      <c r="K105" s="32" t="str" cm="1">
        <f t="array" ref="K105">IFERROR(
  VALUE($H105) *
  VALUE(
    _xlfn.XLOOKUP(
      TRIM($F105) &amp; "|" &amp; LEFT(SUBSTITUTE($G105,CHAR(160)," "),5) &amp; "|Ideas Rate",
      TRIM(SUBSTITUTE($N$2:$N$38,CHAR(160)," ")) &amp; "|" &amp;
      LEFT(SUBSTITUTE($O$2:$O$38,CHAR(160)," "),5) &amp; "|" &amp;
      TRIM(SUBSTITUTE($P$2:$P$38,CHAR(160)," ")),
      $Q$2:$Q$38
    )
  ),
"")</f>
        <v/>
      </c>
    </row>
    <row r="106" spans="10:11" x14ac:dyDescent="0.2">
      <c r="J106" s="32" t="str" cm="1">
        <f t="array" ref="J106">IFERROR(
  VALUE($H106) *
  VALUE(
    _xlfn.XLOOKUP(
      TRIM($F106) &amp; "|" &amp; LEFT(SUBSTITUTE($G106,CHAR(160)," "),5) &amp; "|Reduced Rate",
      TRIM(SUBSTITUTE($N$2:$N$38,CHAR(160)," ")) &amp; "|" &amp;
      LEFT(SUBSTITUTE($O$2:$O$38,CHAR(160)," "),5) &amp; "|" &amp;
      TRIM(SUBSTITUTE($P$2:$P$38,CHAR(160)," ")),
      $Q$2:$Q$38
    )
  ),
"")</f>
        <v/>
      </c>
      <c r="K106" s="32" t="str" cm="1">
        <f t="array" ref="K106">IFERROR(
  VALUE($H106) *
  VALUE(
    _xlfn.XLOOKUP(
      TRIM($F106) &amp; "|" &amp; LEFT(SUBSTITUTE($G106,CHAR(160)," "),5) &amp; "|Ideas Rate",
      TRIM(SUBSTITUTE($N$2:$N$38,CHAR(160)," ")) &amp; "|" &amp;
      LEFT(SUBSTITUTE($O$2:$O$38,CHAR(160)," "),5) &amp; "|" &amp;
      TRIM(SUBSTITUTE($P$2:$P$38,CHAR(160)," ")),
      $Q$2:$Q$38
    )
  ),
"")</f>
        <v/>
      </c>
    </row>
    <row r="107" spans="10:11" x14ac:dyDescent="0.2">
      <c r="J107" s="32" t="str" cm="1">
        <f t="array" ref="J107">IFERROR(
  VALUE($H107) *
  VALUE(
    _xlfn.XLOOKUP(
      TRIM($F107) &amp; "|" &amp; LEFT(SUBSTITUTE($G107,CHAR(160)," "),5) &amp; "|Reduced Rate",
      TRIM(SUBSTITUTE($N$2:$N$38,CHAR(160)," ")) &amp; "|" &amp;
      LEFT(SUBSTITUTE($O$2:$O$38,CHAR(160)," "),5) &amp; "|" &amp;
      TRIM(SUBSTITUTE($P$2:$P$38,CHAR(160)," ")),
      $Q$2:$Q$38
    )
  ),
"")</f>
        <v/>
      </c>
      <c r="K107" s="32" t="str" cm="1">
        <f t="array" ref="K107">IFERROR(
  VALUE($H107) *
  VALUE(
    _xlfn.XLOOKUP(
      TRIM($F107) &amp; "|" &amp; LEFT(SUBSTITUTE($G107,CHAR(160)," "),5) &amp; "|Ideas Rate",
      TRIM(SUBSTITUTE($N$2:$N$38,CHAR(160)," ")) &amp; "|" &amp;
      LEFT(SUBSTITUTE($O$2:$O$38,CHAR(160)," "),5) &amp; "|" &amp;
      TRIM(SUBSTITUTE($P$2:$P$38,CHAR(160)," ")),
      $Q$2:$Q$38
    )
  ),
"")</f>
        <v/>
      </c>
    </row>
    <row r="108" spans="10:11" x14ac:dyDescent="0.2">
      <c r="J108" s="32" t="str" cm="1">
        <f t="array" ref="J108">IFERROR(
  VALUE($H108) *
  VALUE(
    _xlfn.XLOOKUP(
      TRIM($F108) &amp; "|" &amp; LEFT(SUBSTITUTE($G108,CHAR(160)," "),5) &amp; "|Reduced Rate",
      TRIM(SUBSTITUTE($N$2:$N$38,CHAR(160)," ")) &amp; "|" &amp;
      LEFT(SUBSTITUTE($O$2:$O$38,CHAR(160)," "),5) &amp; "|" &amp;
      TRIM(SUBSTITUTE($P$2:$P$38,CHAR(160)," ")),
      $Q$2:$Q$38
    )
  ),
"")</f>
        <v/>
      </c>
      <c r="K108" s="32" t="str" cm="1">
        <f t="array" ref="K108">IFERROR(
  VALUE($H108) *
  VALUE(
    _xlfn.XLOOKUP(
      TRIM($F108) &amp; "|" &amp; LEFT(SUBSTITUTE($G108,CHAR(160)," "),5) &amp; "|Ideas Rate",
      TRIM(SUBSTITUTE($N$2:$N$38,CHAR(160)," ")) &amp; "|" &amp;
      LEFT(SUBSTITUTE($O$2:$O$38,CHAR(160)," "),5) &amp; "|" &amp;
      TRIM(SUBSTITUTE($P$2:$P$38,CHAR(160)," ")),
      $Q$2:$Q$38
    )
  ),
"")</f>
        <v/>
      </c>
    </row>
    <row r="109" spans="10:11" x14ac:dyDescent="0.2">
      <c r="J109" s="32" t="str" cm="1">
        <f t="array" ref="J109">IFERROR(
  VALUE($H109) *
  VALUE(
    _xlfn.XLOOKUP(
      TRIM($F109) &amp; "|" &amp; LEFT(SUBSTITUTE($G109,CHAR(160)," "),5) &amp; "|Reduced Rate",
      TRIM(SUBSTITUTE($N$2:$N$38,CHAR(160)," ")) &amp; "|" &amp;
      LEFT(SUBSTITUTE($O$2:$O$38,CHAR(160)," "),5) &amp; "|" &amp;
      TRIM(SUBSTITUTE($P$2:$P$38,CHAR(160)," ")),
      $Q$2:$Q$38
    )
  ),
"")</f>
        <v/>
      </c>
      <c r="K109" s="32" t="str" cm="1">
        <f t="array" ref="K109">IFERROR(
  VALUE($H109) *
  VALUE(
    _xlfn.XLOOKUP(
      TRIM($F109) &amp; "|" &amp; LEFT(SUBSTITUTE($G109,CHAR(160)," "),5) &amp; "|Ideas Rate",
      TRIM(SUBSTITUTE($N$2:$N$38,CHAR(160)," ")) &amp; "|" &amp;
      LEFT(SUBSTITUTE($O$2:$O$38,CHAR(160)," "),5) &amp; "|" &amp;
      TRIM(SUBSTITUTE($P$2:$P$38,CHAR(160)," ")),
      $Q$2:$Q$38
    )
  ),
"")</f>
        <v/>
      </c>
    </row>
    <row r="110" spans="10:11" x14ac:dyDescent="0.2">
      <c r="J110" s="32" t="str" cm="1">
        <f t="array" ref="J110">IFERROR(
  VALUE($H110) *
  VALUE(
    _xlfn.XLOOKUP(
      TRIM($F110) &amp; "|" &amp; LEFT(SUBSTITUTE($G110,CHAR(160)," "),5) &amp; "|Reduced Rate",
      TRIM(SUBSTITUTE($N$2:$N$38,CHAR(160)," ")) &amp; "|" &amp;
      LEFT(SUBSTITUTE($O$2:$O$38,CHAR(160)," "),5) &amp; "|" &amp;
      TRIM(SUBSTITUTE($P$2:$P$38,CHAR(160)," ")),
      $Q$2:$Q$38
    )
  ),
"")</f>
        <v/>
      </c>
      <c r="K110" s="32" t="str" cm="1">
        <f t="array" ref="K110">IFERROR(
  VALUE($H110) *
  VALUE(
    _xlfn.XLOOKUP(
      TRIM($F110) &amp; "|" &amp; LEFT(SUBSTITUTE($G110,CHAR(160)," "),5) &amp; "|Ideas Rate",
      TRIM(SUBSTITUTE($N$2:$N$38,CHAR(160)," ")) &amp; "|" &amp;
      LEFT(SUBSTITUTE($O$2:$O$38,CHAR(160)," "),5) &amp; "|" &amp;
      TRIM(SUBSTITUTE($P$2:$P$38,CHAR(160)," ")),
      $Q$2:$Q$38
    )
  ),
"")</f>
        <v/>
      </c>
    </row>
    <row r="111" spans="10:11" x14ac:dyDescent="0.2">
      <c r="J111" s="32" t="str" cm="1">
        <f t="array" ref="J111">IFERROR(
  VALUE($H111) *
  VALUE(
    _xlfn.XLOOKUP(
      TRIM($F111) &amp; "|" &amp; LEFT(SUBSTITUTE($G111,CHAR(160)," "),5) &amp; "|Reduced Rate",
      TRIM(SUBSTITUTE($N$2:$N$38,CHAR(160)," ")) &amp; "|" &amp;
      LEFT(SUBSTITUTE($O$2:$O$38,CHAR(160)," "),5) &amp; "|" &amp;
      TRIM(SUBSTITUTE($P$2:$P$38,CHAR(160)," ")),
      $Q$2:$Q$38
    )
  ),
"")</f>
        <v/>
      </c>
      <c r="K111" s="32" t="str" cm="1">
        <f t="array" ref="K111">IFERROR(
  VALUE($H111) *
  VALUE(
    _xlfn.XLOOKUP(
      TRIM($F111) &amp; "|" &amp; LEFT(SUBSTITUTE($G111,CHAR(160)," "),5) &amp; "|Ideas Rate",
      TRIM(SUBSTITUTE($N$2:$N$38,CHAR(160)," ")) &amp; "|" &amp;
      LEFT(SUBSTITUTE($O$2:$O$38,CHAR(160)," "),5) &amp; "|" &amp;
      TRIM(SUBSTITUTE($P$2:$P$38,CHAR(160)," ")),
      $Q$2:$Q$38
    )
  ),
"")</f>
        <v/>
      </c>
    </row>
    <row r="112" spans="10:11" x14ac:dyDescent="0.2">
      <c r="J112" s="32" t="str" cm="1">
        <f t="array" ref="J112">IFERROR(
  VALUE($H112) *
  VALUE(
    _xlfn.XLOOKUP(
      TRIM($F112) &amp; "|" &amp; LEFT(SUBSTITUTE($G112,CHAR(160)," "),5) &amp; "|Reduced Rate",
      TRIM(SUBSTITUTE($N$2:$N$38,CHAR(160)," ")) &amp; "|" &amp;
      LEFT(SUBSTITUTE($O$2:$O$38,CHAR(160)," "),5) &amp; "|" &amp;
      TRIM(SUBSTITUTE($P$2:$P$38,CHAR(160)," ")),
      $Q$2:$Q$38
    )
  ),
"")</f>
        <v/>
      </c>
      <c r="K112" s="32" t="str" cm="1">
        <f t="array" ref="K112">IFERROR(
  VALUE($H112) *
  VALUE(
    _xlfn.XLOOKUP(
      TRIM($F112) &amp; "|" &amp; LEFT(SUBSTITUTE($G112,CHAR(160)," "),5) &amp; "|Ideas Rate",
      TRIM(SUBSTITUTE($N$2:$N$38,CHAR(160)," ")) &amp; "|" &amp;
      LEFT(SUBSTITUTE($O$2:$O$38,CHAR(160)," "),5) &amp; "|" &amp;
      TRIM(SUBSTITUTE($P$2:$P$38,CHAR(160)," ")),
      $Q$2:$Q$38
    )
  ),
"")</f>
        <v/>
      </c>
    </row>
    <row r="113" spans="10:11" x14ac:dyDescent="0.2">
      <c r="J113" s="32" t="str" cm="1">
        <f t="array" ref="J113">IFERROR(
  VALUE($H113) *
  VALUE(
    _xlfn.XLOOKUP(
      TRIM($F113) &amp; "|" &amp; LEFT(SUBSTITUTE($G113,CHAR(160)," "),5) &amp; "|Reduced Rate",
      TRIM(SUBSTITUTE($N$2:$N$38,CHAR(160)," ")) &amp; "|" &amp;
      LEFT(SUBSTITUTE($O$2:$O$38,CHAR(160)," "),5) &amp; "|" &amp;
      TRIM(SUBSTITUTE($P$2:$P$38,CHAR(160)," ")),
      $Q$2:$Q$38
    )
  ),
"")</f>
        <v/>
      </c>
      <c r="K113" s="32" t="str" cm="1">
        <f t="array" ref="K113">IFERROR(
  VALUE($H113) *
  VALUE(
    _xlfn.XLOOKUP(
      TRIM($F113) &amp; "|" &amp; LEFT(SUBSTITUTE($G113,CHAR(160)," "),5) &amp; "|Ideas Rate",
      TRIM(SUBSTITUTE($N$2:$N$38,CHAR(160)," ")) &amp; "|" &amp;
      LEFT(SUBSTITUTE($O$2:$O$38,CHAR(160)," "),5) &amp; "|" &amp;
      TRIM(SUBSTITUTE($P$2:$P$38,CHAR(160)," ")),
      $Q$2:$Q$38
    )
  ),
"")</f>
        <v/>
      </c>
    </row>
    <row r="114" spans="10:11" x14ac:dyDescent="0.2">
      <c r="J114" s="32" t="str" cm="1">
        <f t="array" ref="J114">IFERROR(
  VALUE($H114) *
  VALUE(
    _xlfn.XLOOKUP(
      TRIM($F114) &amp; "|" &amp; LEFT(SUBSTITUTE($G114,CHAR(160)," "),5) &amp; "|Reduced Rate",
      TRIM(SUBSTITUTE($N$2:$N$38,CHAR(160)," ")) &amp; "|" &amp;
      LEFT(SUBSTITUTE($O$2:$O$38,CHAR(160)," "),5) &amp; "|" &amp;
      TRIM(SUBSTITUTE($P$2:$P$38,CHAR(160)," ")),
      $Q$2:$Q$38
    )
  ),
"")</f>
        <v/>
      </c>
      <c r="K114" s="32" t="str" cm="1">
        <f t="array" ref="K114">IFERROR(
  VALUE($H114) *
  VALUE(
    _xlfn.XLOOKUP(
      TRIM($F114) &amp; "|" &amp; LEFT(SUBSTITUTE($G114,CHAR(160)," "),5) &amp; "|Ideas Rate",
      TRIM(SUBSTITUTE($N$2:$N$38,CHAR(160)," ")) &amp; "|" &amp;
      LEFT(SUBSTITUTE($O$2:$O$38,CHAR(160)," "),5) &amp; "|" &amp;
      TRIM(SUBSTITUTE($P$2:$P$38,CHAR(160)," ")),
      $Q$2:$Q$38
    )
  ),
"")</f>
        <v/>
      </c>
    </row>
    <row r="115" spans="10:11" x14ac:dyDescent="0.2">
      <c r="J115" s="32" t="str" cm="1">
        <f t="array" ref="J115">IFERROR(
  VALUE($H115) *
  VALUE(
    _xlfn.XLOOKUP(
      TRIM($F115) &amp; "|" &amp; LEFT(SUBSTITUTE($G115,CHAR(160)," "),5) &amp; "|Reduced Rate",
      TRIM(SUBSTITUTE($N$2:$N$38,CHAR(160)," ")) &amp; "|" &amp;
      LEFT(SUBSTITUTE($O$2:$O$38,CHAR(160)," "),5) &amp; "|" &amp;
      TRIM(SUBSTITUTE($P$2:$P$38,CHAR(160)," ")),
      $Q$2:$Q$38
    )
  ),
"")</f>
        <v/>
      </c>
      <c r="K115" s="32" t="str" cm="1">
        <f t="array" ref="K115">IFERROR(
  VALUE($H115) *
  VALUE(
    _xlfn.XLOOKUP(
      TRIM($F115) &amp; "|" &amp; LEFT(SUBSTITUTE($G115,CHAR(160)," "),5) &amp; "|Ideas Rate",
      TRIM(SUBSTITUTE($N$2:$N$38,CHAR(160)," ")) &amp; "|" &amp;
      LEFT(SUBSTITUTE($O$2:$O$38,CHAR(160)," "),5) &amp; "|" &amp;
      TRIM(SUBSTITUTE($P$2:$P$38,CHAR(160)," ")),
      $Q$2:$Q$38
    )
  ),
"")</f>
        <v/>
      </c>
    </row>
    <row r="116" spans="10:11" x14ac:dyDescent="0.2">
      <c r="J116" s="32" t="str" cm="1">
        <f t="array" ref="J116">IFERROR(
  VALUE($H116) *
  VALUE(
    _xlfn.XLOOKUP(
      TRIM($F116) &amp; "|" &amp; LEFT(SUBSTITUTE($G116,CHAR(160)," "),5) &amp; "|Reduced Rate",
      TRIM(SUBSTITUTE($N$2:$N$38,CHAR(160)," ")) &amp; "|" &amp;
      LEFT(SUBSTITUTE($O$2:$O$38,CHAR(160)," "),5) &amp; "|" &amp;
      TRIM(SUBSTITUTE($P$2:$P$38,CHAR(160)," ")),
      $Q$2:$Q$38
    )
  ),
"")</f>
        <v/>
      </c>
      <c r="K116" s="32" t="str" cm="1">
        <f t="array" ref="K116">IFERROR(
  VALUE($H116) *
  VALUE(
    _xlfn.XLOOKUP(
      TRIM($F116) &amp; "|" &amp; LEFT(SUBSTITUTE($G116,CHAR(160)," "),5) &amp; "|Ideas Rate",
      TRIM(SUBSTITUTE($N$2:$N$38,CHAR(160)," ")) &amp; "|" &amp;
      LEFT(SUBSTITUTE($O$2:$O$38,CHAR(160)," "),5) &amp; "|" &amp;
      TRIM(SUBSTITUTE($P$2:$P$38,CHAR(160)," ")),
      $Q$2:$Q$38
    )
  ),
"")</f>
        <v/>
      </c>
    </row>
    <row r="117" spans="10:11" x14ac:dyDescent="0.2">
      <c r="J117" s="32" t="str" cm="1">
        <f t="array" ref="J117">IFERROR(
  VALUE($H117) *
  VALUE(
    _xlfn.XLOOKUP(
      TRIM($F117) &amp; "|" &amp; LEFT(SUBSTITUTE($G117,CHAR(160)," "),5) &amp; "|Reduced Rate",
      TRIM(SUBSTITUTE($N$2:$N$38,CHAR(160)," ")) &amp; "|" &amp;
      LEFT(SUBSTITUTE($O$2:$O$38,CHAR(160)," "),5) &amp; "|" &amp;
      TRIM(SUBSTITUTE($P$2:$P$38,CHAR(160)," ")),
      $Q$2:$Q$38
    )
  ),
"")</f>
        <v/>
      </c>
      <c r="K117" s="32" t="str" cm="1">
        <f t="array" ref="K117">IFERROR(
  VALUE($H117) *
  VALUE(
    _xlfn.XLOOKUP(
      TRIM($F117) &amp; "|" &amp; LEFT(SUBSTITUTE($G117,CHAR(160)," "),5) &amp; "|Ideas Rate",
      TRIM(SUBSTITUTE($N$2:$N$38,CHAR(160)," ")) &amp; "|" &amp;
      LEFT(SUBSTITUTE($O$2:$O$38,CHAR(160)," "),5) &amp; "|" &amp;
      TRIM(SUBSTITUTE($P$2:$P$38,CHAR(160)," ")),
      $Q$2:$Q$38
    )
  ),
"")</f>
        <v/>
      </c>
    </row>
    <row r="118" spans="10:11" x14ac:dyDescent="0.2">
      <c r="J118" s="32" t="str" cm="1">
        <f t="array" ref="J118">IFERROR(
  VALUE($H118) *
  VALUE(
    _xlfn.XLOOKUP(
      TRIM($F118) &amp; "|" &amp; LEFT(SUBSTITUTE($G118,CHAR(160)," "),5) &amp; "|Reduced Rate",
      TRIM(SUBSTITUTE($N$2:$N$38,CHAR(160)," ")) &amp; "|" &amp;
      LEFT(SUBSTITUTE($O$2:$O$38,CHAR(160)," "),5) &amp; "|" &amp;
      TRIM(SUBSTITUTE($P$2:$P$38,CHAR(160)," ")),
      $Q$2:$Q$38
    )
  ),
"")</f>
        <v/>
      </c>
      <c r="K118" s="32" t="str" cm="1">
        <f t="array" ref="K118">IFERROR(
  VALUE($H118) *
  VALUE(
    _xlfn.XLOOKUP(
      TRIM($F118) &amp; "|" &amp; LEFT(SUBSTITUTE($G118,CHAR(160)," "),5) &amp; "|Ideas Rate",
      TRIM(SUBSTITUTE($N$2:$N$38,CHAR(160)," ")) &amp; "|" &amp;
      LEFT(SUBSTITUTE($O$2:$O$38,CHAR(160)," "),5) &amp; "|" &amp;
      TRIM(SUBSTITUTE($P$2:$P$38,CHAR(160)," ")),
      $Q$2:$Q$38
    )
  ),
"")</f>
        <v/>
      </c>
    </row>
    <row r="119" spans="10:11" x14ac:dyDescent="0.2">
      <c r="J119" s="32" t="str" cm="1">
        <f t="array" ref="J119">IFERROR(
  VALUE($H119) *
  VALUE(
    _xlfn.XLOOKUP(
      TRIM($F119) &amp; "|" &amp; LEFT(SUBSTITUTE($G119,CHAR(160)," "),5) &amp; "|Reduced Rate",
      TRIM(SUBSTITUTE($N$2:$N$38,CHAR(160)," ")) &amp; "|" &amp;
      LEFT(SUBSTITUTE($O$2:$O$38,CHAR(160)," "),5) &amp; "|" &amp;
      TRIM(SUBSTITUTE($P$2:$P$38,CHAR(160)," ")),
      $Q$2:$Q$38
    )
  ),
"")</f>
        <v/>
      </c>
      <c r="K119" s="32" t="str" cm="1">
        <f t="array" ref="K119">IFERROR(
  VALUE($H119) *
  VALUE(
    _xlfn.XLOOKUP(
      TRIM($F119) &amp; "|" &amp; LEFT(SUBSTITUTE($G119,CHAR(160)," "),5) &amp; "|Ideas Rate",
      TRIM(SUBSTITUTE($N$2:$N$38,CHAR(160)," ")) &amp; "|" &amp;
      LEFT(SUBSTITUTE($O$2:$O$38,CHAR(160)," "),5) &amp; "|" &amp;
      TRIM(SUBSTITUTE($P$2:$P$38,CHAR(160)," ")),
      $Q$2:$Q$38
    )
  ),
"")</f>
        <v/>
      </c>
    </row>
    <row r="120" spans="10:11" x14ac:dyDescent="0.2">
      <c r="J120" s="32" t="str" cm="1">
        <f t="array" ref="J120">IFERROR(
  VALUE($H120) *
  VALUE(
    _xlfn.XLOOKUP(
      TRIM($F120) &amp; "|" &amp; LEFT(SUBSTITUTE($G120,CHAR(160)," "),5) &amp; "|Reduced Rate",
      TRIM(SUBSTITUTE($N$2:$N$38,CHAR(160)," ")) &amp; "|" &amp;
      LEFT(SUBSTITUTE($O$2:$O$38,CHAR(160)," "),5) &amp; "|" &amp;
      TRIM(SUBSTITUTE($P$2:$P$38,CHAR(160)," ")),
      $Q$2:$Q$38
    )
  ),
"")</f>
        <v/>
      </c>
      <c r="K120" s="32" t="str" cm="1">
        <f t="array" ref="K120">IFERROR(
  VALUE($H120) *
  VALUE(
    _xlfn.XLOOKUP(
      TRIM($F120) &amp; "|" &amp; LEFT(SUBSTITUTE($G120,CHAR(160)," "),5) &amp; "|Ideas Rate",
      TRIM(SUBSTITUTE($N$2:$N$38,CHAR(160)," ")) &amp; "|" &amp;
      LEFT(SUBSTITUTE($O$2:$O$38,CHAR(160)," "),5) &amp; "|" &amp;
      TRIM(SUBSTITUTE($P$2:$P$38,CHAR(160)," ")),
      $Q$2:$Q$38
    )
  ),
"")</f>
        <v/>
      </c>
    </row>
    <row r="121" spans="10:11" x14ac:dyDescent="0.2">
      <c r="J121" s="32" t="str" cm="1">
        <f t="array" ref="J121">IFERROR(
  VALUE($H121) *
  VALUE(
    _xlfn.XLOOKUP(
      TRIM($F121) &amp; "|" &amp; LEFT(SUBSTITUTE($G121,CHAR(160)," "),5) &amp; "|Reduced Rate",
      TRIM(SUBSTITUTE($N$2:$N$38,CHAR(160)," ")) &amp; "|" &amp;
      LEFT(SUBSTITUTE($O$2:$O$38,CHAR(160)," "),5) &amp; "|" &amp;
      TRIM(SUBSTITUTE($P$2:$P$38,CHAR(160)," ")),
      $Q$2:$Q$38
    )
  ),
"")</f>
        <v/>
      </c>
      <c r="K121" s="32" t="str" cm="1">
        <f t="array" ref="K121">IFERROR(
  VALUE($H121) *
  VALUE(
    _xlfn.XLOOKUP(
      TRIM($F121) &amp; "|" &amp; LEFT(SUBSTITUTE($G121,CHAR(160)," "),5) &amp; "|Ideas Rate",
      TRIM(SUBSTITUTE($N$2:$N$38,CHAR(160)," ")) &amp; "|" &amp;
      LEFT(SUBSTITUTE($O$2:$O$38,CHAR(160)," "),5) &amp; "|" &amp;
      TRIM(SUBSTITUTE($P$2:$P$38,CHAR(160)," ")),
      $Q$2:$Q$38
    )
  ),
"")</f>
        <v/>
      </c>
    </row>
    <row r="122" spans="10:11" x14ac:dyDescent="0.2">
      <c r="J122" s="32" t="str" cm="1">
        <f t="array" ref="J122">IFERROR(
  VALUE($H122) *
  VALUE(
    _xlfn.XLOOKUP(
      TRIM($F122) &amp; "|" &amp; LEFT(SUBSTITUTE($G122,CHAR(160)," "),5) &amp; "|Reduced Rate",
      TRIM(SUBSTITUTE($N$2:$N$38,CHAR(160)," ")) &amp; "|" &amp;
      LEFT(SUBSTITUTE($O$2:$O$38,CHAR(160)," "),5) &amp; "|" &amp;
      TRIM(SUBSTITUTE($P$2:$P$38,CHAR(160)," ")),
      $Q$2:$Q$38
    )
  ),
"")</f>
        <v/>
      </c>
      <c r="K122" s="32" t="str" cm="1">
        <f t="array" ref="K122">IFERROR(
  VALUE($H122) *
  VALUE(
    _xlfn.XLOOKUP(
      TRIM($F122) &amp; "|" &amp; LEFT(SUBSTITUTE($G122,CHAR(160)," "),5) &amp; "|Ideas Rate",
      TRIM(SUBSTITUTE($N$2:$N$38,CHAR(160)," ")) &amp; "|" &amp;
      LEFT(SUBSTITUTE($O$2:$O$38,CHAR(160)," "),5) &amp; "|" &amp;
      TRIM(SUBSTITUTE($P$2:$P$38,CHAR(160)," ")),
      $Q$2:$Q$38
    )
  ),
"")</f>
        <v/>
      </c>
    </row>
    <row r="123" spans="10:11" x14ac:dyDescent="0.2">
      <c r="J123" s="32" t="str" cm="1">
        <f t="array" ref="J123">IFERROR(
  VALUE($H123) *
  VALUE(
    _xlfn.XLOOKUP(
      TRIM($F123) &amp; "|" &amp; LEFT(SUBSTITUTE($G123,CHAR(160)," "),5) &amp; "|Reduced Rate",
      TRIM(SUBSTITUTE($N$2:$N$38,CHAR(160)," ")) &amp; "|" &amp;
      LEFT(SUBSTITUTE($O$2:$O$38,CHAR(160)," "),5) &amp; "|" &amp;
      TRIM(SUBSTITUTE($P$2:$P$38,CHAR(160)," ")),
      $Q$2:$Q$38
    )
  ),
"")</f>
        <v/>
      </c>
      <c r="K123" s="32" t="str" cm="1">
        <f t="array" ref="K123">IFERROR(
  VALUE($H123) *
  VALUE(
    _xlfn.XLOOKUP(
      TRIM($F123) &amp; "|" &amp; LEFT(SUBSTITUTE($G123,CHAR(160)," "),5) &amp; "|Ideas Rate",
      TRIM(SUBSTITUTE($N$2:$N$38,CHAR(160)," ")) &amp; "|" &amp;
      LEFT(SUBSTITUTE($O$2:$O$38,CHAR(160)," "),5) &amp; "|" &amp;
      TRIM(SUBSTITUTE($P$2:$P$38,CHAR(160)," ")),
      $Q$2:$Q$38
    )
  ),
"")</f>
        <v/>
      </c>
    </row>
    <row r="124" spans="10:11" x14ac:dyDescent="0.2">
      <c r="J124" s="32" t="str" cm="1">
        <f t="array" ref="J124">IFERROR(
  VALUE($H124) *
  VALUE(
    _xlfn.XLOOKUP(
      TRIM($F124) &amp; "|" &amp; LEFT(SUBSTITUTE($G124,CHAR(160)," "),5) &amp; "|Reduced Rate",
      TRIM(SUBSTITUTE($N$2:$N$38,CHAR(160)," ")) &amp; "|" &amp;
      LEFT(SUBSTITUTE($O$2:$O$38,CHAR(160)," "),5) &amp; "|" &amp;
      TRIM(SUBSTITUTE($P$2:$P$38,CHAR(160)," ")),
      $Q$2:$Q$38
    )
  ),
"")</f>
        <v/>
      </c>
      <c r="K124" s="32" t="str" cm="1">
        <f t="array" ref="K124">IFERROR(
  VALUE($H124) *
  VALUE(
    _xlfn.XLOOKUP(
      TRIM($F124) &amp; "|" &amp; LEFT(SUBSTITUTE($G124,CHAR(160)," "),5) &amp; "|Ideas Rate",
      TRIM(SUBSTITUTE($N$2:$N$38,CHAR(160)," ")) &amp; "|" &amp;
      LEFT(SUBSTITUTE($O$2:$O$38,CHAR(160)," "),5) &amp; "|" &amp;
      TRIM(SUBSTITUTE($P$2:$P$38,CHAR(160)," ")),
      $Q$2:$Q$38
    )
  ),
"")</f>
        <v/>
      </c>
    </row>
    <row r="125" spans="10:11" x14ac:dyDescent="0.2">
      <c r="J125" s="32" t="str" cm="1">
        <f t="array" ref="J125">IFERROR(
  VALUE($H125) *
  VALUE(
    _xlfn.XLOOKUP(
      TRIM($F125) &amp; "|" &amp; LEFT(SUBSTITUTE($G125,CHAR(160)," "),5) &amp; "|Reduced Rate",
      TRIM(SUBSTITUTE($N$2:$N$38,CHAR(160)," ")) &amp; "|" &amp;
      LEFT(SUBSTITUTE($O$2:$O$38,CHAR(160)," "),5) &amp; "|" &amp;
      TRIM(SUBSTITUTE($P$2:$P$38,CHAR(160)," ")),
      $Q$2:$Q$38
    )
  ),
"")</f>
        <v/>
      </c>
      <c r="K125" s="32" t="str" cm="1">
        <f t="array" ref="K125">IFERROR(
  VALUE($H125) *
  VALUE(
    _xlfn.XLOOKUP(
      TRIM($F125) &amp; "|" &amp; LEFT(SUBSTITUTE($G125,CHAR(160)," "),5) &amp; "|Ideas Rate",
      TRIM(SUBSTITUTE($N$2:$N$38,CHAR(160)," ")) &amp; "|" &amp;
      LEFT(SUBSTITUTE($O$2:$O$38,CHAR(160)," "),5) &amp; "|" &amp;
      TRIM(SUBSTITUTE($P$2:$P$38,CHAR(160)," ")),
      $Q$2:$Q$38
    )
  ),
"")</f>
        <v/>
      </c>
    </row>
    <row r="126" spans="10:11" x14ac:dyDescent="0.2">
      <c r="J126" s="32" t="str" cm="1">
        <f t="array" ref="J126">IFERROR(
  VALUE($H126) *
  VALUE(
    _xlfn.XLOOKUP(
      TRIM($F126) &amp; "|" &amp; LEFT(SUBSTITUTE($G126,CHAR(160)," "),5) &amp; "|Reduced Rate",
      TRIM(SUBSTITUTE($N$2:$N$38,CHAR(160)," ")) &amp; "|" &amp;
      LEFT(SUBSTITUTE($O$2:$O$38,CHAR(160)," "),5) &amp; "|" &amp;
      TRIM(SUBSTITUTE($P$2:$P$38,CHAR(160)," ")),
      $Q$2:$Q$38
    )
  ),
"")</f>
        <v/>
      </c>
      <c r="K126" s="32" t="str" cm="1">
        <f t="array" ref="K126">IFERROR(
  VALUE($H126) *
  VALUE(
    _xlfn.XLOOKUP(
      TRIM($F126) &amp; "|" &amp; LEFT(SUBSTITUTE($G126,CHAR(160)," "),5) &amp; "|Ideas Rate",
      TRIM(SUBSTITUTE($N$2:$N$38,CHAR(160)," ")) &amp; "|" &amp;
      LEFT(SUBSTITUTE($O$2:$O$38,CHAR(160)," "),5) &amp; "|" &amp;
      TRIM(SUBSTITUTE($P$2:$P$38,CHAR(160)," ")),
      $Q$2:$Q$38
    )
  ),
"")</f>
        <v/>
      </c>
    </row>
    <row r="127" spans="10:11" x14ac:dyDescent="0.2">
      <c r="J127" s="32" t="str" cm="1">
        <f t="array" ref="J127">IFERROR(
  VALUE($H127) *
  VALUE(
    _xlfn.XLOOKUP(
      TRIM($F127) &amp; "|" &amp; LEFT(SUBSTITUTE($G127,CHAR(160)," "),5) &amp; "|Reduced Rate",
      TRIM(SUBSTITUTE($N$2:$N$38,CHAR(160)," ")) &amp; "|" &amp;
      LEFT(SUBSTITUTE($O$2:$O$38,CHAR(160)," "),5) &amp; "|" &amp;
      TRIM(SUBSTITUTE($P$2:$P$38,CHAR(160)," ")),
      $Q$2:$Q$38
    )
  ),
"")</f>
        <v/>
      </c>
      <c r="K127" s="32" t="str" cm="1">
        <f t="array" ref="K127">IFERROR(
  VALUE($H127) *
  VALUE(
    _xlfn.XLOOKUP(
      TRIM($F127) &amp; "|" &amp; LEFT(SUBSTITUTE($G127,CHAR(160)," "),5) &amp; "|Ideas Rate",
      TRIM(SUBSTITUTE($N$2:$N$38,CHAR(160)," ")) &amp; "|" &amp;
      LEFT(SUBSTITUTE($O$2:$O$38,CHAR(160)," "),5) &amp; "|" &amp;
      TRIM(SUBSTITUTE($P$2:$P$38,CHAR(160)," ")),
      $Q$2:$Q$38
    )
  ),
"")</f>
        <v/>
      </c>
    </row>
    <row r="128" spans="10:11" x14ac:dyDescent="0.2">
      <c r="J128" s="32" t="str" cm="1">
        <f t="array" ref="J128">IFERROR(
  VALUE($H128) *
  VALUE(
    _xlfn.XLOOKUP(
      TRIM($F128) &amp; "|" &amp; LEFT(SUBSTITUTE($G128,CHAR(160)," "),5) &amp; "|Reduced Rate",
      TRIM(SUBSTITUTE($N$2:$N$38,CHAR(160)," ")) &amp; "|" &amp;
      LEFT(SUBSTITUTE($O$2:$O$38,CHAR(160)," "),5) &amp; "|" &amp;
      TRIM(SUBSTITUTE($P$2:$P$38,CHAR(160)," ")),
      $Q$2:$Q$38
    )
  ),
"")</f>
        <v/>
      </c>
      <c r="K128" s="32" t="str" cm="1">
        <f t="array" ref="K128">IFERROR(
  VALUE($H128) *
  VALUE(
    _xlfn.XLOOKUP(
      TRIM($F128) &amp; "|" &amp; LEFT(SUBSTITUTE($G128,CHAR(160)," "),5) &amp; "|Ideas Rate",
      TRIM(SUBSTITUTE($N$2:$N$38,CHAR(160)," ")) &amp; "|" &amp;
      LEFT(SUBSTITUTE($O$2:$O$38,CHAR(160)," "),5) &amp; "|" &amp;
      TRIM(SUBSTITUTE($P$2:$P$38,CHAR(160)," ")),
      $Q$2:$Q$38
    )
  ),
"")</f>
        <v/>
      </c>
    </row>
    <row r="129" spans="10:11" x14ac:dyDescent="0.2">
      <c r="J129" s="32" t="str" cm="1">
        <f t="array" ref="J129">IFERROR(
  VALUE($H129) *
  VALUE(
    _xlfn.XLOOKUP(
      TRIM($F129) &amp; "|" &amp; LEFT(SUBSTITUTE($G129,CHAR(160)," "),5) &amp; "|Reduced Rate",
      TRIM(SUBSTITUTE($N$2:$N$38,CHAR(160)," ")) &amp; "|" &amp;
      LEFT(SUBSTITUTE($O$2:$O$38,CHAR(160)," "),5) &amp; "|" &amp;
      TRIM(SUBSTITUTE($P$2:$P$38,CHAR(160)," ")),
      $Q$2:$Q$38
    )
  ),
"")</f>
        <v/>
      </c>
      <c r="K129" s="32" t="str" cm="1">
        <f t="array" ref="K129">IFERROR(
  VALUE($H129) *
  VALUE(
    _xlfn.XLOOKUP(
      TRIM($F129) &amp; "|" &amp; LEFT(SUBSTITUTE($G129,CHAR(160)," "),5) &amp; "|Ideas Rate",
      TRIM(SUBSTITUTE($N$2:$N$38,CHAR(160)," ")) &amp; "|" &amp;
      LEFT(SUBSTITUTE($O$2:$O$38,CHAR(160)," "),5) &amp; "|" &amp;
      TRIM(SUBSTITUTE($P$2:$P$38,CHAR(160)," ")),
      $Q$2:$Q$38
    )
  ),
"")</f>
        <v/>
      </c>
    </row>
    <row r="130" spans="10:11" x14ac:dyDescent="0.2">
      <c r="J130" s="32" t="str" cm="1">
        <f t="array" ref="J130">IFERROR(
  VALUE($H130) *
  VALUE(
    _xlfn.XLOOKUP(
      TRIM($F130) &amp; "|" &amp; LEFT(SUBSTITUTE($G130,CHAR(160)," "),5) &amp; "|Reduced Rate",
      TRIM(SUBSTITUTE($N$2:$N$38,CHAR(160)," ")) &amp; "|" &amp;
      LEFT(SUBSTITUTE($O$2:$O$38,CHAR(160)," "),5) &amp; "|" &amp;
      TRIM(SUBSTITUTE($P$2:$P$38,CHAR(160)," ")),
      $Q$2:$Q$38
    )
  ),
"")</f>
        <v/>
      </c>
      <c r="K130" s="32" t="str" cm="1">
        <f t="array" ref="K130">IFERROR(
  VALUE($H130) *
  VALUE(
    _xlfn.XLOOKUP(
      TRIM($F130) &amp; "|" &amp; LEFT(SUBSTITUTE($G130,CHAR(160)," "),5) &amp; "|Ideas Rate",
      TRIM(SUBSTITUTE($N$2:$N$38,CHAR(160)," ")) &amp; "|" &amp;
      LEFT(SUBSTITUTE($O$2:$O$38,CHAR(160)," "),5) &amp; "|" &amp;
      TRIM(SUBSTITUTE($P$2:$P$38,CHAR(160)," ")),
      $Q$2:$Q$38
    )
  ),
"")</f>
        <v/>
      </c>
    </row>
    <row r="131" spans="10:11" x14ac:dyDescent="0.2">
      <c r="J131" s="32" t="str" cm="1">
        <f t="array" ref="J131">IFERROR(
  VALUE($H131) *
  VALUE(
    _xlfn.XLOOKUP(
      TRIM($F131) &amp; "|" &amp; LEFT(SUBSTITUTE($G131,CHAR(160)," "),5) &amp; "|Reduced Rate",
      TRIM(SUBSTITUTE($N$2:$N$38,CHAR(160)," ")) &amp; "|" &amp;
      LEFT(SUBSTITUTE($O$2:$O$38,CHAR(160)," "),5) &amp; "|" &amp;
      TRIM(SUBSTITUTE($P$2:$P$38,CHAR(160)," ")),
      $Q$2:$Q$38
    )
  ),
"")</f>
        <v/>
      </c>
      <c r="K131" s="32" t="str" cm="1">
        <f t="array" ref="K131">IFERROR(
  VALUE($H131) *
  VALUE(
    _xlfn.XLOOKUP(
      TRIM($F131) &amp; "|" &amp; LEFT(SUBSTITUTE($G131,CHAR(160)," "),5) &amp; "|Ideas Rate",
      TRIM(SUBSTITUTE($N$2:$N$38,CHAR(160)," ")) &amp; "|" &amp;
      LEFT(SUBSTITUTE($O$2:$O$38,CHAR(160)," "),5) &amp; "|" &amp;
      TRIM(SUBSTITUTE($P$2:$P$38,CHAR(160)," ")),
      $Q$2:$Q$38
    )
  ),
"")</f>
        <v/>
      </c>
    </row>
    <row r="132" spans="10:11" x14ac:dyDescent="0.2">
      <c r="J132" s="32" t="str" cm="1">
        <f t="array" ref="J132">IFERROR(
  VALUE($H132) *
  VALUE(
    _xlfn.XLOOKUP(
      TRIM($F132) &amp; "|" &amp; LEFT(SUBSTITUTE($G132,CHAR(160)," "),5) &amp; "|Reduced Rate",
      TRIM(SUBSTITUTE($N$2:$N$38,CHAR(160)," ")) &amp; "|" &amp;
      LEFT(SUBSTITUTE($O$2:$O$38,CHAR(160)," "),5) &amp; "|" &amp;
      TRIM(SUBSTITUTE($P$2:$P$38,CHAR(160)," ")),
      $Q$2:$Q$38
    )
  ),
"")</f>
        <v/>
      </c>
      <c r="K132" s="32" t="str" cm="1">
        <f t="array" ref="K132">IFERROR(
  VALUE($H132) *
  VALUE(
    _xlfn.XLOOKUP(
      TRIM($F132) &amp; "|" &amp; LEFT(SUBSTITUTE($G132,CHAR(160)," "),5) &amp; "|Ideas Rate",
      TRIM(SUBSTITUTE($N$2:$N$38,CHAR(160)," ")) &amp; "|" &amp;
      LEFT(SUBSTITUTE($O$2:$O$38,CHAR(160)," "),5) &amp; "|" &amp;
      TRIM(SUBSTITUTE($P$2:$P$38,CHAR(160)," ")),
      $Q$2:$Q$38
    )
  ),
"")</f>
        <v/>
      </c>
    </row>
    <row r="133" spans="10:11" x14ac:dyDescent="0.2">
      <c r="J133" s="32" t="str" cm="1">
        <f t="array" ref="J133">IFERROR(
  VALUE($H133) *
  VALUE(
    _xlfn.XLOOKUP(
      TRIM($F133) &amp; "|" &amp; LEFT(SUBSTITUTE($G133,CHAR(160)," "),5) &amp; "|Reduced Rate",
      TRIM(SUBSTITUTE($N$2:$N$38,CHAR(160)," ")) &amp; "|" &amp;
      LEFT(SUBSTITUTE($O$2:$O$38,CHAR(160)," "),5) &amp; "|" &amp;
      TRIM(SUBSTITUTE($P$2:$P$38,CHAR(160)," ")),
      $Q$2:$Q$38
    )
  ),
"")</f>
        <v/>
      </c>
      <c r="K133" s="32" t="str" cm="1">
        <f t="array" ref="K133">IFERROR(
  VALUE($H133) *
  VALUE(
    _xlfn.XLOOKUP(
      TRIM($F133) &amp; "|" &amp; LEFT(SUBSTITUTE($G133,CHAR(160)," "),5) &amp; "|Ideas Rate",
      TRIM(SUBSTITUTE($N$2:$N$38,CHAR(160)," ")) &amp; "|" &amp;
      LEFT(SUBSTITUTE($O$2:$O$38,CHAR(160)," "),5) &amp; "|" &amp;
      TRIM(SUBSTITUTE($P$2:$P$38,CHAR(160)," ")),
      $Q$2:$Q$38
    )
  ),
"")</f>
        <v/>
      </c>
    </row>
    <row r="134" spans="10:11" x14ac:dyDescent="0.2">
      <c r="J134" s="32" t="str" cm="1">
        <f t="array" ref="J134">IFERROR(
  VALUE($H134) *
  VALUE(
    _xlfn.XLOOKUP(
      TRIM($F134) &amp; "|" &amp; LEFT(SUBSTITUTE($G134,CHAR(160)," "),5) &amp; "|Reduced Rate",
      TRIM(SUBSTITUTE($N$2:$N$38,CHAR(160)," ")) &amp; "|" &amp;
      LEFT(SUBSTITUTE($O$2:$O$38,CHAR(160)," "),5) &amp; "|" &amp;
      TRIM(SUBSTITUTE($P$2:$P$38,CHAR(160)," ")),
      $Q$2:$Q$38
    )
  ),
"")</f>
        <v/>
      </c>
      <c r="K134" s="32" t="str" cm="1">
        <f t="array" ref="K134">IFERROR(
  VALUE($H134) *
  VALUE(
    _xlfn.XLOOKUP(
      TRIM($F134) &amp; "|" &amp; LEFT(SUBSTITUTE($G134,CHAR(160)," "),5) &amp; "|Ideas Rate",
      TRIM(SUBSTITUTE($N$2:$N$38,CHAR(160)," ")) &amp; "|" &amp;
      LEFT(SUBSTITUTE($O$2:$O$38,CHAR(160)," "),5) &amp; "|" &amp;
      TRIM(SUBSTITUTE($P$2:$P$38,CHAR(160)," ")),
      $Q$2:$Q$38
    )
  ),
"")</f>
        <v/>
      </c>
    </row>
    <row r="135" spans="10:11" x14ac:dyDescent="0.2">
      <c r="J135" s="32" t="str" cm="1">
        <f t="array" ref="J135">IFERROR(
  VALUE($H135) *
  VALUE(
    _xlfn.XLOOKUP(
      TRIM($F135) &amp; "|" &amp; LEFT(SUBSTITUTE($G135,CHAR(160)," "),5) &amp; "|Reduced Rate",
      TRIM(SUBSTITUTE($N$2:$N$38,CHAR(160)," ")) &amp; "|" &amp;
      LEFT(SUBSTITUTE($O$2:$O$38,CHAR(160)," "),5) &amp; "|" &amp;
      TRIM(SUBSTITUTE($P$2:$P$38,CHAR(160)," ")),
      $Q$2:$Q$38
    )
  ),
"")</f>
        <v/>
      </c>
      <c r="K135" s="32" t="str" cm="1">
        <f t="array" ref="K135">IFERROR(
  VALUE($H135) *
  VALUE(
    _xlfn.XLOOKUP(
      TRIM($F135) &amp; "|" &amp; LEFT(SUBSTITUTE($G135,CHAR(160)," "),5) &amp; "|Ideas Rate",
      TRIM(SUBSTITUTE($N$2:$N$38,CHAR(160)," ")) &amp; "|" &amp;
      LEFT(SUBSTITUTE($O$2:$O$38,CHAR(160)," "),5) &amp; "|" &amp;
      TRIM(SUBSTITUTE($P$2:$P$38,CHAR(160)," ")),
      $Q$2:$Q$38
    )
  ),
"")</f>
        <v/>
      </c>
    </row>
    <row r="136" spans="10:11" x14ac:dyDescent="0.2">
      <c r="J136" s="32" t="str" cm="1">
        <f t="array" ref="J136">IFERROR(
  VALUE($H136) *
  VALUE(
    _xlfn.XLOOKUP(
      TRIM($F136) &amp; "|" &amp; LEFT(SUBSTITUTE($G136,CHAR(160)," "),5) &amp; "|Reduced Rate",
      TRIM(SUBSTITUTE($N$2:$N$38,CHAR(160)," ")) &amp; "|" &amp;
      LEFT(SUBSTITUTE($O$2:$O$38,CHAR(160)," "),5) &amp; "|" &amp;
      TRIM(SUBSTITUTE($P$2:$P$38,CHAR(160)," ")),
      $Q$2:$Q$38
    )
  ),
"")</f>
        <v/>
      </c>
      <c r="K136" s="32" t="str" cm="1">
        <f t="array" ref="K136">IFERROR(
  VALUE($H136) *
  VALUE(
    _xlfn.XLOOKUP(
      TRIM($F136) &amp; "|" &amp; LEFT(SUBSTITUTE($G136,CHAR(160)," "),5) &amp; "|Ideas Rate",
      TRIM(SUBSTITUTE($N$2:$N$38,CHAR(160)," ")) &amp; "|" &amp;
      LEFT(SUBSTITUTE($O$2:$O$38,CHAR(160)," "),5) &amp; "|" &amp;
      TRIM(SUBSTITUTE($P$2:$P$38,CHAR(160)," ")),
      $Q$2:$Q$38
    )
  ),
"")</f>
        <v/>
      </c>
    </row>
    <row r="137" spans="10:11" x14ac:dyDescent="0.2">
      <c r="J137" s="32" t="str" cm="1">
        <f t="array" ref="J137">IFERROR(
  VALUE($H137) *
  VALUE(
    _xlfn.XLOOKUP(
      TRIM($F137) &amp; "|" &amp; LEFT(SUBSTITUTE($G137,CHAR(160)," "),5) &amp; "|Reduced Rate",
      TRIM(SUBSTITUTE($N$2:$N$38,CHAR(160)," ")) &amp; "|" &amp;
      LEFT(SUBSTITUTE($O$2:$O$38,CHAR(160)," "),5) &amp; "|" &amp;
      TRIM(SUBSTITUTE($P$2:$P$38,CHAR(160)," ")),
      $Q$2:$Q$38
    )
  ),
"")</f>
        <v/>
      </c>
      <c r="K137" s="32" t="str" cm="1">
        <f t="array" ref="K137">IFERROR(
  VALUE($H137) *
  VALUE(
    _xlfn.XLOOKUP(
      TRIM($F137) &amp; "|" &amp; LEFT(SUBSTITUTE($G137,CHAR(160)," "),5) &amp; "|Ideas Rate",
      TRIM(SUBSTITUTE($N$2:$N$38,CHAR(160)," ")) &amp; "|" &amp;
      LEFT(SUBSTITUTE($O$2:$O$38,CHAR(160)," "),5) &amp; "|" &amp;
      TRIM(SUBSTITUTE($P$2:$P$38,CHAR(160)," ")),
      $Q$2:$Q$38
    )
  ),
"")</f>
        <v/>
      </c>
    </row>
    <row r="138" spans="10:11" x14ac:dyDescent="0.2">
      <c r="J138" s="32" t="str" cm="1">
        <f t="array" ref="J138">IFERROR(
  VALUE($H138) *
  VALUE(
    _xlfn.XLOOKUP(
      TRIM($F138) &amp; "|" &amp; LEFT(SUBSTITUTE($G138,CHAR(160)," "),5) &amp; "|Reduced Rate",
      TRIM(SUBSTITUTE($N$2:$N$38,CHAR(160)," ")) &amp; "|" &amp;
      LEFT(SUBSTITUTE($O$2:$O$38,CHAR(160)," "),5) &amp; "|" &amp;
      TRIM(SUBSTITUTE($P$2:$P$38,CHAR(160)," ")),
      $Q$2:$Q$38
    )
  ),
"")</f>
        <v/>
      </c>
      <c r="K138" s="32" t="str" cm="1">
        <f t="array" ref="K138">IFERROR(
  VALUE($H138) *
  VALUE(
    _xlfn.XLOOKUP(
      TRIM($F138) &amp; "|" &amp; LEFT(SUBSTITUTE($G138,CHAR(160)," "),5) &amp; "|Ideas Rate",
      TRIM(SUBSTITUTE($N$2:$N$38,CHAR(160)," ")) &amp; "|" &amp;
      LEFT(SUBSTITUTE($O$2:$O$38,CHAR(160)," "),5) &amp; "|" &amp;
      TRIM(SUBSTITUTE($P$2:$P$38,CHAR(160)," ")),
      $Q$2:$Q$38
    )
  ),
"")</f>
        <v/>
      </c>
    </row>
    <row r="139" spans="10:11" x14ac:dyDescent="0.2">
      <c r="J139" s="32" t="str" cm="1">
        <f t="array" ref="J139">IFERROR(
  VALUE($H139) *
  VALUE(
    _xlfn.XLOOKUP(
      TRIM($F139) &amp; "|" &amp; LEFT(SUBSTITUTE($G139,CHAR(160)," "),5) &amp; "|Reduced Rate",
      TRIM(SUBSTITUTE($N$2:$N$38,CHAR(160)," ")) &amp; "|" &amp;
      LEFT(SUBSTITUTE($O$2:$O$38,CHAR(160)," "),5) &amp; "|" &amp;
      TRIM(SUBSTITUTE($P$2:$P$38,CHAR(160)," ")),
      $Q$2:$Q$38
    )
  ),
"")</f>
        <v/>
      </c>
      <c r="K139" s="32" t="str" cm="1">
        <f t="array" ref="K139">IFERROR(
  VALUE($H139) *
  VALUE(
    _xlfn.XLOOKUP(
      TRIM($F139) &amp; "|" &amp; LEFT(SUBSTITUTE($G139,CHAR(160)," "),5) &amp; "|Ideas Rate",
      TRIM(SUBSTITUTE($N$2:$N$38,CHAR(160)," ")) &amp; "|" &amp;
      LEFT(SUBSTITUTE($O$2:$O$38,CHAR(160)," "),5) &amp; "|" &amp;
      TRIM(SUBSTITUTE($P$2:$P$38,CHAR(160)," ")),
      $Q$2:$Q$38
    )
  ),
"")</f>
        <v/>
      </c>
    </row>
    <row r="140" spans="10:11" x14ac:dyDescent="0.2">
      <c r="J140" s="32" t="str" cm="1">
        <f t="array" ref="J140">IFERROR(
  VALUE($H140) *
  VALUE(
    _xlfn.XLOOKUP(
      TRIM($F140) &amp; "|" &amp; LEFT(SUBSTITUTE($G140,CHAR(160)," "),5) &amp; "|Reduced Rate",
      TRIM(SUBSTITUTE($N$2:$N$38,CHAR(160)," ")) &amp; "|" &amp;
      LEFT(SUBSTITUTE($O$2:$O$38,CHAR(160)," "),5) &amp; "|" &amp;
      TRIM(SUBSTITUTE($P$2:$P$38,CHAR(160)," ")),
      $Q$2:$Q$38
    )
  ),
"")</f>
        <v/>
      </c>
      <c r="K140" s="32" t="str" cm="1">
        <f t="array" ref="K140">IFERROR(
  VALUE($H140) *
  VALUE(
    _xlfn.XLOOKUP(
      TRIM($F140) &amp; "|" &amp; LEFT(SUBSTITUTE($G140,CHAR(160)," "),5) &amp; "|Ideas Rate",
      TRIM(SUBSTITUTE($N$2:$N$38,CHAR(160)," ")) &amp; "|" &amp;
      LEFT(SUBSTITUTE($O$2:$O$38,CHAR(160)," "),5) &amp; "|" &amp;
      TRIM(SUBSTITUTE($P$2:$P$38,CHAR(160)," ")),
      $Q$2:$Q$38
    )
  ),
"")</f>
        <v/>
      </c>
    </row>
    <row r="141" spans="10:11" x14ac:dyDescent="0.2">
      <c r="J141" s="32" t="str" cm="1">
        <f t="array" ref="J141">IFERROR(
  VALUE($H141) *
  VALUE(
    _xlfn.XLOOKUP(
      TRIM($F141) &amp; "|" &amp; LEFT(SUBSTITUTE($G141,CHAR(160)," "),5) &amp; "|Reduced Rate",
      TRIM(SUBSTITUTE($N$2:$N$38,CHAR(160)," ")) &amp; "|" &amp;
      LEFT(SUBSTITUTE($O$2:$O$38,CHAR(160)," "),5) &amp; "|" &amp;
      TRIM(SUBSTITUTE($P$2:$P$38,CHAR(160)," ")),
      $Q$2:$Q$38
    )
  ),
"")</f>
        <v/>
      </c>
      <c r="K141" s="32" t="str" cm="1">
        <f t="array" ref="K141">IFERROR(
  VALUE($H141) *
  VALUE(
    _xlfn.XLOOKUP(
      TRIM($F141) &amp; "|" &amp; LEFT(SUBSTITUTE($G141,CHAR(160)," "),5) &amp; "|Ideas Rate",
      TRIM(SUBSTITUTE($N$2:$N$38,CHAR(160)," ")) &amp; "|" &amp;
      LEFT(SUBSTITUTE($O$2:$O$38,CHAR(160)," "),5) &amp; "|" &amp;
      TRIM(SUBSTITUTE($P$2:$P$38,CHAR(160)," ")),
      $Q$2:$Q$38
    )
  ),
"")</f>
        <v/>
      </c>
    </row>
    <row r="142" spans="10:11" x14ac:dyDescent="0.2">
      <c r="J142" s="32" t="str" cm="1">
        <f t="array" ref="J142">IFERROR(
  VALUE($H142) *
  VALUE(
    _xlfn.XLOOKUP(
      TRIM($F142) &amp; "|" &amp; LEFT(SUBSTITUTE($G142,CHAR(160)," "),5) &amp; "|Reduced Rate",
      TRIM(SUBSTITUTE($N$2:$N$38,CHAR(160)," ")) &amp; "|" &amp;
      LEFT(SUBSTITUTE($O$2:$O$38,CHAR(160)," "),5) &amp; "|" &amp;
      TRIM(SUBSTITUTE($P$2:$P$38,CHAR(160)," ")),
      $Q$2:$Q$38
    )
  ),
"")</f>
        <v/>
      </c>
      <c r="K142" s="32" t="str" cm="1">
        <f t="array" ref="K142">IFERROR(
  VALUE($H142) *
  VALUE(
    _xlfn.XLOOKUP(
      TRIM($F142) &amp; "|" &amp; LEFT(SUBSTITUTE($G142,CHAR(160)," "),5) &amp; "|Ideas Rate",
      TRIM(SUBSTITUTE($N$2:$N$38,CHAR(160)," ")) &amp; "|" &amp;
      LEFT(SUBSTITUTE($O$2:$O$38,CHAR(160)," "),5) &amp; "|" &amp;
      TRIM(SUBSTITUTE($P$2:$P$38,CHAR(160)," ")),
      $Q$2:$Q$38
    )
  ),
"")</f>
        <v/>
      </c>
    </row>
    <row r="143" spans="10:11" x14ac:dyDescent="0.2">
      <c r="J143" s="32" t="str" cm="1">
        <f t="array" ref="J143">IFERROR(
  VALUE($H143) *
  VALUE(
    _xlfn.XLOOKUP(
      TRIM($F143) &amp; "|" &amp; LEFT(SUBSTITUTE($G143,CHAR(160)," "),5) &amp; "|Reduced Rate",
      TRIM(SUBSTITUTE($N$2:$N$38,CHAR(160)," ")) &amp; "|" &amp;
      LEFT(SUBSTITUTE($O$2:$O$38,CHAR(160)," "),5) &amp; "|" &amp;
      TRIM(SUBSTITUTE($P$2:$P$38,CHAR(160)," ")),
      $Q$2:$Q$38
    )
  ),
"")</f>
        <v/>
      </c>
      <c r="K143" s="32" t="str" cm="1">
        <f t="array" ref="K143">IFERROR(
  VALUE($H143) *
  VALUE(
    _xlfn.XLOOKUP(
      TRIM($F143) &amp; "|" &amp; LEFT(SUBSTITUTE($G143,CHAR(160)," "),5) &amp; "|Ideas Rate",
      TRIM(SUBSTITUTE($N$2:$N$38,CHAR(160)," ")) &amp; "|" &amp;
      LEFT(SUBSTITUTE($O$2:$O$38,CHAR(160)," "),5) &amp; "|" &amp;
      TRIM(SUBSTITUTE($P$2:$P$38,CHAR(160)," ")),
      $Q$2:$Q$38
    )
  ),
"")</f>
        <v/>
      </c>
    </row>
    <row r="144" spans="10:11" x14ac:dyDescent="0.2">
      <c r="J144" s="32" t="str" cm="1">
        <f t="array" ref="J144">IFERROR(
  VALUE($H144) *
  VALUE(
    _xlfn.XLOOKUP(
      TRIM($F144) &amp; "|" &amp; LEFT(SUBSTITUTE($G144,CHAR(160)," "),5) &amp; "|Reduced Rate",
      TRIM(SUBSTITUTE($N$2:$N$38,CHAR(160)," ")) &amp; "|" &amp;
      LEFT(SUBSTITUTE($O$2:$O$38,CHAR(160)," "),5) &amp; "|" &amp;
      TRIM(SUBSTITUTE($P$2:$P$38,CHAR(160)," ")),
      $Q$2:$Q$38
    )
  ),
"")</f>
        <v/>
      </c>
      <c r="K144" s="32" t="str" cm="1">
        <f t="array" ref="K144">IFERROR(
  VALUE($H144) *
  VALUE(
    _xlfn.XLOOKUP(
      TRIM($F144) &amp; "|" &amp; LEFT(SUBSTITUTE($G144,CHAR(160)," "),5) &amp; "|Ideas Rate",
      TRIM(SUBSTITUTE($N$2:$N$38,CHAR(160)," ")) &amp; "|" &amp;
      LEFT(SUBSTITUTE($O$2:$O$38,CHAR(160)," "),5) &amp; "|" &amp;
      TRIM(SUBSTITUTE($P$2:$P$38,CHAR(160)," ")),
      $Q$2:$Q$38
    )
  ),
"")</f>
        <v/>
      </c>
    </row>
    <row r="145" spans="10:11" x14ac:dyDescent="0.2">
      <c r="J145" s="32" t="str" cm="1">
        <f t="array" ref="J145">IFERROR(
  VALUE($H145) *
  VALUE(
    _xlfn.XLOOKUP(
      TRIM($F145) &amp; "|" &amp; LEFT(SUBSTITUTE($G145,CHAR(160)," "),5) &amp; "|Reduced Rate",
      TRIM(SUBSTITUTE($N$2:$N$38,CHAR(160)," ")) &amp; "|" &amp;
      LEFT(SUBSTITUTE($O$2:$O$38,CHAR(160)," "),5) &amp; "|" &amp;
      TRIM(SUBSTITUTE($P$2:$P$38,CHAR(160)," ")),
      $Q$2:$Q$38
    )
  ),
"")</f>
        <v/>
      </c>
      <c r="K145" s="32" t="str" cm="1">
        <f t="array" ref="K145">IFERROR(
  VALUE($H145) *
  VALUE(
    _xlfn.XLOOKUP(
      TRIM($F145) &amp; "|" &amp; LEFT(SUBSTITUTE($G145,CHAR(160)," "),5) &amp; "|Ideas Rate",
      TRIM(SUBSTITUTE($N$2:$N$38,CHAR(160)," ")) &amp; "|" &amp;
      LEFT(SUBSTITUTE($O$2:$O$38,CHAR(160)," "),5) &amp; "|" &amp;
      TRIM(SUBSTITUTE($P$2:$P$38,CHAR(160)," ")),
      $Q$2:$Q$38
    )
  ),
"")</f>
        <v/>
      </c>
    </row>
    <row r="146" spans="10:11" x14ac:dyDescent="0.2">
      <c r="J146" s="32" t="str" cm="1">
        <f t="array" ref="J146">IFERROR(
  VALUE($H146) *
  VALUE(
    _xlfn.XLOOKUP(
      TRIM($F146) &amp; "|" &amp; LEFT(SUBSTITUTE($G146,CHAR(160)," "),5) &amp; "|Reduced Rate",
      TRIM(SUBSTITUTE($N$2:$N$38,CHAR(160)," ")) &amp; "|" &amp;
      LEFT(SUBSTITUTE($O$2:$O$38,CHAR(160)," "),5) &amp; "|" &amp;
      TRIM(SUBSTITUTE($P$2:$P$38,CHAR(160)," ")),
      $Q$2:$Q$38
    )
  ),
"")</f>
        <v/>
      </c>
      <c r="K146" s="32" t="str" cm="1">
        <f t="array" ref="K146">IFERROR(
  VALUE($H146) *
  VALUE(
    _xlfn.XLOOKUP(
      TRIM($F146) &amp; "|" &amp; LEFT(SUBSTITUTE($G146,CHAR(160)," "),5) &amp; "|Ideas Rate",
      TRIM(SUBSTITUTE($N$2:$N$38,CHAR(160)," ")) &amp; "|" &amp;
      LEFT(SUBSTITUTE($O$2:$O$38,CHAR(160)," "),5) &amp; "|" &amp;
      TRIM(SUBSTITUTE($P$2:$P$38,CHAR(160)," ")),
      $Q$2:$Q$38
    )
  ),
"")</f>
        <v/>
      </c>
    </row>
    <row r="147" spans="10:11" x14ac:dyDescent="0.2">
      <c r="J147" s="32" t="str" cm="1">
        <f t="array" ref="J147">IFERROR(
  VALUE($H147) *
  VALUE(
    _xlfn.XLOOKUP(
      TRIM($F147) &amp; "|" &amp; LEFT(SUBSTITUTE($G147,CHAR(160)," "),5) &amp; "|Reduced Rate",
      TRIM(SUBSTITUTE($N$2:$N$38,CHAR(160)," ")) &amp; "|" &amp;
      LEFT(SUBSTITUTE($O$2:$O$38,CHAR(160)," "),5) &amp; "|" &amp;
      TRIM(SUBSTITUTE($P$2:$P$38,CHAR(160)," ")),
      $Q$2:$Q$38
    )
  ),
"")</f>
        <v/>
      </c>
      <c r="K147" s="32" t="str" cm="1">
        <f t="array" ref="K147">IFERROR(
  VALUE($H147) *
  VALUE(
    _xlfn.XLOOKUP(
      TRIM($F147) &amp; "|" &amp; LEFT(SUBSTITUTE($G147,CHAR(160)," "),5) &amp; "|Ideas Rate",
      TRIM(SUBSTITUTE($N$2:$N$38,CHAR(160)," ")) &amp; "|" &amp;
      LEFT(SUBSTITUTE($O$2:$O$38,CHAR(160)," "),5) &amp; "|" &amp;
      TRIM(SUBSTITUTE($P$2:$P$38,CHAR(160)," ")),
      $Q$2:$Q$38
    )
  ),
"")</f>
        <v/>
      </c>
    </row>
    <row r="148" spans="10:11" x14ac:dyDescent="0.2">
      <c r="J148" s="32" t="str" cm="1">
        <f t="array" ref="J148">IFERROR(
  VALUE($H148) *
  VALUE(
    _xlfn.XLOOKUP(
      TRIM($F148) &amp; "|" &amp; LEFT(SUBSTITUTE($G148,CHAR(160)," "),5) &amp; "|Reduced Rate",
      TRIM(SUBSTITUTE($N$2:$N$38,CHAR(160)," ")) &amp; "|" &amp;
      LEFT(SUBSTITUTE($O$2:$O$38,CHAR(160)," "),5) &amp; "|" &amp;
      TRIM(SUBSTITUTE($P$2:$P$38,CHAR(160)," ")),
      $Q$2:$Q$38
    )
  ),
"")</f>
        <v/>
      </c>
      <c r="K148" s="32" t="str" cm="1">
        <f t="array" ref="K148">IFERROR(
  VALUE($H148) *
  VALUE(
    _xlfn.XLOOKUP(
      TRIM($F148) &amp; "|" &amp; LEFT(SUBSTITUTE($G148,CHAR(160)," "),5) &amp; "|Ideas Rate",
      TRIM(SUBSTITUTE($N$2:$N$38,CHAR(160)," ")) &amp; "|" &amp;
      LEFT(SUBSTITUTE($O$2:$O$38,CHAR(160)," "),5) &amp; "|" &amp;
      TRIM(SUBSTITUTE($P$2:$P$38,CHAR(160)," ")),
      $Q$2:$Q$38
    )
  ),
"")</f>
        <v/>
      </c>
    </row>
    <row r="149" spans="10:11" x14ac:dyDescent="0.2">
      <c r="J149" s="32" t="str" cm="1">
        <f t="array" ref="J149">IFERROR(
  VALUE($H149) *
  VALUE(
    _xlfn.XLOOKUP(
      TRIM($F149) &amp; "|" &amp; LEFT(SUBSTITUTE($G149,CHAR(160)," "),5) &amp; "|Reduced Rate",
      TRIM(SUBSTITUTE($N$2:$N$38,CHAR(160)," ")) &amp; "|" &amp;
      LEFT(SUBSTITUTE($O$2:$O$38,CHAR(160)," "),5) &amp; "|" &amp;
      TRIM(SUBSTITUTE($P$2:$P$38,CHAR(160)," ")),
      $Q$2:$Q$38
    )
  ),
"")</f>
        <v/>
      </c>
      <c r="K149" s="32" t="str" cm="1">
        <f t="array" ref="K149">IFERROR(
  VALUE($H149) *
  VALUE(
    _xlfn.XLOOKUP(
      TRIM($F149) &amp; "|" &amp; LEFT(SUBSTITUTE($G149,CHAR(160)," "),5) &amp; "|Ideas Rate",
      TRIM(SUBSTITUTE($N$2:$N$38,CHAR(160)," ")) &amp; "|" &amp;
      LEFT(SUBSTITUTE($O$2:$O$38,CHAR(160)," "),5) &amp; "|" &amp;
      TRIM(SUBSTITUTE($P$2:$P$38,CHAR(160)," ")),
      $Q$2:$Q$38
    )
  ),
"")</f>
        <v/>
      </c>
    </row>
    <row r="150" spans="10:11" x14ac:dyDescent="0.2">
      <c r="J150" s="32" t="str" cm="1">
        <f t="array" ref="J150">IFERROR(
  VALUE($H150) *
  VALUE(
    _xlfn.XLOOKUP(
      TRIM($F150) &amp; "|" &amp; LEFT(SUBSTITUTE($G150,CHAR(160)," "),5) &amp; "|Reduced Rate",
      TRIM(SUBSTITUTE($N$2:$N$38,CHAR(160)," ")) &amp; "|" &amp;
      LEFT(SUBSTITUTE($O$2:$O$38,CHAR(160)," "),5) &amp; "|" &amp;
      TRIM(SUBSTITUTE($P$2:$P$38,CHAR(160)," ")),
      $Q$2:$Q$38
    )
  ),
"")</f>
        <v/>
      </c>
      <c r="K150" s="32" t="str" cm="1">
        <f t="array" ref="K150">IFERROR(
  VALUE($H150) *
  VALUE(
    _xlfn.XLOOKUP(
      TRIM($F150) &amp; "|" &amp; LEFT(SUBSTITUTE($G150,CHAR(160)," "),5) &amp; "|Ideas Rate",
      TRIM(SUBSTITUTE($N$2:$N$38,CHAR(160)," ")) &amp; "|" &amp;
      LEFT(SUBSTITUTE($O$2:$O$38,CHAR(160)," "),5) &amp; "|" &amp;
      TRIM(SUBSTITUTE($P$2:$P$38,CHAR(160)," ")),
      $Q$2:$Q$38
    )
  ),
"")</f>
        <v/>
      </c>
    </row>
    <row r="151" spans="10:11" x14ac:dyDescent="0.2">
      <c r="J151" s="32" t="str" cm="1">
        <f t="array" ref="J151">IFERROR(
  VALUE($H151) *
  VALUE(
    _xlfn.XLOOKUP(
      TRIM($F151) &amp; "|" &amp; LEFT(SUBSTITUTE($G151,CHAR(160)," "),5) &amp; "|Reduced Rate",
      TRIM(SUBSTITUTE($N$2:$N$38,CHAR(160)," ")) &amp; "|" &amp;
      LEFT(SUBSTITUTE($O$2:$O$38,CHAR(160)," "),5) &amp; "|" &amp;
      TRIM(SUBSTITUTE($P$2:$P$38,CHAR(160)," ")),
      $Q$2:$Q$38
    )
  ),
"")</f>
        <v/>
      </c>
      <c r="K151" s="32" t="str" cm="1">
        <f t="array" ref="K151">IFERROR(
  VALUE($H151) *
  VALUE(
    _xlfn.XLOOKUP(
      TRIM($F151) &amp; "|" &amp; LEFT(SUBSTITUTE($G151,CHAR(160)," "),5) &amp; "|Ideas Rate",
      TRIM(SUBSTITUTE($N$2:$N$38,CHAR(160)," ")) &amp; "|" &amp;
      LEFT(SUBSTITUTE($O$2:$O$38,CHAR(160)," "),5) &amp; "|" &amp;
      TRIM(SUBSTITUTE($P$2:$P$38,CHAR(160)," ")),
      $Q$2:$Q$38
    )
  ),
"")</f>
        <v/>
      </c>
    </row>
    <row r="152" spans="10:11" x14ac:dyDescent="0.2">
      <c r="J152" s="32" t="str" cm="1">
        <f t="array" ref="J152">IFERROR(
  VALUE($H152) *
  VALUE(
    _xlfn.XLOOKUP(
      TRIM($F152) &amp; "|" &amp; LEFT(SUBSTITUTE($G152,CHAR(160)," "),5) &amp; "|Reduced Rate",
      TRIM(SUBSTITUTE($N$2:$N$38,CHAR(160)," ")) &amp; "|" &amp;
      LEFT(SUBSTITUTE($O$2:$O$38,CHAR(160)," "),5) &amp; "|" &amp;
      TRIM(SUBSTITUTE($P$2:$P$38,CHAR(160)," ")),
      $Q$2:$Q$38
    )
  ),
"")</f>
        <v/>
      </c>
      <c r="K152" s="32" t="str" cm="1">
        <f t="array" ref="K152">IFERROR(
  VALUE($H152) *
  VALUE(
    _xlfn.XLOOKUP(
      TRIM($F152) &amp; "|" &amp; LEFT(SUBSTITUTE($G152,CHAR(160)," "),5) &amp; "|Ideas Rate",
      TRIM(SUBSTITUTE($N$2:$N$38,CHAR(160)," ")) &amp; "|" &amp;
      LEFT(SUBSTITUTE($O$2:$O$38,CHAR(160)," "),5) &amp; "|" &amp;
      TRIM(SUBSTITUTE($P$2:$P$38,CHAR(160)," ")),
      $Q$2:$Q$38
    )
  ),
"")</f>
        <v/>
      </c>
    </row>
    <row r="153" spans="10:11" x14ac:dyDescent="0.2">
      <c r="J153" s="32" t="str" cm="1">
        <f t="array" ref="J153">IFERROR(
  VALUE($H153) *
  VALUE(
    _xlfn.XLOOKUP(
      TRIM($F153) &amp; "|" &amp; LEFT(SUBSTITUTE($G153,CHAR(160)," "),5) &amp; "|Reduced Rate",
      TRIM(SUBSTITUTE($N$2:$N$38,CHAR(160)," ")) &amp; "|" &amp;
      LEFT(SUBSTITUTE($O$2:$O$38,CHAR(160)," "),5) &amp; "|" &amp;
      TRIM(SUBSTITUTE($P$2:$P$38,CHAR(160)," ")),
      $Q$2:$Q$38
    )
  ),
"")</f>
        <v/>
      </c>
      <c r="K153" s="32" t="str" cm="1">
        <f t="array" ref="K153">IFERROR(
  VALUE($H153) *
  VALUE(
    _xlfn.XLOOKUP(
      TRIM($F153) &amp; "|" &amp; LEFT(SUBSTITUTE($G153,CHAR(160)," "),5) &amp; "|Ideas Rate",
      TRIM(SUBSTITUTE($N$2:$N$38,CHAR(160)," ")) &amp; "|" &amp;
      LEFT(SUBSTITUTE($O$2:$O$38,CHAR(160)," "),5) &amp; "|" &amp;
      TRIM(SUBSTITUTE($P$2:$P$38,CHAR(160)," ")),
      $Q$2:$Q$38
    )
  ),
"")</f>
        <v/>
      </c>
    </row>
    <row r="154" spans="10:11" x14ac:dyDescent="0.2">
      <c r="J154" s="32" t="str" cm="1">
        <f t="array" ref="J154">IFERROR(
  VALUE($H154) *
  VALUE(
    _xlfn.XLOOKUP(
      TRIM($F154) &amp; "|" &amp; LEFT(SUBSTITUTE($G154,CHAR(160)," "),5) &amp; "|Reduced Rate",
      TRIM(SUBSTITUTE($N$2:$N$38,CHAR(160)," ")) &amp; "|" &amp;
      LEFT(SUBSTITUTE($O$2:$O$38,CHAR(160)," "),5) &amp; "|" &amp;
      TRIM(SUBSTITUTE($P$2:$P$38,CHAR(160)," ")),
      $Q$2:$Q$38
    )
  ),
"")</f>
        <v/>
      </c>
      <c r="K154" s="32" t="str" cm="1">
        <f t="array" ref="K154">IFERROR(
  VALUE($H154) *
  VALUE(
    _xlfn.XLOOKUP(
      TRIM($F154) &amp; "|" &amp; LEFT(SUBSTITUTE($G154,CHAR(160)," "),5) &amp; "|Ideas Rate",
      TRIM(SUBSTITUTE($N$2:$N$38,CHAR(160)," ")) &amp; "|" &amp;
      LEFT(SUBSTITUTE($O$2:$O$38,CHAR(160)," "),5) &amp; "|" &amp;
      TRIM(SUBSTITUTE($P$2:$P$38,CHAR(160)," ")),
      $Q$2:$Q$38
    )
  ),
"")</f>
        <v/>
      </c>
    </row>
    <row r="155" spans="10:11" x14ac:dyDescent="0.2">
      <c r="J155" s="32" t="str" cm="1">
        <f t="array" ref="J155">IFERROR(
  VALUE($H155) *
  VALUE(
    _xlfn.XLOOKUP(
      TRIM($F155) &amp; "|" &amp; LEFT(SUBSTITUTE($G155,CHAR(160)," "),5) &amp; "|Reduced Rate",
      TRIM(SUBSTITUTE($N$2:$N$38,CHAR(160)," ")) &amp; "|" &amp;
      LEFT(SUBSTITUTE($O$2:$O$38,CHAR(160)," "),5) &amp; "|" &amp;
      TRIM(SUBSTITUTE($P$2:$P$38,CHAR(160)," ")),
      $Q$2:$Q$38
    )
  ),
"")</f>
        <v/>
      </c>
      <c r="K155" s="32" t="str" cm="1">
        <f t="array" ref="K155">IFERROR(
  VALUE($H155) *
  VALUE(
    _xlfn.XLOOKUP(
      TRIM($F155) &amp; "|" &amp; LEFT(SUBSTITUTE($G155,CHAR(160)," "),5) &amp; "|Ideas Rate",
      TRIM(SUBSTITUTE($N$2:$N$38,CHAR(160)," ")) &amp; "|" &amp;
      LEFT(SUBSTITUTE($O$2:$O$38,CHAR(160)," "),5) &amp; "|" &amp;
      TRIM(SUBSTITUTE($P$2:$P$38,CHAR(160)," ")),
      $Q$2:$Q$38
    )
  ),
"")</f>
        <v/>
      </c>
    </row>
    <row r="156" spans="10:11" x14ac:dyDescent="0.2">
      <c r="J156" s="32" t="str" cm="1">
        <f t="array" ref="J156">IFERROR(
  VALUE($H156) *
  VALUE(
    _xlfn.XLOOKUP(
      TRIM($F156) &amp; "|" &amp; LEFT(SUBSTITUTE($G156,CHAR(160)," "),5) &amp; "|Reduced Rate",
      TRIM(SUBSTITUTE($N$2:$N$38,CHAR(160)," ")) &amp; "|" &amp;
      LEFT(SUBSTITUTE($O$2:$O$38,CHAR(160)," "),5) &amp; "|" &amp;
      TRIM(SUBSTITUTE($P$2:$P$38,CHAR(160)," ")),
      $Q$2:$Q$38
    )
  ),
"")</f>
        <v/>
      </c>
      <c r="K156" s="32" t="str" cm="1">
        <f t="array" ref="K156">IFERROR(
  VALUE($H156) *
  VALUE(
    _xlfn.XLOOKUP(
      TRIM($F156) &amp; "|" &amp; LEFT(SUBSTITUTE($G156,CHAR(160)," "),5) &amp; "|Ideas Rate",
      TRIM(SUBSTITUTE($N$2:$N$38,CHAR(160)," ")) &amp; "|" &amp;
      LEFT(SUBSTITUTE($O$2:$O$38,CHAR(160)," "),5) &amp; "|" &amp;
      TRIM(SUBSTITUTE($P$2:$P$38,CHAR(160)," ")),
      $Q$2:$Q$38
    )
  ),
"")</f>
        <v/>
      </c>
    </row>
    <row r="157" spans="10:11" x14ac:dyDescent="0.2">
      <c r="J157" s="32" t="str" cm="1">
        <f t="array" ref="J157">IFERROR(
  VALUE($H157) *
  VALUE(
    _xlfn.XLOOKUP(
      TRIM($F157) &amp; "|" &amp; LEFT(SUBSTITUTE($G157,CHAR(160)," "),5) &amp; "|Reduced Rate",
      TRIM(SUBSTITUTE($N$2:$N$38,CHAR(160)," ")) &amp; "|" &amp;
      LEFT(SUBSTITUTE($O$2:$O$38,CHAR(160)," "),5) &amp; "|" &amp;
      TRIM(SUBSTITUTE($P$2:$P$38,CHAR(160)," ")),
      $Q$2:$Q$38
    )
  ),
"")</f>
        <v/>
      </c>
      <c r="K157" s="32" t="str" cm="1">
        <f t="array" ref="K157">IFERROR(
  VALUE($H157) *
  VALUE(
    _xlfn.XLOOKUP(
      TRIM($F157) &amp; "|" &amp; LEFT(SUBSTITUTE($G157,CHAR(160)," "),5) &amp; "|Ideas Rate",
      TRIM(SUBSTITUTE($N$2:$N$38,CHAR(160)," ")) &amp; "|" &amp;
      LEFT(SUBSTITUTE($O$2:$O$38,CHAR(160)," "),5) &amp; "|" &amp;
      TRIM(SUBSTITUTE($P$2:$P$38,CHAR(160)," ")),
      $Q$2:$Q$38
    )
  ),
"")</f>
        <v/>
      </c>
    </row>
    <row r="158" spans="10:11" x14ac:dyDescent="0.2">
      <c r="J158" s="32" t="str" cm="1">
        <f t="array" ref="J158">IFERROR(
  VALUE($H158) *
  VALUE(
    _xlfn.XLOOKUP(
      TRIM($F158) &amp; "|" &amp; LEFT(SUBSTITUTE($G158,CHAR(160)," "),5) &amp; "|Reduced Rate",
      TRIM(SUBSTITUTE($N$2:$N$38,CHAR(160)," ")) &amp; "|" &amp;
      LEFT(SUBSTITUTE($O$2:$O$38,CHAR(160)," "),5) &amp; "|" &amp;
      TRIM(SUBSTITUTE($P$2:$P$38,CHAR(160)," ")),
      $Q$2:$Q$38
    )
  ),
"")</f>
        <v/>
      </c>
      <c r="K158" s="32" t="str" cm="1">
        <f t="array" ref="K158">IFERROR(
  VALUE($H158) *
  VALUE(
    _xlfn.XLOOKUP(
      TRIM($F158) &amp; "|" &amp; LEFT(SUBSTITUTE($G158,CHAR(160)," "),5) &amp; "|Ideas Rate",
      TRIM(SUBSTITUTE($N$2:$N$38,CHAR(160)," ")) &amp; "|" &amp;
      LEFT(SUBSTITUTE($O$2:$O$38,CHAR(160)," "),5) &amp; "|" &amp;
      TRIM(SUBSTITUTE($P$2:$P$38,CHAR(160)," ")),
      $Q$2:$Q$38
    )
  ),
"")</f>
        <v/>
      </c>
    </row>
    <row r="159" spans="10:11" x14ac:dyDescent="0.2">
      <c r="J159" s="32" t="str" cm="1">
        <f t="array" ref="J159">IFERROR(
  VALUE($H159) *
  VALUE(
    _xlfn.XLOOKUP(
      TRIM($F159) &amp; "|" &amp; LEFT(SUBSTITUTE($G159,CHAR(160)," "),5) &amp; "|Reduced Rate",
      TRIM(SUBSTITUTE($N$2:$N$38,CHAR(160)," ")) &amp; "|" &amp;
      LEFT(SUBSTITUTE($O$2:$O$38,CHAR(160)," "),5) &amp; "|" &amp;
      TRIM(SUBSTITUTE($P$2:$P$38,CHAR(160)," ")),
      $Q$2:$Q$38
    )
  ),
"")</f>
        <v/>
      </c>
      <c r="K159" s="32" t="str" cm="1">
        <f t="array" ref="K159">IFERROR(
  VALUE($H159) *
  VALUE(
    _xlfn.XLOOKUP(
      TRIM($F159) &amp; "|" &amp; LEFT(SUBSTITUTE($G159,CHAR(160)," "),5) &amp; "|Ideas Rate",
      TRIM(SUBSTITUTE($N$2:$N$38,CHAR(160)," ")) &amp; "|" &amp;
      LEFT(SUBSTITUTE($O$2:$O$38,CHAR(160)," "),5) &amp; "|" &amp;
      TRIM(SUBSTITUTE($P$2:$P$38,CHAR(160)," ")),
      $Q$2:$Q$38
    )
  ),
"")</f>
        <v/>
      </c>
    </row>
    <row r="160" spans="10:11" x14ac:dyDescent="0.2">
      <c r="J160" s="32" t="str" cm="1">
        <f t="array" ref="J160">IFERROR(
  VALUE($H160) *
  VALUE(
    _xlfn.XLOOKUP(
      TRIM($F160) &amp; "|" &amp; LEFT(SUBSTITUTE($G160,CHAR(160)," "),5) &amp; "|Reduced Rate",
      TRIM(SUBSTITUTE($N$2:$N$38,CHAR(160)," ")) &amp; "|" &amp;
      LEFT(SUBSTITUTE($O$2:$O$38,CHAR(160)," "),5) &amp; "|" &amp;
      TRIM(SUBSTITUTE($P$2:$P$38,CHAR(160)," ")),
      $Q$2:$Q$38
    )
  ),
"")</f>
        <v/>
      </c>
      <c r="K160" s="32" t="str" cm="1">
        <f t="array" ref="K160">IFERROR(
  VALUE($H160) *
  VALUE(
    _xlfn.XLOOKUP(
      TRIM($F160) &amp; "|" &amp; LEFT(SUBSTITUTE($G160,CHAR(160)," "),5) &amp; "|Ideas Rate",
      TRIM(SUBSTITUTE($N$2:$N$38,CHAR(160)," ")) &amp; "|" &amp;
      LEFT(SUBSTITUTE($O$2:$O$38,CHAR(160)," "),5) &amp; "|" &amp;
      TRIM(SUBSTITUTE($P$2:$P$38,CHAR(160)," ")),
      $Q$2:$Q$38
    )
  ),
"")</f>
        <v/>
      </c>
    </row>
    <row r="161" spans="10:11" x14ac:dyDescent="0.2">
      <c r="J161" s="32" t="str" cm="1">
        <f t="array" ref="J161">IFERROR(
  VALUE($H161) *
  VALUE(
    _xlfn.XLOOKUP(
      TRIM($F161) &amp; "|" &amp; LEFT(SUBSTITUTE($G161,CHAR(160)," "),5) &amp; "|Reduced Rate",
      TRIM(SUBSTITUTE($N$2:$N$38,CHAR(160)," ")) &amp; "|" &amp;
      LEFT(SUBSTITUTE($O$2:$O$38,CHAR(160)," "),5) &amp; "|" &amp;
      TRIM(SUBSTITUTE($P$2:$P$38,CHAR(160)," ")),
      $Q$2:$Q$38
    )
  ),
"")</f>
        <v/>
      </c>
      <c r="K161" s="32" t="str" cm="1">
        <f t="array" ref="K161">IFERROR(
  VALUE($H161) *
  VALUE(
    _xlfn.XLOOKUP(
      TRIM($F161) &amp; "|" &amp; LEFT(SUBSTITUTE($G161,CHAR(160)," "),5) &amp; "|Ideas Rate",
      TRIM(SUBSTITUTE($N$2:$N$38,CHAR(160)," ")) &amp; "|" &amp;
      LEFT(SUBSTITUTE($O$2:$O$38,CHAR(160)," "),5) &amp; "|" &amp;
      TRIM(SUBSTITUTE($P$2:$P$38,CHAR(160)," ")),
      $Q$2:$Q$38
    )
  ),
"")</f>
        <v/>
      </c>
    </row>
    <row r="162" spans="10:11" x14ac:dyDescent="0.2">
      <c r="J162" s="32" t="str" cm="1">
        <f t="array" ref="J162">IFERROR(
  VALUE($H162) *
  VALUE(
    _xlfn.XLOOKUP(
      TRIM($F162) &amp; "|" &amp; LEFT(SUBSTITUTE($G162,CHAR(160)," "),5) &amp; "|Reduced Rate",
      TRIM(SUBSTITUTE($N$2:$N$38,CHAR(160)," ")) &amp; "|" &amp;
      LEFT(SUBSTITUTE($O$2:$O$38,CHAR(160)," "),5) &amp; "|" &amp;
      TRIM(SUBSTITUTE($P$2:$P$38,CHAR(160)," ")),
      $Q$2:$Q$38
    )
  ),
"")</f>
        <v/>
      </c>
      <c r="K162" s="32" t="str" cm="1">
        <f t="array" ref="K162">IFERROR(
  VALUE($H162) *
  VALUE(
    _xlfn.XLOOKUP(
      TRIM($F162) &amp; "|" &amp; LEFT(SUBSTITUTE($G162,CHAR(160)," "),5) &amp; "|Ideas Rate",
      TRIM(SUBSTITUTE($N$2:$N$38,CHAR(160)," ")) &amp; "|" &amp;
      LEFT(SUBSTITUTE($O$2:$O$38,CHAR(160)," "),5) &amp; "|" &amp;
      TRIM(SUBSTITUTE($P$2:$P$38,CHAR(160)," ")),
      $Q$2:$Q$38
    )
  ),
"")</f>
        <v/>
      </c>
    </row>
    <row r="163" spans="10:11" x14ac:dyDescent="0.2">
      <c r="J163" s="32" t="str" cm="1">
        <f t="array" ref="J163">IFERROR(
  VALUE($H163) *
  VALUE(
    _xlfn.XLOOKUP(
      TRIM($F163) &amp; "|" &amp; LEFT(SUBSTITUTE($G163,CHAR(160)," "),5) &amp; "|Reduced Rate",
      TRIM(SUBSTITUTE($N$2:$N$38,CHAR(160)," ")) &amp; "|" &amp;
      LEFT(SUBSTITUTE($O$2:$O$38,CHAR(160)," "),5) &amp; "|" &amp;
      TRIM(SUBSTITUTE($P$2:$P$38,CHAR(160)," ")),
      $Q$2:$Q$38
    )
  ),
"")</f>
        <v/>
      </c>
      <c r="K163" s="32" t="str" cm="1">
        <f t="array" ref="K163">IFERROR(
  VALUE($H163) *
  VALUE(
    _xlfn.XLOOKUP(
      TRIM($F163) &amp; "|" &amp; LEFT(SUBSTITUTE($G163,CHAR(160)," "),5) &amp; "|Ideas Rate",
      TRIM(SUBSTITUTE($N$2:$N$38,CHAR(160)," ")) &amp; "|" &amp;
      LEFT(SUBSTITUTE($O$2:$O$38,CHAR(160)," "),5) &amp; "|" &amp;
      TRIM(SUBSTITUTE($P$2:$P$38,CHAR(160)," ")),
      $Q$2:$Q$38
    )
  ),
"")</f>
        <v/>
      </c>
    </row>
    <row r="164" spans="10:11" x14ac:dyDescent="0.2">
      <c r="J164" s="32" t="str" cm="1">
        <f t="array" ref="J164">IFERROR(
  VALUE($H164) *
  VALUE(
    _xlfn.XLOOKUP(
      TRIM($F164) &amp; "|" &amp; LEFT(SUBSTITUTE($G164,CHAR(160)," "),5) &amp; "|Reduced Rate",
      TRIM(SUBSTITUTE($N$2:$N$38,CHAR(160)," ")) &amp; "|" &amp;
      LEFT(SUBSTITUTE($O$2:$O$38,CHAR(160)," "),5) &amp; "|" &amp;
      TRIM(SUBSTITUTE($P$2:$P$38,CHAR(160)," ")),
      $Q$2:$Q$38
    )
  ),
"")</f>
        <v/>
      </c>
      <c r="K164" s="32" t="str" cm="1">
        <f t="array" ref="K164">IFERROR(
  VALUE($H164) *
  VALUE(
    _xlfn.XLOOKUP(
      TRIM($F164) &amp; "|" &amp; LEFT(SUBSTITUTE($G164,CHAR(160)," "),5) &amp; "|Ideas Rate",
      TRIM(SUBSTITUTE($N$2:$N$38,CHAR(160)," ")) &amp; "|" &amp;
      LEFT(SUBSTITUTE($O$2:$O$38,CHAR(160)," "),5) &amp; "|" &amp;
      TRIM(SUBSTITUTE($P$2:$P$38,CHAR(160)," ")),
      $Q$2:$Q$38
    )
  ),
"")</f>
        <v/>
      </c>
    </row>
    <row r="165" spans="10:11" x14ac:dyDescent="0.2">
      <c r="J165" s="32" t="str" cm="1">
        <f t="array" ref="J165">IFERROR(
  VALUE($H165) *
  VALUE(
    _xlfn.XLOOKUP(
      TRIM($F165) &amp; "|" &amp; LEFT(SUBSTITUTE($G165,CHAR(160)," "),5) &amp; "|Reduced Rate",
      TRIM(SUBSTITUTE($N$2:$N$38,CHAR(160)," ")) &amp; "|" &amp;
      LEFT(SUBSTITUTE($O$2:$O$38,CHAR(160)," "),5) &amp; "|" &amp;
      TRIM(SUBSTITUTE($P$2:$P$38,CHAR(160)," ")),
      $Q$2:$Q$38
    )
  ),
"")</f>
        <v/>
      </c>
      <c r="K165" s="32" t="str" cm="1">
        <f t="array" ref="K165">IFERROR(
  VALUE($H165) *
  VALUE(
    _xlfn.XLOOKUP(
      TRIM($F165) &amp; "|" &amp; LEFT(SUBSTITUTE($G165,CHAR(160)," "),5) &amp; "|Ideas Rate",
      TRIM(SUBSTITUTE($N$2:$N$38,CHAR(160)," ")) &amp; "|" &amp;
      LEFT(SUBSTITUTE($O$2:$O$38,CHAR(160)," "),5) &amp; "|" &amp;
      TRIM(SUBSTITUTE($P$2:$P$38,CHAR(160)," ")),
      $Q$2:$Q$38
    )
  ),
"")</f>
        <v/>
      </c>
    </row>
    <row r="166" spans="10:11" x14ac:dyDescent="0.2">
      <c r="J166" s="32" t="str" cm="1">
        <f t="array" ref="J166">IFERROR(
  VALUE($H166) *
  VALUE(
    _xlfn.XLOOKUP(
      TRIM($F166) &amp; "|" &amp; LEFT(SUBSTITUTE($G166,CHAR(160)," "),5) &amp; "|Reduced Rate",
      TRIM(SUBSTITUTE($N$2:$N$38,CHAR(160)," ")) &amp; "|" &amp;
      LEFT(SUBSTITUTE($O$2:$O$38,CHAR(160)," "),5) &amp; "|" &amp;
      TRIM(SUBSTITUTE($P$2:$P$38,CHAR(160)," ")),
      $Q$2:$Q$38
    )
  ),
"")</f>
        <v/>
      </c>
      <c r="K166" s="32" t="str" cm="1">
        <f t="array" ref="K166">IFERROR(
  VALUE($H166) *
  VALUE(
    _xlfn.XLOOKUP(
      TRIM($F166) &amp; "|" &amp; LEFT(SUBSTITUTE($G166,CHAR(160)," "),5) &amp; "|Ideas Rate",
      TRIM(SUBSTITUTE($N$2:$N$38,CHAR(160)," ")) &amp; "|" &amp;
      LEFT(SUBSTITUTE($O$2:$O$38,CHAR(160)," "),5) &amp; "|" &amp;
      TRIM(SUBSTITUTE($P$2:$P$38,CHAR(160)," ")),
      $Q$2:$Q$38
    )
  ),
"")</f>
        <v/>
      </c>
    </row>
    <row r="167" spans="10:11" x14ac:dyDescent="0.2">
      <c r="J167" s="32" t="str" cm="1">
        <f t="array" ref="J167">IFERROR(
  VALUE($H167) *
  VALUE(
    _xlfn.XLOOKUP(
      TRIM($F167) &amp; "|" &amp; LEFT(SUBSTITUTE($G167,CHAR(160)," "),5) &amp; "|Reduced Rate",
      TRIM(SUBSTITUTE($N$2:$N$38,CHAR(160)," ")) &amp; "|" &amp;
      LEFT(SUBSTITUTE($O$2:$O$38,CHAR(160)," "),5) &amp; "|" &amp;
      TRIM(SUBSTITUTE($P$2:$P$38,CHAR(160)," ")),
      $Q$2:$Q$38
    )
  ),
"")</f>
        <v/>
      </c>
      <c r="K167" s="32" t="str" cm="1">
        <f t="array" ref="K167">IFERROR(
  VALUE($H167) *
  VALUE(
    _xlfn.XLOOKUP(
      TRIM($F167) &amp; "|" &amp; LEFT(SUBSTITUTE($G167,CHAR(160)," "),5) &amp; "|Ideas Rate",
      TRIM(SUBSTITUTE($N$2:$N$38,CHAR(160)," ")) &amp; "|" &amp;
      LEFT(SUBSTITUTE($O$2:$O$38,CHAR(160)," "),5) &amp; "|" &amp;
      TRIM(SUBSTITUTE($P$2:$P$38,CHAR(160)," ")),
      $Q$2:$Q$38
    )
  ),
"")</f>
        <v/>
      </c>
    </row>
    <row r="168" spans="10:11" x14ac:dyDescent="0.2">
      <c r="J168" s="32" t="str" cm="1">
        <f t="array" ref="J168">IFERROR(
  VALUE($H168) *
  VALUE(
    _xlfn.XLOOKUP(
      TRIM($F168) &amp; "|" &amp; LEFT(SUBSTITUTE($G168,CHAR(160)," "),5) &amp; "|Reduced Rate",
      TRIM(SUBSTITUTE($N$2:$N$38,CHAR(160)," ")) &amp; "|" &amp;
      LEFT(SUBSTITUTE($O$2:$O$38,CHAR(160)," "),5) &amp; "|" &amp;
      TRIM(SUBSTITUTE($P$2:$P$38,CHAR(160)," ")),
      $Q$2:$Q$38
    )
  ),
"")</f>
        <v/>
      </c>
      <c r="K168" s="32" t="str" cm="1">
        <f t="array" ref="K168">IFERROR(
  VALUE($H168) *
  VALUE(
    _xlfn.XLOOKUP(
      TRIM($F168) &amp; "|" &amp; LEFT(SUBSTITUTE($G168,CHAR(160)," "),5) &amp; "|Ideas Rate",
      TRIM(SUBSTITUTE($N$2:$N$38,CHAR(160)," ")) &amp; "|" &amp;
      LEFT(SUBSTITUTE($O$2:$O$38,CHAR(160)," "),5) &amp; "|" &amp;
      TRIM(SUBSTITUTE($P$2:$P$38,CHAR(160)," ")),
      $Q$2:$Q$38
    )
  ),
"")</f>
        <v/>
      </c>
    </row>
    <row r="169" spans="10:11" x14ac:dyDescent="0.2">
      <c r="J169" s="32" t="str" cm="1">
        <f t="array" ref="J169">IFERROR(
  VALUE($H169) *
  VALUE(
    _xlfn.XLOOKUP(
      TRIM($F169) &amp; "|" &amp; LEFT(SUBSTITUTE($G169,CHAR(160)," "),5) &amp; "|Reduced Rate",
      TRIM(SUBSTITUTE($N$2:$N$38,CHAR(160)," ")) &amp; "|" &amp;
      LEFT(SUBSTITUTE($O$2:$O$38,CHAR(160)," "),5) &amp; "|" &amp;
      TRIM(SUBSTITUTE($P$2:$P$38,CHAR(160)," ")),
      $Q$2:$Q$38
    )
  ),
"")</f>
        <v/>
      </c>
      <c r="K169" s="32" t="str" cm="1">
        <f t="array" ref="K169">IFERROR(
  VALUE($H169) *
  VALUE(
    _xlfn.XLOOKUP(
      TRIM($F169) &amp; "|" &amp; LEFT(SUBSTITUTE($G169,CHAR(160)," "),5) &amp; "|Ideas Rate",
      TRIM(SUBSTITUTE($N$2:$N$38,CHAR(160)," ")) &amp; "|" &amp;
      LEFT(SUBSTITUTE($O$2:$O$38,CHAR(160)," "),5) &amp; "|" &amp;
      TRIM(SUBSTITUTE($P$2:$P$38,CHAR(160)," ")),
      $Q$2:$Q$38
    )
  ),
"")</f>
        <v/>
      </c>
    </row>
    <row r="170" spans="10:11" x14ac:dyDescent="0.2">
      <c r="J170" s="32" t="str" cm="1">
        <f t="array" ref="J170">IFERROR(
  VALUE($H170) *
  VALUE(
    _xlfn.XLOOKUP(
      TRIM($F170) &amp; "|" &amp; LEFT(SUBSTITUTE($G170,CHAR(160)," "),5) &amp; "|Reduced Rate",
      TRIM(SUBSTITUTE($N$2:$N$38,CHAR(160)," ")) &amp; "|" &amp;
      LEFT(SUBSTITUTE($O$2:$O$38,CHAR(160)," "),5) &amp; "|" &amp;
      TRIM(SUBSTITUTE($P$2:$P$38,CHAR(160)," ")),
      $Q$2:$Q$38
    )
  ),
"")</f>
        <v/>
      </c>
      <c r="K170" s="32" t="str" cm="1">
        <f t="array" ref="K170">IFERROR(
  VALUE($H170) *
  VALUE(
    _xlfn.XLOOKUP(
      TRIM($F170) &amp; "|" &amp; LEFT(SUBSTITUTE($G170,CHAR(160)," "),5) &amp; "|Ideas Rate",
      TRIM(SUBSTITUTE($N$2:$N$38,CHAR(160)," ")) &amp; "|" &amp;
      LEFT(SUBSTITUTE($O$2:$O$38,CHAR(160)," "),5) &amp; "|" &amp;
      TRIM(SUBSTITUTE($P$2:$P$38,CHAR(160)," ")),
      $Q$2:$Q$38
    )
  ),
"")</f>
        <v/>
      </c>
    </row>
    <row r="171" spans="10:11" x14ac:dyDescent="0.2">
      <c r="J171" s="32" t="str" cm="1">
        <f t="array" ref="J171">IFERROR(
  VALUE($H171) *
  VALUE(
    _xlfn.XLOOKUP(
      TRIM($F171) &amp; "|" &amp; LEFT(SUBSTITUTE($G171,CHAR(160)," "),5) &amp; "|Reduced Rate",
      TRIM(SUBSTITUTE($N$2:$N$38,CHAR(160)," ")) &amp; "|" &amp;
      LEFT(SUBSTITUTE($O$2:$O$38,CHAR(160)," "),5) &amp; "|" &amp;
      TRIM(SUBSTITUTE($P$2:$P$38,CHAR(160)," ")),
      $Q$2:$Q$38
    )
  ),
"")</f>
        <v/>
      </c>
      <c r="K171" s="32" t="str" cm="1">
        <f t="array" ref="K171">IFERROR(
  VALUE($H171) *
  VALUE(
    _xlfn.XLOOKUP(
      TRIM($F171) &amp; "|" &amp; LEFT(SUBSTITUTE($G171,CHAR(160)," "),5) &amp; "|Ideas Rate",
      TRIM(SUBSTITUTE($N$2:$N$38,CHAR(160)," ")) &amp; "|" &amp;
      LEFT(SUBSTITUTE($O$2:$O$38,CHAR(160)," "),5) &amp; "|" &amp;
      TRIM(SUBSTITUTE($P$2:$P$38,CHAR(160)," ")),
      $Q$2:$Q$38
    )
  ),
"")</f>
        <v/>
      </c>
    </row>
    <row r="172" spans="10:11" x14ac:dyDescent="0.2">
      <c r="J172" s="32" t="str" cm="1">
        <f t="array" ref="J172">IFERROR(
  VALUE($H172) *
  VALUE(
    _xlfn.XLOOKUP(
      TRIM($F172) &amp; "|" &amp; LEFT(SUBSTITUTE($G172,CHAR(160)," "),5) &amp; "|Reduced Rate",
      TRIM(SUBSTITUTE($N$2:$N$38,CHAR(160)," ")) &amp; "|" &amp;
      LEFT(SUBSTITUTE($O$2:$O$38,CHAR(160)," "),5) &amp; "|" &amp;
      TRIM(SUBSTITUTE($P$2:$P$38,CHAR(160)," ")),
      $Q$2:$Q$38
    )
  ),
"")</f>
        <v/>
      </c>
      <c r="K172" s="32" t="str" cm="1">
        <f t="array" ref="K172">IFERROR(
  VALUE($H172) *
  VALUE(
    _xlfn.XLOOKUP(
      TRIM($F172) &amp; "|" &amp; LEFT(SUBSTITUTE($G172,CHAR(160)," "),5) &amp; "|Ideas Rate",
      TRIM(SUBSTITUTE($N$2:$N$38,CHAR(160)," ")) &amp; "|" &amp;
      LEFT(SUBSTITUTE($O$2:$O$38,CHAR(160)," "),5) &amp; "|" &amp;
      TRIM(SUBSTITUTE($P$2:$P$38,CHAR(160)," ")),
      $Q$2:$Q$38
    )
  ),
"")</f>
        <v/>
      </c>
    </row>
    <row r="173" spans="10:11" x14ac:dyDescent="0.2">
      <c r="J173" s="32" t="str" cm="1">
        <f t="array" ref="J173">IFERROR(
  VALUE($H173) *
  VALUE(
    _xlfn.XLOOKUP(
      TRIM($F173) &amp; "|" &amp; LEFT(SUBSTITUTE($G173,CHAR(160)," "),5) &amp; "|Reduced Rate",
      TRIM(SUBSTITUTE($N$2:$N$38,CHAR(160)," ")) &amp; "|" &amp;
      LEFT(SUBSTITUTE($O$2:$O$38,CHAR(160)," "),5) &amp; "|" &amp;
      TRIM(SUBSTITUTE($P$2:$P$38,CHAR(160)," ")),
      $Q$2:$Q$38
    )
  ),
"")</f>
        <v/>
      </c>
      <c r="K173" s="32" t="str" cm="1">
        <f t="array" ref="K173">IFERROR(
  VALUE($H173) *
  VALUE(
    _xlfn.XLOOKUP(
      TRIM($F173) &amp; "|" &amp; LEFT(SUBSTITUTE($G173,CHAR(160)," "),5) &amp; "|Ideas Rate",
      TRIM(SUBSTITUTE($N$2:$N$38,CHAR(160)," ")) &amp; "|" &amp;
      LEFT(SUBSTITUTE($O$2:$O$38,CHAR(160)," "),5) &amp; "|" &amp;
      TRIM(SUBSTITUTE($P$2:$P$38,CHAR(160)," ")),
      $Q$2:$Q$38
    )
  ),
"")</f>
        <v/>
      </c>
    </row>
    <row r="174" spans="10:11" x14ac:dyDescent="0.2">
      <c r="J174" s="32" t="str" cm="1">
        <f t="array" ref="J174">IFERROR(
  VALUE($H174) *
  VALUE(
    _xlfn.XLOOKUP(
      TRIM($F174) &amp; "|" &amp; LEFT(SUBSTITUTE($G174,CHAR(160)," "),5) &amp; "|Reduced Rate",
      TRIM(SUBSTITUTE($N$2:$N$38,CHAR(160)," ")) &amp; "|" &amp;
      LEFT(SUBSTITUTE($O$2:$O$38,CHAR(160)," "),5) &amp; "|" &amp;
      TRIM(SUBSTITUTE($P$2:$P$38,CHAR(160)," ")),
      $Q$2:$Q$38
    )
  ),
"")</f>
        <v/>
      </c>
      <c r="K174" s="32" t="str" cm="1">
        <f t="array" ref="K174">IFERROR(
  VALUE($H174) *
  VALUE(
    _xlfn.XLOOKUP(
      TRIM($F174) &amp; "|" &amp; LEFT(SUBSTITUTE($G174,CHAR(160)," "),5) &amp; "|Ideas Rate",
      TRIM(SUBSTITUTE($N$2:$N$38,CHAR(160)," ")) &amp; "|" &amp;
      LEFT(SUBSTITUTE($O$2:$O$38,CHAR(160)," "),5) &amp; "|" &amp;
      TRIM(SUBSTITUTE($P$2:$P$38,CHAR(160)," ")),
      $Q$2:$Q$38
    )
  ),
"")</f>
        <v/>
      </c>
    </row>
    <row r="175" spans="10:11" x14ac:dyDescent="0.2">
      <c r="J175" s="32" t="str" cm="1">
        <f t="array" ref="J175">IFERROR(
  VALUE($H175) *
  VALUE(
    _xlfn.XLOOKUP(
      TRIM($F175) &amp; "|" &amp; LEFT(SUBSTITUTE($G175,CHAR(160)," "),5) &amp; "|Reduced Rate",
      TRIM(SUBSTITUTE($N$2:$N$38,CHAR(160)," ")) &amp; "|" &amp;
      LEFT(SUBSTITUTE($O$2:$O$38,CHAR(160)," "),5) &amp; "|" &amp;
      TRIM(SUBSTITUTE($P$2:$P$38,CHAR(160)," ")),
      $Q$2:$Q$38
    )
  ),
"")</f>
        <v/>
      </c>
      <c r="K175" s="32" t="str" cm="1">
        <f t="array" ref="K175">IFERROR(
  VALUE($H175) *
  VALUE(
    _xlfn.XLOOKUP(
      TRIM($F175) &amp; "|" &amp; LEFT(SUBSTITUTE($G175,CHAR(160)," "),5) &amp; "|Ideas Rate",
      TRIM(SUBSTITUTE($N$2:$N$38,CHAR(160)," ")) &amp; "|" &amp;
      LEFT(SUBSTITUTE($O$2:$O$38,CHAR(160)," "),5) &amp; "|" &amp;
      TRIM(SUBSTITUTE($P$2:$P$38,CHAR(160)," ")),
      $Q$2:$Q$38
    )
  ),
"")</f>
        <v/>
      </c>
    </row>
    <row r="176" spans="10:11" x14ac:dyDescent="0.2">
      <c r="J176" s="32" t="str" cm="1">
        <f t="array" ref="J176">IFERROR(
  VALUE($H176) *
  VALUE(
    _xlfn.XLOOKUP(
      TRIM($F176) &amp; "|" &amp; LEFT(SUBSTITUTE($G176,CHAR(160)," "),5) &amp; "|Reduced Rate",
      TRIM(SUBSTITUTE($N$2:$N$38,CHAR(160)," ")) &amp; "|" &amp;
      LEFT(SUBSTITUTE($O$2:$O$38,CHAR(160)," "),5) &amp; "|" &amp;
      TRIM(SUBSTITUTE($P$2:$P$38,CHAR(160)," ")),
      $Q$2:$Q$38
    )
  ),
"")</f>
        <v/>
      </c>
      <c r="K176" s="32" t="str" cm="1">
        <f t="array" ref="K176">IFERROR(
  VALUE($H176) *
  VALUE(
    _xlfn.XLOOKUP(
      TRIM($F176) &amp; "|" &amp; LEFT(SUBSTITUTE($G176,CHAR(160)," "),5) &amp; "|Ideas Rate",
      TRIM(SUBSTITUTE($N$2:$N$38,CHAR(160)," ")) &amp; "|" &amp;
      LEFT(SUBSTITUTE($O$2:$O$38,CHAR(160)," "),5) &amp; "|" &amp;
      TRIM(SUBSTITUTE($P$2:$P$38,CHAR(160)," ")),
      $Q$2:$Q$38
    )
  ),
"")</f>
        <v/>
      </c>
    </row>
    <row r="177" spans="10:11" x14ac:dyDescent="0.2">
      <c r="J177" s="32" t="str" cm="1">
        <f t="array" ref="J177">IFERROR(
  VALUE($H177) *
  VALUE(
    _xlfn.XLOOKUP(
      TRIM($F177) &amp; "|" &amp; LEFT(SUBSTITUTE($G177,CHAR(160)," "),5) &amp; "|Reduced Rate",
      TRIM(SUBSTITUTE($N$2:$N$38,CHAR(160)," ")) &amp; "|" &amp;
      LEFT(SUBSTITUTE($O$2:$O$38,CHAR(160)," "),5) &amp; "|" &amp;
      TRIM(SUBSTITUTE($P$2:$P$38,CHAR(160)," ")),
      $Q$2:$Q$38
    )
  ),
"")</f>
        <v/>
      </c>
      <c r="K177" s="32" t="str" cm="1">
        <f t="array" ref="K177">IFERROR(
  VALUE($H177) *
  VALUE(
    _xlfn.XLOOKUP(
      TRIM($F177) &amp; "|" &amp; LEFT(SUBSTITUTE($G177,CHAR(160)," "),5) &amp; "|Ideas Rate",
      TRIM(SUBSTITUTE($N$2:$N$38,CHAR(160)," ")) &amp; "|" &amp;
      LEFT(SUBSTITUTE($O$2:$O$38,CHAR(160)," "),5) &amp; "|" &amp;
      TRIM(SUBSTITUTE($P$2:$P$38,CHAR(160)," ")),
      $Q$2:$Q$38
    )
  ),
"")</f>
        <v/>
      </c>
    </row>
    <row r="178" spans="10:11" x14ac:dyDescent="0.2">
      <c r="J178" s="32" t="str" cm="1">
        <f t="array" ref="J178">IFERROR(
  VALUE($H178) *
  VALUE(
    _xlfn.XLOOKUP(
      TRIM($F178) &amp; "|" &amp; LEFT(SUBSTITUTE($G178,CHAR(160)," "),5) &amp; "|Reduced Rate",
      TRIM(SUBSTITUTE($N$2:$N$38,CHAR(160)," ")) &amp; "|" &amp;
      LEFT(SUBSTITUTE($O$2:$O$38,CHAR(160)," "),5) &amp; "|" &amp;
      TRIM(SUBSTITUTE($P$2:$P$38,CHAR(160)," ")),
      $Q$2:$Q$38
    )
  ),
"")</f>
        <v/>
      </c>
      <c r="K178" s="32" t="str" cm="1">
        <f t="array" ref="K178">IFERROR(
  VALUE($H178) *
  VALUE(
    _xlfn.XLOOKUP(
      TRIM($F178) &amp; "|" &amp; LEFT(SUBSTITUTE($G178,CHAR(160)," "),5) &amp; "|Ideas Rate",
      TRIM(SUBSTITUTE($N$2:$N$38,CHAR(160)," ")) &amp; "|" &amp;
      LEFT(SUBSTITUTE($O$2:$O$38,CHAR(160)," "),5) &amp; "|" &amp;
      TRIM(SUBSTITUTE($P$2:$P$38,CHAR(160)," ")),
      $Q$2:$Q$38
    )
  ),
"")</f>
        <v/>
      </c>
    </row>
    <row r="179" spans="10:11" x14ac:dyDescent="0.2">
      <c r="K179" s="32" t="str" cm="1">
        <f t="array" ref="K179">IFERROR(
  VALUE($H179) *
  VALUE(
    _xlfn.XLOOKUP(
      TRIM($F179) &amp; "|" &amp; LEFT(SUBSTITUTE($G179,CHAR(160)," "),5) &amp; "|Ideas Rate",
      TRIM(SUBSTITUTE($N$2:$N$38,CHAR(160)," ")) &amp; "|" &amp;
      LEFT(SUBSTITUTE($O$2:$O$38,CHAR(160)," "),5) &amp; "|" &amp;
      TRIM(SUBSTITUTE($P$2:$P$38,CHAR(160)," ")),
      $Q$2:$Q$38
    )
  ),
"")</f>
        <v/>
      </c>
    </row>
    <row r="180" spans="10:11" x14ac:dyDescent="0.2">
      <c r="K180" s="32" t="str" cm="1">
        <f t="array" ref="K180">IFERROR(
  VALUE($H180) *
  VALUE(
    _xlfn.XLOOKUP(
      TRIM($F180) &amp; "|" &amp; LEFT(SUBSTITUTE($G180,CHAR(160)," "),5) &amp; "|Ideas Rate",
      TRIM(SUBSTITUTE($N$2:$N$38,CHAR(160)," ")) &amp; "|" &amp;
      LEFT(SUBSTITUTE($O$2:$O$38,CHAR(160)," "),5) &amp; "|" &amp;
      TRIM(SUBSTITUTE($P$2:$P$38,CHAR(160)," ")),
      $Q$2:$Q$38
    )
  ),
"")</f>
        <v/>
      </c>
    </row>
    <row r="181" spans="10:11" x14ac:dyDescent="0.2">
      <c r="K181" s="32" t="str" cm="1">
        <f t="array" ref="K181">IFERROR(
  VALUE($H181) *
  VALUE(
    _xlfn.XLOOKUP(
      TRIM($F181) &amp; "|" &amp; LEFT(SUBSTITUTE($G181,CHAR(160)," "),5) &amp; "|Ideas Rate",
      TRIM(SUBSTITUTE($N$2:$N$38,CHAR(160)," ")) &amp; "|" &amp;
      LEFT(SUBSTITUTE($O$2:$O$38,CHAR(160)," "),5) &amp; "|" &amp;
      TRIM(SUBSTITUTE($P$2:$P$38,CHAR(160)," ")),
      $Q$2:$Q$38
    )
  ),
"")</f>
        <v/>
      </c>
    </row>
  </sheetData>
  <mergeCells count="1">
    <mergeCell ref="A2:B2"/>
  </mergeCells>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383B0AB8-5DBD-AA4B-A8F9-8D557C00457D}">
          <x14:formula1>
            <xm:f>Lookup!$M$3:$M$8</xm:f>
          </x14:formula1>
          <xm:sqref>F1:F1048576</xm:sqref>
        </x14:dataValidation>
        <x14:dataValidation type="list" allowBlank="1" showInputMessage="1" showErrorMessage="1" xr:uid="{E5281BF4-ADDA-CD44-8857-730462615C4F}">
          <x14:formula1>
            <xm:f>Lookup!$A$11:$A$20</xm:f>
          </x14:formula1>
          <xm:sqref>C1:C2</xm:sqref>
        </x14:dataValidation>
        <x14:dataValidation type="list" allowBlank="1" showInputMessage="1" showErrorMessage="1" xr:uid="{8B71FC53-AF2F-CA4C-9B11-DD873479921F}">
          <x14:formula1>
            <xm:f>Lookup!$A$20:$A$33</xm:f>
          </x14:formula1>
          <xm:sqref>D1:D1048576</xm:sqref>
        </x14:dataValidation>
        <x14:dataValidation type="list" allowBlank="1" showInputMessage="1" showErrorMessage="1" xr:uid="{22E5A01C-79E2-5746-869B-0D13FCFBD53A}">
          <x14:formula1>
            <xm:f>Lookup!$F$2:$F$10</xm:f>
          </x14:formula1>
          <xm:sqref>G1:G1048576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B877B-1EAA-224E-9F43-419E9D2E5DC1}">
  <dimension ref="A1:Y216"/>
  <sheetViews>
    <sheetView topLeftCell="B1" workbookViewId="0">
      <selection activeCell="D1" sqref="D1:D1048576"/>
    </sheetView>
  </sheetViews>
  <sheetFormatPr baseColWidth="10" defaultColWidth="10.83203125" defaultRowHeight="15" x14ac:dyDescent="0.2"/>
  <cols>
    <col min="2" max="2" width="11.1640625" bestFit="1" customWidth="1"/>
    <col min="3" max="3" width="10.83203125" style="20"/>
    <col min="5" max="5" width="19.83203125" customWidth="1"/>
    <col min="6" max="6" width="16.5" customWidth="1"/>
    <col min="9" max="9" width="17.83203125" style="32" customWidth="1"/>
    <col min="10" max="10" width="15.1640625" style="32" customWidth="1"/>
    <col min="11" max="11" width="22.1640625" style="32" customWidth="1"/>
    <col min="12" max="12" width="18.5" customWidth="1"/>
    <col min="13" max="13" width="40.83203125" customWidth="1"/>
  </cols>
  <sheetData>
    <row r="1" spans="1:25" x14ac:dyDescent="0.2">
      <c r="A1" s="3" t="s">
        <v>0</v>
      </c>
      <c r="B1" s="6" t="s">
        <v>1</v>
      </c>
      <c r="C1" s="29" t="s">
        <v>2</v>
      </c>
      <c r="D1" s="3" t="s">
        <v>165</v>
      </c>
      <c r="E1" s="3" t="s">
        <v>4</v>
      </c>
      <c r="F1" s="29" t="s">
        <v>5</v>
      </c>
      <c r="G1" s="3" t="s">
        <v>261</v>
      </c>
      <c r="H1" s="33" t="s">
        <v>6</v>
      </c>
      <c r="I1" s="51" t="s">
        <v>419</v>
      </c>
      <c r="J1" s="51" t="s">
        <v>378</v>
      </c>
      <c r="K1" s="46" t="s">
        <v>379</v>
      </c>
      <c r="L1" s="121" t="s">
        <v>540</v>
      </c>
      <c r="M1" s="121">
        <f>SUM(I:I)</f>
        <v>187.5</v>
      </c>
      <c r="N1" s="126" t="s">
        <v>381</v>
      </c>
      <c r="O1" s="127"/>
      <c r="P1" s="127"/>
      <c r="Q1" s="128"/>
      <c r="U1" s="77" t="s">
        <v>427</v>
      </c>
      <c r="V1" s="77" t="s">
        <v>424</v>
      </c>
      <c r="W1" s="77" t="s">
        <v>428</v>
      </c>
      <c r="X1" s="77" t="s">
        <v>429</v>
      </c>
      <c r="Y1" s="77" t="s">
        <v>430</v>
      </c>
    </row>
    <row r="2" spans="1:25" x14ac:dyDescent="0.2">
      <c r="A2" s="10">
        <v>46031</v>
      </c>
      <c r="B2" s="5" t="s">
        <v>518</v>
      </c>
      <c r="C2" s="20" t="s">
        <v>537</v>
      </c>
      <c r="D2" t="s">
        <v>178</v>
      </c>
      <c r="E2" t="s">
        <v>538</v>
      </c>
      <c r="F2" t="s">
        <v>10</v>
      </c>
      <c r="G2" t="s">
        <v>380</v>
      </c>
      <c r="H2" s="22">
        <v>0.5</v>
      </c>
      <c r="I2" s="32" cm="1">
        <f t="array" ref="I2">IFERROR(
  VALUE($H2) *
  VALUE(
    _xlfn.XLOOKUP(
      TRIM($F2) &amp; "|" &amp; LEFT(SUBSTITUTE($G2,CHAR(160)," "),5) &amp; "|Full Rate",
      TRIM(SUBSTITUTE($N$2:$N$38,CHAR(160)," ")) &amp; "|" &amp;
      LEFT(SUBSTITUTE($O$2:$O$38,CHAR(160)," "),5) &amp; "|" &amp;
      TRIM(SUBSTITUTE($P$2:$P$38,CHAR(160)," ")),
      $Q$2:$Q$38
    )
  ),
"")</f>
        <v>125</v>
      </c>
      <c r="J2" s="32" cm="1">
        <f t="array" ref="J2">IFERROR(
  VALUE($H2) *
  VALUE(
    _xlfn.XLOOKUP(
      TRIM($F2) &amp; "|" &amp; LEFT(SUBSTITUTE($G2,CHAR(160)," "),5) &amp; "|Reduced Rate",
      TRIM(SUBSTITUTE($N$2:$N$38,CHAR(160)," ")) &amp; "|" &amp;
      LEFT(SUBSTITUTE($O$2:$O$38,CHAR(160)," "),5) &amp; "|" &amp;
      TRIM(SUBSTITUTE($P$2:$P$38,CHAR(160)," ")),
      $Q$2:$Q$38
    )
  ),
"")</f>
        <v>75</v>
      </c>
      <c r="K2" s="32" cm="1">
        <f t="array" ref="K2">IFERROR(
  VALUE($H2) *
  VALUE(
    _xlfn.XLOOKUP(
      TRIM($F2) &amp; "|" &amp; LEFT(SUBSTITUTE($G2,CHAR(160)," "),5) &amp; "|Ideas Rate",
      TRIM(SUBSTITUTE($N$2:$N$38,CHAR(160)," ")) &amp; "|" &amp;
      LEFT(SUBSTITUTE($O$2:$O$38,CHAR(160)," "),5) &amp; "|" &amp;
      TRIM(SUBSTITUTE($P$2:$P$38,CHAR(160)," ")),
      $Q$2:$Q$38
    )
  ),
"")</f>
        <v>37.5</v>
      </c>
      <c r="L2" s="122" t="s">
        <v>542</v>
      </c>
      <c r="M2" s="123">
        <f>SUM(J:J)</f>
        <v>112.5</v>
      </c>
      <c r="N2" s="112" t="s">
        <v>154</v>
      </c>
      <c r="O2" s="58" t="s">
        <v>371</v>
      </c>
      <c r="P2" s="58" t="s">
        <v>372</v>
      </c>
      <c r="Q2" s="113" t="s">
        <v>373</v>
      </c>
      <c r="T2" s="89" t="s">
        <v>10</v>
      </c>
    </row>
    <row r="3" spans="1:25" s="54" customFormat="1" x14ac:dyDescent="0.2">
      <c r="A3" s="109">
        <v>46034</v>
      </c>
      <c r="B3" s="5" t="s">
        <v>518</v>
      </c>
      <c r="C3" s="20" t="s">
        <v>537</v>
      </c>
      <c r="D3" s="54" t="s">
        <v>190</v>
      </c>
      <c r="E3" s="111" t="s">
        <v>539</v>
      </c>
      <c r="F3" s="54" t="s">
        <v>10</v>
      </c>
      <c r="G3" s="54" t="s">
        <v>380</v>
      </c>
      <c r="H3" s="110">
        <v>0.25</v>
      </c>
      <c r="I3" s="32" cm="1">
        <f t="array" ref="I3">IFERROR(
  VALUE($H3) *
  VALUE(
    _xlfn.XLOOKUP(
      TRIM($F3) &amp; "|" &amp; LEFT(SUBSTITUTE($G3,CHAR(160)," "),5) &amp; "|Full Rate",
      TRIM(SUBSTITUTE($N$2:$N$38,CHAR(160)," ")) &amp; "|" &amp;
      LEFT(SUBSTITUTE($O$2:$O$38,CHAR(160)," "),5) &amp; "|" &amp;
      TRIM(SUBSTITUTE($P$2:$P$38,CHAR(160)," ")),
      $Q$2:$Q$38
    )
  ),
"")</f>
        <v>62.5</v>
      </c>
      <c r="J3" s="32" cm="1">
        <f t="array" ref="J3">IFERROR(
  VALUE($H3) *
  VALUE(
    _xlfn.XLOOKUP(
      TRIM($F3) &amp; "|" &amp; LEFT(SUBSTITUTE($G3,CHAR(160)," "),5) &amp; "|Reduced Rate",
      TRIM(SUBSTITUTE($N$2:$N$38,CHAR(160)," ")) &amp; "|" &amp;
      LEFT(SUBSTITUTE($O$2:$O$38,CHAR(160)," "),5) &amp; "|" &amp;
      TRIM(SUBSTITUTE($P$2:$P$38,CHAR(160)," ")),
      $Q$2:$Q$38
    )
  ),
"")</f>
        <v>37.5</v>
      </c>
      <c r="K3" s="32" cm="1">
        <f t="array" ref="K3">IFERROR(
  VALUE($H3) *
  VALUE(
    _xlfn.XLOOKUP(
      TRIM($F3) &amp; "|" &amp; LEFT(SUBSTITUTE($G3,CHAR(160)," "),5) &amp; "|Ideas Rate",
      TRIM(SUBSTITUTE($N$2:$N$38,CHAR(160)," ")) &amp; "|" &amp;
      LEFT(SUBSTITUTE($O$2:$O$38,CHAR(160)," "),5) &amp; "|" &amp;
      TRIM(SUBSTITUTE($P$2:$P$38,CHAR(160)," ")),
      $Q$2:$Q$38
    )
  ),
"")</f>
        <v>18.75</v>
      </c>
      <c r="L3" s="124" t="s">
        <v>541</v>
      </c>
      <c r="M3" s="125">
        <f>SUM(K:K)</f>
        <v>56.25</v>
      </c>
      <c r="N3" s="114" t="s">
        <v>10</v>
      </c>
      <c r="O3" s="54" t="s">
        <v>375</v>
      </c>
      <c r="P3" s="54" t="s">
        <v>382</v>
      </c>
      <c r="Q3" s="115">
        <v>500</v>
      </c>
      <c r="T3" s="90" t="s">
        <v>9</v>
      </c>
    </row>
    <row r="4" spans="1:25" x14ac:dyDescent="0.2">
      <c r="A4" s="10"/>
      <c r="B4" s="48"/>
      <c r="H4" s="22"/>
      <c r="I4" s="32" t="str" cm="1">
        <f t="array" ref="I4">IFERROR(
  VALUE($H4) *
  VALUE(
    _xlfn.XLOOKUP(
      TRIM($F4) &amp; "|" &amp; LEFT(SUBSTITUTE($G4,CHAR(160)," "),5) &amp; "|Full Rate",
      TRIM(SUBSTITUTE($N$2:$N$38,CHAR(160)," ")) &amp; "|" &amp;
      LEFT(SUBSTITUTE($O$2:$O$38,CHAR(160)," "),5) &amp; "|" &amp;
      TRIM(SUBSTITUTE($P$2:$P$38,CHAR(160)," ")),
      $Q$2:$Q$38
    )
  ),
"")</f>
        <v/>
      </c>
      <c r="J4" s="32" t="str" cm="1">
        <f t="array" ref="J4">IFERROR(
  VALUE($H4) *
  VALUE(
    _xlfn.XLOOKUP(
      TRIM($F4) &amp; "|" &amp; LEFT(SUBSTITUTE($G4,CHAR(160)," "),5) &amp; "|Reduced Rate",
      TRIM(SUBSTITUTE($N$2:$N$38,CHAR(160)," ")) &amp; "|" &amp;
      LEFT(SUBSTITUTE($O$2:$O$38,CHAR(160)," "),5) &amp; "|" &amp;
      TRIM(SUBSTITUTE($P$2:$P$38,CHAR(160)," ")),
      $Q$2:$Q$38
    )
  ),
"")</f>
        <v/>
      </c>
      <c r="K4" s="32" t="str" cm="1">
        <f t="array" ref="K4">IFERROR(
  VALUE($H4) *
  VALUE(
    _xlfn.XLOOKUP(
      TRIM($F4) &amp; "|" &amp; LEFT(SUBSTITUTE($G4,CHAR(160)," "),5) &amp; "|Ideas Rate",
      TRIM(SUBSTITUTE($N$2:$N$38,CHAR(160)," ")) &amp; "|" &amp;
      LEFT(SUBSTITUTE($O$2:$O$38,CHAR(160)," "),5) &amp; "|" &amp;
      TRIM(SUBSTITUTE($P$2:$P$38,CHAR(160)," ")),
      $Q$2:$Q$38
    )
  ),
"")</f>
        <v/>
      </c>
      <c r="N4" s="116" t="s">
        <v>10</v>
      </c>
      <c r="O4" t="s">
        <v>375</v>
      </c>
      <c r="P4" t="s">
        <v>383</v>
      </c>
      <c r="Q4" s="68">
        <v>300</v>
      </c>
      <c r="T4" s="89" t="s">
        <v>155</v>
      </c>
    </row>
    <row r="5" spans="1:25" x14ac:dyDescent="0.2">
      <c r="A5" s="10"/>
      <c r="B5" s="48"/>
      <c r="H5" s="22"/>
      <c r="I5" s="32" t="str" cm="1">
        <f t="array" ref="I5">IFERROR(
  VALUE($H5) *
  VALUE(
    _xlfn.XLOOKUP(
      TRIM($F5) &amp; "|" &amp; LEFT(SUBSTITUTE($G5,CHAR(160)," "),5) &amp; "|Full Rate",
      TRIM(SUBSTITUTE($N$2:$N$38,CHAR(160)," ")) &amp; "|" &amp;
      LEFT(SUBSTITUTE($O$2:$O$38,CHAR(160)," "),5) &amp; "|" &amp;
      TRIM(SUBSTITUTE($P$2:$P$38,CHAR(160)," ")),
      $Q$2:$Q$38
    )
  ),
"")</f>
        <v/>
      </c>
      <c r="J5" s="32" t="str" cm="1">
        <f t="array" ref="J5">IFERROR(
  VALUE($H5) *
  VALUE(
    _xlfn.XLOOKUP(
      TRIM($F5) &amp; "|" &amp; LEFT(SUBSTITUTE($G5,CHAR(160)," "),5) &amp; "|Reduced Rate",
      TRIM(SUBSTITUTE($N$2:$N$38,CHAR(160)," ")) &amp; "|" &amp;
      LEFT(SUBSTITUTE($O$2:$O$38,CHAR(160)," "),5) &amp; "|" &amp;
      TRIM(SUBSTITUTE($P$2:$P$38,CHAR(160)," ")),
      $Q$2:$Q$38
    )
  ),
"")</f>
        <v/>
      </c>
      <c r="K5" s="32" t="str" cm="1">
        <f t="array" ref="K5">IFERROR(
  VALUE($H5) *
  VALUE(
    _xlfn.XLOOKUP(
      TRIM($F5) &amp; "|" &amp; LEFT(SUBSTITUTE($G5,CHAR(160)," "),5) &amp; "|Ideas Rate",
      TRIM(SUBSTITUTE($N$2:$N$38,CHAR(160)," ")) &amp; "|" &amp;
      LEFT(SUBSTITUTE($O$2:$O$38,CHAR(160)," "),5) &amp; "|" &amp;
      TRIM(SUBSTITUTE($P$2:$P$38,CHAR(160)," ")),
      $Q$2:$Q$38
    )
  ),
"")</f>
        <v/>
      </c>
      <c r="N5" s="116" t="s">
        <v>10</v>
      </c>
      <c r="O5" t="s">
        <v>375</v>
      </c>
      <c r="P5" t="s">
        <v>379</v>
      </c>
      <c r="Q5" s="68">
        <v>150</v>
      </c>
      <c r="T5" s="89" t="s">
        <v>156</v>
      </c>
    </row>
    <row r="6" spans="1:25" x14ac:dyDescent="0.2">
      <c r="A6" s="10"/>
      <c r="B6" s="48"/>
      <c r="H6" s="22"/>
      <c r="I6" s="32" t="str" cm="1">
        <f t="array" ref="I6">IFERROR(
  VALUE($H6) *
  VALUE(
    _xlfn.XLOOKUP(
      TRIM($F6) &amp; "|" &amp; LEFT(SUBSTITUTE($G6,CHAR(160)," "),5) &amp; "|Full Rate",
      TRIM(SUBSTITUTE($N$2:$N$38,CHAR(160)," ")) &amp; "|" &amp;
      LEFT(SUBSTITUTE($O$2:$O$38,CHAR(160)," "),5) &amp; "|" &amp;
      TRIM(SUBSTITUTE($P$2:$P$38,CHAR(160)," ")),
      $Q$2:$Q$38
    )
  ),
"")</f>
        <v/>
      </c>
      <c r="J6" s="32" t="str" cm="1">
        <f t="array" ref="J6">IFERROR(
  VALUE($H6) *
  VALUE(
    _xlfn.XLOOKUP(
      TRIM($F6) &amp; "|" &amp; LEFT(SUBSTITUTE($G6,CHAR(160)," "),5) &amp; "|Reduced Rate",
      TRIM(SUBSTITUTE($N$2:$N$38,CHAR(160)," ")) &amp; "|" &amp;
      LEFT(SUBSTITUTE($O$2:$O$38,CHAR(160)," "),5) &amp; "|" &amp;
      TRIM(SUBSTITUTE($P$2:$P$38,CHAR(160)," ")),
      $Q$2:$Q$38
    )
  ),
"")</f>
        <v/>
      </c>
      <c r="K6" s="32" t="str" cm="1">
        <f t="array" ref="K6">IFERROR(
  VALUE($H6) *
  VALUE(
    _xlfn.XLOOKUP(
      TRIM($F6) &amp; "|" &amp; LEFT(SUBSTITUTE($G6,CHAR(160)," "),5) &amp; "|Ideas Rate",
      TRIM(SUBSTITUTE($N$2:$N$38,CHAR(160)," ")) &amp; "|" &amp;
      LEFT(SUBSTITUTE($O$2:$O$38,CHAR(160)," "),5) &amp; "|" &amp;
      TRIM(SUBSTITUTE($P$2:$P$38,CHAR(160)," ")),
      $Q$2:$Q$38
    )
  ),
"")</f>
        <v/>
      </c>
      <c r="N6" s="116" t="s">
        <v>10</v>
      </c>
      <c r="O6" t="s">
        <v>376</v>
      </c>
      <c r="P6" t="s">
        <v>382</v>
      </c>
      <c r="Q6" s="68">
        <v>250</v>
      </c>
    </row>
    <row r="7" spans="1:25" x14ac:dyDescent="0.2">
      <c r="A7" s="10"/>
      <c r="B7" s="48"/>
      <c r="H7" s="22"/>
      <c r="I7" s="32" t="str" cm="1">
        <f t="array" ref="I7">IFERROR(
  VALUE($H7) *
  VALUE(
    _xlfn.XLOOKUP(
      TRIM($F7) &amp; "|" &amp; LEFT(SUBSTITUTE($G7,CHAR(160)," "),5) &amp; "|Full Rate",
      TRIM(SUBSTITUTE($N$2:$N$38,CHAR(160)," ")) &amp; "|" &amp;
      LEFT(SUBSTITUTE($O$2:$O$38,CHAR(160)," "),5) &amp; "|" &amp;
      TRIM(SUBSTITUTE($P$2:$P$38,CHAR(160)," ")),
      $Q$2:$Q$38
    )
  ),
"")</f>
        <v/>
      </c>
      <c r="J7" s="32" t="str" cm="1">
        <f t="array" ref="J7">IFERROR(
  VALUE($H7) *
  VALUE(
    _xlfn.XLOOKUP(
      TRIM($F7) &amp; "|" &amp; LEFT(SUBSTITUTE($G7,CHAR(160)," "),5) &amp; "|Reduced Rate",
      TRIM(SUBSTITUTE($N$2:$N$38,CHAR(160)," ")) &amp; "|" &amp;
      LEFT(SUBSTITUTE($O$2:$O$38,CHAR(160)," "),5) &amp; "|" &amp;
      TRIM(SUBSTITUTE($P$2:$P$38,CHAR(160)," ")),
      $Q$2:$Q$38
    )
  ),
"")</f>
        <v/>
      </c>
      <c r="K7" s="32" t="str" cm="1">
        <f t="array" ref="K7">IFERROR(
  VALUE($H7) *
  VALUE(
    _xlfn.XLOOKUP(
      TRIM($F7) &amp; "|" &amp; LEFT(SUBSTITUTE($G7,CHAR(160)," "),5) &amp; "|Ideas Rate",
      TRIM(SUBSTITUTE($N$2:$N$38,CHAR(160)," ")) &amp; "|" &amp;
      LEFT(SUBSTITUTE($O$2:$O$38,CHAR(160)," "),5) &amp; "|" &amp;
      TRIM(SUBSTITUTE($P$2:$P$38,CHAR(160)," ")),
      $Q$2:$Q$38
    )
  ),
"")</f>
        <v/>
      </c>
      <c r="N7" s="116" t="s">
        <v>10</v>
      </c>
      <c r="O7" t="s">
        <v>376</v>
      </c>
      <c r="P7" t="s">
        <v>378</v>
      </c>
      <c r="Q7" s="68">
        <v>150</v>
      </c>
    </row>
    <row r="8" spans="1:25" x14ac:dyDescent="0.2">
      <c r="A8" s="10"/>
      <c r="B8" s="48"/>
      <c r="H8" s="22"/>
      <c r="I8" s="32" t="str" cm="1">
        <f t="array" ref="I8">IFERROR(
  VALUE($H8) *
  VALUE(
    _xlfn.XLOOKUP(
      TRIM($F8) &amp; "|" &amp; LEFT(SUBSTITUTE($G8,CHAR(160)," "),5) &amp; "|Full Rate",
      TRIM(SUBSTITUTE($N$2:$N$38,CHAR(160)," ")) &amp; "|" &amp;
      LEFT(SUBSTITUTE($O$2:$O$38,CHAR(160)," "),5) &amp; "|" &amp;
      TRIM(SUBSTITUTE($P$2:$P$38,CHAR(160)," ")),
      $Q$2:$Q$38
    )
  ),
"")</f>
        <v/>
      </c>
      <c r="J8" s="32" t="str" cm="1">
        <f t="array" ref="J8">IFERROR(
  VALUE($H8) *
  VALUE(
    _xlfn.XLOOKUP(
      TRIM($F8) &amp; "|" &amp; LEFT(SUBSTITUTE($G8,CHAR(160)," "),5) &amp; "|Reduced Rate",
      TRIM(SUBSTITUTE($N$2:$N$38,CHAR(160)," ")) &amp; "|" &amp;
      LEFT(SUBSTITUTE($O$2:$O$38,CHAR(160)," "),5) &amp; "|" &amp;
      TRIM(SUBSTITUTE($P$2:$P$38,CHAR(160)," ")),
      $Q$2:$Q$38
    )
  ),
"")</f>
        <v/>
      </c>
      <c r="K8" s="32" t="str" cm="1">
        <f t="array" ref="K8">IFERROR(
  VALUE($H8) *
  VALUE(
    _xlfn.XLOOKUP(
      TRIM($F8) &amp; "|" &amp; LEFT(SUBSTITUTE($G8,CHAR(160)," "),5) &amp; "|Ideas Rate",
      TRIM(SUBSTITUTE($N$2:$N$38,CHAR(160)," ")) &amp; "|" &amp;
      LEFT(SUBSTITUTE($O$2:$O$38,CHAR(160)," "),5) &amp; "|" &amp;
      TRIM(SUBSTITUTE($P$2:$P$38,CHAR(160)," ")),
      $Q$2:$Q$38
    )
  ),
"")</f>
        <v/>
      </c>
      <c r="N8" s="116" t="s">
        <v>10</v>
      </c>
      <c r="O8" t="s">
        <v>376</v>
      </c>
      <c r="P8" t="s">
        <v>384</v>
      </c>
      <c r="Q8" s="68">
        <v>75</v>
      </c>
    </row>
    <row r="9" spans="1:25" x14ac:dyDescent="0.2">
      <c r="A9" s="10"/>
      <c r="B9" s="48"/>
      <c r="H9" s="22"/>
      <c r="I9" s="32" t="str" cm="1">
        <f t="array" ref="I9">IFERROR(
  VALUE($H9) *
  VALUE(
    _xlfn.XLOOKUP(
      TRIM($F9) &amp; "|" &amp; LEFT(SUBSTITUTE($G9,CHAR(160)," "),5) &amp; "|Full Rate",
      TRIM(SUBSTITUTE($N$2:$N$38,CHAR(160)," ")) &amp; "|" &amp;
      LEFT(SUBSTITUTE($O$2:$O$38,CHAR(160)," "),5) &amp; "|" &amp;
      TRIM(SUBSTITUTE($P$2:$P$38,CHAR(160)," ")),
      $Q$2:$Q$38
    )
  ),
"")</f>
        <v/>
      </c>
      <c r="J9" s="32" t="str" cm="1">
        <f t="array" ref="J9">IFERROR(
  VALUE($H9) *
  VALUE(
    _xlfn.XLOOKUP(
      TRIM($F9) &amp; "|" &amp; LEFT(SUBSTITUTE($G9,CHAR(160)," "),5) &amp; "|Reduced Rate",
      TRIM(SUBSTITUTE($N$2:$N$38,CHAR(160)," ")) &amp; "|" &amp;
      LEFT(SUBSTITUTE($O$2:$O$38,CHAR(160)," "),5) &amp; "|" &amp;
      TRIM(SUBSTITUTE($P$2:$P$38,CHAR(160)," ")),
      $Q$2:$Q$38
    )
  ),
"")</f>
        <v/>
      </c>
      <c r="K9" s="32" t="str" cm="1">
        <f t="array" ref="K9">IFERROR(
  VALUE($H9) *
  VALUE(
    _xlfn.XLOOKUP(
      TRIM($F9) &amp; "|" &amp; LEFT(SUBSTITUTE($G9,CHAR(160)," "),5) &amp; "|Ideas Rate",
      TRIM(SUBSTITUTE($N$2:$N$38,CHAR(160)," ")) &amp; "|" &amp;
      LEFT(SUBSTITUTE($O$2:$O$38,CHAR(160)," "),5) &amp; "|" &amp;
      TRIM(SUBSTITUTE($P$2:$P$38,CHAR(160)," ")),
      $Q$2:$Q$38
    )
  ),
"")</f>
        <v/>
      </c>
      <c r="N9" s="116" t="s">
        <v>10</v>
      </c>
      <c r="O9" t="s">
        <v>368</v>
      </c>
      <c r="P9" t="s">
        <v>382</v>
      </c>
      <c r="Q9" s="68">
        <v>100</v>
      </c>
      <c r="T9" s="95" t="s">
        <v>165</v>
      </c>
      <c r="U9" s="96" t="s">
        <v>433</v>
      </c>
      <c r="V9" s="96" t="s">
        <v>491</v>
      </c>
      <c r="W9" s="96" t="s">
        <v>435</v>
      </c>
    </row>
    <row r="10" spans="1:25" x14ac:dyDescent="0.2">
      <c r="A10" s="10"/>
      <c r="B10" s="48"/>
      <c r="H10" s="22"/>
      <c r="I10" s="32" t="str" cm="1">
        <f t="array" ref="I10">IFERROR(
  VALUE($H10) *
  VALUE(
    _xlfn.XLOOKUP(
      TRIM($F10) &amp; "|" &amp; LEFT(SUBSTITUTE($G10,CHAR(160)," "),5) &amp; "|Full Rate",
      TRIM(SUBSTITUTE($N$2:$N$38,CHAR(160)," ")) &amp; "|" &amp;
      LEFT(SUBSTITUTE($O$2:$O$38,CHAR(160)," "),5) &amp; "|" &amp;
      TRIM(SUBSTITUTE($P$2:$P$38,CHAR(160)," ")),
      $Q$2:$Q$38
    )
  ),
"")</f>
        <v/>
      </c>
      <c r="J10" s="32" t="str" cm="1">
        <f t="array" ref="J10">IFERROR(
  VALUE($H10) *
  VALUE(
    _xlfn.XLOOKUP(
      TRIM($F10) &amp; "|" &amp; LEFT(SUBSTITUTE($G10,CHAR(160)," "),5) &amp; "|Reduced Rate",
      TRIM(SUBSTITUTE($N$2:$N$38,CHAR(160)," ")) &amp; "|" &amp;
      LEFT(SUBSTITUTE($O$2:$O$38,CHAR(160)," "),5) &amp; "|" &amp;
      TRIM(SUBSTITUTE($P$2:$P$38,CHAR(160)," ")),
      $Q$2:$Q$38
    )
  ),
"")</f>
        <v/>
      </c>
      <c r="K10" s="32" t="str" cm="1">
        <f t="array" ref="K10">IFERROR(
  VALUE($H10) *
  VALUE(
    _xlfn.XLOOKUP(
      TRIM($F10) &amp; "|" &amp; LEFT(SUBSTITUTE($G10,CHAR(160)," "),5) &amp; "|Ideas Rate",
      TRIM(SUBSTITUTE($N$2:$N$38,CHAR(160)," ")) &amp; "|" &amp;
      LEFT(SUBSTITUTE($O$2:$O$38,CHAR(160)," "),5) &amp; "|" &amp;
      TRIM(SUBSTITUTE($P$2:$P$38,CHAR(160)," ")),
      $Q$2:$Q$38
    )
  ),
"")</f>
        <v/>
      </c>
      <c r="N10" s="116" t="s">
        <v>10</v>
      </c>
      <c r="O10" t="s">
        <v>368</v>
      </c>
      <c r="P10" t="s">
        <v>378</v>
      </c>
      <c r="Q10" s="68">
        <v>50</v>
      </c>
      <c r="T10" s="97" t="s">
        <v>182</v>
      </c>
      <c r="U10" s="98">
        <f>SUMIF($D:$D,$S10,$H:$H)</f>
        <v>0</v>
      </c>
      <c r="V10" s="101">
        <f>SUMIF($D:$D,$S10,$I:$I)</f>
        <v>0</v>
      </c>
      <c r="W10" s="99"/>
    </row>
    <row r="11" spans="1:25" x14ac:dyDescent="0.2">
      <c r="A11" s="10"/>
      <c r="B11" s="48"/>
      <c r="H11" s="22"/>
      <c r="I11" s="32" t="str" cm="1">
        <f t="array" ref="I11">IFERROR(
  VALUE($H11) *
  VALUE(
    _xlfn.XLOOKUP(
      TRIM($F11) &amp; "|" &amp; LEFT(SUBSTITUTE($G11,CHAR(160)," "),5) &amp; "|Full Rate",
      TRIM(SUBSTITUTE($N$2:$N$38,CHAR(160)," ")) &amp; "|" &amp;
      LEFT(SUBSTITUTE($O$2:$O$38,CHAR(160)," "),5) &amp; "|" &amp;
      TRIM(SUBSTITUTE($P$2:$P$38,CHAR(160)," ")),
      $Q$2:$Q$38
    )
  ),
"")</f>
        <v/>
      </c>
      <c r="J11" s="32" t="str" cm="1">
        <f t="array" ref="J11">IFERROR(
  VALUE($H11) *
  VALUE(
    _xlfn.XLOOKUP(
      TRIM($F11) &amp; "|" &amp; LEFT(SUBSTITUTE($G11,CHAR(160)," "),5) &amp; "|Reduced Rate",
      TRIM(SUBSTITUTE($N$2:$N$38,CHAR(160)," ")) &amp; "|" &amp;
      LEFT(SUBSTITUTE($O$2:$O$38,CHAR(160)," "),5) &amp; "|" &amp;
      TRIM(SUBSTITUTE($P$2:$P$38,CHAR(160)," ")),
      $Q$2:$Q$38
    )
  ),
"")</f>
        <v/>
      </c>
      <c r="K11" s="32" t="str" cm="1">
        <f t="array" ref="K11">IFERROR(
  VALUE($H11) *
  VALUE(
    _xlfn.XLOOKUP(
      TRIM($F11) &amp; "|" &amp; LEFT(SUBSTITUTE($G11,CHAR(160)," "),5) &amp; "|Ideas Rate",
      TRIM(SUBSTITUTE($N$2:$N$38,CHAR(160)," ")) &amp; "|" &amp;
      LEFT(SUBSTITUTE($O$2:$O$38,CHAR(160)," "),5) &amp; "|" &amp;
      TRIM(SUBSTITUTE($P$2:$P$38,CHAR(160)," ")),
      $Q$2:$Q$38
    )
  ),
"")</f>
        <v/>
      </c>
      <c r="N11" s="116" t="s">
        <v>10</v>
      </c>
      <c r="O11" t="s">
        <v>368</v>
      </c>
      <c r="P11" t="s">
        <v>384</v>
      </c>
      <c r="Q11" s="68">
        <v>30</v>
      </c>
      <c r="T11" s="97" t="s">
        <v>190</v>
      </c>
      <c r="U11" s="98">
        <f t="shared" ref="U11:U21" si="0">SUMIF($D:$D,$S11,$H:$H)</f>
        <v>0</v>
      </c>
      <c r="V11" s="101">
        <f t="shared" ref="V11:V21" si="1">SUMIF($D:$D,$S11,$I:$I)</f>
        <v>0</v>
      </c>
      <c r="W11" s="99"/>
    </row>
    <row r="12" spans="1:25" x14ac:dyDescent="0.2">
      <c r="A12" s="10"/>
      <c r="B12" s="48"/>
      <c r="H12" s="22"/>
      <c r="I12" s="32" t="str" cm="1">
        <f t="array" ref="I12">IFERROR(
  VALUE($H12) *
  VALUE(
    _xlfn.XLOOKUP(
      TRIM($F12) &amp; "|" &amp; LEFT(SUBSTITUTE($G12,CHAR(160)," "),5) &amp; "|Full Rate",
      TRIM(SUBSTITUTE($N$2:$N$38,CHAR(160)," ")) &amp; "|" &amp;
      LEFT(SUBSTITUTE($O$2:$O$38,CHAR(160)," "),5) &amp; "|" &amp;
      TRIM(SUBSTITUTE($P$2:$P$38,CHAR(160)," ")),
      $Q$2:$Q$38
    )
  ),
"")</f>
        <v/>
      </c>
      <c r="J12" s="32" t="str" cm="1">
        <f t="array" ref="J12">IFERROR(
  VALUE($H12) *
  VALUE(
    _xlfn.XLOOKUP(
      TRIM($F12) &amp; "|" &amp; LEFT(SUBSTITUTE($G12,CHAR(160)," "),5) &amp; "|Reduced Rate",
      TRIM(SUBSTITUTE($N$2:$N$38,CHAR(160)," ")) &amp; "|" &amp;
      LEFT(SUBSTITUTE($O$2:$O$38,CHAR(160)," "),5) &amp; "|" &amp;
      TRIM(SUBSTITUTE($P$2:$P$38,CHAR(160)," ")),
      $Q$2:$Q$38
    )
  ),
"")</f>
        <v/>
      </c>
      <c r="K12" s="32" t="str" cm="1">
        <f t="array" ref="K12">IFERROR(
  VALUE($H12) *
  VALUE(
    _xlfn.XLOOKUP(
      TRIM($F12) &amp; "|" &amp; LEFT(SUBSTITUTE($G12,CHAR(160)," "),5) &amp; "|Ideas Rate",
      TRIM(SUBSTITUTE($N$2:$N$38,CHAR(160)," ")) &amp; "|" &amp;
      LEFT(SUBSTITUTE($O$2:$O$38,CHAR(160)," "),5) &amp; "|" &amp;
      TRIM(SUBSTITUTE($P$2:$P$38,CHAR(160)," ")),
      $Q$2:$Q$38
    )
  ),
"")</f>
        <v/>
      </c>
      <c r="N12" s="117" t="s">
        <v>9</v>
      </c>
      <c r="O12" s="56" t="s">
        <v>375</v>
      </c>
      <c r="P12" s="56" t="s">
        <v>382</v>
      </c>
      <c r="Q12" s="118">
        <v>500</v>
      </c>
      <c r="T12" s="97" t="s">
        <v>188</v>
      </c>
      <c r="U12" s="98">
        <f t="shared" si="0"/>
        <v>0</v>
      </c>
      <c r="V12" s="101">
        <f t="shared" si="1"/>
        <v>0</v>
      </c>
      <c r="W12" s="99"/>
    </row>
    <row r="13" spans="1:25" x14ac:dyDescent="0.2">
      <c r="A13" s="10"/>
      <c r="B13" s="48"/>
      <c r="H13" s="22"/>
      <c r="I13" s="32" t="str" cm="1">
        <f t="array" ref="I13">IFERROR(
  VALUE($H13) *
  VALUE(
    _xlfn.XLOOKUP(
      TRIM($F13) &amp; "|" &amp; LEFT(SUBSTITUTE($G13,CHAR(160)," "),5) &amp; "|Full Rate",
      TRIM(SUBSTITUTE($N$2:$N$38,CHAR(160)," ")) &amp; "|" &amp;
      LEFT(SUBSTITUTE($O$2:$O$38,CHAR(160)," "),5) &amp; "|" &amp;
      TRIM(SUBSTITUTE($P$2:$P$38,CHAR(160)," ")),
      $Q$2:$Q$38
    )
  ),
"")</f>
        <v/>
      </c>
      <c r="J13" s="32" t="str" cm="1">
        <f t="array" ref="J13">IFERROR(
  VALUE($H13) *
  VALUE(
    _xlfn.XLOOKUP(
      TRIM($F13) &amp; "|" &amp; LEFT(SUBSTITUTE($G13,CHAR(160)," "),5) &amp; "|Reduced Rate",
      TRIM(SUBSTITUTE($N$2:$N$38,CHAR(160)," ")) &amp; "|" &amp;
      LEFT(SUBSTITUTE($O$2:$O$38,CHAR(160)," "),5) &amp; "|" &amp;
      TRIM(SUBSTITUTE($P$2:$P$38,CHAR(160)," ")),
      $Q$2:$Q$38
    )
  ),
"")</f>
        <v/>
      </c>
      <c r="K13" s="32" t="str" cm="1">
        <f t="array" ref="K13">IFERROR(
  VALUE($H13) *
  VALUE(
    _xlfn.XLOOKUP(
      TRIM($F13) &amp; "|" &amp; LEFT(SUBSTITUTE($G13,CHAR(160)," "),5) &amp; "|Ideas Rate",
      TRIM(SUBSTITUTE($N$2:$N$38,CHAR(160)," ")) &amp; "|" &amp;
      LEFT(SUBSTITUTE($O$2:$O$38,CHAR(160)," "),5) &amp; "|" &amp;
      TRIM(SUBSTITUTE($P$2:$P$38,CHAR(160)," ")),
      $Q$2:$Q$38
    )
  ),
"")</f>
        <v/>
      </c>
      <c r="N13" s="116" t="s">
        <v>9</v>
      </c>
      <c r="O13" t="s">
        <v>375</v>
      </c>
      <c r="P13" t="s">
        <v>383</v>
      </c>
      <c r="Q13" s="68">
        <v>300</v>
      </c>
      <c r="T13" s="97" t="s">
        <v>191</v>
      </c>
      <c r="U13" s="98">
        <f t="shared" si="0"/>
        <v>0</v>
      </c>
      <c r="V13" s="101">
        <f t="shared" si="1"/>
        <v>0</v>
      </c>
      <c r="W13" s="99"/>
    </row>
    <row r="14" spans="1:25" x14ac:dyDescent="0.2">
      <c r="A14" s="10"/>
      <c r="B14" s="48"/>
      <c r="H14" s="22"/>
      <c r="I14" s="32" t="str" cm="1">
        <f t="array" ref="I14">IFERROR(
  VALUE($H14) *
  VALUE(
    _xlfn.XLOOKUP(
      TRIM($F14) &amp; "|" &amp; LEFT(SUBSTITUTE($G14,CHAR(160)," "),5) &amp; "|Full Rate",
      TRIM(SUBSTITUTE($N$2:$N$38,CHAR(160)," ")) &amp; "|" &amp;
      LEFT(SUBSTITUTE($O$2:$O$38,CHAR(160)," "),5) &amp; "|" &amp;
      TRIM(SUBSTITUTE($P$2:$P$38,CHAR(160)," ")),
      $Q$2:$Q$38
    )
  ),
"")</f>
        <v/>
      </c>
      <c r="J14" s="32" t="str" cm="1">
        <f t="array" ref="J14">IFERROR(
  VALUE($H14) *
  VALUE(
    _xlfn.XLOOKUP(
      TRIM($F14) &amp; "|" &amp; LEFT(SUBSTITUTE($G14,CHAR(160)," "),5) &amp; "|Reduced Rate",
      TRIM(SUBSTITUTE($N$2:$N$38,CHAR(160)," ")) &amp; "|" &amp;
      LEFT(SUBSTITUTE($O$2:$O$38,CHAR(160)," "),5) &amp; "|" &amp;
      TRIM(SUBSTITUTE($P$2:$P$38,CHAR(160)," ")),
      $Q$2:$Q$38
    )
  ),
"")</f>
        <v/>
      </c>
      <c r="K14" s="32" t="str" cm="1">
        <f t="array" ref="K14">IFERROR(
  VALUE($H14) *
  VALUE(
    _xlfn.XLOOKUP(
      TRIM($F14) &amp; "|" &amp; LEFT(SUBSTITUTE($G14,CHAR(160)," "),5) &amp; "|Ideas Rate",
      TRIM(SUBSTITUTE($N$2:$N$38,CHAR(160)," ")) &amp; "|" &amp;
      LEFT(SUBSTITUTE($O$2:$O$38,CHAR(160)," "),5) &amp; "|" &amp;
      TRIM(SUBSTITUTE($P$2:$P$38,CHAR(160)," ")),
      $Q$2:$Q$38
    )
  ),
"")</f>
        <v/>
      </c>
      <c r="N14" s="116" t="s">
        <v>9</v>
      </c>
      <c r="O14" t="s">
        <v>375</v>
      </c>
      <c r="P14" t="s">
        <v>384</v>
      </c>
      <c r="Q14" s="68">
        <v>150</v>
      </c>
      <c r="T14" s="97" t="s">
        <v>178</v>
      </c>
      <c r="U14" s="98">
        <f t="shared" si="0"/>
        <v>0</v>
      </c>
      <c r="V14" s="101">
        <f t="shared" si="1"/>
        <v>0</v>
      </c>
      <c r="W14" s="99"/>
    </row>
    <row r="15" spans="1:25" x14ac:dyDescent="0.2">
      <c r="A15" s="10"/>
      <c r="B15" s="48"/>
      <c r="H15" s="22"/>
      <c r="I15" s="32" t="str" cm="1">
        <f t="array" ref="I15">IFERROR(
  VALUE($H15) *
  VALUE(
    _xlfn.XLOOKUP(
      TRIM($F15) &amp; "|" &amp; LEFT(SUBSTITUTE($G15,CHAR(160)," "),5) &amp; "|Full Rate",
      TRIM(SUBSTITUTE($N$2:$N$38,CHAR(160)," ")) &amp; "|" &amp;
      LEFT(SUBSTITUTE($O$2:$O$38,CHAR(160)," "),5) &amp; "|" &amp;
      TRIM(SUBSTITUTE($P$2:$P$38,CHAR(160)," ")),
      $Q$2:$Q$38
    )
  ),
"")</f>
        <v/>
      </c>
      <c r="J15" s="32" t="str" cm="1">
        <f t="array" ref="J15">IFERROR(
  VALUE($H15) *
  VALUE(
    _xlfn.XLOOKUP(
      TRIM($F15) &amp; "|" &amp; LEFT(SUBSTITUTE($G15,CHAR(160)," "),5) &amp; "|Reduced Rate",
      TRIM(SUBSTITUTE($N$2:$N$38,CHAR(160)," ")) &amp; "|" &amp;
      LEFT(SUBSTITUTE($O$2:$O$38,CHAR(160)," "),5) &amp; "|" &amp;
      TRIM(SUBSTITUTE($P$2:$P$38,CHAR(160)," ")),
      $Q$2:$Q$38
    )
  ),
"")</f>
        <v/>
      </c>
      <c r="K15" s="32" t="str" cm="1">
        <f t="array" ref="K15">IFERROR(
  VALUE($H15) *
  VALUE(
    _xlfn.XLOOKUP(
      TRIM($F15) &amp; "|" &amp; LEFT(SUBSTITUTE($G15,CHAR(160)," "),5) &amp; "|Ideas Rate",
      TRIM(SUBSTITUTE($N$2:$N$38,CHAR(160)," ")) &amp; "|" &amp;
      LEFT(SUBSTITUTE($O$2:$O$38,CHAR(160)," "),5) &amp; "|" &amp;
      TRIM(SUBSTITUTE($P$2:$P$38,CHAR(160)," ")),
      $Q$2:$Q$38
    )
  ),
"")</f>
        <v/>
      </c>
      <c r="N15" s="116" t="s">
        <v>9</v>
      </c>
      <c r="O15" t="s">
        <v>376</v>
      </c>
      <c r="P15" t="s">
        <v>382</v>
      </c>
      <c r="Q15" s="68">
        <v>250</v>
      </c>
      <c r="T15" s="97" t="s">
        <v>81</v>
      </c>
      <c r="U15" s="98">
        <f t="shared" si="0"/>
        <v>0</v>
      </c>
      <c r="V15" s="101">
        <f t="shared" si="1"/>
        <v>0</v>
      </c>
      <c r="W15" s="99"/>
    </row>
    <row r="16" spans="1:25" x14ac:dyDescent="0.2">
      <c r="A16" s="10"/>
      <c r="B16" s="48"/>
      <c r="H16" s="22"/>
      <c r="I16" s="32" t="str" cm="1">
        <f t="array" ref="I16">IFERROR(
  VALUE($H16) *
  VALUE(
    _xlfn.XLOOKUP(
      TRIM($F16) &amp; "|" &amp; LEFT(SUBSTITUTE($G16,CHAR(160)," "),5) &amp; "|Full Rate",
      TRIM(SUBSTITUTE($N$2:$N$38,CHAR(160)," ")) &amp; "|" &amp;
      LEFT(SUBSTITUTE($O$2:$O$38,CHAR(160)," "),5) &amp; "|" &amp;
      TRIM(SUBSTITUTE($P$2:$P$38,CHAR(160)," ")),
      $Q$2:$Q$38
    )
  ),
"")</f>
        <v/>
      </c>
      <c r="J16" s="32" t="str" cm="1">
        <f t="array" ref="J16">IFERROR(
  VALUE($H16) *
  VALUE(
    _xlfn.XLOOKUP(
      TRIM($F16) &amp; "|" &amp; LEFT(SUBSTITUTE($G16,CHAR(160)," "),5) &amp; "|Reduced Rate",
      TRIM(SUBSTITUTE($N$2:$N$38,CHAR(160)," ")) &amp; "|" &amp;
      LEFT(SUBSTITUTE($O$2:$O$38,CHAR(160)," "),5) &amp; "|" &amp;
      TRIM(SUBSTITUTE($P$2:$P$38,CHAR(160)," ")),
      $Q$2:$Q$38
    )
  ),
"")</f>
        <v/>
      </c>
      <c r="K16" s="32" t="str" cm="1">
        <f t="array" ref="K16">IFERROR(
  VALUE($H16) *
  VALUE(
    _xlfn.XLOOKUP(
      TRIM($F16) &amp; "|" &amp; LEFT(SUBSTITUTE($G16,CHAR(160)," "),5) &amp; "|Ideas Rate",
      TRIM(SUBSTITUTE($N$2:$N$38,CHAR(160)," ")) &amp; "|" &amp;
      LEFT(SUBSTITUTE($O$2:$O$38,CHAR(160)," "),5) &amp; "|" &amp;
      TRIM(SUBSTITUTE($P$2:$P$38,CHAR(160)," ")),
      $Q$2:$Q$38
    )
  ),
"")</f>
        <v/>
      </c>
      <c r="N16" s="116" t="s">
        <v>9</v>
      </c>
      <c r="O16" t="s">
        <v>376</v>
      </c>
      <c r="P16" t="s">
        <v>383</v>
      </c>
      <c r="Q16" s="68">
        <v>150</v>
      </c>
      <c r="T16" s="97" t="s">
        <v>29</v>
      </c>
      <c r="U16" s="98">
        <f t="shared" si="0"/>
        <v>0</v>
      </c>
      <c r="V16" s="101">
        <f t="shared" si="1"/>
        <v>0</v>
      </c>
      <c r="W16" s="99"/>
    </row>
    <row r="17" spans="1:23" x14ac:dyDescent="0.2">
      <c r="A17" s="10"/>
      <c r="B17" s="48"/>
      <c r="H17" s="22"/>
      <c r="I17" s="32" t="str" cm="1">
        <f t="array" ref="I17">IFERROR(
  VALUE($H17) *
  VALUE(
    _xlfn.XLOOKUP(
      TRIM($F17) &amp; "|" &amp; LEFT(SUBSTITUTE($G17,CHAR(160)," "),5) &amp; "|Full Rate",
      TRIM(SUBSTITUTE($N$2:$N$38,CHAR(160)," ")) &amp; "|" &amp;
      LEFT(SUBSTITUTE($O$2:$O$38,CHAR(160)," "),5) &amp; "|" &amp;
      TRIM(SUBSTITUTE($P$2:$P$38,CHAR(160)," ")),
      $Q$2:$Q$38
    )
  ),
"")</f>
        <v/>
      </c>
      <c r="J17" s="32" t="str" cm="1">
        <f t="array" ref="J17">IFERROR(
  VALUE($H17) *
  VALUE(
    _xlfn.XLOOKUP(
      TRIM($F17) &amp; "|" &amp; LEFT(SUBSTITUTE($G17,CHAR(160)," "),5) &amp; "|Reduced Rate",
      TRIM(SUBSTITUTE($N$2:$N$38,CHAR(160)," ")) &amp; "|" &amp;
      LEFT(SUBSTITUTE($O$2:$O$38,CHAR(160)," "),5) &amp; "|" &amp;
      TRIM(SUBSTITUTE($P$2:$P$38,CHAR(160)," ")),
      $Q$2:$Q$38
    )
  ),
"")</f>
        <v/>
      </c>
      <c r="K17" s="32" t="str" cm="1">
        <f t="array" ref="K17">IFERROR(
  VALUE($H17) *
  VALUE(
    _xlfn.XLOOKUP(
      TRIM($F17) &amp; "|" &amp; LEFT(SUBSTITUTE($G17,CHAR(160)," "),5) &amp; "|Ideas Rate",
      TRIM(SUBSTITUTE($N$2:$N$38,CHAR(160)," ")) &amp; "|" &amp;
      LEFT(SUBSTITUTE($O$2:$O$38,CHAR(160)," "),5) &amp; "|" &amp;
      TRIM(SUBSTITUTE($P$2:$P$38,CHAR(160)," ")),
      $Q$2:$Q$38
    )
  ),
"")</f>
        <v/>
      </c>
      <c r="N17" s="116" t="s">
        <v>9</v>
      </c>
      <c r="O17" t="s">
        <v>376</v>
      </c>
      <c r="P17" t="s">
        <v>384</v>
      </c>
      <c r="Q17" s="68">
        <v>75</v>
      </c>
      <c r="T17" s="97" t="s">
        <v>192</v>
      </c>
      <c r="U17" s="98">
        <f t="shared" si="0"/>
        <v>0</v>
      </c>
      <c r="V17" s="101">
        <f t="shared" si="1"/>
        <v>0</v>
      </c>
      <c r="W17" s="99"/>
    </row>
    <row r="18" spans="1:23" x14ac:dyDescent="0.2">
      <c r="A18" s="10"/>
      <c r="B18" s="48"/>
      <c r="H18" s="22"/>
      <c r="I18" s="32" t="str" cm="1">
        <f t="array" ref="I18">IFERROR(
  VALUE($H18) *
  VALUE(
    _xlfn.XLOOKUP(
      TRIM($F18) &amp; "|" &amp; LEFT(SUBSTITUTE($G18,CHAR(160)," "),5) &amp; "|Full Rate",
      TRIM(SUBSTITUTE($N$2:$N$38,CHAR(160)," ")) &amp; "|" &amp;
      LEFT(SUBSTITUTE($O$2:$O$38,CHAR(160)," "),5) &amp; "|" &amp;
      TRIM(SUBSTITUTE($P$2:$P$38,CHAR(160)," ")),
      $Q$2:$Q$38
    )
  ),
"")</f>
        <v/>
      </c>
      <c r="J18" s="32" t="str" cm="1">
        <f t="array" ref="J18">IFERROR(
  VALUE($H18) *
  VALUE(
    _xlfn.XLOOKUP(
      TRIM($F18) &amp; "|" &amp; LEFT(SUBSTITUTE($G18,CHAR(160)," "),5) &amp; "|Reduced Rate",
      TRIM(SUBSTITUTE($N$2:$N$38,CHAR(160)," ")) &amp; "|" &amp;
      LEFT(SUBSTITUTE($O$2:$O$38,CHAR(160)," "),5) &amp; "|" &amp;
      TRIM(SUBSTITUTE($P$2:$P$38,CHAR(160)," ")),
      $Q$2:$Q$38
    )
  ),
"")</f>
        <v/>
      </c>
      <c r="K18" s="32" t="str" cm="1">
        <f t="array" ref="K18">IFERROR(
  VALUE($H18) *
  VALUE(
    _xlfn.XLOOKUP(
      TRIM($F18) &amp; "|" &amp; LEFT(SUBSTITUTE($G18,CHAR(160)," "),5) &amp; "|Ideas Rate",
      TRIM(SUBSTITUTE($N$2:$N$38,CHAR(160)," ")) &amp; "|" &amp;
      LEFT(SUBSTITUTE($O$2:$O$38,CHAR(160)," "),5) &amp; "|" &amp;
      TRIM(SUBSTITUTE($P$2:$P$38,CHAR(160)," ")),
      $Q$2:$Q$38
    )
  ),
"")</f>
        <v/>
      </c>
      <c r="N18" s="116" t="s">
        <v>9</v>
      </c>
      <c r="O18" t="s">
        <v>368</v>
      </c>
      <c r="P18" t="s">
        <v>382</v>
      </c>
      <c r="Q18" s="68">
        <v>100</v>
      </c>
      <c r="T18" s="97" t="s">
        <v>184</v>
      </c>
      <c r="U18" s="98">
        <f t="shared" si="0"/>
        <v>0</v>
      </c>
      <c r="V18" s="101">
        <f t="shared" si="1"/>
        <v>0</v>
      </c>
      <c r="W18" s="99"/>
    </row>
    <row r="19" spans="1:23" x14ac:dyDescent="0.2">
      <c r="A19" s="10"/>
      <c r="B19" s="48"/>
      <c r="H19" s="22"/>
      <c r="I19" s="32" t="str" cm="1">
        <f t="array" ref="I19">IFERROR(
  VALUE($H19) *
  VALUE(
    _xlfn.XLOOKUP(
      TRIM($F19) &amp; "|" &amp; LEFT(SUBSTITUTE($G19,CHAR(160)," "),5) &amp; "|Full Rate",
      TRIM(SUBSTITUTE($N$2:$N$38,CHAR(160)," ")) &amp; "|" &amp;
      LEFT(SUBSTITUTE($O$2:$O$38,CHAR(160)," "),5) &amp; "|" &amp;
      TRIM(SUBSTITUTE($P$2:$P$38,CHAR(160)," ")),
      $Q$2:$Q$38
    )
  ),
"")</f>
        <v/>
      </c>
      <c r="J19" s="32" t="str" cm="1">
        <f t="array" ref="J19">IFERROR(
  VALUE($H19) *
  VALUE(
    _xlfn.XLOOKUP(
      TRIM($F19) &amp; "|" &amp; LEFT(SUBSTITUTE($G19,CHAR(160)," "),5) &amp; "|Reduced Rate",
      TRIM(SUBSTITUTE($N$2:$N$38,CHAR(160)," ")) &amp; "|" &amp;
      LEFT(SUBSTITUTE($O$2:$O$38,CHAR(160)," "),5) &amp; "|" &amp;
      TRIM(SUBSTITUTE($P$2:$P$38,CHAR(160)," ")),
      $Q$2:$Q$38
    )
  ),
"")</f>
        <v/>
      </c>
      <c r="K19" s="32" t="str" cm="1">
        <f t="array" ref="K19">IFERROR(
  VALUE($H19) *
  VALUE(
    _xlfn.XLOOKUP(
      TRIM($F19) &amp; "|" &amp; LEFT(SUBSTITUTE($G19,CHAR(160)," "),5) &amp; "|Ideas Rate",
      TRIM(SUBSTITUTE($N$2:$N$38,CHAR(160)," ")) &amp; "|" &amp;
      LEFT(SUBSTITUTE($O$2:$O$38,CHAR(160)," "),5) &amp; "|" &amp;
      TRIM(SUBSTITUTE($P$2:$P$38,CHAR(160)," ")),
      $Q$2:$Q$38
    )
  ),
"")</f>
        <v/>
      </c>
      <c r="N19" s="116" t="s">
        <v>9</v>
      </c>
      <c r="O19" t="s">
        <v>368</v>
      </c>
      <c r="P19" t="s">
        <v>378</v>
      </c>
      <c r="Q19" s="68">
        <v>50</v>
      </c>
      <c r="T19" s="97" t="s">
        <v>187</v>
      </c>
      <c r="U19" s="98">
        <f t="shared" si="0"/>
        <v>0</v>
      </c>
      <c r="V19" s="101">
        <f t="shared" si="1"/>
        <v>0</v>
      </c>
      <c r="W19" s="99"/>
    </row>
    <row r="20" spans="1:23" x14ac:dyDescent="0.2">
      <c r="A20" s="10"/>
      <c r="B20" s="48"/>
      <c r="H20" s="22"/>
      <c r="I20" s="32" t="str" cm="1">
        <f t="array" ref="I20">IFERROR(
  VALUE($H20) *
  VALUE(
    _xlfn.XLOOKUP(
      TRIM($F20) &amp; "|" &amp; LEFT(SUBSTITUTE($G20,CHAR(160)," "),5) &amp; "|Full Rate",
      TRIM(SUBSTITUTE($N$2:$N$38,CHAR(160)," ")) &amp; "|" &amp;
      LEFT(SUBSTITUTE($O$2:$O$38,CHAR(160)," "),5) &amp; "|" &amp;
      TRIM(SUBSTITUTE($P$2:$P$38,CHAR(160)," ")),
      $Q$2:$Q$38
    )
  ),
"")</f>
        <v/>
      </c>
      <c r="J20" s="32" t="str" cm="1">
        <f t="array" ref="J20">IFERROR(
  VALUE($H20) *
  VALUE(
    _xlfn.XLOOKUP(
      TRIM($F20) &amp; "|" &amp; LEFT(SUBSTITUTE($G20,CHAR(160)," "),5) &amp; "|Reduced Rate",
      TRIM(SUBSTITUTE($N$2:$N$38,CHAR(160)," ")) &amp; "|" &amp;
      LEFT(SUBSTITUTE($O$2:$O$38,CHAR(160)," "),5) &amp; "|" &amp;
      TRIM(SUBSTITUTE($P$2:$P$38,CHAR(160)," ")),
      $Q$2:$Q$38
    )
  ),
"")</f>
        <v/>
      </c>
      <c r="K20" s="32" t="str" cm="1">
        <f t="array" ref="K20">IFERROR(
  VALUE($H20) *
  VALUE(
    _xlfn.XLOOKUP(
      TRIM($F20) &amp; "|" &amp; LEFT(SUBSTITUTE($G20,CHAR(160)," "),5) &amp; "|Ideas Rate",
      TRIM(SUBSTITUTE($N$2:$N$38,CHAR(160)," ")) &amp; "|" &amp;
      LEFT(SUBSTITUTE($O$2:$O$38,CHAR(160)," "),5) &amp; "|" &amp;
      TRIM(SUBSTITUTE($P$2:$P$38,CHAR(160)," ")),
      $Q$2:$Q$38
    )
  ),
"")</f>
        <v/>
      </c>
      <c r="N20" s="116" t="s">
        <v>9</v>
      </c>
      <c r="O20" t="s">
        <v>368</v>
      </c>
      <c r="P20" t="s">
        <v>384</v>
      </c>
      <c r="Q20" s="68">
        <v>30</v>
      </c>
      <c r="T20" s="97" t="s">
        <v>323</v>
      </c>
      <c r="U20" s="98">
        <f t="shared" si="0"/>
        <v>0</v>
      </c>
      <c r="V20" s="101">
        <f t="shared" si="1"/>
        <v>0</v>
      </c>
      <c r="W20" s="99"/>
    </row>
    <row r="21" spans="1:23" x14ac:dyDescent="0.2">
      <c r="A21" s="10"/>
      <c r="B21" s="48"/>
      <c r="H21" s="22"/>
      <c r="I21" s="32" t="str" cm="1">
        <f t="array" ref="I21">IFERROR(
  VALUE($H21) *
  VALUE(
    _xlfn.XLOOKUP(
      TRIM($F21) &amp; "|" &amp; LEFT(SUBSTITUTE($G21,CHAR(160)," "),5) &amp; "|Full Rate",
      TRIM(SUBSTITUTE($N$2:$N$38,CHAR(160)," ")) &amp; "|" &amp;
      LEFT(SUBSTITUTE($O$2:$O$38,CHAR(160)," "),5) &amp; "|" &amp;
      TRIM(SUBSTITUTE($P$2:$P$38,CHAR(160)," ")),
      $Q$2:$Q$38
    )
  ),
"")</f>
        <v/>
      </c>
      <c r="J21" s="32" t="str" cm="1">
        <f t="array" ref="J21">IFERROR(
  VALUE($H21) *
  VALUE(
    _xlfn.XLOOKUP(
      TRIM($F21) &amp; "|" &amp; LEFT(SUBSTITUTE($G21,CHAR(160)," "),5) &amp; "|Reduced Rate",
      TRIM(SUBSTITUTE($N$2:$N$38,CHAR(160)," ")) &amp; "|" &amp;
      LEFT(SUBSTITUTE($O$2:$O$38,CHAR(160)," "),5) &amp; "|" &amp;
      TRIM(SUBSTITUTE($P$2:$P$38,CHAR(160)," ")),
      $Q$2:$Q$38
    )
  ),
"")</f>
        <v/>
      </c>
      <c r="K21" s="32" t="str" cm="1">
        <f t="array" ref="K21">IFERROR(
  VALUE($H21) *
  VALUE(
    _xlfn.XLOOKUP(
      TRIM($F21) &amp; "|" &amp; LEFT(SUBSTITUTE($G21,CHAR(160)," "),5) &amp; "|Ideas Rate",
      TRIM(SUBSTITUTE($N$2:$N$38,CHAR(160)," ")) &amp; "|" &amp;
      LEFT(SUBSTITUTE($O$2:$O$38,CHAR(160)," "),5) &amp; "|" &amp;
      TRIM(SUBSTITUTE($P$2:$P$38,CHAR(160)," ")),
      $Q$2:$Q$38
    )
  ),
"")</f>
        <v/>
      </c>
      <c r="N21" s="117" t="s">
        <v>155</v>
      </c>
      <c r="O21" s="56" t="s">
        <v>375</v>
      </c>
      <c r="P21" t="s">
        <v>382</v>
      </c>
      <c r="Q21" s="118">
        <v>400</v>
      </c>
      <c r="T21" s="97" t="s">
        <v>324</v>
      </c>
      <c r="U21" s="98">
        <f t="shared" si="0"/>
        <v>0</v>
      </c>
      <c r="V21" s="101">
        <f t="shared" si="1"/>
        <v>0</v>
      </c>
      <c r="W21" s="99"/>
    </row>
    <row r="22" spans="1:23" x14ac:dyDescent="0.2">
      <c r="A22" s="10"/>
      <c r="B22" s="48"/>
      <c r="H22" s="22"/>
      <c r="I22" s="32" t="str" cm="1">
        <f t="array" ref="I22">IFERROR(
  VALUE($H22) *
  VALUE(
    _xlfn.XLOOKUP(
      TRIM($F22) &amp; "|" &amp; LEFT(SUBSTITUTE($G22,CHAR(160)," "),5) &amp; "|Full Rate",
      TRIM(SUBSTITUTE($N$2:$N$38,CHAR(160)," ")) &amp; "|" &amp;
      LEFT(SUBSTITUTE($O$2:$O$38,CHAR(160)," "),5) &amp; "|" &amp;
      TRIM(SUBSTITUTE($P$2:$P$38,CHAR(160)," ")),
      $Q$2:$Q$38
    )
  ),
"")</f>
        <v/>
      </c>
      <c r="J22" s="32" t="str" cm="1">
        <f t="array" ref="J22">IFERROR(
  VALUE($H22) *
  VALUE(
    _xlfn.XLOOKUP(
      TRIM($F22) &amp; "|" &amp; LEFT(SUBSTITUTE($G22,CHAR(160)," "),5) &amp; "|Reduced Rate",
      TRIM(SUBSTITUTE($N$2:$N$38,CHAR(160)," ")) &amp; "|" &amp;
      LEFT(SUBSTITUTE($O$2:$O$38,CHAR(160)," "),5) &amp; "|" &amp;
      TRIM(SUBSTITUTE($P$2:$P$38,CHAR(160)," ")),
      $Q$2:$Q$38
    )
  ),
"")</f>
        <v/>
      </c>
      <c r="K22" s="32" t="str" cm="1">
        <f t="array" ref="K22">IFERROR(
  VALUE($H22) *
  VALUE(
    _xlfn.XLOOKUP(
      TRIM($F22) &amp; "|" &amp; LEFT(SUBSTITUTE($G22,CHAR(160)," "),5) &amp; "|Ideas Rate",
      TRIM(SUBSTITUTE($N$2:$N$38,CHAR(160)," ")) &amp; "|" &amp;
      LEFT(SUBSTITUTE($O$2:$O$38,CHAR(160)," "),5) &amp; "|" &amp;
      TRIM(SUBSTITUTE($P$2:$P$38,CHAR(160)," ")),
      $Q$2:$Q$38
    )
  ),
"")</f>
        <v/>
      </c>
      <c r="N22" s="116" t="s">
        <v>155</v>
      </c>
      <c r="O22" t="s">
        <v>375</v>
      </c>
      <c r="P22" t="s">
        <v>383</v>
      </c>
      <c r="Q22" s="68">
        <v>200</v>
      </c>
    </row>
    <row r="23" spans="1:23" x14ac:dyDescent="0.2">
      <c r="A23" s="10"/>
      <c r="B23" s="48"/>
      <c r="H23" s="22"/>
      <c r="I23" s="32" t="str" cm="1">
        <f t="array" ref="I23">IFERROR(
  VALUE($H23) *
  VALUE(
    _xlfn.XLOOKUP(
      TRIM($F23) &amp; "|" &amp; LEFT(SUBSTITUTE($G23,CHAR(160)," "),5) &amp; "|Full Rate",
      TRIM(SUBSTITUTE($N$2:$N$38,CHAR(160)," ")) &amp; "|" &amp;
      LEFT(SUBSTITUTE($O$2:$O$38,CHAR(160)," "),5) &amp; "|" &amp;
      TRIM(SUBSTITUTE($P$2:$P$38,CHAR(160)," ")),
      $Q$2:$Q$38
    )
  ),
"")</f>
        <v/>
      </c>
      <c r="J23" s="32" t="str" cm="1">
        <f t="array" ref="J23">IFERROR(
  VALUE($H23) *
  VALUE(
    _xlfn.XLOOKUP(
      TRIM($F23) &amp; "|" &amp; LEFT(SUBSTITUTE($G23,CHAR(160)," "),5) &amp; "|Reduced Rate",
      TRIM(SUBSTITUTE($N$2:$N$38,CHAR(160)," ")) &amp; "|" &amp;
      LEFT(SUBSTITUTE($O$2:$O$38,CHAR(160)," "),5) &amp; "|" &amp;
      TRIM(SUBSTITUTE($P$2:$P$38,CHAR(160)," ")),
      $Q$2:$Q$38
    )
  ),
"")</f>
        <v/>
      </c>
      <c r="K23" s="32" t="str" cm="1">
        <f t="array" ref="K23">IFERROR(
  VALUE($H23) *
  VALUE(
    _xlfn.XLOOKUP(
      TRIM($F23) &amp; "|" &amp; LEFT(SUBSTITUTE($G23,CHAR(160)," "),5) &amp; "|Ideas Rate",
      TRIM(SUBSTITUTE($N$2:$N$38,CHAR(160)," ")) &amp; "|" &amp;
      LEFT(SUBSTITUTE($O$2:$O$38,CHAR(160)," "),5) &amp; "|" &amp;
      TRIM(SUBSTITUTE($P$2:$P$38,CHAR(160)," ")),
      $Q$2:$Q$38
    )
  ),
"")</f>
        <v/>
      </c>
      <c r="N23" s="116" t="s">
        <v>155</v>
      </c>
      <c r="O23" t="s">
        <v>375</v>
      </c>
      <c r="P23" t="s">
        <v>384</v>
      </c>
      <c r="Q23" s="68">
        <v>120</v>
      </c>
    </row>
    <row r="24" spans="1:23" x14ac:dyDescent="0.2">
      <c r="A24" s="10"/>
      <c r="B24" s="48"/>
      <c r="I24" s="32" t="str" cm="1">
        <f t="array" ref="I24">IFERROR(
  VALUE($H24) *
  VALUE(
    _xlfn.XLOOKUP(
      TRIM($F24) &amp; "|" &amp; LEFT(SUBSTITUTE($G24,CHAR(160)," "),5) &amp; "|Full Rate",
      TRIM(SUBSTITUTE($N$2:$N$38,CHAR(160)," ")) &amp; "|" &amp;
      LEFT(SUBSTITUTE($O$2:$O$38,CHAR(160)," "),5) &amp; "|" &amp;
      TRIM(SUBSTITUTE($P$2:$P$38,CHAR(160)," ")),
      $Q$2:$Q$38
    )
  ),
"")</f>
        <v/>
      </c>
      <c r="J24" s="32" t="str" cm="1">
        <f t="array" ref="J24">IFERROR(
  VALUE($H24) *
  VALUE(
    _xlfn.XLOOKUP(
      TRIM($F24) &amp; "|" &amp; LEFT(SUBSTITUTE($G24,CHAR(160)," "),5) &amp; "|Reduced Rate",
      TRIM(SUBSTITUTE($N$2:$N$38,CHAR(160)," ")) &amp; "|" &amp;
      LEFT(SUBSTITUTE($O$2:$O$38,CHAR(160)," "),5) &amp; "|" &amp;
      TRIM(SUBSTITUTE($P$2:$P$38,CHAR(160)," ")),
      $Q$2:$Q$38
    )
  ),
"")</f>
        <v/>
      </c>
      <c r="K24" s="32" t="str" cm="1">
        <f t="array" ref="K24">IFERROR(
  VALUE($H24) *
  VALUE(
    _xlfn.XLOOKUP(
      TRIM($F24) &amp; "|" &amp; LEFT(SUBSTITUTE($G24,CHAR(160)," "),5) &amp; "|Ideas Rate",
      TRIM(SUBSTITUTE($N$2:$N$38,CHAR(160)," ")) &amp; "|" &amp;
      LEFT(SUBSTITUTE($O$2:$O$38,CHAR(160)," "),5) &amp; "|" &amp;
      TRIM(SUBSTITUTE($P$2:$P$38,CHAR(160)," ")),
      $Q$2:$Q$38
    )
  ),
"")</f>
        <v/>
      </c>
      <c r="N24" s="116" t="s">
        <v>155</v>
      </c>
      <c r="O24" t="s">
        <v>376</v>
      </c>
      <c r="P24" t="s">
        <v>382</v>
      </c>
      <c r="Q24" s="68">
        <v>260</v>
      </c>
    </row>
    <row r="25" spans="1:23" x14ac:dyDescent="0.2">
      <c r="A25" s="10"/>
      <c r="B25" s="48"/>
      <c r="I25" s="32" t="str" cm="1">
        <f t="array" ref="I25">IFERROR(
  VALUE($H25) *
  VALUE(
    _xlfn.XLOOKUP(
      TRIM($F25) &amp; "|" &amp; LEFT(SUBSTITUTE($G25,CHAR(160)," "),5) &amp; "|Full Rate",
      TRIM(SUBSTITUTE($N$2:$N$38,CHAR(160)," ")) &amp; "|" &amp;
      LEFT(SUBSTITUTE($O$2:$O$38,CHAR(160)," "),5) &amp; "|" &amp;
      TRIM(SUBSTITUTE($P$2:$P$38,CHAR(160)," ")),
      $Q$2:$Q$38
    )
  ),
"")</f>
        <v/>
      </c>
      <c r="J25" s="32" t="str" cm="1">
        <f t="array" ref="J25">IFERROR(
  VALUE($H25) *
  VALUE(
    _xlfn.XLOOKUP(
      TRIM($F25) &amp; "|" &amp; LEFT(SUBSTITUTE($G25,CHAR(160)," "),5) &amp; "|Reduced Rate",
      TRIM(SUBSTITUTE($N$2:$N$38,CHAR(160)," ")) &amp; "|" &amp;
      LEFT(SUBSTITUTE($O$2:$O$38,CHAR(160)," "),5) &amp; "|" &amp;
      TRIM(SUBSTITUTE($P$2:$P$38,CHAR(160)," ")),
      $Q$2:$Q$38
    )
  ),
"")</f>
        <v/>
      </c>
      <c r="K25" s="32" t="str" cm="1">
        <f t="array" ref="K25">IFERROR(
  VALUE($H25) *
  VALUE(
    _xlfn.XLOOKUP(
      TRIM($F25) &amp; "|" &amp; LEFT(SUBSTITUTE($G25,CHAR(160)," "),5) &amp; "|Ideas Rate",
      TRIM(SUBSTITUTE($N$2:$N$38,CHAR(160)," ")) &amp; "|" &amp;
      LEFT(SUBSTITUTE($O$2:$O$38,CHAR(160)," "),5) &amp; "|" &amp;
      TRIM(SUBSTITUTE($P$2:$P$38,CHAR(160)," ")),
      $Q$2:$Q$38
    )
  ),
"")</f>
        <v/>
      </c>
      <c r="N25" s="116" t="s">
        <v>155</v>
      </c>
      <c r="O25" t="s">
        <v>376</v>
      </c>
      <c r="P25" t="s">
        <v>383</v>
      </c>
      <c r="Q25" s="68">
        <v>120</v>
      </c>
    </row>
    <row r="26" spans="1:23" x14ac:dyDescent="0.2">
      <c r="A26" s="10"/>
      <c r="B26" s="48"/>
      <c r="I26" s="32" t="str" cm="1">
        <f t="array" ref="I26">IFERROR(
  VALUE($H26) *
  VALUE(
    _xlfn.XLOOKUP(
      TRIM($F26) &amp; "|" &amp; LEFT(SUBSTITUTE($G26,CHAR(160)," "),5) &amp; "|Full Rate",
      TRIM(SUBSTITUTE($N$2:$N$38,CHAR(160)," ")) &amp; "|" &amp;
      LEFT(SUBSTITUTE($O$2:$O$38,CHAR(160)," "),5) &amp; "|" &amp;
      TRIM(SUBSTITUTE($P$2:$P$38,CHAR(160)," ")),
      $Q$2:$Q$38
    )
  ),
"")</f>
        <v/>
      </c>
      <c r="J26" s="32" t="str" cm="1">
        <f t="array" ref="J26">IFERROR(
  VALUE($H26) *
  VALUE(
    _xlfn.XLOOKUP(
      TRIM($F26) &amp; "|" &amp; LEFT(SUBSTITUTE($G26,CHAR(160)," "),5) &amp; "|Reduced Rate",
      TRIM(SUBSTITUTE($N$2:$N$38,CHAR(160)," ")) &amp; "|" &amp;
      LEFT(SUBSTITUTE($O$2:$O$38,CHAR(160)," "),5) &amp; "|" &amp;
      TRIM(SUBSTITUTE($P$2:$P$38,CHAR(160)," ")),
      $Q$2:$Q$38
    )
  ),
"")</f>
        <v/>
      </c>
      <c r="K26" s="32" t="str" cm="1">
        <f t="array" ref="K26">IFERROR(
  VALUE($H26) *
  VALUE(
    _xlfn.XLOOKUP(
      TRIM($F26) &amp; "|" &amp; LEFT(SUBSTITUTE($G26,CHAR(160)," "),5) &amp; "|Ideas Rate",
      TRIM(SUBSTITUTE($N$2:$N$38,CHAR(160)," ")) &amp; "|" &amp;
      LEFT(SUBSTITUTE($O$2:$O$38,CHAR(160)," "),5) &amp; "|" &amp;
      TRIM(SUBSTITUTE($P$2:$P$38,CHAR(160)," ")),
      $Q$2:$Q$38
    )
  ),
"")</f>
        <v/>
      </c>
      <c r="N26" s="116" t="s">
        <v>155</v>
      </c>
      <c r="O26" t="s">
        <v>376</v>
      </c>
      <c r="P26" t="s">
        <v>384</v>
      </c>
      <c r="Q26" s="68">
        <v>90</v>
      </c>
    </row>
    <row r="27" spans="1:23" x14ac:dyDescent="0.2">
      <c r="A27" s="10"/>
      <c r="B27" s="48"/>
      <c r="I27" s="32" t="str" cm="1">
        <f t="array" ref="I27">IFERROR(
  VALUE($H27) *
  VALUE(
    _xlfn.XLOOKUP(
      TRIM($F27) &amp; "|" &amp; LEFT(SUBSTITUTE($G27,CHAR(160)," "),5) &amp; "|Full Rate",
      TRIM(SUBSTITUTE($N$2:$N$38,CHAR(160)," ")) &amp; "|" &amp;
      LEFT(SUBSTITUTE($O$2:$O$38,CHAR(160)," "),5) &amp; "|" &amp;
      TRIM(SUBSTITUTE($P$2:$P$38,CHAR(160)," ")),
      $Q$2:$Q$38
    )
  ),
"")</f>
        <v/>
      </c>
      <c r="J27" s="32" t="str" cm="1">
        <f t="array" ref="J27">IFERROR(
  VALUE($H27) *
  VALUE(
    _xlfn.XLOOKUP(
      TRIM($F27) &amp; "|" &amp; LEFT(SUBSTITUTE($G27,CHAR(160)," "),5) &amp; "|Reduced Rate",
      TRIM(SUBSTITUTE($N$2:$N$38,CHAR(160)," ")) &amp; "|" &amp;
      LEFT(SUBSTITUTE($O$2:$O$38,CHAR(160)," "),5) &amp; "|" &amp;
      TRIM(SUBSTITUTE($P$2:$P$38,CHAR(160)," ")),
      $Q$2:$Q$38
    )
  ),
"")</f>
        <v/>
      </c>
      <c r="K27" s="32" t="str" cm="1">
        <f t="array" ref="K27">IFERROR(
  VALUE($H27) *
  VALUE(
    _xlfn.XLOOKUP(
      TRIM($F27) &amp; "|" &amp; LEFT(SUBSTITUTE($G27,CHAR(160)," "),5) &amp; "|Ideas Rate",
      TRIM(SUBSTITUTE($N$2:$N$38,CHAR(160)," ")) &amp; "|" &amp;
      LEFT(SUBSTITUTE($O$2:$O$38,CHAR(160)," "),5) &amp; "|" &amp;
      TRIM(SUBSTITUTE($P$2:$P$38,CHAR(160)," ")),
      $Q$2:$Q$38
    )
  ),
"")</f>
        <v/>
      </c>
      <c r="N27" s="116" t="s">
        <v>155</v>
      </c>
      <c r="O27" t="s">
        <v>368</v>
      </c>
      <c r="P27" t="s">
        <v>382</v>
      </c>
      <c r="Q27" s="68">
        <v>100</v>
      </c>
    </row>
    <row r="28" spans="1:23" x14ac:dyDescent="0.2">
      <c r="A28" s="10"/>
      <c r="B28" s="48"/>
      <c r="I28" s="32" t="str" cm="1">
        <f t="array" ref="I28">IFERROR(
  VALUE($H28) *
  VALUE(
    _xlfn.XLOOKUP(
      TRIM($F28) &amp; "|" &amp; LEFT(SUBSTITUTE($G28,CHAR(160)," "),5) &amp; "|Full Rate",
      TRIM(SUBSTITUTE($N$2:$N$38,CHAR(160)," ")) &amp; "|" &amp;
      LEFT(SUBSTITUTE($O$2:$O$38,CHAR(160)," "),5) &amp; "|" &amp;
      TRIM(SUBSTITUTE($P$2:$P$38,CHAR(160)," ")),
      $Q$2:$Q$38
    )
  ),
"")</f>
        <v/>
      </c>
      <c r="J28" s="32" t="str" cm="1">
        <f t="array" ref="J28">IFERROR(
  VALUE($H28) *
  VALUE(
    _xlfn.XLOOKUP(
      TRIM($F28) &amp; "|" &amp; LEFT(SUBSTITUTE($G28,CHAR(160)," "),5) &amp; "|Reduced Rate",
      TRIM(SUBSTITUTE($N$2:$N$38,CHAR(160)," ")) &amp; "|" &amp;
      LEFT(SUBSTITUTE($O$2:$O$38,CHAR(160)," "),5) &amp; "|" &amp;
      TRIM(SUBSTITUTE($P$2:$P$38,CHAR(160)," ")),
      $Q$2:$Q$38
    )
  ),
"")</f>
        <v/>
      </c>
      <c r="K28" s="32" t="str" cm="1">
        <f t="array" ref="K28">IFERROR(
  VALUE($H28) *
  VALUE(
    _xlfn.XLOOKUP(
      TRIM($F28) &amp; "|" &amp; LEFT(SUBSTITUTE($G28,CHAR(160)," "),5) &amp; "|Ideas Rate",
      TRIM(SUBSTITUTE($N$2:$N$38,CHAR(160)," ")) &amp; "|" &amp;
      LEFT(SUBSTITUTE($O$2:$O$38,CHAR(160)," "),5) &amp; "|" &amp;
      TRIM(SUBSTITUTE($P$2:$P$38,CHAR(160)," ")),
      $Q$2:$Q$38
    )
  ),
"")</f>
        <v/>
      </c>
      <c r="N28" s="116" t="s">
        <v>155</v>
      </c>
      <c r="O28" t="s">
        <v>368</v>
      </c>
      <c r="P28" t="s">
        <v>383</v>
      </c>
      <c r="Q28" s="68">
        <v>50</v>
      </c>
    </row>
    <row r="29" spans="1:23" x14ac:dyDescent="0.2">
      <c r="A29" s="10"/>
      <c r="B29" s="48"/>
      <c r="I29" s="32" t="str" cm="1">
        <f t="array" ref="I29">IFERROR(
  VALUE($H29) *
  VALUE(
    _xlfn.XLOOKUP(
      TRIM($F29) &amp; "|" &amp; LEFT(SUBSTITUTE($G29,CHAR(160)," "),5) &amp; "|Full Rate",
      TRIM(SUBSTITUTE($N$2:$N$38,CHAR(160)," ")) &amp; "|" &amp;
      LEFT(SUBSTITUTE($O$2:$O$38,CHAR(160)," "),5) &amp; "|" &amp;
      TRIM(SUBSTITUTE($P$2:$P$38,CHAR(160)," ")),
      $Q$2:$Q$38
    )
  ),
"")</f>
        <v/>
      </c>
      <c r="J29" s="32" t="str" cm="1">
        <f t="array" ref="J29">IFERROR(
  VALUE($H29) *
  VALUE(
    _xlfn.XLOOKUP(
      TRIM($F29) &amp; "|" &amp; LEFT(SUBSTITUTE($G29,CHAR(160)," "),5) &amp; "|Reduced Rate",
      TRIM(SUBSTITUTE($N$2:$N$38,CHAR(160)," ")) &amp; "|" &amp;
      LEFT(SUBSTITUTE($O$2:$O$38,CHAR(160)," "),5) &amp; "|" &amp;
      TRIM(SUBSTITUTE($P$2:$P$38,CHAR(160)," ")),
      $Q$2:$Q$38
    )
  ),
"")</f>
        <v/>
      </c>
      <c r="K29" s="32" t="str" cm="1">
        <f t="array" ref="K29">IFERROR(
  VALUE($H29) *
  VALUE(
    _xlfn.XLOOKUP(
      TRIM($F29) &amp; "|" &amp; LEFT(SUBSTITUTE($G29,CHAR(160)," "),5) &amp; "|Ideas Rate",
      TRIM(SUBSTITUTE($N$2:$N$38,CHAR(160)," ")) &amp; "|" &amp;
      LEFT(SUBSTITUTE($O$2:$O$38,CHAR(160)," "),5) &amp; "|" &amp;
      TRIM(SUBSTITUTE($P$2:$P$38,CHAR(160)," ")),
      $Q$2:$Q$38
    )
  ),
"")</f>
        <v/>
      </c>
      <c r="N29" s="116" t="s">
        <v>155</v>
      </c>
      <c r="O29" t="s">
        <v>368</v>
      </c>
      <c r="P29" t="s">
        <v>384</v>
      </c>
      <c r="Q29" s="68">
        <v>30</v>
      </c>
    </row>
    <row r="30" spans="1:23" x14ac:dyDescent="0.2">
      <c r="A30" s="10"/>
      <c r="B30" s="48"/>
      <c r="I30" s="32" t="str" cm="1">
        <f t="array" ref="I30">IFERROR(
  VALUE($H30) *
  VALUE(
    _xlfn.XLOOKUP(
      TRIM($F30) &amp; "|" &amp; LEFT(SUBSTITUTE($G30,CHAR(160)," "),5) &amp; "|Full Rate",
      TRIM(SUBSTITUTE($N$2:$N$38,CHAR(160)," ")) &amp; "|" &amp;
      LEFT(SUBSTITUTE($O$2:$O$38,CHAR(160)," "),5) &amp; "|" &amp;
      TRIM(SUBSTITUTE($P$2:$P$38,CHAR(160)," ")),
      $Q$2:$Q$38
    )
  ),
"")</f>
        <v/>
      </c>
      <c r="J30" s="32" t="str" cm="1">
        <f t="array" ref="J30">IFERROR(
  VALUE($H30) *
  VALUE(
    _xlfn.XLOOKUP(
      TRIM($F30) &amp; "|" &amp; LEFT(SUBSTITUTE($G30,CHAR(160)," "),5) &amp; "|Reduced Rate",
      TRIM(SUBSTITUTE($N$2:$N$38,CHAR(160)," ")) &amp; "|" &amp;
      LEFT(SUBSTITUTE($O$2:$O$38,CHAR(160)," "),5) &amp; "|" &amp;
      TRIM(SUBSTITUTE($P$2:$P$38,CHAR(160)," ")),
      $Q$2:$Q$38
    )
  ),
"")</f>
        <v/>
      </c>
      <c r="K30" s="32" t="str" cm="1">
        <f t="array" ref="K30">IFERROR(
  VALUE($H30) *
  VALUE(
    _xlfn.XLOOKUP(
      TRIM($F30) &amp; "|" &amp; LEFT(SUBSTITUTE($G30,CHAR(160)," "),5) &amp; "|Ideas Rate",
      TRIM(SUBSTITUTE($N$2:$N$38,CHAR(160)," ")) &amp; "|" &amp;
      LEFT(SUBSTITUTE($O$2:$O$38,CHAR(160)," "),5) &amp; "|" &amp;
      TRIM(SUBSTITUTE($P$2:$P$38,CHAR(160)," ")),
      $Q$2:$Q$38
    )
  ),
"")</f>
        <v/>
      </c>
      <c r="N30" s="117" t="s">
        <v>156</v>
      </c>
      <c r="O30" s="56" t="s">
        <v>375</v>
      </c>
      <c r="P30" t="s">
        <v>382</v>
      </c>
      <c r="Q30" s="118">
        <v>325</v>
      </c>
    </row>
    <row r="31" spans="1:23" x14ac:dyDescent="0.2">
      <c r="A31" s="10"/>
      <c r="B31" s="48"/>
      <c r="I31" s="32" t="str" cm="1">
        <f t="array" ref="I31">IFERROR(
  VALUE($H31) *
  VALUE(
    _xlfn.XLOOKUP(
      TRIM($F31) &amp; "|" &amp; LEFT(SUBSTITUTE($G31,CHAR(160)," "),5) &amp; "|Full Rate",
      TRIM(SUBSTITUTE($N$2:$N$38,CHAR(160)," ")) &amp; "|" &amp;
      LEFT(SUBSTITUTE($O$2:$O$38,CHAR(160)," "),5) &amp; "|" &amp;
      TRIM(SUBSTITUTE($P$2:$P$38,CHAR(160)," ")),
      $Q$2:$Q$38
    )
  ),
"")</f>
        <v/>
      </c>
      <c r="J31" s="32" t="str" cm="1">
        <f t="array" ref="J31">IFERROR(
  VALUE($H31) *
  VALUE(
    _xlfn.XLOOKUP(
      TRIM($F31) &amp; "|" &amp; LEFT(SUBSTITUTE($G31,CHAR(160)," "),5) &amp; "|Reduced Rate",
      TRIM(SUBSTITUTE($N$2:$N$38,CHAR(160)," ")) &amp; "|" &amp;
      LEFT(SUBSTITUTE($O$2:$O$38,CHAR(160)," "),5) &amp; "|" &amp;
      TRIM(SUBSTITUTE($P$2:$P$38,CHAR(160)," ")),
      $Q$2:$Q$38
    )
  ),
"")</f>
        <v/>
      </c>
      <c r="K31" s="32" t="str" cm="1">
        <f t="array" ref="K31">IFERROR(
  VALUE($H31) *
  VALUE(
    _xlfn.XLOOKUP(
      TRIM($F31) &amp; "|" &amp; LEFT(SUBSTITUTE($G31,CHAR(160)," "),5) &amp; "|Ideas Rate",
      TRIM(SUBSTITUTE($N$2:$N$38,CHAR(160)," ")) &amp; "|" &amp;
      LEFT(SUBSTITUTE($O$2:$O$38,CHAR(160)," "),5) &amp; "|" &amp;
      TRIM(SUBSTITUTE($P$2:$P$38,CHAR(160)," ")),
      $Q$2:$Q$38
    )
  ),
"")</f>
        <v/>
      </c>
      <c r="N31" s="116" t="s">
        <v>156</v>
      </c>
      <c r="O31" t="s">
        <v>375</v>
      </c>
      <c r="P31" t="s">
        <v>383</v>
      </c>
      <c r="Q31" s="68">
        <v>175</v>
      </c>
    </row>
    <row r="32" spans="1:23" x14ac:dyDescent="0.2">
      <c r="A32" s="10"/>
      <c r="B32" s="48"/>
      <c r="I32" s="32" t="str" cm="1">
        <f t="array" ref="I32">IFERROR(
  VALUE($H32) *
  VALUE(
    _xlfn.XLOOKUP(
      TRIM($F32) &amp; "|" &amp; LEFT(SUBSTITUTE($G32,CHAR(160)," "),5) &amp; "|Full Rate",
      TRIM(SUBSTITUTE($N$2:$N$38,CHAR(160)," ")) &amp; "|" &amp;
      LEFT(SUBSTITUTE($O$2:$O$38,CHAR(160)," "),5) &amp; "|" &amp;
      TRIM(SUBSTITUTE($P$2:$P$38,CHAR(160)," ")),
      $Q$2:$Q$38
    )
  ),
"")</f>
        <v/>
      </c>
      <c r="J32" s="32" t="str" cm="1">
        <f t="array" ref="J32">IFERROR(
  VALUE($H32) *
  VALUE(
    _xlfn.XLOOKUP(
      TRIM($F32) &amp; "|" &amp; LEFT(SUBSTITUTE($G32,CHAR(160)," "),5) &amp; "|Reduced Rate",
      TRIM(SUBSTITUTE($N$2:$N$38,CHAR(160)," ")) &amp; "|" &amp;
      LEFT(SUBSTITUTE($O$2:$O$38,CHAR(160)," "),5) &amp; "|" &amp;
      TRIM(SUBSTITUTE($P$2:$P$38,CHAR(160)," ")),
      $Q$2:$Q$38
    )
  ),
"")</f>
        <v/>
      </c>
      <c r="K32" s="32" t="str" cm="1">
        <f t="array" ref="K32">IFERROR(
  VALUE($H32) *
  VALUE(
    _xlfn.XLOOKUP(
      TRIM($F32) &amp; "|" &amp; LEFT(SUBSTITUTE($G32,CHAR(160)," "),5) &amp; "|Ideas Rate",
      TRIM(SUBSTITUTE($N$2:$N$38,CHAR(160)," ")) &amp; "|" &amp;
      LEFT(SUBSTITUTE($O$2:$O$38,CHAR(160)," "),5) &amp; "|" &amp;
      TRIM(SUBSTITUTE($P$2:$P$38,CHAR(160)," ")),
      $Q$2:$Q$38
    )
  ),
"")</f>
        <v/>
      </c>
      <c r="N32" s="116" t="s">
        <v>156</v>
      </c>
      <c r="O32" t="s">
        <v>375</v>
      </c>
      <c r="P32" t="s">
        <v>384</v>
      </c>
      <c r="Q32" s="68">
        <v>95</v>
      </c>
    </row>
    <row r="33" spans="1:17" x14ac:dyDescent="0.2">
      <c r="A33" s="10"/>
      <c r="B33" s="48"/>
      <c r="I33" s="32" t="str" cm="1">
        <f t="array" ref="I33">IFERROR(
  VALUE($H33) *
  VALUE(
    _xlfn.XLOOKUP(
      TRIM($F33) &amp; "|" &amp; LEFT(SUBSTITUTE($G33,CHAR(160)," "),5) &amp; "|Full Rate",
      TRIM(SUBSTITUTE($N$2:$N$38,CHAR(160)," ")) &amp; "|" &amp;
      LEFT(SUBSTITUTE($O$2:$O$38,CHAR(160)," "),5) &amp; "|" &amp;
      TRIM(SUBSTITUTE($P$2:$P$38,CHAR(160)," ")),
      $Q$2:$Q$38
    )
  ),
"")</f>
        <v/>
      </c>
      <c r="J33" s="32" t="str" cm="1">
        <f t="array" ref="J33">IFERROR(
  VALUE($H33) *
  VALUE(
    _xlfn.XLOOKUP(
      TRIM($F33) &amp; "|" &amp; LEFT(SUBSTITUTE($G33,CHAR(160)," "),5) &amp; "|Reduced Rate",
      TRIM(SUBSTITUTE($N$2:$N$38,CHAR(160)," ")) &amp; "|" &amp;
      LEFT(SUBSTITUTE($O$2:$O$38,CHAR(160)," "),5) &amp; "|" &amp;
      TRIM(SUBSTITUTE($P$2:$P$38,CHAR(160)," ")),
      $Q$2:$Q$38
    )
  ),
"")</f>
        <v/>
      </c>
      <c r="K33" s="32" t="str" cm="1">
        <f t="array" ref="K33">IFERROR(
  VALUE($H33) *
  VALUE(
    _xlfn.XLOOKUP(
      TRIM($F33) &amp; "|" &amp; LEFT(SUBSTITUTE($G33,CHAR(160)," "),5) &amp; "|Ideas Rate",
      TRIM(SUBSTITUTE($N$2:$N$38,CHAR(160)," ")) &amp; "|" &amp;
      LEFT(SUBSTITUTE($O$2:$O$38,CHAR(160)," "),5) &amp; "|" &amp;
      TRIM(SUBSTITUTE($P$2:$P$38,CHAR(160)," ")),
      $Q$2:$Q$38
    )
  ),
"")</f>
        <v/>
      </c>
      <c r="N33" s="116" t="s">
        <v>156</v>
      </c>
      <c r="O33" t="s">
        <v>376</v>
      </c>
      <c r="P33" t="s">
        <v>382</v>
      </c>
      <c r="Q33" s="68">
        <v>195</v>
      </c>
    </row>
    <row r="34" spans="1:17" x14ac:dyDescent="0.2">
      <c r="A34" s="10"/>
      <c r="B34" s="48"/>
      <c r="I34" s="32" t="str" cm="1">
        <f t="array" ref="I34">IFERROR(
  VALUE($H34) *
  VALUE(
    _xlfn.XLOOKUP(
      TRIM($F34) &amp; "|" &amp; LEFT(SUBSTITUTE($G34,CHAR(160)," "),5) &amp; "|Full Rate",
      TRIM(SUBSTITUTE($N$2:$N$38,CHAR(160)," ")) &amp; "|" &amp;
      LEFT(SUBSTITUTE($O$2:$O$38,CHAR(160)," "),5) &amp; "|" &amp;
      TRIM(SUBSTITUTE($P$2:$P$38,CHAR(160)," ")),
      $Q$2:$Q$38
    )
  ),
"")</f>
        <v/>
      </c>
      <c r="J34" s="32" t="str" cm="1">
        <f t="array" ref="J34">IFERROR(
  VALUE($H34) *
  VALUE(
    _xlfn.XLOOKUP(
      TRIM($F34) &amp; "|" &amp; LEFT(SUBSTITUTE($G34,CHAR(160)," "),5) &amp; "|Reduced Rate",
      TRIM(SUBSTITUTE($N$2:$N$38,CHAR(160)," ")) &amp; "|" &amp;
      LEFT(SUBSTITUTE($O$2:$O$38,CHAR(160)," "),5) &amp; "|" &amp;
      TRIM(SUBSTITUTE($P$2:$P$38,CHAR(160)," ")),
      $Q$2:$Q$38
    )
  ),
"")</f>
        <v/>
      </c>
      <c r="K34" s="32" t="str" cm="1">
        <f t="array" ref="K34">IFERROR(
  VALUE($H34) *
  VALUE(
    _xlfn.XLOOKUP(
      TRIM($F34) &amp; "|" &amp; LEFT(SUBSTITUTE($G34,CHAR(160)," "),5) &amp; "|Ideas Rate",
      TRIM(SUBSTITUTE($N$2:$N$38,CHAR(160)," ")) &amp; "|" &amp;
      LEFT(SUBSTITUTE($O$2:$O$38,CHAR(160)," "),5) &amp; "|" &amp;
      TRIM(SUBSTITUTE($P$2:$P$38,CHAR(160)," ")),
      $Q$2:$Q$38
    )
  ),
"")</f>
        <v/>
      </c>
      <c r="N34" s="116" t="s">
        <v>156</v>
      </c>
      <c r="O34" t="s">
        <v>376</v>
      </c>
      <c r="P34" t="s">
        <v>383</v>
      </c>
      <c r="Q34" s="68">
        <v>90</v>
      </c>
    </row>
    <row r="35" spans="1:17" x14ac:dyDescent="0.2">
      <c r="A35" s="10"/>
      <c r="B35" s="48"/>
      <c r="I35" s="32" t="str" cm="1">
        <f t="array" ref="I35">IFERROR(
  VALUE($H35) *
  VALUE(
    _xlfn.XLOOKUP(
      TRIM($F35) &amp; "|" &amp; LEFT(SUBSTITUTE($G35,CHAR(160)," "),5) &amp; "|Full Rate",
      TRIM(SUBSTITUTE($N$2:$N$38,CHAR(160)," ")) &amp; "|" &amp;
      LEFT(SUBSTITUTE($O$2:$O$38,CHAR(160)," "),5) &amp; "|" &amp;
      TRIM(SUBSTITUTE($P$2:$P$38,CHAR(160)," ")),
      $Q$2:$Q$38
    )
  ),
"")</f>
        <v/>
      </c>
      <c r="J35" s="32" t="str" cm="1">
        <f t="array" ref="J35">IFERROR(
  VALUE($H35) *
  VALUE(
    _xlfn.XLOOKUP(
      TRIM($F35) &amp; "|" &amp; LEFT(SUBSTITUTE($G35,CHAR(160)," "),5) &amp; "|Reduced Rate",
      TRIM(SUBSTITUTE($N$2:$N$38,CHAR(160)," ")) &amp; "|" &amp;
      LEFT(SUBSTITUTE($O$2:$O$38,CHAR(160)," "),5) &amp; "|" &amp;
      TRIM(SUBSTITUTE($P$2:$P$38,CHAR(160)," ")),
      $Q$2:$Q$38
    )
  ),
"")</f>
        <v/>
      </c>
      <c r="K35" s="32" t="str" cm="1">
        <f t="array" ref="K35">IFERROR(
  VALUE($H35) *
  VALUE(
    _xlfn.XLOOKUP(
      TRIM($F35) &amp; "|" &amp; LEFT(SUBSTITUTE($G35,CHAR(160)," "),5) &amp; "|Ideas Rate",
      TRIM(SUBSTITUTE($N$2:$N$38,CHAR(160)," ")) &amp; "|" &amp;
      LEFT(SUBSTITUTE($O$2:$O$38,CHAR(160)," "),5) &amp; "|" &amp;
      TRIM(SUBSTITUTE($P$2:$P$38,CHAR(160)," ")),
      $Q$2:$Q$38
    )
  ),
"")</f>
        <v/>
      </c>
      <c r="N35" s="116" t="s">
        <v>156</v>
      </c>
      <c r="O35" t="s">
        <v>376</v>
      </c>
      <c r="P35" t="s">
        <v>384</v>
      </c>
      <c r="Q35" s="68">
        <v>45</v>
      </c>
    </row>
    <row r="36" spans="1:17" x14ac:dyDescent="0.2">
      <c r="A36" s="10"/>
      <c r="B36" s="48"/>
      <c r="I36" s="32" t="str" cm="1">
        <f t="array" ref="I36">IFERROR(
  VALUE($H36) *
  VALUE(
    _xlfn.XLOOKUP(
      TRIM($F36) &amp; "|" &amp; LEFT(SUBSTITUTE($G36,CHAR(160)," "),5) &amp; "|Full Rate",
      TRIM(SUBSTITUTE($N$2:$N$38,CHAR(160)," ")) &amp; "|" &amp;
      LEFT(SUBSTITUTE($O$2:$O$38,CHAR(160)," "),5) &amp; "|" &amp;
      TRIM(SUBSTITUTE($P$2:$P$38,CHAR(160)," ")),
      $Q$2:$Q$38
    )
  ),
"")</f>
        <v/>
      </c>
      <c r="J36" s="32" t="str" cm="1">
        <f t="array" ref="J36">IFERROR(
  VALUE($H36) *
  VALUE(
    _xlfn.XLOOKUP(
      TRIM($F36) &amp; "|" &amp; LEFT(SUBSTITUTE($G36,CHAR(160)," "),5) &amp; "|Reduced Rate",
      TRIM(SUBSTITUTE($N$2:$N$38,CHAR(160)," ")) &amp; "|" &amp;
      LEFT(SUBSTITUTE($O$2:$O$38,CHAR(160)," "),5) &amp; "|" &amp;
      TRIM(SUBSTITUTE($P$2:$P$38,CHAR(160)," ")),
      $Q$2:$Q$38
    )
  ),
"")</f>
        <v/>
      </c>
      <c r="K36" s="32" t="str" cm="1">
        <f t="array" ref="K36">IFERROR(
  VALUE($H36) *
  VALUE(
    _xlfn.XLOOKUP(
      TRIM($F36) &amp; "|" &amp; LEFT(SUBSTITUTE($G36,CHAR(160)," "),5) &amp; "|Ideas Rate",
      TRIM(SUBSTITUTE($N$2:$N$38,CHAR(160)," ")) &amp; "|" &amp;
      LEFT(SUBSTITUTE($O$2:$O$38,CHAR(160)," "),5) &amp; "|" &amp;
      TRIM(SUBSTITUTE($P$2:$P$38,CHAR(160)," ")),
      $Q$2:$Q$38
    )
  ),
"")</f>
        <v/>
      </c>
      <c r="N36" s="116" t="s">
        <v>156</v>
      </c>
      <c r="O36" t="s">
        <v>368</v>
      </c>
      <c r="P36" t="s">
        <v>382</v>
      </c>
      <c r="Q36" s="68">
        <v>100</v>
      </c>
    </row>
    <row r="37" spans="1:17" x14ac:dyDescent="0.2">
      <c r="A37" s="10"/>
      <c r="B37" s="48"/>
      <c r="I37" s="32" t="str" cm="1">
        <f t="array" ref="I37">IFERROR(
  VALUE($H37) *
  VALUE(
    _xlfn.XLOOKUP(
      TRIM($F37) &amp; "|" &amp; LEFT(SUBSTITUTE($G37,CHAR(160)," "),5) &amp; "|Full Rate",
      TRIM(SUBSTITUTE($N$2:$N$38,CHAR(160)," ")) &amp; "|" &amp;
      LEFT(SUBSTITUTE($O$2:$O$38,CHAR(160)," "),5) &amp; "|" &amp;
      TRIM(SUBSTITUTE($P$2:$P$38,CHAR(160)," ")),
      $Q$2:$Q$38
    )
  ),
"")</f>
        <v/>
      </c>
      <c r="J37" s="32" t="str" cm="1">
        <f t="array" ref="J37">IFERROR(
  VALUE($H37) *
  VALUE(
    _xlfn.XLOOKUP(
      TRIM($F37) &amp; "|" &amp; LEFT(SUBSTITUTE($G37,CHAR(160)," "),5) &amp; "|Reduced Rate",
      TRIM(SUBSTITUTE($N$2:$N$38,CHAR(160)," ")) &amp; "|" &amp;
      LEFT(SUBSTITUTE($O$2:$O$38,CHAR(160)," "),5) &amp; "|" &amp;
      TRIM(SUBSTITUTE($P$2:$P$38,CHAR(160)," ")),
      $Q$2:$Q$38
    )
  ),
"")</f>
        <v/>
      </c>
      <c r="K37" s="32" t="str" cm="1">
        <f t="array" ref="K37">IFERROR(
  VALUE($H37) *
  VALUE(
    _xlfn.XLOOKUP(
      TRIM($F37) &amp; "|" &amp; LEFT(SUBSTITUTE($G37,CHAR(160)," "),5) &amp; "|Ideas Rate",
      TRIM(SUBSTITUTE($N$2:$N$38,CHAR(160)," ")) &amp; "|" &amp;
      LEFT(SUBSTITUTE($O$2:$O$38,CHAR(160)," "),5) &amp; "|" &amp;
      TRIM(SUBSTITUTE($P$2:$P$38,CHAR(160)," ")),
      $Q$2:$Q$38
    )
  ),
"")</f>
        <v/>
      </c>
      <c r="N37" s="116" t="s">
        <v>156</v>
      </c>
      <c r="O37" t="s">
        <v>368</v>
      </c>
      <c r="P37" t="s">
        <v>383</v>
      </c>
      <c r="Q37" s="68">
        <v>50</v>
      </c>
    </row>
    <row r="38" spans="1:17" x14ac:dyDescent="0.2">
      <c r="A38" s="10"/>
      <c r="B38" s="48"/>
      <c r="I38" s="32" t="str" cm="1">
        <f t="array" ref="I38">IFERROR(
  VALUE($H38) *
  VALUE(
    _xlfn.XLOOKUP(
      TRIM($F38) &amp; "|" &amp; LEFT(SUBSTITUTE($G38,CHAR(160)," "),5) &amp; "|Full Rate",
      TRIM(SUBSTITUTE($N$2:$N$38,CHAR(160)," ")) &amp; "|" &amp;
      LEFT(SUBSTITUTE($O$2:$O$38,CHAR(160)," "),5) &amp; "|" &amp;
      TRIM(SUBSTITUTE($P$2:$P$38,CHAR(160)," ")),
      $Q$2:$Q$38
    )
  ),
"")</f>
        <v/>
      </c>
      <c r="J38" s="32" t="str" cm="1">
        <f t="array" ref="J38">IFERROR(
  VALUE($H38) *
  VALUE(
    _xlfn.XLOOKUP(
      TRIM($F38) &amp; "|" &amp; LEFT(SUBSTITUTE($G38,CHAR(160)," "),5) &amp; "|Reduced Rate",
      TRIM(SUBSTITUTE($N$2:$N$38,CHAR(160)," ")) &amp; "|" &amp;
      LEFT(SUBSTITUTE($O$2:$O$38,CHAR(160)," "),5) &amp; "|" &amp;
      TRIM(SUBSTITUTE($P$2:$P$38,CHAR(160)," ")),
      $Q$2:$Q$38
    )
  ),
"")</f>
        <v/>
      </c>
      <c r="K38" s="32" t="str" cm="1">
        <f t="array" ref="K38">IFERROR(
  VALUE($H38) *
  VALUE(
    _xlfn.XLOOKUP(
      TRIM($F38) &amp; "|" &amp; LEFT(SUBSTITUTE($G38,CHAR(160)," "),5) &amp; "|Ideas Rate",
      TRIM(SUBSTITUTE($N$2:$N$38,CHAR(160)," ")) &amp; "|" &amp;
      LEFT(SUBSTITUTE($O$2:$O$38,CHAR(160)," "),5) &amp; "|" &amp;
      TRIM(SUBSTITUTE($P$2:$P$38,CHAR(160)," ")),
      $Q$2:$Q$38
    )
  ),
"")</f>
        <v/>
      </c>
      <c r="N38" s="119" t="s">
        <v>156</v>
      </c>
      <c r="O38" s="66" t="s">
        <v>368</v>
      </c>
      <c r="P38" s="66" t="s">
        <v>384</v>
      </c>
      <c r="Q38" s="120">
        <v>30</v>
      </c>
    </row>
    <row r="39" spans="1:17" x14ac:dyDescent="0.2">
      <c r="A39" s="10"/>
      <c r="B39" s="48"/>
      <c r="I39" s="32" t="str" cm="1">
        <f t="array" ref="I39">IFERROR(
  VALUE($H39) *
  VALUE(
    _xlfn.XLOOKUP(
      TRIM($F39) &amp; "|" &amp; LEFT(SUBSTITUTE($G39,CHAR(160)," "),5) &amp; "|Full Rate",
      TRIM(SUBSTITUTE($N$2:$N$38,CHAR(160)," ")) &amp; "|" &amp;
      LEFT(SUBSTITUTE($O$2:$O$38,CHAR(160)," "),5) &amp; "|" &amp;
      TRIM(SUBSTITUTE($P$2:$P$38,CHAR(160)," ")),
      $Q$2:$Q$38
    )
  ),
"")</f>
        <v/>
      </c>
      <c r="J39" s="32" t="str" cm="1">
        <f t="array" ref="J39">IFERROR(
  VALUE($H39) *
  VALUE(
    _xlfn.XLOOKUP(
      TRIM($F39) &amp; "|" &amp; LEFT(SUBSTITUTE($G39,CHAR(160)," "),5) &amp; "|Reduced Rate",
      TRIM(SUBSTITUTE($N$2:$N$38,CHAR(160)," ")) &amp; "|" &amp;
      LEFT(SUBSTITUTE($O$2:$O$38,CHAR(160)," "),5) &amp; "|" &amp;
      TRIM(SUBSTITUTE($P$2:$P$38,CHAR(160)," ")),
      $Q$2:$Q$38
    )
  ),
"")</f>
        <v/>
      </c>
      <c r="K39" s="32" t="str" cm="1">
        <f t="array" ref="K39">IFERROR(
  VALUE($H39) *
  VALUE(
    _xlfn.XLOOKUP(
      TRIM($F39) &amp; "|" &amp; LEFT(SUBSTITUTE($G39,CHAR(160)," "),5) &amp; "|Ideas Rate",
      TRIM(SUBSTITUTE($N$2:$N$38,CHAR(160)," ")) &amp; "|" &amp;
      LEFT(SUBSTITUTE($O$2:$O$38,CHAR(160)," "),5) &amp; "|" &amp;
      TRIM(SUBSTITUTE($P$2:$P$38,CHAR(160)," ")),
      $Q$2:$Q$38
    )
  ),
"")</f>
        <v/>
      </c>
    </row>
    <row r="40" spans="1:17" x14ac:dyDescent="0.2">
      <c r="B40" s="48"/>
      <c r="I40" s="32" t="str" cm="1">
        <f t="array" ref="I40">IFERROR(
  VALUE($H40) *
  VALUE(
    _xlfn.XLOOKUP(
      TRIM($F40) &amp; "|" &amp; LEFT(SUBSTITUTE($G40,CHAR(160)," "),5) &amp; "|Full Rate",
      TRIM(SUBSTITUTE($N$2:$N$38,CHAR(160)," ")) &amp; "|" &amp;
      LEFT(SUBSTITUTE($O$2:$O$38,CHAR(160)," "),5) &amp; "|" &amp;
      TRIM(SUBSTITUTE($P$2:$P$38,CHAR(160)," ")),
      $Q$2:$Q$38
    )
  ),
"")</f>
        <v/>
      </c>
      <c r="J40" s="32" t="str" cm="1">
        <f t="array" ref="J40">IFERROR(
  VALUE($H40) *
  VALUE(
    _xlfn.XLOOKUP(
      TRIM($F40) &amp; "|" &amp; LEFT(SUBSTITUTE($G40,CHAR(160)," "),5) &amp; "|Reduced Rate",
      TRIM(SUBSTITUTE($N$2:$N$38,CHAR(160)," ")) &amp; "|" &amp;
      LEFT(SUBSTITUTE($O$2:$O$38,CHAR(160)," "),5) &amp; "|" &amp;
      TRIM(SUBSTITUTE($P$2:$P$38,CHAR(160)," ")),
      $Q$2:$Q$38
    )
  ),
"")</f>
        <v/>
      </c>
      <c r="K40" s="32" t="str" cm="1">
        <f t="array" ref="K40">IFERROR(
  VALUE($H40) *
  VALUE(
    _xlfn.XLOOKUP(
      TRIM($F40) &amp; "|" &amp; LEFT(SUBSTITUTE($G40,CHAR(160)," "),5) &amp; "|Ideas Rate",
      TRIM(SUBSTITUTE($N$2:$N$38,CHAR(160)," ")) &amp; "|" &amp;
      LEFT(SUBSTITUTE($O$2:$O$38,CHAR(160)," "),5) &amp; "|" &amp;
      TRIM(SUBSTITUTE($P$2:$P$38,CHAR(160)," ")),
      $Q$2:$Q$38
    )
  ),
"")</f>
        <v/>
      </c>
    </row>
    <row r="41" spans="1:17" x14ac:dyDescent="0.2">
      <c r="B41" s="48"/>
      <c r="I41" s="32" t="str" cm="1">
        <f t="array" ref="I41">IFERROR(
  VALUE($H41) *
  VALUE(
    _xlfn.XLOOKUP(
      TRIM($F41) &amp; "|" &amp; LEFT(SUBSTITUTE($G41,CHAR(160)," "),5) &amp; "|Full Rate",
      TRIM(SUBSTITUTE($N$2:$N$38,CHAR(160)," ")) &amp; "|" &amp;
      LEFT(SUBSTITUTE($O$2:$O$38,CHAR(160)," "),5) &amp; "|" &amp;
      TRIM(SUBSTITUTE($P$2:$P$38,CHAR(160)," ")),
      $Q$2:$Q$38
    )
  ),
"")</f>
        <v/>
      </c>
      <c r="J41" s="32" t="str" cm="1">
        <f t="array" ref="J41">IFERROR(
  VALUE($H41) *
  VALUE(
    _xlfn.XLOOKUP(
      TRIM($F41) &amp; "|" &amp; LEFT(SUBSTITUTE($G41,CHAR(160)," "),5) &amp; "|Reduced Rate",
      TRIM(SUBSTITUTE($N$2:$N$38,CHAR(160)," ")) &amp; "|" &amp;
      LEFT(SUBSTITUTE($O$2:$O$38,CHAR(160)," "),5) &amp; "|" &amp;
      TRIM(SUBSTITUTE($P$2:$P$38,CHAR(160)," ")),
      $Q$2:$Q$38
    )
  ),
"")</f>
        <v/>
      </c>
      <c r="K41" s="32" t="str" cm="1">
        <f t="array" ref="K41">IFERROR(
  VALUE($H41) *
  VALUE(
    _xlfn.XLOOKUP(
      TRIM($F41) &amp; "|" &amp; LEFT(SUBSTITUTE($G41,CHAR(160)," "),5) &amp; "|Ideas Rate",
      TRIM(SUBSTITUTE($N$2:$N$38,CHAR(160)," ")) &amp; "|" &amp;
      LEFT(SUBSTITUTE($O$2:$O$38,CHAR(160)," "),5) &amp; "|" &amp;
      TRIM(SUBSTITUTE($P$2:$P$38,CHAR(160)," ")),
      $Q$2:$Q$38
    )
  ),
"")</f>
        <v/>
      </c>
    </row>
    <row r="42" spans="1:17" x14ac:dyDescent="0.2">
      <c r="B42" s="48"/>
      <c r="I42" s="32" t="str" cm="1">
        <f t="array" ref="I42">IFERROR(
  VALUE($H42) *
  VALUE(
    _xlfn.XLOOKUP(
      TRIM($F42) &amp; "|" &amp; LEFT(SUBSTITUTE($G42,CHAR(160)," "),5) &amp; "|Full Rate",
      TRIM(SUBSTITUTE($N$2:$N$38,CHAR(160)," ")) &amp; "|" &amp;
      LEFT(SUBSTITUTE($O$2:$O$38,CHAR(160)," "),5) &amp; "|" &amp;
      TRIM(SUBSTITUTE($P$2:$P$38,CHAR(160)," ")),
      $Q$2:$Q$38
    )
  ),
"")</f>
        <v/>
      </c>
      <c r="J42" s="32" t="str" cm="1">
        <f t="array" ref="J42">IFERROR(
  VALUE($H42) *
  VALUE(
    _xlfn.XLOOKUP(
      TRIM($F42) &amp; "|" &amp; LEFT(SUBSTITUTE($G42,CHAR(160)," "),5) &amp; "|Reduced Rate",
      TRIM(SUBSTITUTE($N$2:$N$38,CHAR(160)," ")) &amp; "|" &amp;
      LEFT(SUBSTITUTE($O$2:$O$38,CHAR(160)," "),5) &amp; "|" &amp;
      TRIM(SUBSTITUTE($P$2:$P$38,CHAR(160)," ")),
      $Q$2:$Q$38
    )
  ),
"")</f>
        <v/>
      </c>
      <c r="K42" s="32" t="str" cm="1">
        <f t="array" ref="K42">IFERROR(
  VALUE($H42) *
  VALUE(
    _xlfn.XLOOKUP(
      TRIM($F42) &amp; "|" &amp; LEFT(SUBSTITUTE($G42,CHAR(160)," "),5) &amp; "|Ideas Rate",
      TRIM(SUBSTITUTE($N$2:$N$38,CHAR(160)," ")) &amp; "|" &amp;
      LEFT(SUBSTITUTE($O$2:$O$38,CHAR(160)," "),5) &amp; "|" &amp;
      TRIM(SUBSTITUTE($P$2:$P$38,CHAR(160)," ")),
      $Q$2:$Q$38
    )
  ),
"")</f>
        <v/>
      </c>
    </row>
    <row r="43" spans="1:17" x14ac:dyDescent="0.2">
      <c r="B43" s="48"/>
      <c r="I43" s="32" t="str" cm="1">
        <f t="array" ref="I43">IFERROR(
  VALUE($H43) *
  VALUE(
    _xlfn.XLOOKUP(
      TRIM($F43) &amp; "|" &amp; LEFT(SUBSTITUTE($G43,CHAR(160)," "),5) &amp; "|Full Rate",
      TRIM(SUBSTITUTE($N$2:$N$38,CHAR(160)," ")) &amp; "|" &amp;
      LEFT(SUBSTITUTE($O$2:$O$38,CHAR(160)," "),5) &amp; "|" &amp;
      TRIM(SUBSTITUTE($P$2:$P$38,CHAR(160)," ")),
      $Q$2:$Q$38
    )
  ),
"")</f>
        <v/>
      </c>
      <c r="J43" s="32" t="str" cm="1">
        <f t="array" ref="J43">IFERROR(
  VALUE($H43) *
  VALUE(
    _xlfn.XLOOKUP(
      TRIM($F43) &amp; "|" &amp; LEFT(SUBSTITUTE($G43,CHAR(160)," "),5) &amp; "|Reduced Rate",
      TRIM(SUBSTITUTE($N$2:$N$38,CHAR(160)," ")) &amp; "|" &amp;
      LEFT(SUBSTITUTE($O$2:$O$38,CHAR(160)," "),5) &amp; "|" &amp;
      TRIM(SUBSTITUTE($P$2:$P$38,CHAR(160)," ")),
      $Q$2:$Q$38
    )
  ),
"")</f>
        <v/>
      </c>
      <c r="K43" s="32" t="str" cm="1">
        <f t="array" ref="K43">IFERROR(
  VALUE($H43) *
  VALUE(
    _xlfn.XLOOKUP(
      TRIM($F43) &amp; "|" &amp; LEFT(SUBSTITUTE($G43,CHAR(160)," "),5) &amp; "|Ideas Rate",
      TRIM(SUBSTITUTE($N$2:$N$38,CHAR(160)," ")) &amp; "|" &amp;
      LEFT(SUBSTITUTE($O$2:$O$38,CHAR(160)," "),5) &amp; "|" &amp;
      TRIM(SUBSTITUTE($P$2:$P$38,CHAR(160)," ")),
      $Q$2:$Q$38
    )
  ),
"")</f>
        <v/>
      </c>
    </row>
    <row r="44" spans="1:17" x14ac:dyDescent="0.2">
      <c r="B44" s="48"/>
      <c r="I44" s="32" t="str" cm="1">
        <f t="array" ref="I44">IFERROR(
  VALUE($H44) *
  VALUE(
    _xlfn.XLOOKUP(
      TRIM($F44) &amp; "|" &amp; LEFT(SUBSTITUTE($G44,CHAR(160)," "),5) &amp; "|Full Rate",
      TRIM(SUBSTITUTE($N$2:$N$38,CHAR(160)," ")) &amp; "|" &amp;
      LEFT(SUBSTITUTE($O$2:$O$38,CHAR(160)," "),5) &amp; "|" &amp;
      TRIM(SUBSTITUTE($P$2:$P$38,CHAR(160)," ")),
      $Q$2:$Q$38
    )
  ),
"")</f>
        <v/>
      </c>
      <c r="J44" s="32" t="str" cm="1">
        <f t="array" ref="J44">IFERROR(
  VALUE($H44) *
  VALUE(
    _xlfn.XLOOKUP(
      TRIM($F44) &amp; "|" &amp; LEFT(SUBSTITUTE($G44,CHAR(160)," "),5) &amp; "|Reduced Rate",
      TRIM(SUBSTITUTE($N$2:$N$38,CHAR(160)," ")) &amp; "|" &amp;
      LEFT(SUBSTITUTE($O$2:$O$38,CHAR(160)," "),5) &amp; "|" &amp;
      TRIM(SUBSTITUTE($P$2:$P$38,CHAR(160)," ")),
      $Q$2:$Q$38
    )
  ),
"")</f>
        <v/>
      </c>
      <c r="K44" s="32" t="str" cm="1">
        <f t="array" ref="K44">IFERROR(
  VALUE($H44) *
  VALUE(
    _xlfn.XLOOKUP(
      TRIM($F44) &amp; "|" &amp; LEFT(SUBSTITUTE($G44,CHAR(160)," "),5) &amp; "|Ideas Rate",
      TRIM(SUBSTITUTE($N$2:$N$38,CHAR(160)," ")) &amp; "|" &amp;
      LEFT(SUBSTITUTE($O$2:$O$38,CHAR(160)," "),5) &amp; "|" &amp;
      TRIM(SUBSTITUTE($P$2:$P$38,CHAR(160)," ")),
      $Q$2:$Q$38
    )
  ),
"")</f>
        <v/>
      </c>
    </row>
    <row r="45" spans="1:17" x14ac:dyDescent="0.2">
      <c r="B45" s="48"/>
      <c r="I45" s="32" t="str" cm="1">
        <f t="array" ref="I45">IFERROR(
  VALUE($H45) *
  VALUE(
    _xlfn.XLOOKUP(
      TRIM($F45) &amp; "|" &amp; LEFT(SUBSTITUTE($G45,CHAR(160)," "),5) &amp; "|Full Rate",
      TRIM(SUBSTITUTE($N$2:$N$38,CHAR(160)," ")) &amp; "|" &amp;
      LEFT(SUBSTITUTE($O$2:$O$38,CHAR(160)," "),5) &amp; "|" &amp;
      TRIM(SUBSTITUTE($P$2:$P$38,CHAR(160)," ")),
      $Q$2:$Q$38
    )
  ),
"")</f>
        <v/>
      </c>
      <c r="J45" s="32" t="str" cm="1">
        <f t="array" ref="J45">IFERROR(
  VALUE($H45) *
  VALUE(
    _xlfn.XLOOKUP(
      TRIM($F45) &amp; "|" &amp; LEFT(SUBSTITUTE($G45,CHAR(160)," "),5) &amp; "|Reduced Rate",
      TRIM(SUBSTITUTE($N$2:$N$38,CHAR(160)," ")) &amp; "|" &amp;
      LEFT(SUBSTITUTE($O$2:$O$38,CHAR(160)," "),5) &amp; "|" &amp;
      TRIM(SUBSTITUTE($P$2:$P$38,CHAR(160)," ")),
      $Q$2:$Q$38
    )
  ),
"")</f>
        <v/>
      </c>
      <c r="K45" s="32" t="str" cm="1">
        <f t="array" ref="K45">IFERROR(
  VALUE($H45) *
  VALUE(
    _xlfn.XLOOKUP(
      TRIM($F45) &amp; "|" &amp; LEFT(SUBSTITUTE($G45,CHAR(160)," "),5) &amp; "|Ideas Rate",
      TRIM(SUBSTITUTE($N$2:$N$38,CHAR(160)," ")) &amp; "|" &amp;
      LEFT(SUBSTITUTE($O$2:$O$38,CHAR(160)," "),5) &amp; "|" &amp;
      TRIM(SUBSTITUTE($P$2:$P$38,CHAR(160)," ")),
      $Q$2:$Q$38
    )
  ),
"")</f>
        <v/>
      </c>
    </row>
    <row r="46" spans="1:17" x14ac:dyDescent="0.2">
      <c r="B46" s="48"/>
      <c r="I46" s="32" t="str" cm="1">
        <f t="array" ref="I46">IFERROR(
  VALUE($H46) *
  VALUE(
    _xlfn.XLOOKUP(
      TRIM($F46) &amp; "|" &amp; LEFT(SUBSTITUTE($G46,CHAR(160)," "),5) &amp; "|Full Rate",
      TRIM(SUBSTITUTE($N$2:$N$38,CHAR(160)," ")) &amp; "|" &amp;
      LEFT(SUBSTITUTE($O$2:$O$38,CHAR(160)," "),5) &amp; "|" &amp;
      TRIM(SUBSTITUTE($P$2:$P$38,CHAR(160)," ")),
      $Q$2:$Q$38
    )
  ),
"")</f>
        <v/>
      </c>
      <c r="J46" s="32" t="str" cm="1">
        <f t="array" ref="J46">IFERROR(
  VALUE($H46) *
  VALUE(
    _xlfn.XLOOKUP(
      TRIM($F46) &amp; "|" &amp; LEFT(SUBSTITUTE($G46,CHAR(160)," "),5) &amp; "|Reduced Rate",
      TRIM(SUBSTITUTE($N$2:$N$38,CHAR(160)," ")) &amp; "|" &amp;
      LEFT(SUBSTITUTE($O$2:$O$38,CHAR(160)," "),5) &amp; "|" &amp;
      TRIM(SUBSTITUTE($P$2:$P$38,CHAR(160)," ")),
      $Q$2:$Q$38
    )
  ),
"")</f>
        <v/>
      </c>
      <c r="K46" s="32" t="str" cm="1">
        <f t="array" ref="K46">IFERROR(
  VALUE($H46) *
  VALUE(
    _xlfn.XLOOKUP(
      TRIM($F46) &amp; "|" &amp; LEFT(SUBSTITUTE($G46,CHAR(160)," "),5) &amp; "|Ideas Rate",
      TRIM(SUBSTITUTE($N$2:$N$38,CHAR(160)," ")) &amp; "|" &amp;
      LEFT(SUBSTITUTE($O$2:$O$38,CHAR(160)," "),5) &amp; "|" &amp;
      TRIM(SUBSTITUTE($P$2:$P$38,CHAR(160)," ")),
      $Q$2:$Q$38
    )
  ),
"")</f>
        <v/>
      </c>
    </row>
    <row r="47" spans="1:17" x14ac:dyDescent="0.2">
      <c r="B47" s="48"/>
      <c r="I47" s="32" t="str" cm="1">
        <f t="array" ref="I47">IFERROR(
  VALUE($H47) *
  VALUE(
    _xlfn.XLOOKUP(
      TRIM($F47) &amp; "|" &amp; LEFT(SUBSTITUTE($G47,CHAR(160)," "),5) &amp; "|Full Rate",
      TRIM(SUBSTITUTE($N$2:$N$38,CHAR(160)," ")) &amp; "|" &amp;
      LEFT(SUBSTITUTE($O$2:$O$38,CHAR(160)," "),5) &amp; "|" &amp;
      TRIM(SUBSTITUTE($P$2:$P$38,CHAR(160)," ")),
      $Q$2:$Q$38
    )
  ),
"")</f>
        <v/>
      </c>
      <c r="J47" s="32" t="str" cm="1">
        <f t="array" ref="J47">IFERROR(
  VALUE($H47) *
  VALUE(
    _xlfn.XLOOKUP(
      TRIM($F47) &amp; "|" &amp; LEFT(SUBSTITUTE($G47,CHAR(160)," "),5) &amp; "|Reduced Rate",
      TRIM(SUBSTITUTE($N$2:$N$38,CHAR(160)," ")) &amp; "|" &amp;
      LEFT(SUBSTITUTE($O$2:$O$38,CHAR(160)," "),5) &amp; "|" &amp;
      TRIM(SUBSTITUTE($P$2:$P$38,CHAR(160)," ")),
      $Q$2:$Q$38
    )
  ),
"")</f>
        <v/>
      </c>
      <c r="K47" s="32" t="str" cm="1">
        <f t="array" ref="K47">IFERROR(
  VALUE($H47) *
  VALUE(
    _xlfn.XLOOKUP(
      TRIM($F47) &amp; "|" &amp; LEFT(SUBSTITUTE($G47,CHAR(160)," "),5) &amp; "|Ideas Rate",
      TRIM(SUBSTITUTE($N$2:$N$38,CHAR(160)," ")) &amp; "|" &amp;
      LEFT(SUBSTITUTE($O$2:$O$38,CHAR(160)," "),5) &amp; "|" &amp;
      TRIM(SUBSTITUTE($P$2:$P$38,CHAR(160)," ")),
      $Q$2:$Q$38
    )
  ),
"")</f>
        <v/>
      </c>
    </row>
    <row r="48" spans="1:17" x14ac:dyDescent="0.2">
      <c r="B48" s="48"/>
      <c r="I48" s="32" t="str" cm="1">
        <f t="array" ref="I48">IFERROR(
  VALUE($H48) *
  VALUE(
    _xlfn.XLOOKUP(
      TRIM($F48) &amp; "|" &amp; LEFT(SUBSTITUTE($G48,CHAR(160)," "),5) &amp; "|Full Rate",
      TRIM(SUBSTITUTE($N$2:$N$38,CHAR(160)," ")) &amp; "|" &amp;
      LEFT(SUBSTITUTE($O$2:$O$38,CHAR(160)," "),5) &amp; "|" &amp;
      TRIM(SUBSTITUTE($P$2:$P$38,CHAR(160)," ")),
      $Q$2:$Q$38
    )
  ),
"")</f>
        <v/>
      </c>
      <c r="J48" s="32" t="str" cm="1">
        <f t="array" ref="J48">IFERROR(
  VALUE($H48) *
  VALUE(
    _xlfn.XLOOKUP(
      TRIM($F48) &amp; "|" &amp; LEFT(SUBSTITUTE($G48,CHAR(160)," "),5) &amp; "|Reduced Rate",
      TRIM(SUBSTITUTE($N$2:$N$38,CHAR(160)," ")) &amp; "|" &amp;
      LEFT(SUBSTITUTE($O$2:$O$38,CHAR(160)," "),5) &amp; "|" &amp;
      TRIM(SUBSTITUTE($P$2:$P$38,CHAR(160)," ")),
      $Q$2:$Q$38
    )
  ),
"")</f>
        <v/>
      </c>
      <c r="K48" s="32" t="str" cm="1">
        <f t="array" ref="K48">IFERROR(
  VALUE($H48) *
  VALUE(
    _xlfn.XLOOKUP(
      TRIM($F48) &amp; "|" &amp; LEFT(SUBSTITUTE($G48,CHAR(160)," "),5) &amp; "|Ideas Rate",
      TRIM(SUBSTITUTE($N$2:$N$38,CHAR(160)," ")) &amp; "|" &amp;
      LEFT(SUBSTITUTE($O$2:$O$38,CHAR(160)," "),5) &amp; "|" &amp;
      TRIM(SUBSTITUTE($P$2:$P$38,CHAR(160)," ")),
      $Q$2:$Q$38
    )
  ),
"")</f>
        <v/>
      </c>
    </row>
    <row r="49" spans="2:11" x14ac:dyDescent="0.2">
      <c r="B49" s="48"/>
      <c r="I49" s="32" t="str" cm="1">
        <f t="array" ref="I49">IFERROR(
  VALUE($H49) *
  VALUE(
    _xlfn.XLOOKUP(
      TRIM($F49) &amp; "|" &amp; LEFT(SUBSTITUTE($G49,CHAR(160)," "),5) &amp; "|Full Rate",
      TRIM(SUBSTITUTE($N$2:$N$38,CHAR(160)," ")) &amp; "|" &amp;
      LEFT(SUBSTITUTE($O$2:$O$38,CHAR(160)," "),5) &amp; "|" &amp;
      TRIM(SUBSTITUTE($P$2:$P$38,CHAR(160)," ")),
      $Q$2:$Q$38
    )
  ),
"")</f>
        <v/>
      </c>
      <c r="J49" s="32" t="str" cm="1">
        <f t="array" ref="J49">IFERROR(
  VALUE($H49) *
  VALUE(
    _xlfn.XLOOKUP(
      TRIM($F49) &amp; "|" &amp; LEFT(SUBSTITUTE($G49,CHAR(160)," "),5) &amp; "|Reduced Rate",
      TRIM(SUBSTITUTE($N$2:$N$38,CHAR(160)," ")) &amp; "|" &amp;
      LEFT(SUBSTITUTE($O$2:$O$38,CHAR(160)," "),5) &amp; "|" &amp;
      TRIM(SUBSTITUTE($P$2:$P$38,CHAR(160)," ")),
      $Q$2:$Q$38
    )
  ),
"")</f>
        <v/>
      </c>
      <c r="K49" s="32" t="str" cm="1">
        <f t="array" ref="K49">IFERROR(
  VALUE($H49) *
  VALUE(
    _xlfn.XLOOKUP(
      TRIM($F49) &amp; "|" &amp; LEFT(SUBSTITUTE($G49,CHAR(160)," "),5) &amp; "|Ideas Rate",
      TRIM(SUBSTITUTE($N$2:$N$38,CHAR(160)," ")) &amp; "|" &amp;
      LEFT(SUBSTITUTE($O$2:$O$38,CHAR(160)," "),5) &amp; "|" &amp;
      TRIM(SUBSTITUTE($P$2:$P$38,CHAR(160)," ")),
      $Q$2:$Q$38
    )
  ),
"")</f>
        <v/>
      </c>
    </row>
    <row r="50" spans="2:11" x14ac:dyDescent="0.2">
      <c r="B50" s="48"/>
      <c r="I50" s="32" t="str" cm="1">
        <f t="array" ref="I50">IFERROR(
  VALUE($H50) *
  VALUE(
    _xlfn.XLOOKUP(
      TRIM($F50) &amp; "|" &amp; LEFT(SUBSTITUTE($G50,CHAR(160)," "),5) &amp; "|Full Rate",
      TRIM(SUBSTITUTE($N$2:$N$38,CHAR(160)," ")) &amp; "|" &amp;
      LEFT(SUBSTITUTE($O$2:$O$38,CHAR(160)," "),5) &amp; "|" &amp;
      TRIM(SUBSTITUTE($P$2:$P$38,CHAR(160)," ")),
      $Q$2:$Q$38
    )
  ),
"")</f>
        <v/>
      </c>
      <c r="J50" s="32" t="str" cm="1">
        <f t="array" ref="J50">IFERROR(
  VALUE($H50) *
  VALUE(
    _xlfn.XLOOKUP(
      TRIM($F50) &amp; "|" &amp; LEFT(SUBSTITUTE($G50,CHAR(160)," "),5) &amp; "|Reduced Rate",
      TRIM(SUBSTITUTE($N$2:$N$38,CHAR(160)," ")) &amp; "|" &amp;
      LEFT(SUBSTITUTE($O$2:$O$38,CHAR(160)," "),5) &amp; "|" &amp;
      TRIM(SUBSTITUTE($P$2:$P$38,CHAR(160)," ")),
      $Q$2:$Q$38
    )
  ),
"")</f>
        <v/>
      </c>
      <c r="K50" s="32" t="str" cm="1">
        <f t="array" ref="K50">IFERROR(
  VALUE($H50) *
  VALUE(
    _xlfn.XLOOKUP(
      TRIM($F50) &amp; "|" &amp; LEFT(SUBSTITUTE($G50,CHAR(160)," "),5) &amp; "|Ideas Rate",
      TRIM(SUBSTITUTE($N$2:$N$38,CHAR(160)," ")) &amp; "|" &amp;
      LEFT(SUBSTITUTE($O$2:$O$38,CHAR(160)," "),5) &amp; "|" &amp;
      TRIM(SUBSTITUTE($P$2:$P$38,CHAR(160)," ")),
      $Q$2:$Q$38
    )
  ),
"")</f>
        <v/>
      </c>
    </row>
    <row r="51" spans="2:11" x14ac:dyDescent="0.2">
      <c r="B51" s="48"/>
      <c r="I51" s="32" t="str" cm="1">
        <f t="array" ref="I51">IFERROR(
  VALUE($H51) *
  VALUE(
    _xlfn.XLOOKUP(
      TRIM($F51) &amp; "|" &amp; LEFT(SUBSTITUTE($G51,CHAR(160)," "),5) &amp; "|Full Rate",
      TRIM(SUBSTITUTE($N$2:$N$38,CHAR(160)," ")) &amp; "|" &amp;
      LEFT(SUBSTITUTE($O$2:$O$38,CHAR(160)," "),5) &amp; "|" &amp;
      TRIM(SUBSTITUTE($P$2:$P$38,CHAR(160)," ")),
      $Q$2:$Q$38
    )
  ),
"")</f>
        <v/>
      </c>
      <c r="J51" s="32" t="str" cm="1">
        <f t="array" ref="J51">IFERROR(
  VALUE($H51) *
  VALUE(
    _xlfn.XLOOKUP(
      TRIM($F51) &amp; "|" &amp; LEFT(SUBSTITUTE($G51,CHAR(160)," "),5) &amp; "|Reduced Rate",
      TRIM(SUBSTITUTE($N$2:$N$38,CHAR(160)," ")) &amp; "|" &amp;
      LEFT(SUBSTITUTE($O$2:$O$38,CHAR(160)," "),5) &amp; "|" &amp;
      TRIM(SUBSTITUTE($P$2:$P$38,CHAR(160)," ")),
      $Q$2:$Q$38
    )
  ),
"")</f>
        <v/>
      </c>
      <c r="K51" s="32" t="str" cm="1">
        <f t="array" ref="K51">IFERROR(
  VALUE($H51) *
  VALUE(
    _xlfn.XLOOKUP(
      TRIM($F51) &amp; "|" &amp; LEFT(SUBSTITUTE($G51,CHAR(160)," "),5) &amp; "|Ideas Rate",
      TRIM(SUBSTITUTE($N$2:$N$38,CHAR(160)," ")) &amp; "|" &amp;
      LEFT(SUBSTITUTE($O$2:$O$38,CHAR(160)," "),5) &amp; "|" &amp;
      TRIM(SUBSTITUTE($P$2:$P$38,CHAR(160)," ")),
      $Q$2:$Q$38
    )
  ),
"")</f>
        <v/>
      </c>
    </row>
    <row r="52" spans="2:11" x14ac:dyDescent="0.2">
      <c r="B52" s="48"/>
      <c r="I52" s="32" t="str" cm="1">
        <f t="array" ref="I52">IFERROR(
  VALUE($H52) *
  VALUE(
    _xlfn.XLOOKUP(
      TRIM($F52) &amp; "|" &amp; LEFT(SUBSTITUTE($G52,CHAR(160)," "),5) &amp; "|Full Rate",
      TRIM(SUBSTITUTE($N$2:$N$38,CHAR(160)," ")) &amp; "|" &amp;
      LEFT(SUBSTITUTE($O$2:$O$38,CHAR(160)," "),5) &amp; "|" &amp;
      TRIM(SUBSTITUTE($P$2:$P$38,CHAR(160)," ")),
      $Q$2:$Q$38
    )
  ),
"")</f>
        <v/>
      </c>
      <c r="J52" s="32" t="str" cm="1">
        <f t="array" ref="J52">IFERROR(
  VALUE($H52) *
  VALUE(
    _xlfn.XLOOKUP(
      TRIM($F52) &amp; "|" &amp; LEFT(SUBSTITUTE($G52,CHAR(160)," "),5) &amp; "|Reduced Rate",
      TRIM(SUBSTITUTE($N$2:$N$38,CHAR(160)," ")) &amp; "|" &amp;
      LEFT(SUBSTITUTE($O$2:$O$38,CHAR(160)," "),5) &amp; "|" &amp;
      TRIM(SUBSTITUTE($P$2:$P$38,CHAR(160)," ")),
      $Q$2:$Q$38
    )
  ),
"")</f>
        <v/>
      </c>
      <c r="K52" s="32" t="str" cm="1">
        <f t="array" ref="K52">IFERROR(
  VALUE($H52) *
  VALUE(
    _xlfn.XLOOKUP(
      TRIM($F52) &amp; "|" &amp; LEFT(SUBSTITUTE($G52,CHAR(160)," "),5) &amp; "|Ideas Rate",
      TRIM(SUBSTITUTE($N$2:$N$38,CHAR(160)," ")) &amp; "|" &amp;
      LEFT(SUBSTITUTE($O$2:$O$38,CHAR(160)," "),5) &amp; "|" &amp;
      TRIM(SUBSTITUTE($P$2:$P$38,CHAR(160)," ")),
      $Q$2:$Q$38
    )
  ),
"")</f>
        <v/>
      </c>
    </row>
    <row r="53" spans="2:11" x14ac:dyDescent="0.2">
      <c r="B53" s="48"/>
      <c r="I53" s="32" t="str" cm="1">
        <f t="array" ref="I53">IFERROR(
  VALUE($H53) *
  VALUE(
    _xlfn.XLOOKUP(
      TRIM($F53) &amp; "|" &amp; LEFT(SUBSTITUTE($G53,CHAR(160)," "),5) &amp; "|Full Rate",
      TRIM(SUBSTITUTE($N$2:$N$38,CHAR(160)," ")) &amp; "|" &amp;
      LEFT(SUBSTITUTE($O$2:$O$38,CHAR(160)," "),5) &amp; "|" &amp;
      TRIM(SUBSTITUTE($P$2:$P$38,CHAR(160)," ")),
      $Q$2:$Q$38
    )
  ),
"")</f>
        <v/>
      </c>
      <c r="J53" s="32" t="str" cm="1">
        <f t="array" ref="J53">IFERROR(
  VALUE($H53) *
  VALUE(
    _xlfn.XLOOKUP(
      TRIM($F53) &amp; "|" &amp; LEFT(SUBSTITUTE($G53,CHAR(160)," "),5) &amp; "|Reduced Rate",
      TRIM(SUBSTITUTE($N$2:$N$38,CHAR(160)," ")) &amp; "|" &amp;
      LEFT(SUBSTITUTE($O$2:$O$38,CHAR(160)," "),5) &amp; "|" &amp;
      TRIM(SUBSTITUTE($P$2:$P$38,CHAR(160)," ")),
      $Q$2:$Q$38
    )
  ),
"")</f>
        <v/>
      </c>
      <c r="K53" s="32" t="str" cm="1">
        <f t="array" ref="K53">IFERROR(
  VALUE($H53) *
  VALUE(
    _xlfn.XLOOKUP(
      TRIM($F53) &amp; "|" &amp; LEFT(SUBSTITUTE($G53,CHAR(160)," "),5) &amp; "|Ideas Rate",
      TRIM(SUBSTITUTE($N$2:$N$38,CHAR(160)," ")) &amp; "|" &amp;
      LEFT(SUBSTITUTE($O$2:$O$38,CHAR(160)," "),5) &amp; "|" &amp;
      TRIM(SUBSTITUTE($P$2:$P$38,CHAR(160)," ")),
      $Q$2:$Q$38
    )
  ),
"")</f>
        <v/>
      </c>
    </row>
    <row r="54" spans="2:11" x14ac:dyDescent="0.2">
      <c r="B54" s="48"/>
      <c r="I54" s="32" t="str" cm="1">
        <f t="array" ref="I54">IFERROR(
  VALUE($H54) *
  VALUE(
    _xlfn.XLOOKUP(
      TRIM($F54) &amp; "|" &amp; LEFT(SUBSTITUTE($G54,CHAR(160)," "),5) &amp; "|Full Rate",
      TRIM(SUBSTITUTE($N$2:$N$38,CHAR(160)," ")) &amp; "|" &amp;
      LEFT(SUBSTITUTE($O$2:$O$38,CHAR(160)," "),5) &amp; "|" &amp;
      TRIM(SUBSTITUTE($P$2:$P$38,CHAR(160)," ")),
      $Q$2:$Q$38
    )
  ),
"")</f>
        <v/>
      </c>
      <c r="J54" s="32" t="str" cm="1">
        <f t="array" ref="J54">IFERROR(
  VALUE($H54) *
  VALUE(
    _xlfn.XLOOKUP(
      TRIM($F54) &amp; "|" &amp; LEFT(SUBSTITUTE($G54,CHAR(160)," "),5) &amp; "|Reduced Rate",
      TRIM(SUBSTITUTE($N$2:$N$38,CHAR(160)," ")) &amp; "|" &amp;
      LEFT(SUBSTITUTE($O$2:$O$38,CHAR(160)," "),5) &amp; "|" &amp;
      TRIM(SUBSTITUTE($P$2:$P$38,CHAR(160)," ")),
      $Q$2:$Q$38
    )
  ),
"")</f>
        <v/>
      </c>
      <c r="K54" s="32" t="str" cm="1">
        <f t="array" ref="K54">IFERROR(
  VALUE($H54) *
  VALUE(
    _xlfn.XLOOKUP(
      TRIM($F54) &amp; "|" &amp; LEFT(SUBSTITUTE($G54,CHAR(160)," "),5) &amp; "|Ideas Rate",
      TRIM(SUBSTITUTE($N$2:$N$38,CHAR(160)," ")) &amp; "|" &amp;
      LEFT(SUBSTITUTE($O$2:$O$38,CHAR(160)," "),5) &amp; "|" &amp;
      TRIM(SUBSTITUTE($P$2:$P$38,CHAR(160)," ")),
      $Q$2:$Q$38
    )
  ),
"")</f>
        <v/>
      </c>
    </row>
    <row r="55" spans="2:11" x14ac:dyDescent="0.2">
      <c r="B55" s="48"/>
      <c r="I55" s="32" t="str" cm="1">
        <f t="array" ref="I55">IFERROR(
  VALUE($H55) *
  VALUE(
    _xlfn.XLOOKUP(
      TRIM($F55) &amp; "|" &amp; LEFT(SUBSTITUTE($G55,CHAR(160)," "),5) &amp; "|Full Rate",
      TRIM(SUBSTITUTE($N$2:$N$38,CHAR(160)," ")) &amp; "|" &amp;
      LEFT(SUBSTITUTE($O$2:$O$38,CHAR(160)," "),5) &amp; "|" &amp;
      TRIM(SUBSTITUTE($P$2:$P$38,CHAR(160)," ")),
      $Q$2:$Q$38
    )
  ),
"")</f>
        <v/>
      </c>
      <c r="J55" s="32" t="str" cm="1">
        <f t="array" ref="J55">IFERROR(
  VALUE($H55) *
  VALUE(
    _xlfn.XLOOKUP(
      TRIM($F55) &amp; "|" &amp; LEFT(SUBSTITUTE($G55,CHAR(160)," "),5) &amp; "|Reduced Rate",
      TRIM(SUBSTITUTE($N$2:$N$38,CHAR(160)," ")) &amp; "|" &amp;
      LEFT(SUBSTITUTE($O$2:$O$38,CHAR(160)," "),5) &amp; "|" &amp;
      TRIM(SUBSTITUTE($P$2:$P$38,CHAR(160)," ")),
      $Q$2:$Q$38
    )
  ),
"")</f>
        <v/>
      </c>
      <c r="K55" s="32" t="str" cm="1">
        <f t="array" ref="K55">IFERROR(
  VALUE($H55) *
  VALUE(
    _xlfn.XLOOKUP(
      TRIM($F55) &amp; "|" &amp; LEFT(SUBSTITUTE($G55,CHAR(160)," "),5) &amp; "|Ideas Rate",
      TRIM(SUBSTITUTE($N$2:$N$38,CHAR(160)," ")) &amp; "|" &amp;
      LEFT(SUBSTITUTE($O$2:$O$38,CHAR(160)," "),5) &amp; "|" &amp;
      TRIM(SUBSTITUTE($P$2:$P$38,CHAR(160)," ")),
      $Q$2:$Q$38
    )
  ),
"")</f>
        <v/>
      </c>
    </row>
    <row r="56" spans="2:11" x14ac:dyDescent="0.2">
      <c r="B56" s="48"/>
      <c r="I56" s="32" t="str" cm="1">
        <f t="array" ref="I56">IFERROR(
  VALUE($H56) *
  VALUE(
    _xlfn.XLOOKUP(
      TRIM($F56) &amp; "|" &amp; LEFT(SUBSTITUTE($G56,CHAR(160)," "),5) &amp; "|Full Rate",
      TRIM(SUBSTITUTE($N$2:$N$38,CHAR(160)," ")) &amp; "|" &amp;
      LEFT(SUBSTITUTE($O$2:$O$38,CHAR(160)," "),5) &amp; "|" &amp;
      TRIM(SUBSTITUTE($P$2:$P$38,CHAR(160)," ")),
      $Q$2:$Q$38
    )
  ),
"")</f>
        <v/>
      </c>
      <c r="J56" s="32" t="str" cm="1">
        <f t="array" ref="J56">IFERROR(
  VALUE($H56) *
  VALUE(
    _xlfn.XLOOKUP(
      TRIM($F56) &amp; "|" &amp; LEFT(SUBSTITUTE($G56,CHAR(160)," "),5) &amp; "|Reduced Rate",
      TRIM(SUBSTITUTE($N$2:$N$38,CHAR(160)," ")) &amp; "|" &amp;
      LEFT(SUBSTITUTE($O$2:$O$38,CHAR(160)," "),5) &amp; "|" &amp;
      TRIM(SUBSTITUTE($P$2:$P$38,CHAR(160)," ")),
      $Q$2:$Q$38
    )
  ),
"")</f>
        <v/>
      </c>
      <c r="K56" s="32" t="str" cm="1">
        <f t="array" ref="K56">IFERROR(
  VALUE($H56) *
  VALUE(
    _xlfn.XLOOKUP(
      TRIM($F56) &amp; "|" &amp; LEFT(SUBSTITUTE($G56,CHAR(160)," "),5) &amp; "|Ideas Rate",
      TRIM(SUBSTITUTE($N$2:$N$38,CHAR(160)," ")) &amp; "|" &amp;
      LEFT(SUBSTITUTE($O$2:$O$38,CHAR(160)," "),5) &amp; "|" &amp;
      TRIM(SUBSTITUTE($P$2:$P$38,CHAR(160)," ")),
      $Q$2:$Q$38
    )
  ),
"")</f>
        <v/>
      </c>
    </row>
    <row r="57" spans="2:11" x14ac:dyDescent="0.2">
      <c r="B57" s="48"/>
      <c r="I57" s="32" t="str" cm="1">
        <f t="array" ref="I57">IFERROR(
  VALUE($H57) *
  VALUE(
    _xlfn.XLOOKUP(
      TRIM($F57) &amp; "|" &amp; LEFT(SUBSTITUTE($G57,CHAR(160)," "),5) &amp; "|Full Rate",
      TRIM(SUBSTITUTE($N$2:$N$38,CHAR(160)," ")) &amp; "|" &amp;
      LEFT(SUBSTITUTE($O$2:$O$38,CHAR(160)," "),5) &amp; "|" &amp;
      TRIM(SUBSTITUTE($P$2:$P$38,CHAR(160)," ")),
      $Q$2:$Q$38
    )
  ),
"")</f>
        <v/>
      </c>
      <c r="J57" s="32" t="str" cm="1">
        <f t="array" ref="J57">IFERROR(
  VALUE($H57) *
  VALUE(
    _xlfn.XLOOKUP(
      TRIM($F57) &amp; "|" &amp; LEFT(SUBSTITUTE($G57,CHAR(160)," "),5) &amp; "|Reduced Rate",
      TRIM(SUBSTITUTE($N$2:$N$38,CHAR(160)," ")) &amp; "|" &amp;
      LEFT(SUBSTITUTE($O$2:$O$38,CHAR(160)," "),5) &amp; "|" &amp;
      TRIM(SUBSTITUTE($P$2:$P$38,CHAR(160)," ")),
      $Q$2:$Q$38
    )
  ),
"")</f>
        <v/>
      </c>
      <c r="K57" s="32" t="str" cm="1">
        <f t="array" ref="K57">IFERROR(
  VALUE($H57) *
  VALUE(
    _xlfn.XLOOKUP(
      TRIM($F57) &amp; "|" &amp; LEFT(SUBSTITUTE($G57,CHAR(160)," "),5) &amp; "|Ideas Rate",
      TRIM(SUBSTITUTE($N$2:$N$38,CHAR(160)," ")) &amp; "|" &amp;
      LEFT(SUBSTITUTE($O$2:$O$38,CHAR(160)," "),5) &amp; "|" &amp;
      TRIM(SUBSTITUTE($P$2:$P$38,CHAR(160)," ")),
      $Q$2:$Q$38
    )
  ),
"")</f>
        <v/>
      </c>
    </row>
    <row r="58" spans="2:11" x14ac:dyDescent="0.2">
      <c r="B58" s="48"/>
      <c r="I58" s="32" t="str" cm="1">
        <f t="array" ref="I58">IFERROR(
  VALUE($H58) *
  VALUE(
    _xlfn.XLOOKUP(
      TRIM($F58) &amp; "|" &amp; LEFT(SUBSTITUTE($G58,CHAR(160)," "),5) &amp; "|Full Rate",
      TRIM(SUBSTITUTE($N$2:$N$38,CHAR(160)," ")) &amp; "|" &amp;
      LEFT(SUBSTITUTE($O$2:$O$38,CHAR(160)," "),5) &amp; "|" &amp;
      TRIM(SUBSTITUTE($P$2:$P$38,CHAR(160)," ")),
      $Q$2:$Q$38
    )
  ),
"")</f>
        <v/>
      </c>
      <c r="J58" s="32" t="str" cm="1">
        <f t="array" ref="J58">IFERROR(
  VALUE($H58) *
  VALUE(
    _xlfn.XLOOKUP(
      TRIM($F58) &amp; "|" &amp; LEFT(SUBSTITUTE($G58,CHAR(160)," "),5) &amp; "|Reduced Rate",
      TRIM(SUBSTITUTE($N$2:$N$38,CHAR(160)," ")) &amp; "|" &amp;
      LEFT(SUBSTITUTE($O$2:$O$38,CHAR(160)," "),5) &amp; "|" &amp;
      TRIM(SUBSTITUTE($P$2:$P$38,CHAR(160)," ")),
      $Q$2:$Q$38
    )
  ),
"")</f>
        <v/>
      </c>
      <c r="K58" s="32" t="str" cm="1">
        <f t="array" ref="K58">IFERROR(
  VALUE($H58) *
  VALUE(
    _xlfn.XLOOKUP(
      TRIM($F58) &amp; "|" &amp; LEFT(SUBSTITUTE($G58,CHAR(160)," "),5) &amp; "|Ideas Rate",
      TRIM(SUBSTITUTE($N$2:$N$38,CHAR(160)," ")) &amp; "|" &amp;
      LEFT(SUBSTITUTE($O$2:$O$38,CHAR(160)," "),5) &amp; "|" &amp;
      TRIM(SUBSTITUTE($P$2:$P$38,CHAR(160)," ")),
      $Q$2:$Q$38
    )
  ),
"")</f>
        <v/>
      </c>
    </row>
    <row r="59" spans="2:11" x14ac:dyDescent="0.2">
      <c r="B59" s="48"/>
      <c r="I59" s="32" t="str" cm="1">
        <f t="array" ref="I59">IFERROR(
  VALUE($H59) *
  VALUE(
    _xlfn.XLOOKUP(
      TRIM($F59) &amp; "|" &amp; LEFT(SUBSTITUTE($G59,CHAR(160)," "),5) &amp; "|Full Rate",
      TRIM(SUBSTITUTE($N$2:$N$38,CHAR(160)," ")) &amp; "|" &amp;
      LEFT(SUBSTITUTE($O$2:$O$38,CHAR(160)," "),5) &amp; "|" &amp;
      TRIM(SUBSTITUTE($P$2:$P$38,CHAR(160)," ")),
      $Q$2:$Q$38
    )
  ),
"")</f>
        <v/>
      </c>
      <c r="J59" s="32" t="str" cm="1">
        <f t="array" ref="J59">IFERROR(
  VALUE($H59) *
  VALUE(
    _xlfn.XLOOKUP(
      TRIM($F59) &amp; "|" &amp; LEFT(SUBSTITUTE($G59,CHAR(160)," "),5) &amp; "|Reduced Rate",
      TRIM(SUBSTITUTE($N$2:$N$38,CHAR(160)," ")) &amp; "|" &amp;
      LEFT(SUBSTITUTE($O$2:$O$38,CHAR(160)," "),5) &amp; "|" &amp;
      TRIM(SUBSTITUTE($P$2:$P$38,CHAR(160)," ")),
      $Q$2:$Q$38
    )
  ),
"")</f>
        <v/>
      </c>
      <c r="K59" s="32" t="str" cm="1">
        <f t="array" ref="K59">IFERROR(
  VALUE($H59) *
  VALUE(
    _xlfn.XLOOKUP(
      TRIM($F59) &amp; "|" &amp; LEFT(SUBSTITUTE($G59,CHAR(160)," "),5) &amp; "|Ideas Rate",
      TRIM(SUBSTITUTE($N$2:$N$38,CHAR(160)," ")) &amp; "|" &amp;
      LEFT(SUBSTITUTE($O$2:$O$38,CHAR(160)," "),5) &amp; "|" &amp;
      TRIM(SUBSTITUTE($P$2:$P$38,CHAR(160)," ")),
      $Q$2:$Q$38
    )
  ),
"")</f>
        <v/>
      </c>
    </row>
    <row r="60" spans="2:11" x14ac:dyDescent="0.2">
      <c r="B60" s="48"/>
      <c r="I60" s="32" t="str" cm="1">
        <f t="array" ref="I60">IFERROR(
  VALUE($H60) *
  VALUE(
    _xlfn.XLOOKUP(
      TRIM($F60) &amp; "|" &amp; LEFT(SUBSTITUTE($G60,CHAR(160)," "),5) &amp; "|Full Rate",
      TRIM(SUBSTITUTE($N$2:$N$38,CHAR(160)," ")) &amp; "|" &amp;
      LEFT(SUBSTITUTE($O$2:$O$38,CHAR(160)," "),5) &amp; "|" &amp;
      TRIM(SUBSTITUTE($P$2:$P$38,CHAR(160)," ")),
      $Q$2:$Q$38
    )
  ),
"")</f>
        <v/>
      </c>
      <c r="J60" s="32" t="str" cm="1">
        <f t="array" ref="J60">IFERROR(
  VALUE($H60) *
  VALUE(
    _xlfn.XLOOKUP(
      TRIM($F60) &amp; "|" &amp; LEFT(SUBSTITUTE($G60,CHAR(160)," "),5) &amp; "|Reduced Rate",
      TRIM(SUBSTITUTE($N$2:$N$38,CHAR(160)," ")) &amp; "|" &amp;
      LEFT(SUBSTITUTE($O$2:$O$38,CHAR(160)," "),5) &amp; "|" &amp;
      TRIM(SUBSTITUTE($P$2:$P$38,CHAR(160)," ")),
      $Q$2:$Q$38
    )
  ),
"")</f>
        <v/>
      </c>
      <c r="K60" s="32" t="str" cm="1">
        <f t="array" ref="K60">IFERROR(
  VALUE($H60) *
  VALUE(
    _xlfn.XLOOKUP(
      TRIM($F60) &amp; "|" &amp; LEFT(SUBSTITUTE($G60,CHAR(160)," "),5) &amp; "|Ideas Rate",
      TRIM(SUBSTITUTE($N$2:$N$38,CHAR(160)," ")) &amp; "|" &amp;
      LEFT(SUBSTITUTE($O$2:$O$38,CHAR(160)," "),5) &amp; "|" &amp;
      TRIM(SUBSTITUTE($P$2:$P$38,CHAR(160)," ")),
      $Q$2:$Q$38
    )
  ),
"")</f>
        <v/>
      </c>
    </row>
    <row r="61" spans="2:11" x14ac:dyDescent="0.2">
      <c r="B61" s="48"/>
      <c r="I61" s="32" t="str" cm="1">
        <f t="array" ref="I61">IFERROR(
  VALUE($H61) *
  VALUE(
    _xlfn.XLOOKUP(
      TRIM($F61) &amp; "|" &amp; LEFT(SUBSTITUTE($G61,CHAR(160)," "),5) &amp; "|Full Rate",
      TRIM(SUBSTITUTE($N$2:$N$38,CHAR(160)," ")) &amp; "|" &amp;
      LEFT(SUBSTITUTE($O$2:$O$38,CHAR(160)," "),5) &amp; "|" &amp;
      TRIM(SUBSTITUTE($P$2:$P$38,CHAR(160)," ")),
      $Q$2:$Q$38
    )
  ),
"")</f>
        <v/>
      </c>
      <c r="J61" s="32" t="str" cm="1">
        <f t="array" ref="J61">IFERROR(
  VALUE($H61) *
  VALUE(
    _xlfn.XLOOKUP(
      TRIM($F61) &amp; "|" &amp; LEFT(SUBSTITUTE($G61,CHAR(160)," "),5) &amp; "|Reduced Rate",
      TRIM(SUBSTITUTE($N$2:$N$38,CHAR(160)," ")) &amp; "|" &amp;
      LEFT(SUBSTITUTE($O$2:$O$38,CHAR(160)," "),5) &amp; "|" &amp;
      TRIM(SUBSTITUTE($P$2:$P$38,CHAR(160)," ")),
      $Q$2:$Q$38
    )
  ),
"")</f>
        <v/>
      </c>
      <c r="K61" s="32" t="str" cm="1">
        <f t="array" ref="K61">IFERROR(
  VALUE($H61) *
  VALUE(
    _xlfn.XLOOKUP(
      TRIM($F61) &amp; "|" &amp; LEFT(SUBSTITUTE($G61,CHAR(160)," "),5) &amp; "|Ideas Rate",
      TRIM(SUBSTITUTE($N$2:$N$38,CHAR(160)," ")) &amp; "|" &amp;
      LEFT(SUBSTITUTE($O$2:$O$38,CHAR(160)," "),5) &amp; "|" &amp;
      TRIM(SUBSTITUTE($P$2:$P$38,CHAR(160)," ")),
      $Q$2:$Q$38
    )
  ),
"")</f>
        <v/>
      </c>
    </row>
    <row r="62" spans="2:11" x14ac:dyDescent="0.2">
      <c r="B62" s="48"/>
      <c r="J62" s="32" t="str" cm="1">
        <f t="array" ref="J62">IFERROR(
  VALUE($H62) *
  VALUE(
    _xlfn.XLOOKUP(
      TRIM($F62) &amp; "|" &amp; LEFT(SUBSTITUTE($G62,CHAR(160)," "),5) &amp; "|Reduced Rate",
      TRIM(SUBSTITUTE($N$2:$N$38,CHAR(160)," ")) &amp; "|" &amp;
      LEFT(SUBSTITUTE($O$2:$O$38,CHAR(160)," "),5) &amp; "|" &amp;
      TRIM(SUBSTITUTE($P$2:$P$38,CHAR(160)," ")),
      $Q$2:$Q$38
    )
  ),
"")</f>
        <v/>
      </c>
      <c r="K62" s="32" t="str" cm="1">
        <f t="array" ref="K62">IFERROR(
  VALUE($H62) *
  VALUE(
    _xlfn.XLOOKUP(
      TRIM($F62) &amp; "|" &amp; LEFT(SUBSTITUTE($G62,CHAR(160)," "),5) &amp; "|Ideas Rate",
      TRIM(SUBSTITUTE($N$2:$N$38,CHAR(160)," ")) &amp; "|" &amp;
      LEFT(SUBSTITUTE($O$2:$O$38,CHAR(160)," "),5) &amp; "|" &amp;
      TRIM(SUBSTITUTE($P$2:$P$38,CHAR(160)," ")),
      $Q$2:$Q$38
    )
  ),
"")</f>
        <v/>
      </c>
    </row>
    <row r="63" spans="2:11" x14ac:dyDescent="0.2">
      <c r="B63" s="48"/>
      <c r="J63" s="32" t="str" cm="1">
        <f t="array" ref="J63">IFERROR(
  VALUE($H63) *
  VALUE(
    _xlfn.XLOOKUP(
      TRIM($F63) &amp; "|" &amp; LEFT(SUBSTITUTE($G63,CHAR(160)," "),5) &amp; "|Reduced Rate",
      TRIM(SUBSTITUTE($N$2:$N$38,CHAR(160)," ")) &amp; "|" &amp;
      LEFT(SUBSTITUTE($O$2:$O$38,CHAR(160)," "),5) &amp; "|" &amp;
      TRIM(SUBSTITUTE($P$2:$P$38,CHAR(160)," ")),
      $Q$2:$Q$38
    )
  ),
"")</f>
        <v/>
      </c>
      <c r="K63" s="32" t="str" cm="1">
        <f t="array" ref="K63">IFERROR(
  VALUE($H63) *
  VALUE(
    _xlfn.XLOOKUP(
      TRIM($F63) &amp; "|" &amp; LEFT(SUBSTITUTE($G63,CHAR(160)," "),5) &amp; "|Ideas Rate",
      TRIM(SUBSTITUTE($N$2:$N$38,CHAR(160)," ")) &amp; "|" &amp;
      LEFT(SUBSTITUTE($O$2:$O$38,CHAR(160)," "),5) &amp; "|" &amp;
      TRIM(SUBSTITUTE($P$2:$P$38,CHAR(160)," ")),
      $Q$2:$Q$38
    )
  ),
"")</f>
        <v/>
      </c>
    </row>
    <row r="64" spans="2:11" x14ac:dyDescent="0.2">
      <c r="B64" s="48"/>
      <c r="J64" s="32" t="str" cm="1">
        <f t="array" ref="J64">IFERROR(
  VALUE($H64) *
  VALUE(
    _xlfn.XLOOKUP(
      TRIM($F64) &amp; "|" &amp; LEFT(SUBSTITUTE($G64,CHAR(160)," "),5) &amp; "|Reduced Rate",
      TRIM(SUBSTITUTE($N$2:$N$38,CHAR(160)," ")) &amp; "|" &amp;
      LEFT(SUBSTITUTE($O$2:$O$38,CHAR(160)," "),5) &amp; "|" &amp;
      TRIM(SUBSTITUTE($P$2:$P$38,CHAR(160)," ")),
      $Q$2:$Q$38
    )
  ),
"")</f>
        <v/>
      </c>
      <c r="K64" s="32" t="str" cm="1">
        <f t="array" ref="K64">IFERROR(
  VALUE($H64) *
  VALUE(
    _xlfn.XLOOKUP(
      TRIM($F64) &amp; "|" &amp; LEFT(SUBSTITUTE($G64,CHAR(160)," "),5) &amp; "|Ideas Rate",
      TRIM(SUBSTITUTE($N$2:$N$38,CHAR(160)," ")) &amp; "|" &amp;
      LEFT(SUBSTITUTE($O$2:$O$38,CHAR(160)," "),5) &amp; "|" &amp;
      TRIM(SUBSTITUTE($P$2:$P$38,CHAR(160)," ")),
      $Q$2:$Q$38
    )
  ),
"")</f>
        <v/>
      </c>
    </row>
    <row r="65" spans="2:11" x14ac:dyDescent="0.2">
      <c r="B65" s="48"/>
      <c r="J65" s="32" t="str" cm="1">
        <f t="array" ref="J65">IFERROR(
  VALUE($H65) *
  VALUE(
    _xlfn.XLOOKUP(
      TRIM($F65) &amp; "|" &amp; LEFT(SUBSTITUTE($G65,CHAR(160)," "),5) &amp; "|Reduced Rate",
      TRIM(SUBSTITUTE($N$2:$N$38,CHAR(160)," ")) &amp; "|" &amp;
      LEFT(SUBSTITUTE($O$2:$O$38,CHAR(160)," "),5) &amp; "|" &amp;
      TRIM(SUBSTITUTE($P$2:$P$38,CHAR(160)," ")),
      $Q$2:$Q$38
    )
  ),
"")</f>
        <v/>
      </c>
      <c r="K65" s="32" t="str" cm="1">
        <f t="array" ref="K65">IFERROR(
  VALUE($H65) *
  VALUE(
    _xlfn.XLOOKUP(
      TRIM($F65) &amp; "|" &amp; LEFT(SUBSTITUTE($G65,CHAR(160)," "),5) &amp; "|Ideas Rate",
      TRIM(SUBSTITUTE($N$2:$N$38,CHAR(160)," ")) &amp; "|" &amp;
      LEFT(SUBSTITUTE($O$2:$O$38,CHAR(160)," "),5) &amp; "|" &amp;
      TRIM(SUBSTITUTE($P$2:$P$38,CHAR(160)," ")),
      $Q$2:$Q$38
    )
  ),
"")</f>
        <v/>
      </c>
    </row>
    <row r="66" spans="2:11" x14ac:dyDescent="0.2">
      <c r="B66" s="48"/>
      <c r="J66" s="32" t="str" cm="1">
        <f t="array" ref="J66">IFERROR(
  VALUE($H66) *
  VALUE(
    _xlfn.XLOOKUP(
      TRIM($F66) &amp; "|" &amp; LEFT(SUBSTITUTE($G66,CHAR(160)," "),5) &amp; "|Reduced Rate",
      TRIM(SUBSTITUTE($N$2:$N$38,CHAR(160)," ")) &amp; "|" &amp;
      LEFT(SUBSTITUTE($O$2:$O$38,CHAR(160)," "),5) &amp; "|" &amp;
      TRIM(SUBSTITUTE($P$2:$P$38,CHAR(160)," ")),
      $Q$2:$Q$38
    )
  ),
"")</f>
        <v/>
      </c>
      <c r="K66" s="32" t="str" cm="1">
        <f t="array" ref="K66">IFERROR(
  VALUE($H66) *
  VALUE(
    _xlfn.XLOOKUP(
      TRIM($F66) &amp; "|" &amp; LEFT(SUBSTITUTE($G66,CHAR(160)," "),5) &amp; "|Ideas Rate",
      TRIM(SUBSTITUTE($N$2:$N$38,CHAR(160)," ")) &amp; "|" &amp;
      LEFT(SUBSTITUTE($O$2:$O$38,CHAR(160)," "),5) &amp; "|" &amp;
      TRIM(SUBSTITUTE($P$2:$P$38,CHAR(160)," ")),
      $Q$2:$Q$38
    )
  ),
"")</f>
        <v/>
      </c>
    </row>
    <row r="67" spans="2:11" x14ac:dyDescent="0.2">
      <c r="B67" s="48"/>
      <c r="J67" s="32" t="str" cm="1">
        <f t="array" ref="J67">IFERROR(
  VALUE($H67) *
  VALUE(
    _xlfn.XLOOKUP(
      TRIM($F67) &amp; "|" &amp; LEFT(SUBSTITUTE($G67,CHAR(160)," "),5) &amp; "|Reduced Rate",
      TRIM(SUBSTITUTE($N$2:$N$38,CHAR(160)," ")) &amp; "|" &amp;
      LEFT(SUBSTITUTE($O$2:$O$38,CHAR(160)," "),5) &amp; "|" &amp;
      TRIM(SUBSTITUTE($P$2:$P$38,CHAR(160)," ")),
      $Q$2:$Q$38
    )
  ),
"")</f>
        <v/>
      </c>
      <c r="K67" s="32" t="str" cm="1">
        <f t="array" ref="K67">IFERROR(
  VALUE($H67) *
  VALUE(
    _xlfn.XLOOKUP(
      TRIM($F67) &amp; "|" &amp; LEFT(SUBSTITUTE($G67,CHAR(160)," "),5) &amp; "|Ideas Rate",
      TRIM(SUBSTITUTE($N$2:$N$38,CHAR(160)," ")) &amp; "|" &amp;
      LEFT(SUBSTITUTE($O$2:$O$38,CHAR(160)," "),5) &amp; "|" &amp;
      TRIM(SUBSTITUTE($P$2:$P$38,CHAR(160)," ")),
      $Q$2:$Q$38
    )
  ),
"")</f>
        <v/>
      </c>
    </row>
    <row r="68" spans="2:11" x14ac:dyDescent="0.2">
      <c r="B68" s="48"/>
      <c r="J68" s="32" t="str" cm="1">
        <f t="array" ref="J68">IFERROR(
  VALUE($H68) *
  VALUE(
    _xlfn.XLOOKUP(
      TRIM($F68) &amp; "|" &amp; LEFT(SUBSTITUTE($G68,CHAR(160)," "),5) &amp; "|Reduced Rate",
      TRIM(SUBSTITUTE($N$2:$N$38,CHAR(160)," ")) &amp; "|" &amp;
      LEFT(SUBSTITUTE($O$2:$O$38,CHAR(160)," "),5) &amp; "|" &amp;
      TRIM(SUBSTITUTE($P$2:$P$38,CHAR(160)," ")),
      $Q$2:$Q$38
    )
  ),
"")</f>
        <v/>
      </c>
      <c r="K68" s="32" t="str" cm="1">
        <f t="array" ref="K68">IFERROR(
  VALUE($H68) *
  VALUE(
    _xlfn.XLOOKUP(
      TRIM($F68) &amp; "|" &amp; LEFT(SUBSTITUTE($G68,CHAR(160)," "),5) &amp; "|Ideas Rate",
      TRIM(SUBSTITUTE($N$2:$N$38,CHAR(160)," ")) &amp; "|" &amp;
      LEFT(SUBSTITUTE($O$2:$O$38,CHAR(160)," "),5) &amp; "|" &amp;
      TRIM(SUBSTITUTE($P$2:$P$38,CHAR(160)," ")),
      $Q$2:$Q$38
    )
  ),
"")</f>
        <v/>
      </c>
    </row>
    <row r="69" spans="2:11" x14ac:dyDescent="0.2">
      <c r="B69" s="48"/>
      <c r="J69" s="32" t="str" cm="1">
        <f t="array" ref="J69">IFERROR(
  VALUE($H69) *
  VALUE(
    _xlfn.XLOOKUP(
      TRIM($F69) &amp; "|" &amp; LEFT(SUBSTITUTE($G69,CHAR(160)," "),5) &amp; "|Reduced Rate",
      TRIM(SUBSTITUTE($N$2:$N$38,CHAR(160)," ")) &amp; "|" &amp;
      LEFT(SUBSTITUTE($O$2:$O$38,CHAR(160)," "),5) &amp; "|" &amp;
      TRIM(SUBSTITUTE($P$2:$P$38,CHAR(160)," ")),
      $Q$2:$Q$38
    )
  ),
"")</f>
        <v/>
      </c>
      <c r="K69" s="32" t="str" cm="1">
        <f t="array" ref="K69">IFERROR(
  VALUE($H69) *
  VALUE(
    _xlfn.XLOOKUP(
      TRIM($F69) &amp; "|" &amp; LEFT(SUBSTITUTE($G69,CHAR(160)," "),5) &amp; "|Ideas Rate",
      TRIM(SUBSTITUTE($N$2:$N$38,CHAR(160)," ")) &amp; "|" &amp;
      LEFT(SUBSTITUTE($O$2:$O$38,CHAR(160)," "),5) &amp; "|" &amp;
      TRIM(SUBSTITUTE($P$2:$P$38,CHAR(160)," ")),
      $Q$2:$Q$38
    )
  ),
"")</f>
        <v/>
      </c>
    </row>
    <row r="70" spans="2:11" x14ac:dyDescent="0.2">
      <c r="B70" s="48"/>
      <c r="J70" s="32" t="str" cm="1">
        <f t="array" ref="J70">IFERROR(
  VALUE($H70) *
  VALUE(
    _xlfn.XLOOKUP(
      TRIM($F70) &amp; "|" &amp; LEFT(SUBSTITUTE($G70,CHAR(160)," "),5) &amp; "|Reduced Rate",
      TRIM(SUBSTITUTE($N$2:$N$38,CHAR(160)," ")) &amp; "|" &amp;
      LEFT(SUBSTITUTE($O$2:$O$38,CHAR(160)," "),5) &amp; "|" &amp;
      TRIM(SUBSTITUTE($P$2:$P$38,CHAR(160)," ")),
      $Q$2:$Q$38
    )
  ),
"")</f>
        <v/>
      </c>
      <c r="K70" s="32" t="str" cm="1">
        <f t="array" ref="K70">IFERROR(
  VALUE($H70) *
  VALUE(
    _xlfn.XLOOKUP(
      TRIM($F70) &amp; "|" &amp; LEFT(SUBSTITUTE($G70,CHAR(160)," "),5) &amp; "|Ideas Rate",
      TRIM(SUBSTITUTE($N$2:$N$38,CHAR(160)," ")) &amp; "|" &amp;
      LEFT(SUBSTITUTE($O$2:$O$38,CHAR(160)," "),5) &amp; "|" &amp;
      TRIM(SUBSTITUTE($P$2:$P$38,CHAR(160)," ")),
      $Q$2:$Q$38
    )
  ),
"")</f>
        <v/>
      </c>
    </row>
    <row r="71" spans="2:11" x14ac:dyDescent="0.2">
      <c r="J71" s="32" t="str" cm="1">
        <f t="array" ref="J71">IFERROR(
  VALUE($H71) *
  VALUE(
    _xlfn.XLOOKUP(
      TRIM($F71) &amp; "|" &amp; LEFT(SUBSTITUTE($G71,CHAR(160)," "),5) &amp; "|Reduced Rate",
      TRIM(SUBSTITUTE($N$2:$N$38,CHAR(160)," ")) &amp; "|" &amp;
      LEFT(SUBSTITUTE($O$2:$O$38,CHAR(160)," "),5) &amp; "|" &amp;
      TRIM(SUBSTITUTE($P$2:$P$38,CHAR(160)," ")),
      $Q$2:$Q$38
    )
  ),
"")</f>
        <v/>
      </c>
      <c r="K71" s="32" t="str" cm="1">
        <f t="array" ref="K71">IFERROR(
  VALUE($H71) *
  VALUE(
    _xlfn.XLOOKUP(
      TRIM($F71) &amp; "|" &amp; LEFT(SUBSTITUTE($G71,CHAR(160)," "),5) &amp; "|Ideas Rate",
      TRIM(SUBSTITUTE($N$2:$N$38,CHAR(160)," ")) &amp; "|" &amp;
      LEFT(SUBSTITUTE($O$2:$O$38,CHAR(160)," "),5) &amp; "|" &amp;
      TRIM(SUBSTITUTE($P$2:$P$38,CHAR(160)," ")),
      $Q$2:$Q$38
    )
  ),
"")</f>
        <v/>
      </c>
    </row>
    <row r="72" spans="2:11" x14ac:dyDescent="0.2">
      <c r="K72" s="32" t="str" cm="1">
        <f t="array" ref="K72">IFERROR(
  VALUE($H72) *
  VALUE(
    _xlfn.XLOOKUP(
      TRIM($F72) &amp; "|" &amp; LEFT(SUBSTITUTE($G72,CHAR(160)," "),5) &amp; "|Ideas Rate",
      TRIM(SUBSTITUTE($N$2:$N$38,CHAR(160)," ")) &amp; "|" &amp;
      LEFT(SUBSTITUTE($O$2:$O$38,CHAR(160)," "),5) &amp; "|" &amp;
      TRIM(SUBSTITUTE($P$2:$P$38,CHAR(160)," ")),
      $Q$2:$Q$38
    )
  ),
"")</f>
        <v/>
      </c>
    </row>
    <row r="73" spans="2:11" x14ac:dyDescent="0.2">
      <c r="K73" s="32" t="str" cm="1">
        <f t="array" ref="K73">IFERROR(
  VALUE($H73) *
  VALUE(
    _xlfn.XLOOKUP(
      TRIM($F73) &amp; "|" &amp; LEFT(SUBSTITUTE($G73,CHAR(160)," "),5) &amp; "|Ideas Rate",
      TRIM(SUBSTITUTE($N$2:$N$38,CHAR(160)," ")) &amp; "|" &amp;
      LEFT(SUBSTITUTE($O$2:$O$38,CHAR(160)," "),5) &amp; "|" &amp;
      TRIM(SUBSTITUTE($P$2:$P$38,CHAR(160)," ")),
      $Q$2:$Q$38
    )
  ),
"")</f>
        <v/>
      </c>
    </row>
    <row r="74" spans="2:11" x14ac:dyDescent="0.2">
      <c r="K74" s="32" t="str" cm="1">
        <f t="array" ref="K74">IFERROR(
  VALUE($H74) *
  VALUE(
    _xlfn.XLOOKUP(
      TRIM($F74) &amp; "|" &amp; LEFT(SUBSTITUTE($G74,CHAR(160)," "),5) &amp; "|Ideas Rate",
      TRIM(SUBSTITUTE($N$2:$N$38,CHAR(160)," ")) &amp; "|" &amp;
      LEFT(SUBSTITUTE($O$2:$O$38,CHAR(160)," "),5) &amp; "|" &amp;
      TRIM(SUBSTITUTE($P$2:$P$38,CHAR(160)," ")),
      $Q$2:$Q$38
    )
  ),
"")</f>
        <v/>
      </c>
    </row>
    <row r="75" spans="2:11" x14ac:dyDescent="0.2">
      <c r="K75" s="32" t="str" cm="1">
        <f t="array" ref="K75">IFERROR(
  VALUE($H75) *
  VALUE(
    _xlfn.XLOOKUP(
      TRIM($F75) &amp; "|" &amp; LEFT(SUBSTITUTE($G75,CHAR(160)," "),5) &amp; "|Ideas Rate",
      TRIM(SUBSTITUTE($N$2:$N$38,CHAR(160)," ")) &amp; "|" &amp;
      LEFT(SUBSTITUTE($O$2:$O$38,CHAR(160)," "),5) &amp; "|" &amp;
      TRIM(SUBSTITUTE($P$2:$P$38,CHAR(160)," ")),
      $Q$2:$Q$38
    )
  ),
"")</f>
        <v/>
      </c>
    </row>
    <row r="76" spans="2:11" x14ac:dyDescent="0.2">
      <c r="K76" s="32" t="str" cm="1">
        <f t="array" ref="K76">IFERROR(
  VALUE($H76) *
  VALUE(
    _xlfn.XLOOKUP(
      TRIM($F76) &amp; "|" &amp; LEFT(SUBSTITUTE($G76,CHAR(160)," "),5) &amp; "|Ideas Rate",
      TRIM(SUBSTITUTE($N$2:$N$38,CHAR(160)," ")) &amp; "|" &amp;
      LEFT(SUBSTITUTE($O$2:$O$38,CHAR(160)," "),5) &amp; "|" &amp;
      TRIM(SUBSTITUTE($P$2:$P$38,CHAR(160)," ")),
      $Q$2:$Q$38
    )
  ),
"")</f>
        <v/>
      </c>
    </row>
    <row r="77" spans="2:11" x14ac:dyDescent="0.2">
      <c r="K77" s="32" t="str" cm="1">
        <f t="array" ref="K77">IFERROR(
  VALUE($H77) *
  VALUE(
    _xlfn.XLOOKUP(
      TRIM($F77) &amp; "|" &amp; LEFT(SUBSTITUTE($G77,CHAR(160)," "),5) &amp; "|Ideas Rate",
      TRIM(SUBSTITUTE($N$2:$N$38,CHAR(160)," ")) &amp; "|" &amp;
      LEFT(SUBSTITUTE($O$2:$O$38,CHAR(160)," "),5) &amp; "|" &amp;
      TRIM(SUBSTITUTE($P$2:$P$38,CHAR(160)," ")),
      $Q$2:$Q$38
    )
  ),
"")</f>
        <v/>
      </c>
    </row>
    <row r="78" spans="2:11" x14ac:dyDescent="0.2">
      <c r="K78" s="32" t="str" cm="1">
        <f t="array" ref="K78">IFERROR(
  VALUE($H78) *
  VALUE(
    _xlfn.XLOOKUP(
      TRIM($F78) &amp; "|" &amp; LEFT(SUBSTITUTE($G78,CHAR(160)," "),5) &amp; "|Ideas Rate",
      TRIM(SUBSTITUTE($N$2:$N$38,CHAR(160)," ")) &amp; "|" &amp;
      LEFT(SUBSTITUTE($O$2:$O$38,CHAR(160)," "),5) &amp; "|" &amp;
      TRIM(SUBSTITUTE($P$2:$P$38,CHAR(160)," ")),
      $Q$2:$Q$38
    )
  ),
"")</f>
        <v/>
      </c>
    </row>
    <row r="79" spans="2:11" x14ac:dyDescent="0.2">
      <c r="K79" s="32" t="str" cm="1">
        <f t="array" ref="K79">IFERROR(
  VALUE($H79) *
  VALUE(
    _xlfn.XLOOKUP(
      TRIM($F79) &amp; "|" &amp; LEFT(SUBSTITUTE($G79,CHAR(160)," "),5) &amp; "|Ideas Rate",
      TRIM(SUBSTITUTE($N$2:$N$38,CHAR(160)," ")) &amp; "|" &amp;
      LEFT(SUBSTITUTE($O$2:$O$38,CHAR(160)," "),5) &amp; "|" &amp;
      TRIM(SUBSTITUTE($P$2:$P$38,CHAR(160)," ")),
      $Q$2:$Q$38
    )
  ),
"")</f>
        <v/>
      </c>
    </row>
    <row r="80" spans="2:11" x14ac:dyDescent="0.2">
      <c r="K80" s="32" t="str" cm="1">
        <f t="array" ref="K80">IFERROR(
  VALUE($H80) *
  VALUE(
    _xlfn.XLOOKUP(
      TRIM($F80) &amp; "|" &amp; LEFT(SUBSTITUTE($G80,CHAR(160)," "),5) &amp; "|Ideas Rate",
      TRIM(SUBSTITUTE($N$2:$N$38,CHAR(160)," ")) &amp; "|" &amp;
      LEFT(SUBSTITUTE($O$2:$O$38,CHAR(160)," "),5) &amp; "|" &amp;
      TRIM(SUBSTITUTE($P$2:$P$38,CHAR(160)," ")),
      $Q$2:$Q$38
    )
  ),
"")</f>
        <v/>
      </c>
    </row>
    <row r="81" spans="11:11" x14ac:dyDescent="0.2">
      <c r="K81" s="32" t="str" cm="1">
        <f t="array" ref="K81">IFERROR(
  VALUE($H81) *
  VALUE(
    _xlfn.XLOOKUP(
      TRIM($F81) &amp; "|" &amp; LEFT(SUBSTITUTE($G81,CHAR(160)," "),5) &amp; "|Ideas Rate",
      TRIM(SUBSTITUTE($N$2:$N$38,CHAR(160)," ")) &amp; "|" &amp;
      LEFT(SUBSTITUTE($O$2:$O$38,CHAR(160)," "),5) &amp; "|" &amp;
      TRIM(SUBSTITUTE($P$2:$P$38,CHAR(160)," ")),
      $Q$2:$Q$38
    )
  ),
"")</f>
        <v/>
      </c>
    </row>
    <row r="82" spans="11:11" x14ac:dyDescent="0.2">
      <c r="K82" s="32" t="str" cm="1">
        <f t="array" ref="K82">IFERROR(
  VALUE($H82) *
  VALUE(
    _xlfn.XLOOKUP(
      TRIM($F82) &amp; "|" &amp; LEFT(SUBSTITUTE($G82,CHAR(160)," "),5) &amp; "|Ideas Rate",
      TRIM(SUBSTITUTE($N$2:$N$38,CHAR(160)," ")) &amp; "|" &amp;
      LEFT(SUBSTITUTE($O$2:$O$38,CHAR(160)," "),5) &amp; "|" &amp;
      TRIM(SUBSTITUTE($P$2:$P$38,CHAR(160)," ")),
      $Q$2:$Q$38
    )
  ),
"")</f>
        <v/>
      </c>
    </row>
    <row r="83" spans="11:11" x14ac:dyDescent="0.2">
      <c r="K83" s="32" t="str" cm="1">
        <f t="array" ref="K83">IFERROR(
  VALUE($H83) *
  VALUE(
    _xlfn.XLOOKUP(
      TRIM($F83) &amp; "|" &amp; LEFT(SUBSTITUTE($G83,CHAR(160)," "),5) &amp; "|Ideas Rate",
      TRIM(SUBSTITUTE($N$2:$N$38,CHAR(160)," ")) &amp; "|" &amp;
      LEFT(SUBSTITUTE($O$2:$O$38,CHAR(160)," "),5) &amp; "|" &amp;
      TRIM(SUBSTITUTE($P$2:$P$38,CHAR(160)," ")),
      $Q$2:$Q$38
    )
  ),
"")</f>
        <v/>
      </c>
    </row>
    <row r="84" spans="11:11" x14ac:dyDescent="0.2">
      <c r="K84" s="32" t="str" cm="1">
        <f t="array" ref="K84">IFERROR(
  VALUE($H84) *
  VALUE(
    _xlfn.XLOOKUP(
      TRIM($F84) &amp; "|" &amp; LEFT(SUBSTITUTE($G84,CHAR(160)," "),5) &amp; "|Ideas Rate",
      TRIM(SUBSTITUTE($N$2:$N$38,CHAR(160)," ")) &amp; "|" &amp;
      LEFT(SUBSTITUTE($O$2:$O$38,CHAR(160)," "),5) &amp; "|" &amp;
      TRIM(SUBSTITUTE($P$2:$P$38,CHAR(160)," ")),
      $Q$2:$Q$38
    )
  ),
"")</f>
        <v/>
      </c>
    </row>
    <row r="85" spans="11:11" x14ac:dyDescent="0.2">
      <c r="K85" s="32" t="str" cm="1">
        <f t="array" ref="K85">IFERROR(
  VALUE($H85) *
  VALUE(
    _xlfn.XLOOKUP(
      TRIM($F85) &amp; "|" &amp; LEFT(SUBSTITUTE($G85,CHAR(160)," "),5) &amp; "|Ideas Rate",
      TRIM(SUBSTITUTE($N$2:$N$38,CHAR(160)," ")) &amp; "|" &amp;
      LEFT(SUBSTITUTE($O$2:$O$38,CHAR(160)," "),5) &amp; "|" &amp;
      TRIM(SUBSTITUTE($P$2:$P$38,CHAR(160)," ")),
      $Q$2:$Q$38
    )
  ),
"")</f>
        <v/>
      </c>
    </row>
    <row r="86" spans="11:11" x14ac:dyDescent="0.2">
      <c r="K86" s="32" t="str" cm="1">
        <f t="array" ref="K86">IFERROR(
  VALUE($H86) *
  VALUE(
    _xlfn.XLOOKUP(
      TRIM($F86) &amp; "|" &amp; LEFT(SUBSTITUTE($G86,CHAR(160)," "),5) &amp; "|Ideas Rate",
      TRIM(SUBSTITUTE($N$2:$N$38,CHAR(160)," ")) &amp; "|" &amp;
      LEFT(SUBSTITUTE($O$2:$O$38,CHAR(160)," "),5) &amp; "|" &amp;
      TRIM(SUBSTITUTE($P$2:$P$38,CHAR(160)," ")),
      $Q$2:$Q$38
    )
  ),
"")</f>
        <v/>
      </c>
    </row>
    <row r="87" spans="11:11" x14ac:dyDescent="0.2">
      <c r="K87" s="32" t="str" cm="1">
        <f t="array" ref="K87">IFERROR(
  VALUE($H87) *
  VALUE(
    _xlfn.XLOOKUP(
      TRIM($F87) &amp; "|" &amp; LEFT(SUBSTITUTE($G87,CHAR(160)," "),5) &amp; "|Ideas Rate",
      TRIM(SUBSTITUTE($N$2:$N$38,CHAR(160)," ")) &amp; "|" &amp;
      LEFT(SUBSTITUTE($O$2:$O$38,CHAR(160)," "),5) &amp; "|" &amp;
      TRIM(SUBSTITUTE($P$2:$P$38,CHAR(160)," ")),
      $Q$2:$Q$38
    )
  ),
"")</f>
        <v/>
      </c>
    </row>
    <row r="88" spans="11:11" x14ac:dyDescent="0.2">
      <c r="K88" s="32" t="str" cm="1">
        <f t="array" ref="K88">IFERROR(
  VALUE($H88) *
  VALUE(
    _xlfn.XLOOKUP(
      TRIM($F88) &amp; "|" &amp; LEFT(SUBSTITUTE($G88,CHAR(160)," "),5) &amp; "|Ideas Rate",
      TRIM(SUBSTITUTE($N$2:$N$38,CHAR(160)," ")) &amp; "|" &amp;
      LEFT(SUBSTITUTE($O$2:$O$38,CHAR(160)," "),5) &amp; "|" &amp;
      TRIM(SUBSTITUTE($P$2:$P$38,CHAR(160)," ")),
      $Q$2:$Q$38
    )
  ),
"")</f>
        <v/>
      </c>
    </row>
    <row r="89" spans="11:11" x14ac:dyDescent="0.2">
      <c r="K89" s="32" t="str" cm="1">
        <f t="array" ref="K89">IFERROR(
  VALUE($H89) *
  VALUE(
    _xlfn.XLOOKUP(
      TRIM($F89) &amp; "|" &amp; LEFT(SUBSTITUTE($G89,CHAR(160)," "),5) &amp; "|Ideas Rate",
      TRIM(SUBSTITUTE($N$2:$N$38,CHAR(160)," ")) &amp; "|" &amp;
      LEFT(SUBSTITUTE($O$2:$O$38,CHAR(160)," "),5) &amp; "|" &amp;
      TRIM(SUBSTITUTE($P$2:$P$38,CHAR(160)," ")),
      $Q$2:$Q$38
    )
  ),
"")</f>
        <v/>
      </c>
    </row>
    <row r="90" spans="11:11" x14ac:dyDescent="0.2">
      <c r="K90" s="32" t="str" cm="1">
        <f t="array" ref="K90">IFERROR(
  VALUE($H90) *
  VALUE(
    _xlfn.XLOOKUP(
      TRIM($F90) &amp; "|" &amp; LEFT(SUBSTITUTE($G90,CHAR(160)," "),5) &amp; "|Ideas Rate",
      TRIM(SUBSTITUTE($N$2:$N$38,CHAR(160)," ")) &amp; "|" &amp;
      LEFT(SUBSTITUTE($O$2:$O$38,CHAR(160)," "),5) &amp; "|" &amp;
      TRIM(SUBSTITUTE($P$2:$P$38,CHAR(160)," ")),
      $Q$2:$Q$38
    )
  ),
"")</f>
        <v/>
      </c>
    </row>
    <row r="91" spans="11:11" x14ac:dyDescent="0.2">
      <c r="K91" s="32" t="str" cm="1">
        <f t="array" ref="K91">IFERROR(
  VALUE($H91) *
  VALUE(
    _xlfn.XLOOKUP(
      TRIM($F91) &amp; "|" &amp; LEFT(SUBSTITUTE($G91,CHAR(160)," "),5) &amp; "|Ideas Rate",
      TRIM(SUBSTITUTE($N$2:$N$38,CHAR(160)," ")) &amp; "|" &amp;
      LEFT(SUBSTITUTE($O$2:$O$38,CHAR(160)," "),5) &amp; "|" &amp;
      TRIM(SUBSTITUTE($P$2:$P$38,CHAR(160)," ")),
      $Q$2:$Q$38
    )
  ),
"")</f>
        <v/>
      </c>
    </row>
    <row r="92" spans="11:11" x14ac:dyDescent="0.2">
      <c r="K92" s="32" t="str" cm="1">
        <f t="array" ref="K92">IFERROR(
  VALUE($H92) *
  VALUE(
    _xlfn.XLOOKUP(
      TRIM($F92) &amp; "|" &amp; LEFT(SUBSTITUTE($G92,CHAR(160)," "),5) &amp; "|Ideas Rate",
      TRIM(SUBSTITUTE($N$2:$N$38,CHAR(160)," ")) &amp; "|" &amp;
      LEFT(SUBSTITUTE($O$2:$O$38,CHAR(160)," "),5) &amp; "|" &amp;
      TRIM(SUBSTITUTE($P$2:$P$38,CHAR(160)," ")),
      $Q$2:$Q$38
    )
  ),
"")</f>
        <v/>
      </c>
    </row>
    <row r="93" spans="11:11" x14ac:dyDescent="0.2">
      <c r="K93" s="32" t="str" cm="1">
        <f t="array" ref="K93">IFERROR(
  VALUE($H93) *
  VALUE(
    _xlfn.XLOOKUP(
      TRIM($F93) &amp; "|" &amp; LEFT(SUBSTITUTE($G93,CHAR(160)," "),5) &amp; "|Ideas Rate",
      TRIM(SUBSTITUTE($N$2:$N$38,CHAR(160)," ")) &amp; "|" &amp;
      LEFT(SUBSTITUTE($O$2:$O$38,CHAR(160)," "),5) &amp; "|" &amp;
      TRIM(SUBSTITUTE($P$2:$P$38,CHAR(160)," ")),
      $Q$2:$Q$38
    )
  ),
"")</f>
        <v/>
      </c>
    </row>
    <row r="94" spans="11:11" x14ac:dyDescent="0.2">
      <c r="K94" s="32" t="str" cm="1">
        <f t="array" ref="K94">IFERROR(
  VALUE($H94) *
  VALUE(
    _xlfn.XLOOKUP(
      TRIM($F94) &amp; "|" &amp; LEFT(SUBSTITUTE($G94,CHAR(160)," "),5) &amp; "|Ideas Rate",
      TRIM(SUBSTITUTE($N$2:$N$38,CHAR(160)," ")) &amp; "|" &amp;
      LEFT(SUBSTITUTE($O$2:$O$38,CHAR(160)," "),5) &amp; "|" &amp;
      TRIM(SUBSTITUTE($P$2:$P$38,CHAR(160)," ")),
      $Q$2:$Q$38
    )
  ),
"")</f>
        <v/>
      </c>
    </row>
    <row r="95" spans="11:11" x14ac:dyDescent="0.2">
      <c r="K95" s="32" t="str" cm="1">
        <f t="array" ref="K95">IFERROR(
  VALUE($H95) *
  VALUE(
    _xlfn.XLOOKUP(
      TRIM($F95) &amp; "|" &amp; LEFT(SUBSTITUTE($G95,CHAR(160)," "),5) &amp; "|Ideas Rate",
      TRIM(SUBSTITUTE($N$2:$N$38,CHAR(160)," ")) &amp; "|" &amp;
      LEFT(SUBSTITUTE($O$2:$O$38,CHAR(160)," "),5) &amp; "|" &amp;
      TRIM(SUBSTITUTE($P$2:$P$38,CHAR(160)," ")),
      $Q$2:$Q$38
    )
  ),
"")</f>
        <v/>
      </c>
    </row>
    <row r="96" spans="11:11" x14ac:dyDescent="0.2">
      <c r="K96" s="32" t="str" cm="1">
        <f t="array" ref="K96">IFERROR(
  VALUE($H96) *
  VALUE(
    _xlfn.XLOOKUP(
      TRIM($F96) &amp; "|" &amp; LEFT(SUBSTITUTE($G96,CHAR(160)," "),5) &amp; "|Ideas Rate",
      TRIM(SUBSTITUTE($N$2:$N$38,CHAR(160)," ")) &amp; "|" &amp;
      LEFT(SUBSTITUTE($O$2:$O$38,CHAR(160)," "),5) &amp; "|" &amp;
      TRIM(SUBSTITUTE($P$2:$P$38,CHAR(160)," ")),
      $Q$2:$Q$38
    )
  ),
"")</f>
        <v/>
      </c>
    </row>
    <row r="97" spans="11:11" x14ac:dyDescent="0.2">
      <c r="K97" s="32" t="str" cm="1">
        <f t="array" ref="K97">IFERROR(
  VALUE($H97) *
  VALUE(
    _xlfn.XLOOKUP(
      TRIM($F97) &amp; "|" &amp; LEFT(SUBSTITUTE($G97,CHAR(160)," "),5) &amp; "|Ideas Rate",
      TRIM(SUBSTITUTE($N$2:$N$38,CHAR(160)," ")) &amp; "|" &amp;
      LEFT(SUBSTITUTE($O$2:$O$38,CHAR(160)," "),5) &amp; "|" &amp;
      TRIM(SUBSTITUTE($P$2:$P$38,CHAR(160)," ")),
      $Q$2:$Q$38
    )
  ),
"")</f>
        <v/>
      </c>
    </row>
    <row r="98" spans="11:11" x14ac:dyDescent="0.2">
      <c r="K98" s="32" t="str" cm="1">
        <f t="array" ref="K98">IFERROR(
  VALUE($H98) *
  VALUE(
    _xlfn.XLOOKUP(
      TRIM($F98) &amp; "|" &amp; LEFT(SUBSTITUTE($G98,CHAR(160)," "),5) &amp; "|Ideas Rate",
      TRIM(SUBSTITUTE($N$2:$N$38,CHAR(160)," ")) &amp; "|" &amp;
      LEFT(SUBSTITUTE($O$2:$O$38,CHAR(160)," "),5) &amp; "|" &amp;
      TRIM(SUBSTITUTE($P$2:$P$38,CHAR(160)," ")),
      $Q$2:$Q$38
    )
  ),
"")</f>
        <v/>
      </c>
    </row>
    <row r="99" spans="11:11" x14ac:dyDescent="0.2">
      <c r="K99" s="32" t="str" cm="1">
        <f t="array" ref="K99">IFERROR(
  VALUE($H99) *
  VALUE(
    _xlfn.XLOOKUP(
      TRIM($F99) &amp; "|" &amp; LEFT(SUBSTITUTE($G99,CHAR(160)," "),5) &amp; "|Ideas Rate",
      TRIM(SUBSTITUTE($N$2:$N$38,CHAR(160)," ")) &amp; "|" &amp;
      LEFT(SUBSTITUTE($O$2:$O$38,CHAR(160)," "),5) &amp; "|" &amp;
      TRIM(SUBSTITUTE($P$2:$P$38,CHAR(160)," ")),
      $Q$2:$Q$38
    )
  ),
"")</f>
        <v/>
      </c>
    </row>
    <row r="100" spans="11:11" x14ac:dyDescent="0.2">
      <c r="K100" s="32" t="str" cm="1">
        <f t="array" ref="K100">IFERROR(
  VALUE($H100) *
  VALUE(
    _xlfn.XLOOKUP(
      TRIM($F100) &amp; "|" &amp; LEFT(SUBSTITUTE($G100,CHAR(160)," "),5) &amp; "|Ideas Rate",
      TRIM(SUBSTITUTE($N$2:$N$38,CHAR(160)," ")) &amp; "|" &amp;
      LEFT(SUBSTITUTE($O$2:$O$38,CHAR(160)," "),5) &amp; "|" &amp;
      TRIM(SUBSTITUTE($P$2:$P$38,CHAR(160)," ")),
      $Q$2:$Q$38
    )
  ),
"")</f>
        <v/>
      </c>
    </row>
    <row r="101" spans="11:11" x14ac:dyDescent="0.2">
      <c r="K101" s="32" t="str" cm="1">
        <f t="array" ref="K101">IFERROR(
  VALUE($H101) *
  VALUE(
    _xlfn.XLOOKUP(
      TRIM($F101) &amp; "|" &amp; LEFT(SUBSTITUTE($G101,CHAR(160)," "),5) &amp; "|Ideas Rate",
      TRIM(SUBSTITUTE($N$2:$N$38,CHAR(160)," ")) &amp; "|" &amp;
      LEFT(SUBSTITUTE($O$2:$O$38,CHAR(160)," "),5) &amp; "|" &amp;
      TRIM(SUBSTITUTE($P$2:$P$38,CHAR(160)," ")),
      $Q$2:$Q$38
    )
  ),
"")</f>
        <v/>
      </c>
    </row>
    <row r="102" spans="11:11" x14ac:dyDescent="0.2">
      <c r="K102" s="32" t="str" cm="1">
        <f t="array" ref="K102">IFERROR(
  VALUE($H102) *
  VALUE(
    _xlfn.XLOOKUP(
      TRIM($F102) &amp; "|" &amp; LEFT(SUBSTITUTE($G102,CHAR(160)," "),5) &amp; "|Ideas Rate",
      TRIM(SUBSTITUTE($N$2:$N$38,CHAR(160)," ")) &amp; "|" &amp;
      LEFT(SUBSTITUTE($O$2:$O$38,CHAR(160)," "),5) &amp; "|" &amp;
      TRIM(SUBSTITUTE($P$2:$P$38,CHAR(160)," ")),
      $Q$2:$Q$38
    )
  ),
"")</f>
        <v/>
      </c>
    </row>
    <row r="103" spans="11:11" x14ac:dyDescent="0.2">
      <c r="K103" s="32" t="str" cm="1">
        <f t="array" ref="K103">IFERROR(
  VALUE($H103) *
  VALUE(
    _xlfn.XLOOKUP(
      TRIM($F103) &amp; "|" &amp; LEFT(SUBSTITUTE($G103,CHAR(160)," "),5) &amp; "|Ideas Rate",
      TRIM(SUBSTITUTE($N$2:$N$38,CHAR(160)," ")) &amp; "|" &amp;
      LEFT(SUBSTITUTE($O$2:$O$38,CHAR(160)," "),5) &amp; "|" &amp;
      TRIM(SUBSTITUTE($P$2:$P$38,CHAR(160)," ")),
      $Q$2:$Q$38
    )
  ),
"")</f>
        <v/>
      </c>
    </row>
    <row r="104" spans="11:11" x14ac:dyDescent="0.2">
      <c r="K104" s="32" t="str" cm="1">
        <f t="array" ref="K104">IFERROR(
  VALUE($H104) *
  VALUE(
    _xlfn.XLOOKUP(
      TRIM($F104) &amp; "|" &amp; LEFT(SUBSTITUTE($G104,CHAR(160)," "),5) &amp; "|Ideas Rate",
      TRIM(SUBSTITUTE($N$2:$N$38,CHAR(160)," ")) &amp; "|" &amp;
      LEFT(SUBSTITUTE($O$2:$O$38,CHAR(160)," "),5) &amp; "|" &amp;
      TRIM(SUBSTITUTE($P$2:$P$38,CHAR(160)," ")),
      $Q$2:$Q$38
    )
  ),
"")</f>
        <v/>
      </c>
    </row>
    <row r="105" spans="11:11" x14ac:dyDescent="0.2">
      <c r="K105" s="32" t="str" cm="1">
        <f t="array" ref="K105">IFERROR(
  VALUE($H105) *
  VALUE(
    _xlfn.XLOOKUP(
      TRIM($F105) &amp; "|" &amp; LEFT(SUBSTITUTE($G105,CHAR(160)," "),5) &amp; "|Ideas Rate",
      TRIM(SUBSTITUTE($N$2:$N$38,CHAR(160)," ")) &amp; "|" &amp;
      LEFT(SUBSTITUTE($O$2:$O$38,CHAR(160)," "),5) &amp; "|" &amp;
      TRIM(SUBSTITUTE($P$2:$P$38,CHAR(160)," ")),
      $Q$2:$Q$38
    )
  ),
"")</f>
        <v/>
      </c>
    </row>
    <row r="106" spans="11:11" x14ac:dyDescent="0.2">
      <c r="K106" s="32" t="str" cm="1">
        <f t="array" ref="K106">IFERROR(
  VALUE($H106) *
  VALUE(
    _xlfn.XLOOKUP(
      TRIM($F106) &amp; "|" &amp; LEFT(SUBSTITUTE($G106,CHAR(160)," "),5) &amp; "|Ideas Rate",
      TRIM(SUBSTITUTE($N$2:$N$38,CHAR(160)," ")) &amp; "|" &amp;
      LEFT(SUBSTITUTE($O$2:$O$38,CHAR(160)," "),5) &amp; "|" &amp;
      TRIM(SUBSTITUTE($P$2:$P$38,CHAR(160)," ")),
      $Q$2:$Q$38
    )
  ),
"")</f>
        <v/>
      </c>
    </row>
    <row r="107" spans="11:11" x14ac:dyDescent="0.2">
      <c r="K107" s="32" t="str" cm="1">
        <f t="array" ref="K107">IFERROR(
  VALUE($H107) *
  VALUE(
    _xlfn.XLOOKUP(
      TRIM($F107) &amp; "|" &amp; LEFT(SUBSTITUTE($G107,CHAR(160)," "),5) &amp; "|Ideas Rate",
      TRIM(SUBSTITUTE($N$2:$N$38,CHAR(160)," ")) &amp; "|" &amp;
      LEFT(SUBSTITUTE($O$2:$O$38,CHAR(160)," "),5) &amp; "|" &amp;
      TRIM(SUBSTITUTE($P$2:$P$38,CHAR(160)," ")),
      $Q$2:$Q$38
    )
  ),
"")</f>
        <v/>
      </c>
    </row>
    <row r="108" spans="11:11" x14ac:dyDescent="0.2">
      <c r="K108" s="32" t="str" cm="1">
        <f t="array" ref="K108">IFERROR(
  VALUE($H108) *
  VALUE(
    _xlfn.XLOOKUP(
      TRIM($F108) &amp; "|" &amp; LEFT(SUBSTITUTE($G108,CHAR(160)," "),5) &amp; "|Ideas Rate",
      TRIM(SUBSTITUTE($N$2:$N$38,CHAR(160)," ")) &amp; "|" &amp;
      LEFT(SUBSTITUTE($O$2:$O$38,CHAR(160)," "),5) &amp; "|" &amp;
      TRIM(SUBSTITUTE($P$2:$P$38,CHAR(160)," ")),
      $Q$2:$Q$38
    )
  ),
"")</f>
        <v/>
      </c>
    </row>
    <row r="109" spans="11:11" x14ac:dyDescent="0.2">
      <c r="K109" s="32" t="str" cm="1">
        <f t="array" ref="K109">IFERROR(
  VALUE($H109) *
  VALUE(
    _xlfn.XLOOKUP(
      TRIM($F109) &amp; "|" &amp; LEFT(SUBSTITUTE($G109,CHAR(160)," "),5) &amp; "|Ideas Rate",
      TRIM(SUBSTITUTE($N$2:$N$38,CHAR(160)," ")) &amp; "|" &amp;
      LEFT(SUBSTITUTE($O$2:$O$38,CHAR(160)," "),5) &amp; "|" &amp;
      TRIM(SUBSTITUTE($P$2:$P$38,CHAR(160)," ")),
      $Q$2:$Q$38
    )
  ),
"")</f>
        <v/>
      </c>
    </row>
    <row r="110" spans="11:11" x14ac:dyDescent="0.2">
      <c r="K110" s="32" t="str" cm="1">
        <f t="array" ref="K110">IFERROR(
  VALUE($H110) *
  VALUE(
    _xlfn.XLOOKUP(
      TRIM($F110) &amp; "|" &amp; LEFT(SUBSTITUTE($G110,CHAR(160)," "),5) &amp; "|Ideas Rate",
      TRIM(SUBSTITUTE($N$2:$N$38,CHAR(160)," ")) &amp; "|" &amp;
      LEFT(SUBSTITUTE($O$2:$O$38,CHAR(160)," "),5) &amp; "|" &amp;
      TRIM(SUBSTITUTE($P$2:$P$38,CHAR(160)," ")),
      $Q$2:$Q$38
    )
  ),
"")</f>
        <v/>
      </c>
    </row>
    <row r="111" spans="11:11" x14ac:dyDescent="0.2">
      <c r="K111" s="32" t="str" cm="1">
        <f t="array" ref="K111">IFERROR(
  VALUE($H111) *
  VALUE(
    _xlfn.XLOOKUP(
      TRIM($F111) &amp; "|" &amp; LEFT(SUBSTITUTE($G111,CHAR(160)," "),5) &amp; "|Ideas Rate",
      TRIM(SUBSTITUTE($N$2:$N$38,CHAR(160)," ")) &amp; "|" &amp;
      LEFT(SUBSTITUTE($O$2:$O$38,CHAR(160)," "),5) &amp; "|" &amp;
      TRIM(SUBSTITUTE($P$2:$P$38,CHAR(160)," ")),
      $Q$2:$Q$38
    )
  ),
"")</f>
        <v/>
      </c>
    </row>
    <row r="112" spans="11:11" x14ac:dyDescent="0.2">
      <c r="K112" s="32" t="str" cm="1">
        <f t="array" ref="K112">IFERROR(
  VALUE($H112) *
  VALUE(
    _xlfn.XLOOKUP(
      TRIM($F112) &amp; "|" &amp; LEFT(SUBSTITUTE($G112,CHAR(160)," "),5) &amp; "|Ideas Rate",
      TRIM(SUBSTITUTE($N$2:$N$38,CHAR(160)," ")) &amp; "|" &amp;
      LEFT(SUBSTITUTE($O$2:$O$38,CHAR(160)," "),5) &amp; "|" &amp;
      TRIM(SUBSTITUTE($P$2:$P$38,CHAR(160)," ")),
      $Q$2:$Q$38
    )
  ),
"")</f>
        <v/>
      </c>
    </row>
    <row r="113" spans="11:11" x14ac:dyDescent="0.2">
      <c r="K113" s="32" t="str" cm="1">
        <f t="array" ref="K113">IFERROR(
  VALUE($H113) *
  VALUE(
    _xlfn.XLOOKUP(
      TRIM($F113) &amp; "|" &amp; LEFT(SUBSTITUTE($G113,CHAR(160)," "),5) &amp; "|Ideas Rate",
      TRIM(SUBSTITUTE($N$2:$N$38,CHAR(160)," ")) &amp; "|" &amp;
      LEFT(SUBSTITUTE($O$2:$O$38,CHAR(160)," "),5) &amp; "|" &amp;
      TRIM(SUBSTITUTE($P$2:$P$38,CHAR(160)," ")),
      $Q$2:$Q$38
    )
  ),
"")</f>
        <v/>
      </c>
    </row>
    <row r="114" spans="11:11" x14ac:dyDescent="0.2">
      <c r="K114" s="32" t="str" cm="1">
        <f t="array" ref="K114">IFERROR(
  VALUE($H114) *
  VALUE(
    _xlfn.XLOOKUP(
      TRIM($F114) &amp; "|" &amp; LEFT(SUBSTITUTE($G114,CHAR(160)," "),5) &amp; "|Ideas Rate",
      TRIM(SUBSTITUTE($N$2:$N$38,CHAR(160)," ")) &amp; "|" &amp;
      LEFT(SUBSTITUTE($O$2:$O$38,CHAR(160)," "),5) &amp; "|" &amp;
      TRIM(SUBSTITUTE($P$2:$P$38,CHAR(160)," ")),
      $Q$2:$Q$38
    )
  ),
"")</f>
        <v/>
      </c>
    </row>
    <row r="115" spans="11:11" x14ac:dyDescent="0.2">
      <c r="K115" s="32" t="str" cm="1">
        <f t="array" ref="K115">IFERROR(
  VALUE($H115) *
  VALUE(
    _xlfn.XLOOKUP(
      TRIM($F115) &amp; "|" &amp; LEFT(SUBSTITUTE($G115,CHAR(160)," "),5) &amp; "|Ideas Rate",
      TRIM(SUBSTITUTE($N$2:$N$38,CHAR(160)," ")) &amp; "|" &amp;
      LEFT(SUBSTITUTE($O$2:$O$38,CHAR(160)," "),5) &amp; "|" &amp;
      TRIM(SUBSTITUTE($P$2:$P$38,CHAR(160)," ")),
      $Q$2:$Q$38
    )
  ),
"")</f>
        <v/>
      </c>
    </row>
    <row r="116" spans="11:11" x14ac:dyDescent="0.2">
      <c r="K116" s="32" t="str" cm="1">
        <f t="array" ref="K116">IFERROR(
  VALUE($H116) *
  VALUE(
    _xlfn.XLOOKUP(
      TRIM($F116) &amp; "|" &amp; LEFT(SUBSTITUTE($G116,CHAR(160)," "),5) &amp; "|Ideas Rate",
      TRIM(SUBSTITUTE($N$2:$N$38,CHAR(160)," ")) &amp; "|" &amp;
      LEFT(SUBSTITUTE($O$2:$O$38,CHAR(160)," "),5) &amp; "|" &amp;
      TRIM(SUBSTITUTE($P$2:$P$38,CHAR(160)," ")),
      $Q$2:$Q$38
    )
  ),
"")</f>
        <v/>
      </c>
    </row>
    <row r="117" spans="11:11" x14ac:dyDescent="0.2">
      <c r="K117" s="32" t="str" cm="1">
        <f t="array" ref="K117">IFERROR(
  VALUE($H117) *
  VALUE(
    _xlfn.XLOOKUP(
      TRIM($F117) &amp; "|" &amp; LEFT(SUBSTITUTE($G117,CHAR(160)," "),5) &amp; "|Ideas Rate",
      TRIM(SUBSTITUTE($N$2:$N$38,CHAR(160)," ")) &amp; "|" &amp;
      LEFT(SUBSTITUTE($O$2:$O$38,CHAR(160)," "),5) &amp; "|" &amp;
      TRIM(SUBSTITUTE($P$2:$P$38,CHAR(160)," ")),
      $Q$2:$Q$38
    )
  ),
"")</f>
        <v/>
      </c>
    </row>
    <row r="118" spans="11:11" x14ac:dyDescent="0.2">
      <c r="K118" s="32" t="str" cm="1">
        <f t="array" ref="K118">IFERROR(
  VALUE($H118) *
  VALUE(
    _xlfn.XLOOKUP(
      TRIM($F118) &amp; "|" &amp; LEFT(SUBSTITUTE($G118,CHAR(160)," "),5) &amp; "|Ideas Rate",
      TRIM(SUBSTITUTE($N$2:$N$38,CHAR(160)," ")) &amp; "|" &amp;
      LEFT(SUBSTITUTE($O$2:$O$38,CHAR(160)," "),5) &amp; "|" &amp;
      TRIM(SUBSTITUTE($P$2:$P$38,CHAR(160)," ")),
      $Q$2:$Q$38
    )
  ),
"")</f>
        <v/>
      </c>
    </row>
    <row r="119" spans="11:11" x14ac:dyDescent="0.2">
      <c r="K119" s="32" t="str" cm="1">
        <f t="array" ref="K119">IFERROR(
  VALUE($H119) *
  VALUE(
    _xlfn.XLOOKUP(
      TRIM($F119) &amp; "|" &amp; LEFT(SUBSTITUTE($G119,CHAR(160)," "),5) &amp; "|Ideas Rate",
      TRIM(SUBSTITUTE($N$2:$N$38,CHAR(160)," ")) &amp; "|" &amp;
      LEFT(SUBSTITUTE($O$2:$O$38,CHAR(160)," "),5) &amp; "|" &amp;
      TRIM(SUBSTITUTE($P$2:$P$38,CHAR(160)," ")),
      $Q$2:$Q$38
    )
  ),
"")</f>
        <v/>
      </c>
    </row>
    <row r="120" spans="11:11" x14ac:dyDescent="0.2">
      <c r="K120" s="32" t="str" cm="1">
        <f t="array" ref="K120">IFERROR(
  VALUE($H120) *
  VALUE(
    _xlfn.XLOOKUP(
      TRIM($F120) &amp; "|" &amp; LEFT(SUBSTITUTE($G120,CHAR(160)," "),5) &amp; "|Ideas Rate",
      TRIM(SUBSTITUTE($N$2:$N$38,CHAR(160)," ")) &amp; "|" &amp;
      LEFT(SUBSTITUTE($O$2:$O$38,CHAR(160)," "),5) &amp; "|" &amp;
      TRIM(SUBSTITUTE($P$2:$P$38,CHAR(160)," ")),
      $Q$2:$Q$38
    )
  ),
"")</f>
        <v/>
      </c>
    </row>
    <row r="121" spans="11:11" x14ac:dyDescent="0.2">
      <c r="K121" s="32" t="str" cm="1">
        <f t="array" ref="K121">IFERROR(
  VALUE($H121) *
  VALUE(
    _xlfn.XLOOKUP(
      TRIM($F121) &amp; "|" &amp; LEFT(SUBSTITUTE($G121,CHAR(160)," "),5) &amp; "|Ideas Rate",
      TRIM(SUBSTITUTE($N$2:$N$38,CHAR(160)," ")) &amp; "|" &amp;
      LEFT(SUBSTITUTE($O$2:$O$38,CHAR(160)," "),5) &amp; "|" &amp;
      TRIM(SUBSTITUTE($P$2:$P$38,CHAR(160)," ")),
      $Q$2:$Q$38
    )
  ),
"")</f>
        <v/>
      </c>
    </row>
    <row r="122" spans="11:11" x14ac:dyDescent="0.2">
      <c r="K122" s="32" t="str" cm="1">
        <f t="array" ref="K122">IFERROR(
  VALUE($H122) *
  VALUE(
    _xlfn.XLOOKUP(
      TRIM($F122) &amp; "|" &amp; LEFT(SUBSTITUTE($G122,CHAR(160)," "),5) &amp; "|Ideas Rate",
      TRIM(SUBSTITUTE($N$2:$N$38,CHAR(160)," ")) &amp; "|" &amp;
      LEFT(SUBSTITUTE($O$2:$O$38,CHAR(160)," "),5) &amp; "|" &amp;
      TRIM(SUBSTITUTE($P$2:$P$38,CHAR(160)," ")),
      $Q$2:$Q$38
    )
  ),
"")</f>
        <v/>
      </c>
    </row>
    <row r="123" spans="11:11" x14ac:dyDescent="0.2">
      <c r="K123" s="32" t="str" cm="1">
        <f t="array" ref="K123">IFERROR(
  VALUE($H123) *
  VALUE(
    _xlfn.XLOOKUP(
      TRIM($F123) &amp; "|" &amp; LEFT(SUBSTITUTE($G123,CHAR(160)," "),5) &amp; "|Ideas Rate",
      TRIM(SUBSTITUTE($N$2:$N$38,CHAR(160)," ")) &amp; "|" &amp;
      LEFT(SUBSTITUTE($O$2:$O$38,CHAR(160)," "),5) &amp; "|" &amp;
      TRIM(SUBSTITUTE($P$2:$P$38,CHAR(160)," ")),
      $Q$2:$Q$38
    )
  ),
"")</f>
        <v/>
      </c>
    </row>
    <row r="124" spans="11:11" x14ac:dyDescent="0.2">
      <c r="K124" s="32" t="str" cm="1">
        <f t="array" ref="K124">IFERROR(
  VALUE($H124) *
  VALUE(
    _xlfn.XLOOKUP(
      TRIM($F124) &amp; "|" &amp; LEFT(SUBSTITUTE($G124,CHAR(160)," "),5) &amp; "|Ideas Rate",
      TRIM(SUBSTITUTE($N$2:$N$38,CHAR(160)," ")) &amp; "|" &amp;
      LEFT(SUBSTITUTE($O$2:$O$38,CHAR(160)," "),5) &amp; "|" &amp;
      TRIM(SUBSTITUTE($P$2:$P$38,CHAR(160)," ")),
      $Q$2:$Q$38
    )
  ),
"")</f>
        <v/>
      </c>
    </row>
    <row r="125" spans="11:11" x14ac:dyDescent="0.2">
      <c r="K125" s="32" t="str" cm="1">
        <f t="array" ref="K125">IFERROR(
  VALUE($H125) *
  VALUE(
    _xlfn.XLOOKUP(
      TRIM($F125) &amp; "|" &amp; LEFT(SUBSTITUTE($G125,CHAR(160)," "),5) &amp; "|Ideas Rate",
      TRIM(SUBSTITUTE($N$2:$N$38,CHAR(160)," ")) &amp; "|" &amp;
      LEFT(SUBSTITUTE($O$2:$O$38,CHAR(160)," "),5) &amp; "|" &amp;
      TRIM(SUBSTITUTE($P$2:$P$38,CHAR(160)," ")),
      $Q$2:$Q$38
    )
  ),
"")</f>
        <v/>
      </c>
    </row>
    <row r="126" spans="11:11" x14ac:dyDescent="0.2">
      <c r="K126" s="32" t="str" cm="1">
        <f t="array" ref="K126">IFERROR(
  VALUE($H126) *
  VALUE(
    _xlfn.XLOOKUP(
      TRIM($F126) &amp; "|" &amp; LEFT(SUBSTITUTE($G126,CHAR(160)," "),5) &amp; "|Ideas Rate",
      TRIM(SUBSTITUTE($N$2:$N$38,CHAR(160)," ")) &amp; "|" &amp;
      LEFT(SUBSTITUTE($O$2:$O$38,CHAR(160)," "),5) &amp; "|" &amp;
      TRIM(SUBSTITUTE($P$2:$P$38,CHAR(160)," ")),
      $Q$2:$Q$38
    )
  ),
"")</f>
        <v/>
      </c>
    </row>
    <row r="127" spans="11:11" x14ac:dyDescent="0.2">
      <c r="K127" s="32" t="str" cm="1">
        <f t="array" ref="K127">IFERROR(
  VALUE($H127) *
  VALUE(
    _xlfn.XLOOKUP(
      TRIM($F127) &amp; "|" &amp; LEFT(SUBSTITUTE($G127,CHAR(160)," "),5) &amp; "|Ideas Rate",
      TRIM(SUBSTITUTE($N$2:$N$38,CHAR(160)," ")) &amp; "|" &amp;
      LEFT(SUBSTITUTE($O$2:$O$38,CHAR(160)," "),5) &amp; "|" &amp;
      TRIM(SUBSTITUTE($P$2:$P$38,CHAR(160)," ")),
      $Q$2:$Q$38
    )
  ),
"")</f>
        <v/>
      </c>
    </row>
    <row r="128" spans="11:11" x14ac:dyDescent="0.2">
      <c r="K128" s="32" t="str" cm="1">
        <f t="array" ref="K128">IFERROR(
  VALUE($H128) *
  VALUE(
    _xlfn.XLOOKUP(
      TRIM($F128) &amp; "|" &amp; LEFT(SUBSTITUTE($G128,CHAR(160)," "),5) &amp; "|Ideas Rate",
      TRIM(SUBSTITUTE($N$2:$N$38,CHAR(160)," ")) &amp; "|" &amp;
      LEFT(SUBSTITUTE($O$2:$O$38,CHAR(160)," "),5) &amp; "|" &amp;
      TRIM(SUBSTITUTE($P$2:$P$38,CHAR(160)," ")),
      $Q$2:$Q$38
    )
  ),
"")</f>
        <v/>
      </c>
    </row>
    <row r="129" spans="11:11" x14ac:dyDescent="0.2">
      <c r="K129" s="32" t="str" cm="1">
        <f t="array" ref="K129">IFERROR(
  VALUE($H129) *
  VALUE(
    _xlfn.XLOOKUP(
      TRIM($F129) &amp; "|" &amp; LEFT(SUBSTITUTE($G129,CHAR(160)," "),5) &amp; "|Ideas Rate",
      TRIM(SUBSTITUTE($N$2:$N$38,CHAR(160)," ")) &amp; "|" &amp;
      LEFT(SUBSTITUTE($O$2:$O$38,CHAR(160)," "),5) &amp; "|" &amp;
      TRIM(SUBSTITUTE($P$2:$P$38,CHAR(160)," ")),
      $Q$2:$Q$38
    )
  ),
"")</f>
        <v/>
      </c>
    </row>
    <row r="130" spans="11:11" x14ac:dyDescent="0.2">
      <c r="K130" s="32" t="str" cm="1">
        <f t="array" ref="K130">IFERROR(
  VALUE($H130) *
  VALUE(
    _xlfn.XLOOKUP(
      TRIM($F130) &amp; "|" &amp; LEFT(SUBSTITUTE($G130,CHAR(160)," "),5) &amp; "|Ideas Rate",
      TRIM(SUBSTITUTE($N$2:$N$38,CHAR(160)," ")) &amp; "|" &amp;
      LEFT(SUBSTITUTE($O$2:$O$38,CHAR(160)," "),5) &amp; "|" &amp;
      TRIM(SUBSTITUTE($P$2:$P$38,CHAR(160)," ")),
      $Q$2:$Q$38
    )
  ),
"")</f>
        <v/>
      </c>
    </row>
    <row r="131" spans="11:11" x14ac:dyDescent="0.2">
      <c r="K131" s="32" t="str" cm="1">
        <f t="array" ref="K131">IFERROR(
  VALUE($H131) *
  VALUE(
    _xlfn.XLOOKUP(
      TRIM($F131) &amp; "|" &amp; LEFT(SUBSTITUTE($G131,CHAR(160)," "),5) &amp; "|Ideas Rate",
      TRIM(SUBSTITUTE($N$2:$N$38,CHAR(160)," ")) &amp; "|" &amp;
      LEFT(SUBSTITUTE($O$2:$O$38,CHAR(160)," "),5) &amp; "|" &amp;
      TRIM(SUBSTITUTE($P$2:$P$38,CHAR(160)," ")),
      $Q$2:$Q$38
    )
  ),
"")</f>
        <v/>
      </c>
    </row>
    <row r="132" spans="11:11" x14ac:dyDescent="0.2">
      <c r="K132" s="32" t="str" cm="1">
        <f t="array" ref="K132">IFERROR(
  VALUE($H132) *
  VALUE(
    _xlfn.XLOOKUP(
      TRIM($F132) &amp; "|" &amp; LEFT(SUBSTITUTE($G132,CHAR(160)," "),5) &amp; "|Ideas Rate",
      TRIM(SUBSTITUTE($N$2:$N$38,CHAR(160)," ")) &amp; "|" &amp;
      LEFT(SUBSTITUTE($O$2:$O$38,CHAR(160)," "),5) &amp; "|" &amp;
      TRIM(SUBSTITUTE($P$2:$P$38,CHAR(160)," ")),
      $Q$2:$Q$38
    )
  ),
"")</f>
        <v/>
      </c>
    </row>
    <row r="133" spans="11:11" x14ac:dyDescent="0.2">
      <c r="K133" s="32" t="str" cm="1">
        <f t="array" ref="K133">IFERROR(
  VALUE($H133) *
  VALUE(
    _xlfn.XLOOKUP(
      TRIM($F133) &amp; "|" &amp; LEFT(SUBSTITUTE($G133,CHAR(160)," "),5) &amp; "|Ideas Rate",
      TRIM(SUBSTITUTE($N$2:$N$38,CHAR(160)," ")) &amp; "|" &amp;
      LEFT(SUBSTITUTE($O$2:$O$38,CHAR(160)," "),5) &amp; "|" &amp;
      TRIM(SUBSTITUTE($P$2:$P$38,CHAR(160)," ")),
      $Q$2:$Q$38
    )
  ),
"")</f>
        <v/>
      </c>
    </row>
    <row r="134" spans="11:11" x14ac:dyDescent="0.2">
      <c r="K134" s="32" t="str" cm="1">
        <f t="array" ref="K134">IFERROR(
  VALUE($H134) *
  VALUE(
    _xlfn.XLOOKUP(
      TRIM($F134) &amp; "|" &amp; LEFT(SUBSTITUTE($G134,CHAR(160)," "),5) &amp; "|Ideas Rate",
      TRIM(SUBSTITUTE($N$2:$N$38,CHAR(160)," ")) &amp; "|" &amp;
      LEFT(SUBSTITUTE($O$2:$O$38,CHAR(160)," "),5) &amp; "|" &amp;
      TRIM(SUBSTITUTE($P$2:$P$38,CHAR(160)," ")),
      $Q$2:$Q$38
    )
  ),
"")</f>
        <v/>
      </c>
    </row>
    <row r="135" spans="11:11" x14ac:dyDescent="0.2">
      <c r="K135" s="32" t="str" cm="1">
        <f t="array" ref="K135">IFERROR(
  VALUE($H135) *
  VALUE(
    _xlfn.XLOOKUP(
      TRIM($F135) &amp; "|" &amp; LEFT(SUBSTITUTE($G135,CHAR(160)," "),5) &amp; "|Ideas Rate",
      TRIM(SUBSTITUTE($N$2:$N$38,CHAR(160)," ")) &amp; "|" &amp;
      LEFT(SUBSTITUTE($O$2:$O$38,CHAR(160)," "),5) &amp; "|" &amp;
      TRIM(SUBSTITUTE($P$2:$P$38,CHAR(160)," ")),
      $Q$2:$Q$38
    )
  ),
"")</f>
        <v/>
      </c>
    </row>
    <row r="136" spans="11:11" x14ac:dyDescent="0.2">
      <c r="K136" s="32" t="str" cm="1">
        <f t="array" ref="K136">IFERROR(
  VALUE($H136) *
  VALUE(
    _xlfn.XLOOKUP(
      TRIM($F136) &amp; "|" &amp; LEFT(SUBSTITUTE($G136,CHAR(160)," "),5) &amp; "|Ideas Rate",
      TRIM(SUBSTITUTE($N$2:$N$38,CHAR(160)," ")) &amp; "|" &amp;
      LEFT(SUBSTITUTE($O$2:$O$38,CHAR(160)," "),5) &amp; "|" &amp;
      TRIM(SUBSTITUTE($P$2:$P$38,CHAR(160)," ")),
      $Q$2:$Q$38
    )
  ),
"")</f>
        <v/>
      </c>
    </row>
    <row r="137" spans="11:11" x14ac:dyDescent="0.2">
      <c r="K137" s="32" t="str" cm="1">
        <f t="array" ref="K137">IFERROR(
  VALUE($H137) *
  VALUE(
    _xlfn.XLOOKUP(
      TRIM($F137) &amp; "|" &amp; LEFT(SUBSTITUTE($G137,CHAR(160)," "),5) &amp; "|Ideas Rate",
      TRIM(SUBSTITUTE($N$2:$N$38,CHAR(160)," ")) &amp; "|" &amp;
      LEFT(SUBSTITUTE($O$2:$O$38,CHAR(160)," "),5) &amp; "|" &amp;
      TRIM(SUBSTITUTE($P$2:$P$38,CHAR(160)," ")),
      $Q$2:$Q$38
    )
  ),
"")</f>
        <v/>
      </c>
    </row>
    <row r="138" spans="11:11" x14ac:dyDescent="0.2">
      <c r="K138" s="32" t="str" cm="1">
        <f t="array" ref="K138">IFERROR(
  VALUE($H138) *
  VALUE(
    _xlfn.XLOOKUP(
      TRIM($F138) &amp; "|" &amp; LEFT(SUBSTITUTE($G138,CHAR(160)," "),5) &amp; "|Ideas Rate",
      TRIM(SUBSTITUTE($N$2:$N$38,CHAR(160)," ")) &amp; "|" &amp;
      LEFT(SUBSTITUTE($O$2:$O$38,CHAR(160)," "),5) &amp; "|" &amp;
      TRIM(SUBSTITUTE($P$2:$P$38,CHAR(160)," ")),
      $Q$2:$Q$38
    )
  ),
"")</f>
        <v/>
      </c>
    </row>
    <row r="139" spans="11:11" x14ac:dyDescent="0.2">
      <c r="K139" s="32" t="str" cm="1">
        <f t="array" ref="K139">IFERROR(
  VALUE($H139) *
  VALUE(
    _xlfn.XLOOKUP(
      TRIM($F139) &amp; "|" &amp; LEFT(SUBSTITUTE($G139,CHAR(160)," "),5) &amp; "|Ideas Rate",
      TRIM(SUBSTITUTE($N$2:$N$38,CHAR(160)," ")) &amp; "|" &amp;
      LEFT(SUBSTITUTE($O$2:$O$38,CHAR(160)," "),5) &amp; "|" &amp;
      TRIM(SUBSTITUTE($P$2:$P$38,CHAR(160)," ")),
      $Q$2:$Q$38
    )
  ),
"")</f>
        <v/>
      </c>
    </row>
    <row r="140" spans="11:11" x14ac:dyDescent="0.2">
      <c r="K140" s="32" t="str" cm="1">
        <f t="array" ref="K140">IFERROR(
  VALUE($H140) *
  VALUE(
    _xlfn.XLOOKUP(
      TRIM($F140) &amp; "|" &amp; LEFT(SUBSTITUTE($G140,CHAR(160)," "),5) &amp; "|Ideas Rate",
      TRIM(SUBSTITUTE($N$2:$N$38,CHAR(160)," ")) &amp; "|" &amp;
      LEFT(SUBSTITUTE($O$2:$O$38,CHAR(160)," "),5) &amp; "|" &amp;
      TRIM(SUBSTITUTE($P$2:$P$38,CHAR(160)," ")),
      $Q$2:$Q$38
    )
  ),
"")</f>
        <v/>
      </c>
    </row>
    <row r="141" spans="11:11" x14ac:dyDescent="0.2">
      <c r="K141" s="32" t="str" cm="1">
        <f t="array" ref="K141">IFERROR(
  VALUE($H141) *
  VALUE(
    _xlfn.XLOOKUP(
      TRIM($F141) &amp; "|" &amp; LEFT(SUBSTITUTE($G141,CHAR(160)," "),5) &amp; "|Ideas Rate",
      TRIM(SUBSTITUTE($N$2:$N$38,CHAR(160)," ")) &amp; "|" &amp;
      LEFT(SUBSTITUTE($O$2:$O$38,CHAR(160)," "),5) &amp; "|" &amp;
      TRIM(SUBSTITUTE($P$2:$P$38,CHAR(160)," ")),
      $Q$2:$Q$38
    )
  ),
"")</f>
        <v/>
      </c>
    </row>
    <row r="142" spans="11:11" x14ac:dyDescent="0.2">
      <c r="K142" s="32" t="str" cm="1">
        <f t="array" ref="K142">IFERROR(
  VALUE($H142) *
  VALUE(
    _xlfn.XLOOKUP(
      TRIM($F142) &amp; "|" &amp; LEFT(SUBSTITUTE($G142,CHAR(160)," "),5) &amp; "|Ideas Rate",
      TRIM(SUBSTITUTE($N$2:$N$38,CHAR(160)," ")) &amp; "|" &amp;
      LEFT(SUBSTITUTE($O$2:$O$38,CHAR(160)," "),5) &amp; "|" &amp;
      TRIM(SUBSTITUTE($P$2:$P$38,CHAR(160)," ")),
      $Q$2:$Q$38
    )
  ),
"")</f>
        <v/>
      </c>
    </row>
    <row r="143" spans="11:11" x14ac:dyDescent="0.2">
      <c r="K143" s="32" t="str" cm="1">
        <f t="array" ref="K143">IFERROR(
  VALUE($H143) *
  VALUE(
    _xlfn.XLOOKUP(
      TRIM($F143) &amp; "|" &amp; LEFT(SUBSTITUTE($G143,CHAR(160)," "),5) &amp; "|Ideas Rate",
      TRIM(SUBSTITUTE($N$2:$N$38,CHAR(160)," ")) &amp; "|" &amp;
      LEFT(SUBSTITUTE($O$2:$O$38,CHAR(160)," "),5) &amp; "|" &amp;
      TRIM(SUBSTITUTE($P$2:$P$38,CHAR(160)," ")),
      $Q$2:$Q$38
    )
  ),
"")</f>
        <v/>
      </c>
    </row>
    <row r="144" spans="11:11" x14ac:dyDescent="0.2">
      <c r="K144" s="32" t="str" cm="1">
        <f t="array" ref="K144">IFERROR(
  VALUE($H144) *
  VALUE(
    _xlfn.XLOOKUP(
      TRIM($F144) &amp; "|" &amp; LEFT(SUBSTITUTE($G144,CHAR(160)," "),5) &amp; "|Ideas Rate",
      TRIM(SUBSTITUTE($N$2:$N$38,CHAR(160)," ")) &amp; "|" &amp;
      LEFT(SUBSTITUTE($O$2:$O$38,CHAR(160)," "),5) &amp; "|" &amp;
      TRIM(SUBSTITUTE($P$2:$P$38,CHAR(160)," ")),
      $Q$2:$Q$38
    )
  ),
"")</f>
        <v/>
      </c>
    </row>
    <row r="145" spans="11:11" x14ac:dyDescent="0.2">
      <c r="K145" s="32" t="str" cm="1">
        <f t="array" ref="K145">IFERROR(
  VALUE($H145) *
  VALUE(
    _xlfn.XLOOKUP(
      TRIM($F145) &amp; "|" &amp; LEFT(SUBSTITUTE($G145,CHAR(160)," "),5) &amp; "|Ideas Rate",
      TRIM(SUBSTITUTE($N$2:$N$38,CHAR(160)," ")) &amp; "|" &amp;
      LEFT(SUBSTITUTE($O$2:$O$38,CHAR(160)," "),5) &amp; "|" &amp;
      TRIM(SUBSTITUTE($P$2:$P$38,CHAR(160)," ")),
      $Q$2:$Q$38
    )
  ),
"")</f>
        <v/>
      </c>
    </row>
    <row r="146" spans="11:11" x14ac:dyDescent="0.2">
      <c r="K146" s="32" t="str" cm="1">
        <f t="array" ref="K146">IFERROR(
  VALUE($H146) *
  VALUE(
    _xlfn.XLOOKUP(
      TRIM($F146) &amp; "|" &amp; LEFT(SUBSTITUTE($G146,CHAR(160)," "),5) &amp; "|Ideas Rate",
      TRIM(SUBSTITUTE($N$2:$N$38,CHAR(160)," ")) &amp; "|" &amp;
      LEFT(SUBSTITUTE($O$2:$O$38,CHAR(160)," "),5) &amp; "|" &amp;
      TRIM(SUBSTITUTE($P$2:$P$38,CHAR(160)," ")),
      $Q$2:$Q$38
    )
  ),
"")</f>
        <v/>
      </c>
    </row>
    <row r="147" spans="11:11" x14ac:dyDescent="0.2">
      <c r="K147" s="32" t="str" cm="1">
        <f t="array" ref="K147">IFERROR(
  VALUE($H147) *
  VALUE(
    _xlfn.XLOOKUP(
      TRIM($F147) &amp; "|" &amp; LEFT(SUBSTITUTE($G147,CHAR(160)," "),5) &amp; "|Ideas Rate",
      TRIM(SUBSTITUTE($N$2:$N$38,CHAR(160)," ")) &amp; "|" &amp;
      LEFT(SUBSTITUTE($O$2:$O$38,CHAR(160)," "),5) &amp; "|" &amp;
      TRIM(SUBSTITUTE($P$2:$P$38,CHAR(160)," ")),
      $Q$2:$Q$38
    )
  ),
"")</f>
        <v/>
      </c>
    </row>
    <row r="148" spans="11:11" x14ac:dyDescent="0.2">
      <c r="K148" s="32" t="str" cm="1">
        <f t="array" ref="K148">IFERROR(
  VALUE($H148) *
  VALUE(
    _xlfn.XLOOKUP(
      TRIM($F148) &amp; "|" &amp; LEFT(SUBSTITUTE($G148,CHAR(160)," "),5) &amp; "|Ideas Rate",
      TRIM(SUBSTITUTE($N$2:$N$38,CHAR(160)," ")) &amp; "|" &amp;
      LEFT(SUBSTITUTE($O$2:$O$38,CHAR(160)," "),5) &amp; "|" &amp;
      TRIM(SUBSTITUTE($P$2:$P$38,CHAR(160)," ")),
      $Q$2:$Q$38
    )
  ),
"")</f>
        <v/>
      </c>
    </row>
    <row r="149" spans="11:11" x14ac:dyDescent="0.2">
      <c r="K149" s="32" t="str" cm="1">
        <f t="array" ref="K149">IFERROR(
  VALUE($H149) *
  VALUE(
    _xlfn.XLOOKUP(
      TRIM($F149) &amp; "|" &amp; LEFT(SUBSTITUTE($G149,CHAR(160)," "),5) &amp; "|Ideas Rate",
      TRIM(SUBSTITUTE($N$2:$N$38,CHAR(160)," ")) &amp; "|" &amp;
      LEFT(SUBSTITUTE($O$2:$O$38,CHAR(160)," "),5) &amp; "|" &amp;
      TRIM(SUBSTITUTE($P$2:$P$38,CHAR(160)," ")),
      $Q$2:$Q$38
    )
  ),
"")</f>
        <v/>
      </c>
    </row>
    <row r="150" spans="11:11" x14ac:dyDescent="0.2">
      <c r="K150" s="32" t="str" cm="1">
        <f t="array" ref="K150">IFERROR(
  VALUE($H150) *
  VALUE(
    _xlfn.XLOOKUP(
      TRIM($F150) &amp; "|" &amp; LEFT(SUBSTITUTE($G150,CHAR(160)," "),5) &amp; "|Ideas Rate",
      TRIM(SUBSTITUTE($N$2:$N$38,CHAR(160)," ")) &amp; "|" &amp;
      LEFT(SUBSTITUTE($O$2:$O$38,CHAR(160)," "),5) &amp; "|" &amp;
      TRIM(SUBSTITUTE($P$2:$P$38,CHAR(160)," ")),
      $Q$2:$Q$38
    )
  ),
"")</f>
        <v/>
      </c>
    </row>
    <row r="151" spans="11:11" x14ac:dyDescent="0.2">
      <c r="K151" s="32" t="str" cm="1">
        <f t="array" ref="K151">IFERROR(
  VALUE($H151) *
  VALUE(
    _xlfn.XLOOKUP(
      TRIM($F151) &amp; "|" &amp; LEFT(SUBSTITUTE($G151,CHAR(160)," "),5) &amp; "|Ideas Rate",
      TRIM(SUBSTITUTE($N$2:$N$38,CHAR(160)," ")) &amp; "|" &amp;
      LEFT(SUBSTITUTE($O$2:$O$38,CHAR(160)," "),5) &amp; "|" &amp;
      TRIM(SUBSTITUTE($P$2:$P$38,CHAR(160)," ")),
      $Q$2:$Q$38
    )
  ),
"")</f>
        <v/>
      </c>
    </row>
    <row r="152" spans="11:11" x14ac:dyDescent="0.2">
      <c r="K152" s="32" t="str" cm="1">
        <f t="array" ref="K152">IFERROR(
  VALUE($H152) *
  VALUE(
    _xlfn.XLOOKUP(
      TRIM($F152) &amp; "|" &amp; LEFT(SUBSTITUTE($G152,CHAR(160)," "),5) &amp; "|Ideas Rate",
      TRIM(SUBSTITUTE($N$2:$N$38,CHAR(160)," ")) &amp; "|" &amp;
      LEFT(SUBSTITUTE($O$2:$O$38,CHAR(160)," "),5) &amp; "|" &amp;
      TRIM(SUBSTITUTE($P$2:$P$38,CHAR(160)," ")),
      $Q$2:$Q$38
    )
  ),
"")</f>
        <v/>
      </c>
    </row>
    <row r="153" spans="11:11" x14ac:dyDescent="0.2">
      <c r="K153" s="32" t="str" cm="1">
        <f t="array" ref="K153">IFERROR(
  VALUE($H153) *
  VALUE(
    _xlfn.XLOOKUP(
      TRIM($F153) &amp; "|" &amp; LEFT(SUBSTITUTE($G153,CHAR(160)," "),5) &amp; "|Ideas Rate",
      TRIM(SUBSTITUTE($N$2:$N$38,CHAR(160)," ")) &amp; "|" &amp;
      LEFT(SUBSTITUTE($O$2:$O$38,CHAR(160)," "),5) &amp; "|" &amp;
      TRIM(SUBSTITUTE($P$2:$P$38,CHAR(160)," ")),
      $Q$2:$Q$38
    )
  ),
"")</f>
        <v/>
      </c>
    </row>
    <row r="154" spans="11:11" x14ac:dyDescent="0.2">
      <c r="K154" s="32" t="str" cm="1">
        <f t="array" ref="K154">IFERROR(
  VALUE($H154) *
  VALUE(
    _xlfn.XLOOKUP(
      TRIM($F154) &amp; "|" &amp; LEFT(SUBSTITUTE($G154,CHAR(160)," "),5) &amp; "|Ideas Rate",
      TRIM(SUBSTITUTE($N$2:$N$38,CHAR(160)," ")) &amp; "|" &amp;
      LEFT(SUBSTITUTE($O$2:$O$38,CHAR(160)," "),5) &amp; "|" &amp;
      TRIM(SUBSTITUTE($P$2:$P$38,CHAR(160)," ")),
      $Q$2:$Q$38
    )
  ),
"")</f>
        <v/>
      </c>
    </row>
    <row r="155" spans="11:11" x14ac:dyDescent="0.2">
      <c r="K155" s="32" t="str" cm="1">
        <f t="array" ref="K155">IFERROR(
  VALUE($H155) *
  VALUE(
    _xlfn.XLOOKUP(
      TRIM($F155) &amp; "|" &amp; LEFT(SUBSTITUTE($G155,CHAR(160)," "),5) &amp; "|Ideas Rate",
      TRIM(SUBSTITUTE($N$2:$N$38,CHAR(160)," ")) &amp; "|" &amp;
      LEFT(SUBSTITUTE($O$2:$O$38,CHAR(160)," "),5) &amp; "|" &amp;
      TRIM(SUBSTITUTE($P$2:$P$38,CHAR(160)," ")),
      $Q$2:$Q$38
    )
  ),
"")</f>
        <v/>
      </c>
    </row>
    <row r="156" spans="11:11" x14ac:dyDescent="0.2">
      <c r="K156" s="32" t="str" cm="1">
        <f t="array" ref="K156">IFERROR(
  VALUE($H156) *
  VALUE(
    _xlfn.XLOOKUP(
      TRIM($F156) &amp; "|" &amp; LEFT(SUBSTITUTE($G156,CHAR(160)," "),5) &amp; "|Ideas Rate",
      TRIM(SUBSTITUTE($N$2:$N$38,CHAR(160)," ")) &amp; "|" &amp;
      LEFT(SUBSTITUTE($O$2:$O$38,CHAR(160)," "),5) &amp; "|" &amp;
      TRIM(SUBSTITUTE($P$2:$P$38,CHAR(160)," ")),
      $Q$2:$Q$38
    )
  ),
"")</f>
        <v/>
      </c>
    </row>
    <row r="157" spans="11:11" x14ac:dyDescent="0.2">
      <c r="K157" s="32" t="str" cm="1">
        <f t="array" ref="K157">IFERROR(
  VALUE($H157) *
  VALUE(
    _xlfn.XLOOKUP(
      TRIM($F157) &amp; "|" &amp; LEFT(SUBSTITUTE($G157,CHAR(160)," "),5) &amp; "|Ideas Rate",
      TRIM(SUBSTITUTE($N$2:$N$38,CHAR(160)," ")) &amp; "|" &amp;
      LEFT(SUBSTITUTE($O$2:$O$38,CHAR(160)," "),5) &amp; "|" &amp;
      TRIM(SUBSTITUTE($P$2:$P$38,CHAR(160)," ")),
      $Q$2:$Q$38
    )
  ),
"")</f>
        <v/>
      </c>
    </row>
    <row r="158" spans="11:11" x14ac:dyDescent="0.2">
      <c r="K158" s="32" t="str" cm="1">
        <f t="array" ref="K158">IFERROR(
  VALUE($H158) *
  VALUE(
    _xlfn.XLOOKUP(
      TRIM($F158) &amp; "|" &amp; LEFT(SUBSTITUTE($G158,CHAR(160)," "),5) &amp; "|Ideas Rate",
      TRIM(SUBSTITUTE($N$2:$N$38,CHAR(160)," ")) &amp; "|" &amp;
      LEFT(SUBSTITUTE($O$2:$O$38,CHAR(160)," "),5) &amp; "|" &amp;
      TRIM(SUBSTITUTE($P$2:$P$38,CHAR(160)," ")),
      $Q$2:$Q$38
    )
  ),
"")</f>
        <v/>
      </c>
    </row>
    <row r="159" spans="11:11" x14ac:dyDescent="0.2">
      <c r="K159" s="32" t="str" cm="1">
        <f t="array" ref="K159">IFERROR(
  VALUE($H159) *
  VALUE(
    _xlfn.XLOOKUP(
      TRIM($F159) &amp; "|" &amp; LEFT(SUBSTITUTE($G159,CHAR(160)," "),5) &amp; "|Ideas Rate",
      TRIM(SUBSTITUTE($N$2:$N$38,CHAR(160)," ")) &amp; "|" &amp;
      LEFT(SUBSTITUTE($O$2:$O$38,CHAR(160)," "),5) &amp; "|" &amp;
      TRIM(SUBSTITUTE($P$2:$P$38,CHAR(160)," ")),
      $Q$2:$Q$38
    )
  ),
"")</f>
        <v/>
      </c>
    </row>
    <row r="160" spans="11:11" x14ac:dyDescent="0.2">
      <c r="K160" s="32" t="str" cm="1">
        <f t="array" ref="K160">IFERROR(
  VALUE($H160) *
  VALUE(
    _xlfn.XLOOKUP(
      TRIM($F160) &amp; "|" &amp; LEFT(SUBSTITUTE($G160,CHAR(160)," "),5) &amp; "|Ideas Rate",
      TRIM(SUBSTITUTE($N$2:$N$38,CHAR(160)," ")) &amp; "|" &amp;
      LEFT(SUBSTITUTE($O$2:$O$38,CHAR(160)," "),5) &amp; "|" &amp;
      TRIM(SUBSTITUTE($P$2:$P$38,CHAR(160)," ")),
      $Q$2:$Q$38
    )
  ),
"")</f>
        <v/>
      </c>
    </row>
    <row r="161" spans="11:11" x14ac:dyDescent="0.2">
      <c r="K161" s="32" t="str" cm="1">
        <f t="array" ref="K161">IFERROR(
  VALUE($H161) *
  VALUE(
    _xlfn.XLOOKUP(
      TRIM($F161) &amp; "|" &amp; LEFT(SUBSTITUTE($G161,CHAR(160)," "),5) &amp; "|Ideas Rate",
      TRIM(SUBSTITUTE($N$2:$N$38,CHAR(160)," ")) &amp; "|" &amp;
      LEFT(SUBSTITUTE($O$2:$O$38,CHAR(160)," "),5) &amp; "|" &amp;
      TRIM(SUBSTITUTE($P$2:$P$38,CHAR(160)," ")),
      $Q$2:$Q$38
    )
  ),
"")</f>
        <v/>
      </c>
    </row>
    <row r="162" spans="11:11" x14ac:dyDescent="0.2">
      <c r="K162" s="32" t="str" cm="1">
        <f t="array" ref="K162">IFERROR(
  VALUE($H162) *
  VALUE(
    _xlfn.XLOOKUP(
      TRIM($F162) &amp; "|" &amp; LEFT(SUBSTITUTE($G162,CHAR(160)," "),5) &amp; "|Ideas Rate",
      TRIM(SUBSTITUTE($N$2:$N$38,CHAR(160)," ")) &amp; "|" &amp;
      LEFT(SUBSTITUTE($O$2:$O$38,CHAR(160)," "),5) &amp; "|" &amp;
      TRIM(SUBSTITUTE($P$2:$P$38,CHAR(160)," ")),
      $Q$2:$Q$38
    )
  ),
"")</f>
        <v/>
      </c>
    </row>
    <row r="163" spans="11:11" x14ac:dyDescent="0.2">
      <c r="K163" s="32" t="str" cm="1">
        <f t="array" ref="K163">IFERROR(
  VALUE($H163) *
  VALUE(
    _xlfn.XLOOKUP(
      TRIM($F163) &amp; "|" &amp; LEFT(SUBSTITUTE($G163,CHAR(160)," "),5) &amp; "|Ideas Rate",
      TRIM(SUBSTITUTE($N$2:$N$38,CHAR(160)," ")) &amp; "|" &amp;
      LEFT(SUBSTITUTE($O$2:$O$38,CHAR(160)," "),5) &amp; "|" &amp;
      TRIM(SUBSTITUTE($P$2:$P$38,CHAR(160)," ")),
      $Q$2:$Q$38
    )
  ),
"")</f>
        <v/>
      </c>
    </row>
    <row r="164" spans="11:11" x14ac:dyDescent="0.2">
      <c r="K164" s="32" t="str" cm="1">
        <f t="array" ref="K164">IFERROR(
  VALUE($H164) *
  VALUE(
    _xlfn.XLOOKUP(
      TRIM($F164) &amp; "|" &amp; LEFT(SUBSTITUTE($G164,CHAR(160)," "),5) &amp; "|Ideas Rate",
      TRIM(SUBSTITUTE($N$2:$N$38,CHAR(160)," ")) &amp; "|" &amp;
      LEFT(SUBSTITUTE($O$2:$O$38,CHAR(160)," "),5) &amp; "|" &amp;
      TRIM(SUBSTITUTE($P$2:$P$38,CHAR(160)," ")),
      $Q$2:$Q$38
    )
  ),
"")</f>
        <v/>
      </c>
    </row>
    <row r="165" spans="11:11" x14ac:dyDescent="0.2">
      <c r="K165" s="32" t="str" cm="1">
        <f t="array" ref="K165">IFERROR(
  VALUE($H165) *
  VALUE(
    _xlfn.XLOOKUP(
      TRIM($F165) &amp; "|" &amp; LEFT(SUBSTITUTE($G165,CHAR(160)," "),5) &amp; "|Ideas Rate",
      TRIM(SUBSTITUTE($N$2:$N$38,CHAR(160)," ")) &amp; "|" &amp;
      LEFT(SUBSTITUTE($O$2:$O$38,CHAR(160)," "),5) &amp; "|" &amp;
      TRIM(SUBSTITUTE($P$2:$P$38,CHAR(160)," ")),
      $Q$2:$Q$38
    )
  ),
"")</f>
        <v/>
      </c>
    </row>
    <row r="166" spans="11:11" x14ac:dyDescent="0.2">
      <c r="K166" s="32" t="str" cm="1">
        <f t="array" ref="K166">IFERROR(
  VALUE($H166) *
  VALUE(
    _xlfn.XLOOKUP(
      TRIM($F166) &amp; "|" &amp; LEFT(SUBSTITUTE($G166,CHAR(160)," "),5) &amp; "|Ideas Rate",
      TRIM(SUBSTITUTE($N$2:$N$38,CHAR(160)," ")) &amp; "|" &amp;
      LEFT(SUBSTITUTE($O$2:$O$38,CHAR(160)," "),5) &amp; "|" &amp;
      TRIM(SUBSTITUTE($P$2:$P$38,CHAR(160)," ")),
      $Q$2:$Q$38
    )
  ),
"")</f>
        <v/>
      </c>
    </row>
    <row r="167" spans="11:11" x14ac:dyDescent="0.2">
      <c r="K167" s="32" t="str" cm="1">
        <f t="array" ref="K167">IFERROR(
  VALUE($H167) *
  VALUE(
    _xlfn.XLOOKUP(
      TRIM($F167) &amp; "|" &amp; LEFT(SUBSTITUTE($G167,CHAR(160)," "),5) &amp; "|Ideas Rate",
      TRIM(SUBSTITUTE($N$2:$N$38,CHAR(160)," ")) &amp; "|" &amp;
      LEFT(SUBSTITUTE($O$2:$O$38,CHAR(160)," "),5) &amp; "|" &amp;
      TRIM(SUBSTITUTE($P$2:$P$38,CHAR(160)," ")),
      $Q$2:$Q$38
    )
  ),
"")</f>
        <v/>
      </c>
    </row>
    <row r="168" spans="11:11" x14ac:dyDescent="0.2">
      <c r="K168" s="32" t="str" cm="1">
        <f t="array" ref="K168">IFERROR(
  VALUE($H168) *
  VALUE(
    _xlfn.XLOOKUP(
      TRIM($F168) &amp; "|" &amp; LEFT(SUBSTITUTE($G168,CHAR(160)," "),5) &amp; "|Ideas Rate",
      TRIM(SUBSTITUTE($N$2:$N$38,CHAR(160)," ")) &amp; "|" &amp;
      LEFT(SUBSTITUTE($O$2:$O$38,CHAR(160)," "),5) &amp; "|" &amp;
      TRIM(SUBSTITUTE($P$2:$P$38,CHAR(160)," ")),
      $Q$2:$Q$38
    )
  ),
"")</f>
        <v/>
      </c>
    </row>
    <row r="169" spans="11:11" x14ac:dyDescent="0.2">
      <c r="K169" s="32" t="str" cm="1">
        <f t="array" ref="K169">IFERROR(
  VALUE($H169) *
  VALUE(
    _xlfn.XLOOKUP(
      TRIM($F169) &amp; "|" &amp; LEFT(SUBSTITUTE($G169,CHAR(160)," "),5) &amp; "|Ideas Rate",
      TRIM(SUBSTITUTE($N$2:$N$38,CHAR(160)," ")) &amp; "|" &amp;
      LEFT(SUBSTITUTE($O$2:$O$38,CHAR(160)," "),5) &amp; "|" &amp;
      TRIM(SUBSTITUTE($P$2:$P$38,CHAR(160)," ")),
      $Q$2:$Q$38
    )
  ),
"")</f>
        <v/>
      </c>
    </row>
    <row r="170" spans="11:11" x14ac:dyDescent="0.2">
      <c r="K170" s="32" t="str" cm="1">
        <f t="array" ref="K170">IFERROR(
  VALUE($H170) *
  VALUE(
    _xlfn.XLOOKUP(
      TRIM($F170) &amp; "|" &amp; LEFT(SUBSTITUTE($G170,CHAR(160)," "),5) &amp; "|Ideas Rate",
      TRIM(SUBSTITUTE($N$2:$N$38,CHAR(160)," ")) &amp; "|" &amp;
      LEFT(SUBSTITUTE($O$2:$O$38,CHAR(160)," "),5) &amp; "|" &amp;
      TRIM(SUBSTITUTE($P$2:$P$38,CHAR(160)," ")),
      $Q$2:$Q$38
    )
  ),
"")</f>
        <v/>
      </c>
    </row>
    <row r="171" spans="11:11" x14ac:dyDescent="0.2">
      <c r="K171" s="32" t="str" cm="1">
        <f t="array" ref="K171">IFERROR(
  VALUE($H171) *
  VALUE(
    _xlfn.XLOOKUP(
      TRIM($F171) &amp; "|" &amp; LEFT(SUBSTITUTE($G171,CHAR(160)," "),5) &amp; "|Ideas Rate",
      TRIM(SUBSTITUTE($N$2:$N$38,CHAR(160)," ")) &amp; "|" &amp;
      LEFT(SUBSTITUTE($O$2:$O$38,CHAR(160)," "),5) &amp; "|" &amp;
      TRIM(SUBSTITUTE($P$2:$P$38,CHAR(160)," ")),
      $Q$2:$Q$38
    )
  ),
"")</f>
        <v/>
      </c>
    </row>
    <row r="172" spans="11:11" x14ac:dyDescent="0.2">
      <c r="K172" s="32" t="str" cm="1">
        <f t="array" ref="K172">IFERROR(
  VALUE($H172) *
  VALUE(
    _xlfn.XLOOKUP(
      TRIM($F172) &amp; "|" &amp; LEFT(SUBSTITUTE($G172,CHAR(160)," "),5) &amp; "|Ideas Rate",
      TRIM(SUBSTITUTE($N$2:$N$38,CHAR(160)," ")) &amp; "|" &amp;
      LEFT(SUBSTITUTE($O$2:$O$38,CHAR(160)," "),5) &amp; "|" &amp;
      TRIM(SUBSTITUTE($P$2:$P$38,CHAR(160)," ")),
      $Q$2:$Q$38
    )
  ),
"")</f>
        <v/>
      </c>
    </row>
    <row r="173" spans="11:11" x14ac:dyDescent="0.2">
      <c r="K173" s="32" t="str" cm="1">
        <f t="array" ref="K173">IFERROR(
  VALUE($H173) *
  VALUE(
    _xlfn.XLOOKUP(
      TRIM($F173) &amp; "|" &amp; LEFT(SUBSTITUTE($G173,CHAR(160)," "),5) &amp; "|Ideas Rate",
      TRIM(SUBSTITUTE($N$2:$N$38,CHAR(160)," ")) &amp; "|" &amp;
      LEFT(SUBSTITUTE($O$2:$O$38,CHAR(160)," "),5) &amp; "|" &amp;
      TRIM(SUBSTITUTE($P$2:$P$38,CHAR(160)," ")),
      $Q$2:$Q$38
    )
  ),
"")</f>
        <v/>
      </c>
    </row>
    <row r="174" spans="11:11" x14ac:dyDescent="0.2">
      <c r="K174" s="32" t="str" cm="1">
        <f t="array" ref="K174">IFERROR(
  VALUE($H174) *
  VALUE(
    _xlfn.XLOOKUP(
      TRIM($F174) &amp; "|" &amp; LEFT(SUBSTITUTE($G174,CHAR(160)," "),5) &amp; "|Ideas Rate",
      TRIM(SUBSTITUTE($N$2:$N$38,CHAR(160)," ")) &amp; "|" &amp;
      LEFT(SUBSTITUTE($O$2:$O$38,CHAR(160)," "),5) &amp; "|" &amp;
      TRIM(SUBSTITUTE($P$2:$P$38,CHAR(160)," ")),
      $Q$2:$Q$38
    )
  ),
"")</f>
        <v/>
      </c>
    </row>
    <row r="175" spans="11:11" x14ac:dyDescent="0.2">
      <c r="K175" s="32" t="str" cm="1">
        <f t="array" ref="K175">IFERROR(
  VALUE($H175) *
  VALUE(
    _xlfn.XLOOKUP(
      TRIM($F175) &amp; "|" &amp; LEFT(SUBSTITUTE($G175,CHAR(160)," "),5) &amp; "|Ideas Rate",
      TRIM(SUBSTITUTE($N$2:$N$38,CHAR(160)," ")) &amp; "|" &amp;
      LEFT(SUBSTITUTE($O$2:$O$38,CHAR(160)," "),5) &amp; "|" &amp;
      TRIM(SUBSTITUTE($P$2:$P$38,CHAR(160)," ")),
      $Q$2:$Q$38
    )
  ),
"")</f>
        <v/>
      </c>
    </row>
    <row r="176" spans="11:11" x14ac:dyDescent="0.2">
      <c r="K176" s="32" t="str" cm="1">
        <f t="array" ref="K176">IFERROR(
  VALUE($H176) *
  VALUE(
    _xlfn.XLOOKUP(
      TRIM($F176) &amp; "|" &amp; LEFT(SUBSTITUTE($G176,CHAR(160)," "),5) &amp; "|Ideas Rate",
      TRIM(SUBSTITUTE($N$2:$N$38,CHAR(160)," ")) &amp; "|" &amp;
      LEFT(SUBSTITUTE($O$2:$O$38,CHAR(160)," "),5) &amp; "|" &amp;
      TRIM(SUBSTITUTE($P$2:$P$38,CHAR(160)," ")),
      $Q$2:$Q$38
    )
  ),
"")</f>
        <v/>
      </c>
    </row>
    <row r="177" spans="11:11" x14ac:dyDescent="0.2">
      <c r="K177" s="32" t="str" cm="1">
        <f t="array" ref="K177">IFERROR(
  VALUE($H177) *
  VALUE(
    _xlfn.XLOOKUP(
      TRIM($F177) &amp; "|" &amp; LEFT(SUBSTITUTE($G177,CHAR(160)," "),5) &amp; "|Ideas Rate",
      TRIM(SUBSTITUTE($N$2:$N$38,CHAR(160)," ")) &amp; "|" &amp;
      LEFT(SUBSTITUTE($O$2:$O$38,CHAR(160)," "),5) &amp; "|" &amp;
      TRIM(SUBSTITUTE($P$2:$P$38,CHAR(160)," ")),
      $Q$2:$Q$38
    )
  ),
"")</f>
        <v/>
      </c>
    </row>
    <row r="178" spans="11:11" x14ac:dyDescent="0.2">
      <c r="K178" s="32" t="str" cm="1">
        <f t="array" ref="K178">IFERROR(
  VALUE($H178) *
  VALUE(
    _xlfn.XLOOKUP(
      TRIM($F178) &amp; "|" &amp; LEFT(SUBSTITUTE($G178,CHAR(160)," "),5) &amp; "|Ideas Rate",
      TRIM(SUBSTITUTE($N$2:$N$38,CHAR(160)," ")) &amp; "|" &amp;
      LEFT(SUBSTITUTE($O$2:$O$38,CHAR(160)," "),5) &amp; "|" &amp;
      TRIM(SUBSTITUTE($P$2:$P$38,CHAR(160)," ")),
      $Q$2:$Q$38
    )
  ),
"")</f>
        <v/>
      </c>
    </row>
    <row r="179" spans="11:11" x14ac:dyDescent="0.2">
      <c r="K179" s="32" t="str" cm="1">
        <f t="array" ref="K179">IFERROR(
  VALUE($H179) *
  VALUE(
    _xlfn.XLOOKUP(
      TRIM($F179) &amp; "|" &amp; LEFT(SUBSTITUTE($G179,CHAR(160)," "),5) &amp; "|Ideas Rate",
      TRIM(SUBSTITUTE($N$2:$N$38,CHAR(160)," ")) &amp; "|" &amp;
      LEFT(SUBSTITUTE($O$2:$O$38,CHAR(160)," "),5) &amp; "|" &amp;
      TRIM(SUBSTITUTE($P$2:$P$38,CHAR(160)," ")),
      $Q$2:$Q$38
    )
  ),
"")</f>
        <v/>
      </c>
    </row>
    <row r="180" spans="11:11" x14ac:dyDescent="0.2">
      <c r="K180" s="32" t="str" cm="1">
        <f t="array" ref="K180">IFERROR(
  VALUE($H180) *
  VALUE(
    _xlfn.XLOOKUP(
      TRIM($F180) &amp; "|" &amp; LEFT(SUBSTITUTE($G180,CHAR(160)," "),5) &amp; "|Ideas Rate",
      TRIM(SUBSTITUTE($N$2:$N$38,CHAR(160)," ")) &amp; "|" &amp;
      LEFT(SUBSTITUTE($O$2:$O$38,CHAR(160)," "),5) &amp; "|" &amp;
      TRIM(SUBSTITUTE($P$2:$P$38,CHAR(160)," ")),
      $Q$2:$Q$38
    )
  ),
"")</f>
        <v/>
      </c>
    </row>
    <row r="181" spans="11:11" x14ac:dyDescent="0.2">
      <c r="K181" s="32" t="str" cm="1">
        <f t="array" ref="K181">IFERROR(
  VALUE($H181) *
  VALUE(
    _xlfn.XLOOKUP(
      TRIM($F181) &amp; "|" &amp; LEFT(SUBSTITUTE($G181,CHAR(160)," "),5) &amp; "|Ideas Rate",
      TRIM(SUBSTITUTE($N$2:$N$38,CHAR(160)," ")) &amp; "|" &amp;
      LEFT(SUBSTITUTE($O$2:$O$38,CHAR(160)," "),5) &amp; "|" &amp;
      TRIM(SUBSTITUTE($P$2:$P$38,CHAR(160)," ")),
      $Q$2:$Q$38
    )
  ),
"")</f>
        <v/>
      </c>
    </row>
    <row r="182" spans="11:11" x14ac:dyDescent="0.2">
      <c r="K182" s="32" t="str" cm="1">
        <f t="array" ref="K182">IFERROR(
  VALUE($H182) *
  VALUE(
    _xlfn.XLOOKUP(
      TRIM($F182) &amp; "|" &amp; LEFT(SUBSTITUTE($G182,CHAR(160)," "),5) &amp; "|Ideas Rate",
      TRIM(SUBSTITUTE($N$2:$N$38,CHAR(160)," ")) &amp; "|" &amp;
      LEFT(SUBSTITUTE($O$2:$O$38,CHAR(160)," "),5) &amp; "|" &amp;
      TRIM(SUBSTITUTE($P$2:$P$38,CHAR(160)," ")),
      $Q$2:$Q$38
    )
  ),
"")</f>
        <v/>
      </c>
    </row>
    <row r="183" spans="11:11" x14ac:dyDescent="0.2">
      <c r="K183" s="32" t="str" cm="1">
        <f t="array" ref="K183">IFERROR(
  VALUE($H183) *
  VALUE(
    _xlfn.XLOOKUP(
      TRIM($F183) &amp; "|" &amp; LEFT(SUBSTITUTE($G183,CHAR(160)," "),5) &amp; "|Ideas Rate",
      TRIM(SUBSTITUTE($N$2:$N$38,CHAR(160)," ")) &amp; "|" &amp;
      LEFT(SUBSTITUTE($O$2:$O$38,CHAR(160)," "),5) &amp; "|" &amp;
      TRIM(SUBSTITUTE($P$2:$P$38,CHAR(160)," ")),
      $Q$2:$Q$38
    )
  ),
"")</f>
        <v/>
      </c>
    </row>
    <row r="184" spans="11:11" x14ac:dyDescent="0.2">
      <c r="K184" s="32" t="str" cm="1">
        <f t="array" ref="K184">IFERROR(
  VALUE($H184) *
  VALUE(
    _xlfn.XLOOKUP(
      TRIM($F184) &amp; "|" &amp; LEFT(SUBSTITUTE($G184,CHAR(160)," "),5) &amp; "|Ideas Rate",
      TRIM(SUBSTITUTE($N$2:$N$38,CHAR(160)," ")) &amp; "|" &amp;
      LEFT(SUBSTITUTE($O$2:$O$38,CHAR(160)," "),5) &amp; "|" &amp;
      TRIM(SUBSTITUTE($P$2:$P$38,CHAR(160)," ")),
      $Q$2:$Q$38
    )
  ),
"")</f>
        <v/>
      </c>
    </row>
    <row r="185" spans="11:11" x14ac:dyDescent="0.2">
      <c r="K185" s="32" t="str" cm="1">
        <f t="array" ref="K185">IFERROR(
  VALUE($H185) *
  VALUE(
    _xlfn.XLOOKUP(
      TRIM($F185) &amp; "|" &amp; LEFT(SUBSTITUTE($G185,CHAR(160)," "),5) &amp; "|Ideas Rate",
      TRIM(SUBSTITUTE($N$2:$N$38,CHAR(160)," ")) &amp; "|" &amp;
      LEFT(SUBSTITUTE($O$2:$O$38,CHAR(160)," "),5) &amp; "|" &amp;
      TRIM(SUBSTITUTE($P$2:$P$38,CHAR(160)," ")),
      $Q$2:$Q$38
    )
  ),
"")</f>
        <v/>
      </c>
    </row>
    <row r="186" spans="11:11" x14ac:dyDescent="0.2">
      <c r="K186" s="32" t="str" cm="1">
        <f t="array" ref="K186">IFERROR(
  VALUE($H186) *
  VALUE(
    _xlfn.XLOOKUP(
      TRIM($F186) &amp; "|" &amp; LEFT(SUBSTITUTE($G186,CHAR(160)," "),5) &amp; "|Ideas Rate",
      TRIM(SUBSTITUTE($N$2:$N$38,CHAR(160)," ")) &amp; "|" &amp;
      LEFT(SUBSTITUTE($O$2:$O$38,CHAR(160)," "),5) &amp; "|" &amp;
      TRIM(SUBSTITUTE($P$2:$P$38,CHAR(160)," ")),
      $Q$2:$Q$38
    )
  ),
"")</f>
        <v/>
      </c>
    </row>
    <row r="187" spans="11:11" x14ac:dyDescent="0.2">
      <c r="K187" s="32" t="str" cm="1">
        <f t="array" ref="K187">IFERROR(
  VALUE($H187) *
  VALUE(
    _xlfn.XLOOKUP(
      TRIM($F187) &amp; "|" &amp; LEFT(SUBSTITUTE($G187,CHAR(160)," "),5) &amp; "|Ideas Rate",
      TRIM(SUBSTITUTE($N$2:$N$38,CHAR(160)," ")) &amp; "|" &amp;
      LEFT(SUBSTITUTE($O$2:$O$38,CHAR(160)," "),5) &amp; "|" &amp;
      TRIM(SUBSTITUTE($P$2:$P$38,CHAR(160)," ")),
      $Q$2:$Q$38
    )
  ),
"")</f>
        <v/>
      </c>
    </row>
    <row r="188" spans="11:11" x14ac:dyDescent="0.2">
      <c r="K188" s="32" t="str" cm="1">
        <f t="array" ref="K188">IFERROR(
  VALUE($H188) *
  VALUE(
    _xlfn.XLOOKUP(
      TRIM($F188) &amp; "|" &amp; LEFT(SUBSTITUTE($G188,CHAR(160)," "),5) &amp; "|Ideas Rate",
      TRIM(SUBSTITUTE($N$2:$N$38,CHAR(160)," ")) &amp; "|" &amp;
      LEFT(SUBSTITUTE($O$2:$O$38,CHAR(160)," "),5) &amp; "|" &amp;
      TRIM(SUBSTITUTE($P$2:$P$38,CHAR(160)," ")),
      $Q$2:$Q$38
    )
  ),
"")</f>
        <v/>
      </c>
    </row>
    <row r="189" spans="11:11" x14ac:dyDescent="0.2">
      <c r="K189" s="32" t="str" cm="1">
        <f t="array" ref="K189">IFERROR(
  VALUE($H189) *
  VALUE(
    _xlfn.XLOOKUP(
      TRIM($F189) &amp; "|" &amp; LEFT(SUBSTITUTE($G189,CHAR(160)," "),5) &amp; "|Ideas Rate",
      TRIM(SUBSTITUTE($N$2:$N$38,CHAR(160)," ")) &amp; "|" &amp;
      LEFT(SUBSTITUTE($O$2:$O$38,CHAR(160)," "),5) &amp; "|" &amp;
      TRIM(SUBSTITUTE($P$2:$P$38,CHAR(160)," ")),
      $Q$2:$Q$38
    )
  ),
"")</f>
        <v/>
      </c>
    </row>
    <row r="190" spans="11:11" x14ac:dyDescent="0.2">
      <c r="K190" s="32" t="str" cm="1">
        <f t="array" ref="K190">IFERROR(
  VALUE($H190) *
  VALUE(
    _xlfn.XLOOKUP(
      TRIM($F190) &amp; "|" &amp; LEFT(SUBSTITUTE($G190,CHAR(160)," "),5) &amp; "|Ideas Rate",
      TRIM(SUBSTITUTE($N$2:$N$38,CHAR(160)," ")) &amp; "|" &amp;
      LEFT(SUBSTITUTE($O$2:$O$38,CHAR(160)," "),5) &amp; "|" &amp;
      TRIM(SUBSTITUTE($P$2:$P$38,CHAR(160)," ")),
      $Q$2:$Q$38
    )
  ),
"")</f>
        <v/>
      </c>
    </row>
    <row r="191" spans="11:11" x14ac:dyDescent="0.2">
      <c r="K191" s="32" t="str" cm="1">
        <f t="array" ref="K191">IFERROR(
  VALUE($H191) *
  VALUE(
    _xlfn.XLOOKUP(
      TRIM($F191) &amp; "|" &amp; LEFT(SUBSTITUTE($G191,CHAR(160)," "),5) &amp; "|Ideas Rate",
      TRIM(SUBSTITUTE($N$2:$N$38,CHAR(160)," ")) &amp; "|" &amp;
      LEFT(SUBSTITUTE($O$2:$O$38,CHAR(160)," "),5) &amp; "|" &amp;
      TRIM(SUBSTITUTE($P$2:$P$38,CHAR(160)," ")),
      $Q$2:$Q$38
    )
  ),
"")</f>
        <v/>
      </c>
    </row>
    <row r="192" spans="11:11" x14ac:dyDescent="0.2">
      <c r="K192" s="32" t="str" cm="1">
        <f t="array" ref="K192">IFERROR(
  VALUE($H192) *
  VALUE(
    _xlfn.XLOOKUP(
      TRIM($F192) &amp; "|" &amp; LEFT(SUBSTITUTE($G192,CHAR(160)," "),5) &amp; "|Ideas Rate",
      TRIM(SUBSTITUTE($N$2:$N$38,CHAR(160)," ")) &amp; "|" &amp;
      LEFT(SUBSTITUTE($O$2:$O$38,CHAR(160)," "),5) &amp; "|" &amp;
      TRIM(SUBSTITUTE($P$2:$P$38,CHAR(160)," ")),
      $Q$2:$Q$38
    )
  ),
"")</f>
        <v/>
      </c>
    </row>
    <row r="193" spans="11:11" x14ac:dyDescent="0.2">
      <c r="K193" s="32" t="str" cm="1">
        <f t="array" ref="K193">IFERROR(
  VALUE($H193) *
  VALUE(
    _xlfn.XLOOKUP(
      TRIM($F193) &amp; "|" &amp; LEFT(SUBSTITUTE($G193,CHAR(160)," "),5) &amp; "|Ideas Rate",
      TRIM(SUBSTITUTE($N$2:$N$38,CHAR(160)," ")) &amp; "|" &amp;
      LEFT(SUBSTITUTE($O$2:$O$38,CHAR(160)," "),5) &amp; "|" &amp;
      TRIM(SUBSTITUTE($P$2:$P$38,CHAR(160)," ")),
      $Q$2:$Q$38
    )
  ),
"")</f>
        <v/>
      </c>
    </row>
    <row r="194" spans="11:11" x14ac:dyDescent="0.2">
      <c r="K194" s="32" t="str" cm="1">
        <f t="array" ref="K194">IFERROR(
  VALUE($H194) *
  VALUE(
    _xlfn.XLOOKUP(
      TRIM($F194) &amp; "|" &amp; LEFT(SUBSTITUTE($G194,CHAR(160)," "),5) &amp; "|Ideas Rate",
      TRIM(SUBSTITUTE($N$2:$N$38,CHAR(160)," ")) &amp; "|" &amp;
      LEFT(SUBSTITUTE($O$2:$O$38,CHAR(160)," "),5) &amp; "|" &amp;
      TRIM(SUBSTITUTE($P$2:$P$38,CHAR(160)," ")),
      $Q$2:$Q$38
    )
  ),
"")</f>
        <v/>
      </c>
    </row>
    <row r="195" spans="11:11" x14ac:dyDescent="0.2">
      <c r="K195" s="32" t="str" cm="1">
        <f t="array" ref="K195">IFERROR(
  VALUE($H195) *
  VALUE(
    _xlfn.XLOOKUP(
      TRIM($F195) &amp; "|" &amp; LEFT(SUBSTITUTE($G195,CHAR(160)," "),5) &amp; "|Ideas Rate",
      TRIM(SUBSTITUTE($N$2:$N$38,CHAR(160)," ")) &amp; "|" &amp;
      LEFT(SUBSTITUTE($O$2:$O$38,CHAR(160)," "),5) &amp; "|" &amp;
      TRIM(SUBSTITUTE($P$2:$P$38,CHAR(160)," ")),
      $Q$2:$Q$38
    )
  ),
"")</f>
        <v/>
      </c>
    </row>
    <row r="196" spans="11:11" x14ac:dyDescent="0.2">
      <c r="K196" s="32" t="str" cm="1">
        <f t="array" ref="K196">IFERROR(
  VALUE($H196) *
  VALUE(
    _xlfn.XLOOKUP(
      TRIM($F196) &amp; "|" &amp; LEFT(SUBSTITUTE($G196,CHAR(160)," "),5) &amp; "|Ideas Rate",
      TRIM(SUBSTITUTE($N$2:$N$38,CHAR(160)," ")) &amp; "|" &amp;
      LEFT(SUBSTITUTE($O$2:$O$38,CHAR(160)," "),5) &amp; "|" &amp;
      TRIM(SUBSTITUTE($P$2:$P$38,CHAR(160)," ")),
      $Q$2:$Q$38
    )
  ),
"")</f>
        <v/>
      </c>
    </row>
    <row r="197" spans="11:11" x14ac:dyDescent="0.2">
      <c r="K197" s="32" t="str" cm="1">
        <f t="array" ref="K197">IFERROR(
  VALUE($H197) *
  VALUE(
    _xlfn.XLOOKUP(
      TRIM($F197) &amp; "|" &amp; LEFT(SUBSTITUTE($G197,CHAR(160)," "),5) &amp; "|Ideas Rate",
      TRIM(SUBSTITUTE($N$2:$N$38,CHAR(160)," ")) &amp; "|" &amp;
      LEFT(SUBSTITUTE($O$2:$O$38,CHAR(160)," "),5) &amp; "|" &amp;
      TRIM(SUBSTITUTE($P$2:$P$38,CHAR(160)," ")),
      $Q$2:$Q$38
    )
  ),
"")</f>
        <v/>
      </c>
    </row>
    <row r="198" spans="11:11" x14ac:dyDescent="0.2">
      <c r="K198" s="32" t="str" cm="1">
        <f t="array" ref="K198">IFERROR(
  VALUE($H198) *
  VALUE(
    _xlfn.XLOOKUP(
      TRIM($F198) &amp; "|" &amp; LEFT(SUBSTITUTE($G198,CHAR(160)," "),5) &amp; "|Ideas Rate",
      TRIM(SUBSTITUTE($N$2:$N$38,CHAR(160)," ")) &amp; "|" &amp;
      LEFT(SUBSTITUTE($O$2:$O$38,CHAR(160)," "),5) &amp; "|" &amp;
      TRIM(SUBSTITUTE($P$2:$P$38,CHAR(160)," ")),
      $Q$2:$Q$38
    )
  ),
"")</f>
        <v/>
      </c>
    </row>
    <row r="199" spans="11:11" x14ac:dyDescent="0.2">
      <c r="K199" s="32" t="str" cm="1">
        <f t="array" ref="K199">IFERROR(
  VALUE($H199) *
  VALUE(
    _xlfn.XLOOKUP(
      TRIM($F199) &amp; "|" &amp; LEFT(SUBSTITUTE($G199,CHAR(160)," "),5) &amp; "|Ideas Rate",
      TRIM(SUBSTITUTE($N$2:$N$38,CHAR(160)," ")) &amp; "|" &amp;
      LEFT(SUBSTITUTE($O$2:$O$38,CHAR(160)," "),5) &amp; "|" &amp;
      TRIM(SUBSTITUTE($P$2:$P$38,CHAR(160)," ")),
      $Q$2:$Q$38
    )
  ),
"")</f>
        <v/>
      </c>
    </row>
    <row r="200" spans="11:11" x14ac:dyDescent="0.2">
      <c r="K200" s="32" t="str" cm="1">
        <f t="array" ref="K200">IFERROR(
  VALUE($H200) *
  VALUE(
    _xlfn.XLOOKUP(
      TRIM($F200) &amp; "|" &amp; LEFT(SUBSTITUTE($G200,CHAR(160)," "),5) &amp; "|Ideas Rate",
      TRIM(SUBSTITUTE($N$2:$N$38,CHAR(160)," ")) &amp; "|" &amp;
      LEFT(SUBSTITUTE($O$2:$O$38,CHAR(160)," "),5) &amp; "|" &amp;
      TRIM(SUBSTITUTE($P$2:$P$38,CHAR(160)," ")),
      $Q$2:$Q$38
    )
  ),
"")</f>
        <v/>
      </c>
    </row>
    <row r="201" spans="11:11" x14ac:dyDescent="0.2">
      <c r="K201" s="32" t="str" cm="1">
        <f t="array" ref="K201">IFERROR(
  VALUE($H201) *
  VALUE(
    _xlfn.XLOOKUP(
      TRIM($F201) &amp; "|" &amp; LEFT(SUBSTITUTE($G201,CHAR(160)," "),5) &amp; "|Ideas Rate",
      TRIM(SUBSTITUTE($N$2:$N$38,CHAR(160)," ")) &amp; "|" &amp;
      LEFT(SUBSTITUTE($O$2:$O$38,CHAR(160)," "),5) &amp; "|" &amp;
      TRIM(SUBSTITUTE($P$2:$P$38,CHAR(160)," ")),
      $Q$2:$Q$38
    )
  ),
"")</f>
        <v/>
      </c>
    </row>
    <row r="202" spans="11:11" x14ac:dyDescent="0.2">
      <c r="K202" s="32" t="str" cm="1">
        <f t="array" ref="K202">IFERROR(
  VALUE($H202) *
  VALUE(
    _xlfn.XLOOKUP(
      TRIM($F202) &amp; "|" &amp; LEFT(SUBSTITUTE($G202,CHAR(160)," "),5) &amp; "|Ideas Rate",
      TRIM(SUBSTITUTE($N$2:$N$38,CHAR(160)," ")) &amp; "|" &amp;
      LEFT(SUBSTITUTE($O$2:$O$38,CHAR(160)," "),5) &amp; "|" &amp;
      TRIM(SUBSTITUTE($P$2:$P$38,CHAR(160)," ")),
      $Q$2:$Q$38
    )
  ),
"")</f>
        <v/>
      </c>
    </row>
    <row r="203" spans="11:11" x14ac:dyDescent="0.2">
      <c r="K203" s="32" t="str" cm="1">
        <f t="array" ref="K203">IFERROR(
  VALUE($H203) *
  VALUE(
    _xlfn.XLOOKUP(
      TRIM($F203) &amp; "|" &amp; LEFT(SUBSTITUTE($G203,CHAR(160)," "),5) &amp; "|Ideas Rate",
      TRIM(SUBSTITUTE($N$2:$N$38,CHAR(160)," ")) &amp; "|" &amp;
      LEFT(SUBSTITUTE($O$2:$O$38,CHAR(160)," "),5) &amp; "|" &amp;
      TRIM(SUBSTITUTE($P$2:$P$38,CHAR(160)," ")),
      $Q$2:$Q$38
    )
  ),
"")</f>
        <v/>
      </c>
    </row>
    <row r="204" spans="11:11" x14ac:dyDescent="0.2">
      <c r="K204" s="32" t="str" cm="1">
        <f t="array" ref="K204">IFERROR(
  VALUE($H204) *
  VALUE(
    _xlfn.XLOOKUP(
      TRIM($F204) &amp; "|" &amp; LEFT(SUBSTITUTE($G204,CHAR(160)," "),5) &amp; "|Ideas Rate",
      TRIM(SUBSTITUTE($N$2:$N$38,CHAR(160)," ")) &amp; "|" &amp;
      LEFT(SUBSTITUTE($O$2:$O$38,CHAR(160)," "),5) &amp; "|" &amp;
      TRIM(SUBSTITUTE($P$2:$P$38,CHAR(160)," ")),
      $Q$2:$Q$38
    )
  ),
"")</f>
        <v/>
      </c>
    </row>
    <row r="205" spans="11:11" x14ac:dyDescent="0.2">
      <c r="K205" s="32" t="str" cm="1">
        <f t="array" ref="K205">IFERROR(
  VALUE($H205) *
  VALUE(
    _xlfn.XLOOKUP(
      TRIM($F205) &amp; "|" &amp; LEFT(SUBSTITUTE($G205,CHAR(160)," "),5) &amp; "|Ideas Rate",
      TRIM(SUBSTITUTE($N$2:$N$38,CHAR(160)," ")) &amp; "|" &amp;
      LEFT(SUBSTITUTE($O$2:$O$38,CHAR(160)," "),5) &amp; "|" &amp;
      TRIM(SUBSTITUTE($P$2:$P$38,CHAR(160)," ")),
      $Q$2:$Q$38
    )
  ),
"")</f>
        <v/>
      </c>
    </row>
    <row r="206" spans="11:11" x14ac:dyDescent="0.2">
      <c r="K206" s="32" t="str" cm="1">
        <f t="array" ref="K206">IFERROR(
  VALUE($H206) *
  VALUE(
    _xlfn.XLOOKUP(
      TRIM($F206) &amp; "|" &amp; LEFT(SUBSTITUTE($G206,CHAR(160)," "),5) &amp; "|Ideas Rate",
      TRIM(SUBSTITUTE($N$2:$N$38,CHAR(160)," ")) &amp; "|" &amp;
      LEFT(SUBSTITUTE($O$2:$O$38,CHAR(160)," "),5) &amp; "|" &amp;
      TRIM(SUBSTITUTE($P$2:$P$38,CHAR(160)," ")),
      $Q$2:$Q$38
    )
  ),
"")</f>
        <v/>
      </c>
    </row>
    <row r="207" spans="11:11" x14ac:dyDescent="0.2">
      <c r="K207" s="32" t="str" cm="1">
        <f t="array" ref="K207">IFERROR(
  VALUE($H207) *
  VALUE(
    _xlfn.XLOOKUP(
      TRIM($F207) &amp; "|" &amp; LEFT(SUBSTITUTE($G207,CHAR(160)," "),5) &amp; "|Ideas Rate",
      TRIM(SUBSTITUTE($N$2:$N$38,CHAR(160)," ")) &amp; "|" &amp;
      LEFT(SUBSTITUTE($O$2:$O$38,CHAR(160)," "),5) &amp; "|" &amp;
      TRIM(SUBSTITUTE($P$2:$P$38,CHAR(160)," ")),
      $Q$2:$Q$38
    )
  ),
"")</f>
        <v/>
      </c>
    </row>
    <row r="208" spans="11:11" x14ac:dyDescent="0.2">
      <c r="K208" s="32" t="str" cm="1">
        <f t="array" ref="K208">IFERROR(
  VALUE($H208) *
  VALUE(
    _xlfn.XLOOKUP(
      TRIM($F208) &amp; "|" &amp; LEFT(SUBSTITUTE($G208,CHAR(160)," "),5) &amp; "|Ideas Rate",
      TRIM(SUBSTITUTE($N$2:$N$38,CHAR(160)," ")) &amp; "|" &amp;
      LEFT(SUBSTITUTE($O$2:$O$38,CHAR(160)," "),5) &amp; "|" &amp;
      TRIM(SUBSTITUTE($P$2:$P$38,CHAR(160)," ")),
      $Q$2:$Q$38
    )
  ),
"")</f>
        <v/>
      </c>
    </row>
    <row r="209" spans="11:11" x14ac:dyDescent="0.2">
      <c r="K209" s="32" t="str" cm="1">
        <f t="array" ref="K209">IFERROR(
  VALUE($H209) *
  VALUE(
    _xlfn.XLOOKUP(
      TRIM($F209) &amp; "|" &amp; LEFT(SUBSTITUTE($G209,CHAR(160)," "),5) &amp; "|Ideas Rate",
      TRIM(SUBSTITUTE($N$2:$N$38,CHAR(160)," ")) &amp; "|" &amp;
      LEFT(SUBSTITUTE($O$2:$O$38,CHAR(160)," "),5) &amp; "|" &amp;
      TRIM(SUBSTITUTE($P$2:$P$38,CHAR(160)," ")),
      $Q$2:$Q$38
    )
  ),
"")</f>
        <v/>
      </c>
    </row>
    <row r="210" spans="11:11" x14ac:dyDescent="0.2">
      <c r="K210" s="32" t="str" cm="1">
        <f t="array" ref="K210">IFERROR(
  VALUE($H210) *
  VALUE(
    _xlfn.XLOOKUP(
      TRIM($F210) &amp; "|" &amp; LEFT(SUBSTITUTE($G210,CHAR(160)," "),5) &amp; "|Ideas Rate",
      TRIM(SUBSTITUTE($N$2:$N$38,CHAR(160)," ")) &amp; "|" &amp;
      LEFT(SUBSTITUTE($O$2:$O$38,CHAR(160)," "),5) &amp; "|" &amp;
      TRIM(SUBSTITUTE($P$2:$P$38,CHAR(160)," ")),
      $Q$2:$Q$38
    )
  ),
"")</f>
        <v/>
      </c>
    </row>
    <row r="211" spans="11:11" x14ac:dyDescent="0.2">
      <c r="K211" s="32" t="str" cm="1">
        <f t="array" ref="K211">IFERROR(
  VALUE($H211) *
  VALUE(
    _xlfn.XLOOKUP(
      TRIM($F211) &amp; "|" &amp; LEFT(SUBSTITUTE($G211,CHAR(160)," "),5) &amp; "|Ideas Rate",
      TRIM(SUBSTITUTE($N$2:$N$38,CHAR(160)," ")) &amp; "|" &amp;
      LEFT(SUBSTITUTE($O$2:$O$38,CHAR(160)," "),5) &amp; "|" &amp;
      TRIM(SUBSTITUTE($P$2:$P$38,CHAR(160)," ")),
      $Q$2:$Q$38
    )
  ),
"")</f>
        <v/>
      </c>
    </row>
    <row r="212" spans="11:11" x14ac:dyDescent="0.2">
      <c r="K212" s="32" t="str" cm="1">
        <f t="array" ref="K212">IFERROR(
  VALUE($H212) *
  VALUE(
    _xlfn.XLOOKUP(
      TRIM($F212) &amp; "|" &amp; LEFT(SUBSTITUTE($G212,CHAR(160)," "),5) &amp; "|Ideas Rate",
      TRIM(SUBSTITUTE($N$2:$N$38,CHAR(160)," ")) &amp; "|" &amp;
      LEFT(SUBSTITUTE($O$2:$O$38,CHAR(160)," "),5) &amp; "|" &amp;
      TRIM(SUBSTITUTE($P$2:$P$38,CHAR(160)," ")),
      $Q$2:$Q$38
    )
  ),
"")</f>
        <v/>
      </c>
    </row>
    <row r="213" spans="11:11" x14ac:dyDescent="0.2">
      <c r="K213" s="32" t="str" cm="1">
        <f t="array" ref="K213">IFERROR(
  VALUE($H213) *
  VALUE(
    _xlfn.XLOOKUP(
      TRIM($F213) &amp; "|" &amp; LEFT(SUBSTITUTE($G213,CHAR(160)," "),5) &amp; "|Ideas Rate",
      TRIM(SUBSTITUTE($N$2:$N$38,CHAR(160)," ")) &amp; "|" &amp;
      LEFT(SUBSTITUTE($O$2:$O$38,CHAR(160)," "),5) &amp; "|" &amp;
      TRIM(SUBSTITUTE($P$2:$P$38,CHAR(160)," ")),
      $Q$2:$Q$38
    )
  ),
"")</f>
        <v/>
      </c>
    </row>
    <row r="214" spans="11:11" x14ac:dyDescent="0.2">
      <c r="K214" s="32" t="str" cm="1">
        <f t="array" ref="K214">IFERROR(
  VALUE($H214) *
  VALUE(
    _xlfn.XLOOKUP(
      TRIM($F214) &amp; "|" &amp; LEFT(SUBSTITUTE($G214,CHAR(160)," "),5) &amp; "|Ideas Rate",
      TRIM(SUBSTITUTE($N$2:$N$38,CHAR(160)," ")) &amp; "|" &amp;
      LEFT(SUBSTITUTE($O$2:$O$38,CHAR(160)," "),5) &amp; "|" &amp;
      TRIM(SUBSTITUTE($P$2:$P$38,CHAR(160)," ")),
      $Q$2:$Q$38
    )
  ),
"")</f>
        <v/>
      </c>
    </row>
    <row r="215" spans="11:11" x14ac:dyDescent="0.2">
      <c r="K215" s="32" t="str" cm="1">
        <f t="array" ref="K215">IFERROR(
  VALUE($H215) *
  VALUE(
    _xlfn.XLOOKUP(
      TRIM($F215) &amp; "|" &amp; LEFT(SUBSTITUTE($G215,CHAR(160)," "),5) &amp; "|Ideas Rate",
      TRIM(SUBSTITUTE($N$2:$N$38,CHAR(160)," ")) &amp; "|" &amp;
      LEFT(SUBSTITUTE($O$2:$O$38,CHAR(160)," "),5) &amp; "|" &amp;
      TRIM(SUBSTITUTE($P$2:$P$38,CHAR(160)," ")),
      $Q$2:$Q$38
    )
  ),
"")</f>
        <v/>
      </c>
    </row>
    <row r="216" spans="11:11" x14ac:dyDescent="0.2">
      <c r="K216" s="32" t="str" cm="1">
        <f t="array" ref="K216">IFERROR(
  VALUE($H216) *
  VALUE(
    _xlfn.XLOOKUP(
      TRIM($F216) &amp; "|" &amp; LEFT(SUBSTITUTE($G216,CHAR(160)," "),5) &amp; "|Ideas Rate",
      TRIM(SUBSTITUTE($N$2:$N$38,CHAR(160)," ")) &amp; "|" &amp;
      LEFT(SUBSTITUTE($O$2:$O$38,CHAR(160)," "),5) &amp; "|" &amp;
      TRIM(SUBSTITUTE($P$2:$P$38,CHAR(160)," ")),
      $Q$2:$Q$38
    )
  ),
"")</f>
        <v/>
      </c>
    </row>
  </sheetData>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C0207BF1-EE07-2345-89A2-026104AB0157}">
          <x14:formula1>
            <xm:f>Lookup!$F$2:$F$10</xm:f>
          </x14:formula1>
          <xm:sqref>G1:G1048576</xm:sqref>
        </x14:dataValidation>
        <x14:dataValidation type="list" allowBlank="1" showInputMessage="1" showErrorMessage="1" xr:uid="{72BD37C0-131C-CC44-B8A3-C664363D9E24}">
          <x14:formula1>
            <xm:f>Lookup!$M$3:$M$8</xm:f>
          </x14:formula1>
          <xm:sqref>F1:F1048576</xm:sqref>
        </x14:dataValidation>
        <x14:dataValidation type="list" allowBlank="1" showInputMessage="1" showErrorMessage="1" xr:uid="{BB679EBF-14DB-CF45-828A-CDD1C111BECC}">
          <x14:formula1>
            <xm:f>Lookup!$A$11:$A$19</xm:f>
          </x14:formula1>
          <xm:sqref>C1</xm:sqref>
        </x14:dataValidation>
        <x14:dataValidation type="list" allowBlank="1" showInputMessage="1" showErrorMessage="1" xr:uid="{D08F6997-6761-9A4C-B97C-B24FA9F48105}">
          <x14:formula1>
            <xm:f>Lookup!$A$20:$A$32</xm:f>
          </x14:formula1>
          <xm:sqref>D1:D1048576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1487B-F502-D14A-9DB0-63187B9D99B8}">
  <dimension ref="A1:XFD952"/>
  <sheetViews>
    <sheetView zoomScaleNormal="80" workbookViewId="0">
      <pane ySplit="1" topLeftCell="A236" activePane="bottomLeft" state="frozen"/>
      <selection pane="bottomLeft" activeCell="I258" sqref="I258:I262"/>
    </sheetView>
  </sheetViews>
  <sheetFormatPr baseColWidth="10" defaultColWidth="10.83203125" defaultRowHeight="15" x14ac:dyDescent="0.2"/>
  <cols>
    <col min="2" max="2" width="14.6640625" customWidth="1"/>
    <col min="3" max="3" width="10.83203125" style="20"/>
    <col min="4" max="4" width="18.83203125" customWidth="1"/>
    <col min="5" max="5" width="76" customWidth="1"/>
    <col min="6" max="6" width="10.83203125" style="54"/>
    <col min="8" max="8" width="10.83203125" style="22"/>
    <col min="9" max="11" width="10.83203125" style="32"/>
    <col min="13" max="13" width="19" customWidth="1"/>
    <col min="14" max="14" width="11.1640625" bestFit="1" customWidth="1"/>
    <col min="22" max="22" width="15.6640625" customWidth="1"/>
    <col min="23" max="23" width="15.83203125" bestFit="1" customWidth="1"/>
    <col min="24" max="24" width="14" customWidth="1"/>
    <col min="25" max="25" width="16" customWidth="1"/>
    <col min="26" max="26" width="14.1640625" customWidth="1"/>
    <col min="27" max="27" width="21.33203125" customWidth="1"/>
  </cols>
  <sheetData>
    <row r="1" spans="1:27" ht="16" thickBot="1" x14ac:dyDescent="0.25">
      <c r="A1" s="3" t="s">
        <v>0</v>
      </c>
      <c r="B1" s="6" t="s">
        <v>1</v>
      </c>
      <c r="C1" s="29" t="s">
        <v>2</v>
      </c>
      <c r="D1" s="3" t="s">
        <v>165</v>
      </c>
      <c r="E1" s="3" t="s">
        <v>4</v>
      </c>
      <c r="F1" s="29" t="s">
        <v>5</v>
      </c>
      <c r="G1" s="3" t="s">
        <v>261</v>
      </c>
      <c r="H1" s="33" t="s">
        <v>6</v>
      </c>
      <c r="I1" s="51" t="s">
        <v>419</v>
      </c>
      <c r="J1" s="51" t="s">
        <v>378</v>
      </c>
      <c r="K1" s="51" t="s">
        <v>379</v>
      </c>
      <c r="M1" s="70" t="s">
        <v>420</v>
      </c>
      <c r="N1" s="71">
        <f>SUM(I:I)</f>
        <v>291174.94999999995</v>
      </c>
      <c r="Q1" s="20" t="s">
        <v>381</v>
      </c>
      <c r="V1" s="89"/>
      <c r="W1" s="86" t="s">
        <v>427</v>
      </c>
      <c r="X1" s="86" t="s">
        <v>424</v>
      </c>
      <c r="Y1" s="86" t="s">
        <v>428</v>
      </c>
      <c r="Z1" s="86" t="s">
        <v>429</v>
      </c>
      <c r="AA1" s="86" t="s">
        <v>430</v>
      </c>
    </row>
    <row r="2" spans="1:27" ht="16" thickBot="1" x14ac:dyDescent="0.25">
      <c r="A2" s="326"/>
      <c r="B2" s="327"/>
      <c r="C2" s="31"/>
      <c r="D2" s="2"/>
      <c r="E2" s="2"/>
      <c r="F2" s="78"/>
      <c r="G2" s="2"/>
      <c r="H2" s="35"/>
      <c r="I2" s="52" t="str" cm="1">
        <f t="array" ref="I2">IFERROR(
  VALUE($H2) *
  VALUE(
    _xlfn.XLOOKUP(
      TRIM($F2) &amp; "|" &amp; LEFT(SUBSTITUTE($G2,CHAR(160)," "),5) &amp; "|Full Rate",
      TRIM(SUBSTITUTE($Q$2:$Q$47,CHAR(160)," ")) &amp; "|" &amp;
      LEFT(SUBSTITUTE($R$2:$R$47,CHAR(160)," "),5) &amp; "|" &amp;
      TRIM(SUBSTITUTE($S$2:$S$47,CHAR(160)," ")),
      $T$2:$T$47
    )
  ),
"")</f>
        <v/>
      </c>
      <c r="J2" s="52" t="str" cm="1">
        <f t="array" ref="J2">IFERROR(
  VALUE($H2) *
  VALUE(
    _xlfn.XLOOKUP(
      TRIM($F2) &amp; "|" &amp; LEFT(SUBSTITUTE($G2,CHAR(160)," "),5) &amp; "|Reduced Rate",
      TRIM(SUBSTITUTE($Q$2:$Q$38,CHAR(160)," ")) &amp; "|" &amp;
      LEFT(SUBSTITUTE($R$2:$R$38,CHAR(160)," "),5) &amp; "|" &amp;
      TRIM(SUBSTITUTE($S$2:$S$38,CHAR(160)," ")),
      $T$2:$T$38
    )
  ),
"")</f>
        <v/>
      </c>
      <c r="K2" s="52" t="str" cm="1">
        <f t="array" ref="K2">IFERROR(
  VALUE($H2) *
  VALUE(
    _xlfn.XLOOKUP(
      TRIM($F2) &amp; "|" &amp; LEFT(SUBSTITUTE($G2,CHAR(160)," "),5) &amp; "|Ideas Rate",
      TRIM(SUBSTITUTE($Q$2:$Q$38,CHAR(160)," ")) &amp; "|" &amp;
      LEFT(SUBSTITUTE($R$2:$R$38,CHAR(160)," "),5) &amp; "|" &amp;
      TRIM(SUBSTITUTE($S$2:$S$38,CHAR(160)," ")),
      $T$2:$T$38
    )
  ),
"")</f>
        <v/>
      </c>
      <c r="Q2" s="58" t="s">
        <v>154</v>
      </c>
      <c r="R2" s="58" t="s">
        <v>371</v>
      </c>
      <c r="S2" s="58" t="s">
        <v>372</v>
      </c>
      <c r="T2" s="59" t="s">
        <v>373</v>
      </c>
      <c r="V2" s="90" t="s">
        <v>10</v>
      </c>
      <c r="W2" s="275">
        <f>SUMIF(F:F, V2, H:H)</f>
        <v>176.75</v>
      </c>
      <c r="X2" s="87">
        <f>COUNTIF($F:$F, V2)</f>
        <v>57</v>
      </c>
      <c r="Y2" s="142">
        <f>SUMIF($F:$F, $V2, $I:$I)</f>
        <v>56237.5</v>
      </c>
      <c r="Z2" s="88">
        <f>SUMIF($F:$F, $V2, $J:$J)</f>
        <v>33237.5</v>
      </c>
      <c r="AA2" s="88">
        <f>SUMIF($F:$F, $V2, $K:$K)</f>
        <v>16871.25</v>
      </c>
    </row>
    <row r="3" spans="1:27" s="54" customFormat="1" ht="16" thickBot="1" x14ac:dyDescent="0.25">
      <c r="A3" s="276">
        <v>45813</v>
      </c>
      <c r="B3" s="277" t="s">
        <v>7</v>
      </c>
      <c r="C3" s="31" t="s">
        <v>12</v>
      </c>
      <c r="D3" s="78" t="s">
        <v>179</v>
      </c>
      <c r="E3" s="78" t="s">
        <v>13</v>
      </c>
      <c r="F3" s="78" t="s">
        <v>156</v>
      </c>
      <c r="G3" s="78" t="s">
        <v>367</v>
      </c>
      <c r="H3" s="278">
        <v>4</v>
      </c>
      <c r="I3" s="52" cm="1">
        <f t="array" ref="I3">IFERROR(
  VALUE($H3) *
  VALUE(
    _xlfn.XLOOKUP(
      TRIM($F3) &amp; "|" &amp; LEFT(SUBSTITUTE($G3,CHAR(160)," "),5) &amp; "|Full Rate",
      TRIM(SUBSTITUTE($Q$2:$Q$38,CHAR(160)," ")) &amp; "|" &amp;
      LEFT(SUBSTITUTE($R$2:$R$38,CHAR(160)," "),5) &amp; "|" &amp;
      TRIM(SUBSTITUTE($S$2:$S$38,CHAR(160)," ")),
      $T$2:$T$38
    )
  ),
"")</f>
        <v>1300</v>
      </c>
      <c r="J3" s="52" cm="1">
        <f t="array" ref="J3">IFERROR(
  VALUE($H3) *
  VALUE(
    _xlfn.XLOOKUP(
      TRIM($F3) &amp; "|" &amp; LEFT(SUBSTITUTE($G3,CHAR(160)," "),5) &amp; "|Reduced Rate",
      TRIM(SUBSTITUTE($Q$2:$Q$38,CHAR(160)," ")) &amp; "|" &amp;
      LEFT(SUBSTITUTE($R$2:$R$38,CHAR(160)," "),5) &amp; "|" &amp;
      TRIM(SUBSTITUTE($S$2:$S$38,CHAR(160)," ")),
      $T$2:$T$38
    )
  ),
"")</f>
        <v>700</v>
      </c>
      <c r="K3" s="52" cm="1">
        <f t="array" ref="K3">IFERROR(
  VALUE($H3) *
  VALUE(
    _xlfn.XLOOKUP(
      TRIM($F3) &amp; "|" &amp; LEFT(SUBSTITUTE($G3,CHAR(160)," "),5) &amp; "|Ideas Rate",
      TRIM(SUBSTITUTE($Q$2:$Q$38,CHAR(160)," ")) &amp; "|" &amp;
      LEFT(SUBSTITUTE($R$2:$R$38,CHAR(160)," "),5) &amp; "|" &amp;
      TRIM(SUBSTITUTE($S$2:$S$38,CHAR(160)," ")),
      $T$2:$T$38
    )
  ),
"")</f>
        <v>380</v>
      </c>
      <c r="M3" s="69" t="s">
        <v>421</v>
      </c>
      <c r="N3" s="71">
        <f>SUM(J:J)</f>
        <v>155607.5</v>
      </c>
      <c r="Q3" t="s">
        <v>10</v>
      </c>
      <c r="R3" t="s">
        <v>375</v>
      </c>
      <c r="S3" t="s">
        <v>382</v>
      </c>
      <c r="T3" s="32">
        <v>500</v>
      </c>
      <c r="V3" s="143" t="s">
        <v>9</v>
      </c>
      <c r="W3" s="279">
        <f>SUMIF(F:F, V3, H:H)</f>
        <v>4.75</v>
      </c>
      <c r="X3" s="280">
        <f>COUNTIF($F:$F, V3)</f>
        <v>3</v>
      </c>
      <c r="Y3" s="144">
        <f>SUMIF($F:$F, $V3, $I:$I)</f>
        <v>1900</v>
      </c>
      <c r="Z3" s="134">
        <f>SUMIF($F:$F, $V3, $J:$J)</f>
        <v>1137.5</v>
      </c>
      <c r="AA3" s="134">
        <f>SUMIF($F:$F, $V3, $K:$K)</f>
        <v>570</v>
      </c>
    </row>
    <row r="4" spans="1:27" ht="16" thickBot="1" x14ac:dyDescent="0.25">
      <c r="A4" s="4">
        <v>45814</v>
      </c>
      <c r="B4" s="7" t="s">
        <v>7</v>
      </c>
      <c r="C4" s="31" t="s">
        <v>12</v>
      </c>
      <c r="D4" s="2" t="s">
        <v>179</v>
      </c>
      <c r="E4" s="2" t="s">
        <v>14</v>
      </c>
      <c r="F4" s="78" t="s">
        <v>156</v>
      </c>
      <c r="G4" s="2" t="s">
        <v>367</v>
      </c>
      <c r="H4" s="35">
        <v>20</v>
      </c>
      <c r="I4" s="52" cm="1">
        <f t="array" ref="I4">IFERROR(
  VALUE($H4) *
  VALUE(
    _xlfn.XLOOKUP(
      TRIM($F4) &amp; "|" &amp; LEFT(SUBSTITUTE($G4,CHAR(160)," "),5) &amp; "|Full Rate",
      TRIM(SUBSTITUTE($Q$2:$Q$38,CHAR(160)," ")) &amp; "|" &amp;
      LEFT(SUBSTITUTE($R$2:$R$38,CHAR(160)," "),5) &amp; "|" &amp;
      TRIM(SUBSTITUTE($S$2:$S$38,CHAR(160)," ")),
      $T$2:$T$38
    )
  ),
"")</f>
        <v>6500</v>
      </c>
      <c r="J4" s="52" cm="1">
        <f t="array" ref="J4">IFERROR(
  VALUE($H4) *
  VALUE(
    _xlfn.XLOOKUP(
      TRIM($F4) &amp; "|" &amp; LEFT(SUBSTITUTE($G4,CHAR(160)," "),5) &amp; "|Reduced Rate",
      TRIM(SUBSTITUTE($Q$2:$Q$38,CHAR(160)," ")) &amp; "|" &amp;
      LEFT(SUBSTITUTE($R$2:$R$38,CHAR(160)," "),5) &amp; "|" &amp;
      TRIM(SUBSTITUTE($S$2:$S$38,CHAR(160)," ")),
      $T$2:$T$38
    )
  ),
"")</f>
        <v>3500</v>
      </c>
      <c r="K4" s="52" cm="1">
        <f t="array" ref="K4">IFERROR(
  VALUE($H4) *
  VALUE(
    _xlfn.XLOOKUP(
      TRIM($F4) &amp; "|" &amp; LEFT(SUBSTITUTE($G4,CHAR(160)," "),5) &amp; "|Ideas Rate",
      TRIM(SUBSTITUTE($Q$2:$Q$38,CHAR(160)," ")) &amp; "|" &amp;
      LEFT(SUBSTITUTE($R$2:$R$38,CHAR(160)," "),5) &amp; "|" &amp;
      TRIM(SUBSTITUTE($S$2:$S$38,CHAR(160)," ")),
      $T$2:$T$38
    )
  ),
"")</f>
        <v>1900</v>
      </c>
      <c r="Q4" t="s">
        <v>10</v>
      </c>
      <c r="R4" t="s">
        <v>375</v>
      </c>
      <c r="S4" t="s">
        <v>383</v>
      </c>
      <c r="T4" s="32">
        <v>300</v>
      </c>
      <c r="V4" s="90" t="s">
        <v>155</v>
      </c>
      <c r="W4" s="275">
        <f>SUMIF(F:F, V4, H:H)</f>
        <v>60</v>
      </c>
      <c r="X4" s="87">
        <f>COUNTIF($F:$F, V4)</f>
        <v>20</v>
      </c>
      <c r="Y4" s="142">
        <f>SUMIF($F:$F, $V4, $I:$I)</f>
        <v>23930</v>
      </c>
      <c r="Z4" s="88">
        <f>SUMIF($F:$F, $V4, $J:$J)</f>
        <v>11960</v>
      </c>
      <c r="AA4" s="88">
        <f>SUMIF($F:$F, $V4, $K:$K)</f>
        <v>7185</v>
      </c>
    </row>
    <row r="5" spans="1:27" ht="16" customHeight="1" thickBot="1" x14ac:dyDescent="0.25">
      <c r="A5" s="4">
        <v>45815</v>
      </c>
      <c r="B5" s="7" t="s">
        <v>7</v>
      </c>
      <c r="C5" s="31" t="s">
        <v>12</v>
      </c>
      <c r="D5" s="2" t="s">
        <v>179</v>
      </c>
      <c r="E5" s="281" t="s">
        <v>15</v>
      </c>
      <c r="F5" s="78" t="s">
        <v>156</v>
      </c>
      <c r="G5" s="2" t="s">
        <v>367</v>
      </c>
      <c r="H5" s="35">
        <v>4</v>
      </c>
      <c r="I5" s="52" cm="1">
        <f t="array" ref="I5">IFERROR(
  VALUE($H5) *
  VALUE(
    _xlfn.XLOOKUP(
      TRIM($F5) &amp; "|" &amp; LEFT(SUBSTITUTE($G5,CHAR(160)," "),5) &amp; "|Full Rate",
      TRIM(SUBSTITUTE($Q$2:$Q$38,CHAR(160)," ")) &amp; "|" &amp;
      LEFT(SUBSTITUTE($R$2:$R$38,CHAR(160)," "),5) &amp; "|" &amp;
      TRIM(SUBSTITUTE($S$2:$S$38,CHAR(160)," ")),
      $T$2:$T$38
    )
  ),
"")</f>
        <v>1300</v>
      </c>
      <c r="J5" s="52" cm="1">
        <f t="array" ref="J5">IFERROR(
  VALUE($H5) *
  VALUE(
    _xlfn.XLOOKUP(
      TRIM($F5) &amp; "|" &amp; LEFT(SUBSTITUTE($G5,CHAR(160)," "),5) &amp; "|Reduced Rate",
      TRIM(SUBSTITUTE($Q$2:$Q$38,CHAR(160)," ")) &amp; "|" &amp;
      LEFT(SUBSTITUTE($R$2:$R$38,CHAR(160)," "),5) &amp; "|" &amp;
      TRIM(SUBSTITUTE($S$2:$S$38,CHAR(160)," ")),
      $T$2:$T$38
    )
  ),
"")</f>
        <v>700</v>
      </c>
      <c r="K5" s="52" cm="1">
        <f t="array" ref="K5">IFERROR(
  VALUE($H5) *
  VALUE(
    _xlfn.XLOOKUP(
      TRIM($F5) &amp; "|" &amp; LEFT(SUBSTITUTE($G5,CHAR(160)," "),5) &amp; "|Ideas Rate",
      TRIM(SUBSTITUTE($Q$2:$Q$38,CHAR(160)," ")) &amp; "|" &amp;
      LEFT(SUBSTITUTE($R$2:$R$38,CHAR(160)," "),5) &amp; "|" &amp;
      TRIM(SUBSTITUTE($S$2:$S$38,CHAR(160)," ")),
      $T$2:$T$38
    )
  ),
"")</f>
        <v>380</v>
      </c>
      <c r="M5" s="69" t="s">
        <v>387</v>
      </c>
      <c r="N5" s="71">
        <f>SUM(K:K)</f>
        <v>83626.25</v>
      </c>
      <c r="Q5" t="s">
        <v>10</v>
      </c>
      <c r="R5" t="s">
        <v>375</v>
      </c>
      <c r="S5" t="s">
        <v>379</v>
      </c>
      <c r="T5" s="32">
        <v>150</v>
      </c>
      <c r="V5" s="143" t="s">
        <v>156</v>
      </c>
      <c r="W5" s="279">
        <f>SUMIF(F:F, V5, H:H)</f>
        <v>552.5</v>
      </c>
      <c r="X5" s="280">
        <f>COUNTIF($F:$F, V5)</f>
        <v>142</v>
      </c>
      <c r="Y5" s="144">
        <f>SUMIF($F:$F, $V5, $I:$I)</f>
        <v>165737.5</v>
      </c>
      <c r="Z5" s="134">
        <f>SUMIF($F:$F, $V5, $J:$J)</f>
        <v>88687.5</v>
      </c>
      <c r="AA5" s="134">
        <f>SUMIF($F:$F, $V5, $K:$K)</f>
        <v>48182.5</v>
      </c>
    </row>
    <row r="6" spans="1:27" x14ac:dyDescent="0.2">
      <c r="A6" s="4">
        <v>45813</v>
      </c>
      <c r="B6" s="7" t="s">
        <v>7</v>
      </c>
      <c r="C6" s="31" t="s">
        <v>12</v>
      </c>
      <c r="D6" s="2" t="s">
        <v>179</v>
      </c>
      <c r="E6" s="2" t="s">
        <v>14</v>
      </c>
      <c r="F6" s="78" t="s">
        <v>156</v>
      </c>
      <c r="G6" s="2" t="s">
        <v>367</v>
      </c>
      <c r="H6" s="35">
        <v>2</v>
      </c>
      <c r="I6" s="52" cm="1">
        <f t="array" ref="I6">IFERROR(
  VALUE($H6) *
  VALUE(
    _xlfn.XLOOKUP(
      TRIM($F6) &amp; "|" &amp; LEFT(SUBSTITUTE($G6,CHAR(160)," "),5) &amp; "|Full Rate",
      TRIM(SUBSTITUTE($Q$2:$Q$38,CHAR(160)," ")) &amp; "|" &amp;
      LEFT(SUBSTITUTE($R$2:$R$38,CHAR(160)," "),5) &amp; "|" &amp;
      TRIM(SUBSTITUTE($S$2:$S$38,CHAR(160)," ")),
      $T$2:$T$38
    )
  ),
"")</f>
        <v>650</v>
      </c>
      <c r="J6" s="52" cm="1">
        <f t="array" ref="J6">IFERROR(
  VALUE($H6) *
  VALUE(
    _xlfn.XLOOKUP(
      TRIM($F6) &amp; "|" &amp; LEFT(SUBSTITUTE($G6,CHAR(160)," "),5) &amp; "|Reduced Rate",
      TRIM(SUBSTITUTE($Q$2:$Q$38,CHAR(160)," ")) &amp; "|" &amp;
      LEFT(SUBSTITUTE($R$2:$R$38,CHAR(160)," "),5) &amp; "|" &amp;
      TRIM(SUBSTITUTE($S$2:$S$38,CHAR(160)," ")),
      $T$2:$T$38
    )
  ),
"")</f>
        <v>350</v>
      </c>
      <c r="K6" s="52" cm="1">
        <f t="array" ref="K6">IFERROR(
  VALUE($H6) *
  VALUE(
    _xlfn.XLOOKUP(
      TRIM($F6) &amp; "|" &amp; LEFT(SUBSTITUTE($G6,CHAR(160)," "),5) &amp; "|Ideas Rate",
      TRIM(SUBSTITUTE($Q$2:$Q$38,CHAR(160)," ")) &amp; "|" &amp;
      LEFT(SUBSTITUTE($R$2:$R$38,CHAR(160)," "),5) &amp; "|" &amp;
      TRIM(SUBSTITUTE($S$2:$S$38,CHAR(160)," ")),
      $T$2:$T$38
    )
  ),
"")</f>
        <v>190</v>
      </c>
      <c r="Q6" t="s">
        <v>10</v>
      </c>
      <c r="R6" t="s">
        <v>376</v>
      </c>
      <c r="S6" t="s">
        <v>382</v>
      </c>
      <c r="T6" s="32">
        <v>250</v>
      </c>
      <c r="V6" s="90" t="s">
        <v>439</v>
      </c>
      <c r="W6" s="323">
        <f>SUMIF(F:F, V6, H:H)</f>
        <v>171</v>
      </c>
      <c r="X6" s="323">
        <f>COUNTIF($F:$F,V6)</f>
        <v>25</v>
      </c>
      <c r="Y6" s="322">
        <f>SUMIF($F:$F, $V6, $I:$I)</f>
        <v>39680</v>
      </c>
      <c r="Z6" s="322">
        <f>SUMIF($F:$F, $V6, $J:$J)</f>
        <v>20585</v>
      </c>
      <c r="AA6" s="322">
        <f>SUMIF($F:$F, $V6, $K:$K)</f>
        <v>10817.5</v>
      </c>
    </row>
    <row r="7" spans="1:27" ht="16" customHeight="1" x14ac:dyDescent="0.2">
      <c r="A7" s="4">
        <v>45813</v>
      </c>
      <c r="B7" s="7" t="s">
        <v>7</v>
      </c>
      <c r="C7" s="31" t="s">
        <v>12</v>
      </c>
      <c r="D7" s="2" t="s">
        <v>179</v>
      </c>
      <c r="E7" s="281" t="s">
        <v>16</v>
      </c>
      <c r="F7" s="78" t="s">
        <v>156</v>
      </c>
      <c r="G7" s="2" t="s">
        <v>367</v>
      </c>
      <c r="H7" s="35">
        <v>3</v>
      </c>
      <c r="I7" s="52" cm="1">
        <f t="array" ref="I7">IFERROR(
  VALUE($H7) *
  VALUE(
    _xlfn.XLOOKUP(
      TRIM($F7) &amp; "|" &amp; LEFT(SUBSTITUTE($G7,CHAR(160)," "),5) &amp; "|Full Rate",
      TRIM(SUBSTITUTE($Q$2:$Q$38,CHAR(160)," ")) &amp; "|" &amp;
      LEFT(SUBSTITUTE($R$2:$R$38,CHAR(160)," "),5) &amp; "|" &amp;
      TRIM(SUBSTITUTE($S$2:$S$38,CHAR(160)," ")),
      $T$2:$T$38
    )
  ),
"")</f>
        <v>975</v>
      </c>
      <c r="J7" s="52" cm="1">
        <f t="array" ref="J7">IFERROR(
  VALUE($H7) *
  VALUE(
    _xlfn.XLOOKUP(
      TRIM($F7) &amp; "|" &amp; LEFT(SUBSTITUTE($G7,CHAR(160)," "),5) &amp; "|Reduced Rate",
      TRIM(SUBSTITUTE($Q$2:$Q$38,CHAR(160)," ")) &amp; "|" &amp;
      LEFT(SUBSTITUTE($R$2:$R$38,CHAR(160)," "),5) &amp; "|" &amp;
      TRIM(SUBSTITUTE($S$2:$S$38,CHAR(160)," ")),
      $T$2:$T$38
    )
  ),
"")</f>
        <v>525</v>
      </c>
      <c r="K7" s="52" cm="1">
        <f t="array" ref="K7">IFERROR(
  VALUE($H7) *
  VALUE(
    _xlfn.XLOOKUP(
      TRIM($F7) &amp; "|" &amp; LEFT(SUBSTITUTE($G7,CHAR(160)," "),5) &amp; "|Ideas Rate",
      TRIM(SUBSTITUTE($Q$2:$Q$38,CHAR(160)," ")) &amp; "|" &amp;
      LEFT(SUBSTITUTE($R$2:$R$38,CHAR(160)," "),5) &amp; "|" &amp;
      TRIM(SUBSTITUTE($S$2:$S$38,CHAR(160)," ")),
      $T$2:$T$38
    )
  ),
"")</f>
        <v>285</v>
      </c>
      <c r="Q7" t="s">
        <v>10</v>
      </c>
      <c r="R7" t="s">
        <v>376</v>
      </c>
      <c r="S7" t="s">
        <v>378</v>
      </c>
      <c r="T7" s="32">
        <v>150</v>
      </c>
    </row>
    <row r="8" spans="1:27" x14ac:dyDescent="0.2">
      <c r="A8" s="4">
        <v>45814</v>
      </c>
      <c r="B8" s="7" t="s">
        <v>7</v>
      </c>
      <c r="C8" s="31" t="s">
        <v>12</v>
      </c>
      <c r="D8" s="2" t="s">
        <v>179</v>
      </c>
      <c r="E8" s="2" t="s">
        <v>14</v>
      </c>
      <c r="F8" s="78" t="s">
        <v>156</v>
      </c>
      <c r="G8" s="2" t="s">
        <v>367</v>
      </c>
      <c r="H8" s="35">
        <v>2</v>
      </c>
      <c r="I8" s="52" cm="1">
        <f t="array" ref="I8">IFERROR(
  VALUE($H8) *
  VALUE(
    _xlfn.XLOOKUP(
      TRIM($F8) &amp; "|" &amp; LEFT(SUBSTITUTE($G8,CHAR(160)," "),5) &amp; "|Full Rate",
      TRIM(SUBSTITUTE($Q$2:$Q$38,CHAR(160)," ")) &amp; "|" &amp;
      LEFT(SUBSTITUTE($R$2:$R$38,CHAR(160)," "),5) &amp; "|" &amp;
      TRIM(SUBSTITUTE($S$2:$S$38,CHAR(160)," ")),
      $T$2:$T$38
    )
  ),
"")</f>
        <v>650</v>
      </c>
      <c r="J8" s="52" cm="1">
        <f t="array" ref="J8">IFERROR(
  VALUE($H8) *
  VALUE(
    _xlfn.XLOOKUP(
      TRIM($F8) &amp; "|" &amp; LEFT(SUBSTITUTE($G8,CHAR(160)," "),5) &amp; "|Reduced Rate",
      TRIM(SUBSTITUTE($Q$2:$Q$38,CHAR(160)," ")) &amp; "|" &amp;
      LEFT(SUBSTITUTE($R$2:$R$38,CHAR(160)," "),5) &amp; "|" &amp;
      TRIM(SUBSTITUTE($S$2:$S$38,CHAR(160)," ")),
      $T$2:$T$38
    )
  ),
"")</f>
        <v>350</v>
      </c>
      <c r="K8" s="52" cm="1">
        <f t="array" ref="K8">IFERROR(
  VALUE($H8) *
  VALUE(
    _xlfn.XLOOKUP(
      TRIM($F8) &amp; "|" &amp; LEFT(SUBSTITUTE($G8,CHAR(160)," "),5) &amp; "|Ideas Rate",
      TRIM(SUBSTITUTE($Q$2:$Q$38,CHAR(160)," ")) &amp; "|" &amp;
      LEFT(SUBSTITUTE($R$2:$R$38,CHAR(160)," "),5) &amp; "|" &amp;
      TRIM(SUBSTITUTE($S$2:$S$38,CHAR(160)," ")),
      $T$2:$T$38
    )
  ),
"")</f>
        <v>190</v>
      </c>
      <c r="Q8" t="s">
        <v>10</v>
      </c>
      <c r="R8" t="s">
        <v>376</v>
      </c>
      <c r="S8" t="s">
        <v>384</v>
      </c>
      <c r="T8" s="32">
        <v>75</v>
      </c>
    </row>
    <row r="9" spans="1:27" s="54" customFormat="1" ht="15" customHeight="1" x14ac:dyDescent="0.2">
      <c r="A9" s="276">
        <v>45814</v>
      </c>
      <c r="B9" s="277" t="s">
        <v>7</v>
      </c>
      <c r="C9" s="31" t="s">
        <v>12</v>
      </c>
      <c r="D9" s="78" t="s">
        <v>29</v>
      </c>
      <c r="E9" s="282" t="s">
        <v>16</v>
      </c>
      <c r="F9" s="78" t="s">
        <v>156</v>
      </c>
      <c r="G9" s="78" t="s">
        <v>380</v>
      </c>
      <c r="H9" s="278">
        <v>4.5</v>
      </c>
      <c r="I9" s="52" cm="1">
        <f t="array" ref="I9">IFERROR(
  VALUE($H9) *
  VALUE(
    _xlfn.XLOOKUP(
      TRIM($F9) &amp; "|" &amp; LEFT(SUBSTITUTE($G9,CHAR(160)," "),5) &amp; "|Full Rate",
      TRIM(SUBSTITUTE($Q$2:$Q$38,CHAR(160)," ")) &amp; "|" &amp;
      LEFT(SUBSTITUTE($R$2:$R$38,CHAR(160)," "),5) &amp; "|" &amp;
      TRIM(SUBSTITUTE($S$2:$S$38,CHAR(160)," ")),
      $T$2:$T$38
    )
  ),
"")</f>
        <v>877.5</v>
      </c>
      <c r="J9" s="52" cm="1">
        <f t="array" ref="J9">IFERROR(
  VALUE($H9) *
  VALUE(
    _xlfn.XLOOKUP(
      TRIM($F9) &amp; "|" &amp; LEFT(SUBSTITUTE($G9,CHAR(160)," "),5) &amp; "|Reduced Rate",
      TRIM(SUBSTITUTE($Q$2:$Q$38,CHAR(160)," ")) &amp; "|" &amp;
      LEFT(SUBSTITUTE($R$2:$R$38,CHAR(160)," "),5) &amp; "|" &amp;
      TRIM(SUBSTITUTE($S$2:$S$38,CHAR(160)," ")),
      $T$2:$T$38
    )
  ),
"")</f>
        <v>405</v>
      </c>
      <c r="K9" s="52" cm="1">
        <f t="array" ref="K9">IFERROR(
  VALUE($H9) *
  VALUE(
    _xlfn.XLOOKUP(
      TRIM($F9) &amp; "|" &amp; LEFT(SUBSTITUTE($G9,CHAR(160)," "),5) &amp; "|Ideas Rate",
      TRIM(SUBSTITUTE($Q$2:$Q$38,CHAR(160)," ")) &amp; "|" &amp;
      LEFT(SUBSTITUTE($R$2:$R$38,CHAR(160)," "),5) &amp; "|" &amp;
      TRIM(SUBSTITUTE($S$2:$S$38,CHAR(160)," ")),
      $T$2:$T$38
    )
  ),
"")</f>
        <v>202.5</v>
      </c>
      <c r="Q9" t="s">
        <v>10</v>
      </c>
      <c r="R9" t="s">
        <v>368</v>
      </c>
      <c r="S9" t="s">
        <v>382</v>
      </c>
      <c r="T9" s="32">
        <v>100</v>
      </c>
    </row>
    <row r="10" spans="1:27" s="54" customFormat="1" x14ac:dyDescent="0.2">
      <c r="A10" s="276">
        <v>45831</v>
      </c>
      <c r="B10" s="277" t="s">
        <v>7</v>
      </c>
      <c r="C10" s="31" t="s">
        <v>12</v>
      </c>
      <c r="D10" s="78" t="s">
        <v>182</v>
      </c>
      <c r="E10" s="78" t="s">
        <v>17</v>
      </c>
      <c r="F10" s="78" t="s">
        <v>156</v>
      </c>
      <c r="G10" s="78" t="s">
        <v>367</v>
      </c>
      <c r="H10" s="278">
        <v>5</v>
      </c>
      <c r="I10" s="52" cm="1">
        <f t="array" ref="I10">IFERROR(
  VALUE($H10) *
  VALUE(
    _xlfn.XLOOKUP(
      TRIM($F10) &amp; "|" &amp; LEFT(SUBSTITUTE($G10,CHAR(160)," "),5) &amp; "|Full Rate",
      TRIM(SUBSTITUTE($Q$2:$Q$38,CHAR(160)," ")) &amp; "|" &amp;
      LEFT(SUBSTITUTE($R$2:$R$38,CHAR(160)," "),5) &amp; "|" &amp;
      TRIM(SUBSTITUTE($S$2:$S$38,CHAR(160)," ")),
      $T$2:$T$38
    )
  ),
"")</f>
        <v>1625</v>
      </c>
      <c r="J10" s="52" cm="1">
        <f t="array" ref="J10">IFERROR(
  VALUE($H10) *
  VALUE(
    _xlfn.XLOOKUP(
      TRIM($F10) &amp; "|" &amp; LEFT(SUBSTITUTE($G10,CHAR(160)," "),5) &amp; "|Reduced Rate",
      TRIM(SUBSTITUTE($Q$2:$Q$38,CHAR(160)," ")) &amp; "|" &amp;
      LEFT(SUBSTITUTE($R$2:$R$38,CHAR(160)," "),5) &amp; "|" &amp;
      TRIM(SUBSTITUTE($S$2:$S$38,CHAR(160)," ")),
      $T$2:$T$38
    )
  ),
"")</f>
        <v>875</v>
      </c>
      <c r="K10" s="52" cm="1">
        <f t="array" ref="K10">IFERROR(
  VALUE($H10) *
  VALUE(
    _xlfn.XLOOKUP(
      TRIM($F10) &amp; "|" &amp; LEFT(SUBSTITUTE($G10,CHAR(160)," "),5) &amp; "|Ideas Rate",
      TRIM(SUBSTITUTE($Q$2:$Q$38,CHAR(160)," ")) &amp; "|" &amp;
      LEFT(SUBSTITUTE($R$2:$R$38,CHAR(160)," "),5) &amp; "|" &amp;
      TRIM(SUBSTITUTE($S$2:$S$38,CHAR(160)," ")),
      $T$2:$T$38
    )
  ),
"")</f>
        <v>475</v>
      </c>
      <c r="Q10" t="s">
        <v>10</v>
      </c>
      <c r="R10" t="s">
        <v>368</v>
      </c>
      <c r="S10" t="s">
        <v>378</v>
      </c>
      <c r="T10" s="32">
        <v>50</v>
      </c>
      <c r="V10" s="94" t="s">
        <v>165</v>
      </c>
      <c r="W10" s="283" t="s">
        <v>433</v>
      </c>
      <c r="X10" s="283" t="s">
        <v>491</v>
      </c>
      <c r="Y10" s="283" t="s">
        <v>435</v>
      </c>
    </row>
    <row r="11" spans="1:27" s="54" customFormat="1" x14ac:dyDescent="0.2">
      <c r="A11" s="276">
        <v>45831</v>
      </c>
      <c r="B11" s="277" t="s">
        <v>7</v>
      </c>
      <c r="C11" s="31" t="s">
        <v>12</v>
      </c>
      <c r="D11" s="78" t="s">
        <v>179</v>
      </c>
      <c r="E11" s="78" t="s">
        <v>18</v>
      </c>
      <c r="F11" s="78" t="s">
        <v>9</v>
      </c>
      <c r="G11" s="78" t="s">
        <v>367</v>
      </c>
      <c r="H11" s="278">
        <v>3</v>
      </c>
      <c r="I11" s="52" cm="1">
        <f t="array" ref="I11">IFERROR(
  VALUE($H11) *
  VALUE(
    _xlfn.XLOOKUP(
      TRIM($F11) &amp; "|" &amp; LEFT(SUBSTITUTE($G11,CHAR(160)," "),5) &amp; "|Full Rate",
      TRIM(SUBSTITUTE($Q$2:$Q$38,CHAR(160)," ")) &amp; "|" &amp;
      LEFT(SUBSTITUTE($R$2:$R$38,CHAR(160)," "),5) &amp; "|" &amp;
      TRIM(SUBSTITUTE($S$2:$S$38,CHAR(160)," ")),
      $T$2:$T$38
    )
  ),
"")</f>
        <v>1500</v>
      </c>
      <c r="J11" s="52" cm="1">
        <f t="array" ref="J11">IFERROR(
  VALUE($H11) *
  VALUE(
    _xlfn.XLOOKUP(
      TRIM($F11) &amp; "|" &amp; LEFT(SUBSTITUTE($G11,CHAR(160)," "),5) &amp; "|Reduced Rate",
      TRIM(SUBSTITUTE($Q$2:$Q$38,CHAR(160)," ")) &amp; "|" &amp;
      LEFT(SUBSTITUTE($R$2:$R$38,CHAR(160)," "),5) &amp; "|" &amp;
      TRIM(SUBSTITUTE($S$2:$S$38,CHAR(160)," ")),
      $T$2:$T$38
    )
  ),
"")</f>
        <v>900</v>
      </c>
      <c r="K11" s="52" cm="1">
        <f t="array" ref="K11">IFERROR(
  VALUE($H11) *
  VALUE(
    _xlfn.XLOOKUP(
      TRIM($F11) &amp; "|" &amp; LEFT(SUBSTITUTE($G11,CHAR(160)," "),5) &amp; "|Ideas Rate",
      TRIM(SUBSTITUTE($Q$2:$Q$38,CHAR(160)," ")) &amp; "|" &amp;
      LEFT(SUBSTITUTE($R$2:$R$38,CHAR(160)," "),5) &amp; "|" &amp;
      TRIM(SUBSTITUTE($S$2:$S$38,CHAR(160)," ")),
      $T$2:$T$38
    )
  ),
"")</f>
        <v>450</v>
      </c>
      <c r="Q11" t="s">
        <v>10</v>
      </c>
      <c r="R11" t="s">
        <v>368</v>
      </c>
      <c r="S11" t="s">
        <v>384</v>
      </c>
      <c r="T11" s="32">
        <v>30</v>
      </c>
      <c r="V11" s="284" t="s">
        <v>182</v>
      </c>
      <c r="W11" s="285">
        <f t="shared" ref="W11:W22" si="0">SUMIF($D:$D,$V11,$H:$H)</f>
        <v>62.5</v>
      </c>
      <c r="X11" s="120">
        <f>SUMIF($D:$D,$V11,$I:I)</f>
        <v>24475</v>
      </c>
      <c r="Y11" s="286"/>
    </row>
    <row r="12" spans="1:27" s="54" customFormat="1" x14ac:dyDescent="0.2">
      <c r="A12" s="276">
        <v>45831</v>
      </c>
      <c r="B12" s="277" t="s">
        <v>7</v>
      </c>
      <c r="C12" s="31" t="s">
        <v>12</v>
      </c>
      <c r="D12" s="78" t="s">
        <v>29</v>
      </c>
      <c r="E12" s="78" t="s">
        <v>19</v>
      </c>
      <c r="F12" s="78" t="s">
        <v>9</v>
      </c>
      <c r="G12" s="78" t="s">
        <v>380</v>
      </c>
      <c r="H12" s="278">
        <v>1.5</v>
      </c>
      <c r="I12" s="52" cm="1">
        <f t="array" ref="I12">IFERROR(
  VALUE($H12) *
  VALUE(
    _xlfn.XLOOKUP(
      TRIM($F12) &amp; "|" &amp; LEFT(SUBSTITUTE($G12,CHAR(160)," "),5) &amp; "|Full Rate",
      TRIM(SUBSTITUTE($Q$2:$Q$38,CHAR(160)," ")) &amp; "|" &amp;
      LEFT(SUBSTITUTE($R$2:$R$38,CHAR(160)," "),5) &amp; "|" &amp;
      TRIM(SUBSTITUTE($S$2:$S$38,CHAR(160)," ")),
      $T$2:$T$38
    )
  ),
"")</f>
        <v>375</v>
      </c>
      <c r="J12" s="52" cm="1">
        <f t="array" ref="J12">IFERROR(
  VALUE($H12) *
  VALUE(
    _xlfn.XLOOKUP(
      TRIM($F12) &amp; "|" &amp; LEFT(SUBSTITUTE($G12,CHAR(160)," "),5) &amp; "|Reduced Rate",
      TRIM(SUBSTITUTE($Q$2:$Q$38,CHAR(160)," ")) &amp; "|" &amp;
      LEFT(SUBSTITUTE($R$2:$R$38,CHAR(160)," "),5) &amp; "|" &amp;
      TRIM(SUBSTITUTE($S$2:$S$38,CHAR(160)," ")),
      $T$2:$T$38
    )
  ),
"")</f>
        <v>225</v>
      </c>
      <c r="K12" s="52" cm="1">
        <f t="array" ref="K12">IFERROR(
  VALUE($H12) *
  VALUE(
    _xlfn.XLOOKUP(
      TRIM($F12) &amp; "|" &amp; LEFT(SUBSTITUTE($G12,CHAR(160)," "),5) &amp; "|Ideas Rate",
      TRIM(SUBSTITUTE($Q$2:$Q$38,CHAR(160)," ")) &amp; "|" &amp;
      LEFT(SUBSTITUTE($R$2:$R$38,CHAR(160)," "),5) &amp; "|" &amp;
      TRIM(SUBSTITUTE($S$2:$S$38,CHAR(160)," ")),
      $T$2:$T$38
    )
  ),
"")</f>
        <v>112.5</v>
      </c>
      <c r="Q12" s="56" t="s">
        <v>9</v>
      </c>
      <c r="R12" s="56" t="s">
        <v>375</v>
      </c>
      <c r="S12" s="56" t="s">
        <v>382</v>
      </c>
      <c r="T12" s="57">
        <v>500</v>
      </c>
      <c r="V12" s="284" t="s">
        <v>190</v>
      </c>
      <c r="W12" s="285">
        <f t="shared" si="0"/>
        <v>13</v>
      </c>
      <c r="X12" s="120">
        <f>SUMIF($D:$D,$V12,$I:I)</f>
        <v>3177.5</v>
      </c>
      <c r="Y12" s="286"/>
    </row>
    <row r="13" spans="1:27" s="54" customFormat="1" x14ac:dyDescent="0.2">
      <c r="A13" s="276">
        <v>45832</v>
      </c>
      <c r="B13" s="277" t="s">
        <v>7</v>
      </c>
      <c r="C13" s="31" t="s">
        <v>12</v>
      </c>
      <c r="D13" s="78" t="s">
        <v>182</v>
      </c>
      <c r="E13" s="78" t="s">
        <v>20</v>
      </c>
      <c r="F13" s="78" t="s">
        <v>155</v>
      </c>
      <c r="G13" s="78" t="s">
        <v>367</v>
      </c>
      <c r="H13" s="278">
        <v>5</v>
      </c>
      <c r="I13" s="52" cm="1">
        <f t="array" ref="I13">IFERROR(
  VALUE($H13) *
  VALUE(
    _xlfn.XLOOKUP(
      TRIM($F13) &amp; "|" &amp; LEFT(SUBSTITUTE($G13,CHAR(160)," "),5) &amp; "|Full Rate",
      TRIM(SUBSTITUTE($Q$2:$Q$38,CHAR(160)," ")) &amp; "|" &amp;
      LEFT(SUBSTITUTE($R$2:$R$38,CHAR(160)," "),5) &amp; "|" &amp;
      TRIM(SUBSTITUTE($S$2:$S$38,CHAR(160)," ")),
      $T$2:$T$38
    )
  ),
"")</f>
        <v>2000</v>
      </c>
      <c r="J13" s="52" cm="1">
        <f t="array" ref="J13">IFERROR(
  VALUE($H13) *
  VALUE(
    _xlfn.XLOOKUP(
      TRIM($F13) &amp; "|" &amp; LEFT(SUBSTITUTE($G13,CHAR(160)," "),5) &amp; "|Reduced Rate",
      TRIM(SUBSTITUTE($Q$2:$Q$38,CHAR(160)," ")) &amp; "|" &amp;
      LEFT(SUBSTITUTE($R$2:$R$38,CHAR(160)," "),5) &amp; "|" &amp;
      TRIM(SUBSTITUTE($S$2:$S$38,CHAR(160)," ")),
      $T$2:$T$38
    )
  ),
"")</f>
        <v>1000</v>
      </c>
      <c r="K13" s="52" cm="1">
        <f t="array" ref="K13">IFERROR(
  VALUE($H13) *
  VALUE(
    _xlfn.XLOOKUP(
      TRIM($F13) &amp; "|" &amp; LEFT(SUBSTITUTE($G13,CHAR(160)," "),5) &amp; "|Ideas Rate",
      TRIM(SUBSTITUTE($Q$2:$Q$38,CHAR(160)," ")) &amp; "|" &amp;
      LEFT(SUBSTITUTE($R$2:$R$38,CHAR(160)," "),5) &amp; "|" &amp;
      TRIM(SUBSTITUTE($S$2:$S$38,CHAR(160)," ")),
      $T$2:$T$38
    )
  ),
"")</f>
        <v>600</v>
      </c>
      <c r="Q13" t="s">
        <v>9</v>
      </c>
      <c r="R13" t="s">
        <v>375</v>
      </c>
      <c r="S13" t="s">
        <v>383</v>
      </c>
      <c r="T13" s="32">
        <v>300</v>
      </c>
      <c r="V13" s="284" t="s">
        <v>188</v>
      </c>
      <c r="W13" s="285">
        <f t="shared" si="0"/>
        <v>0</v>
      </c>
      <c r="X13" s="120">
        <f>SUMIF($D:$D,$V13,$I:I)</f>
        <v>0</v>
      </c>
      <c r="Y13" s="286"/>
    </row>
    <row r="14" spans="1:27" s="54" customFormat="1" x14ac:dyDescent="0.2">
      <c r="A14" s="276">
        <v>45833</v>
      </c>
      <c r="B14" s="277" t="s">
        <v>7</v>
      </c>
      <c r="C14" s="31" t="s">
        <v>12</v>
      </c>
      <c r="D14" s="78" t="s">
        <v>182</v>
      </c>
      <c r="E14" s="78" t="s">
        <v>21</v>
      </c>
      <c r="F14" s="78" t="s">
        <v>155</v>
      </c>
      <c r="G14" s="78" t="s">
        <v>367</v>
      </c>
      <c r="H14" s="278">
        <v>2</v>
      </c>
      <c r="I14" s="52" cm="1">
        <f t="array" ref="I14">IFERROR(
  VALUE($H14) *
  VALUE(
    _xlfn.XLOOKUP(
      TRIM($F14) &amp; "|" &amp; LEFT(SUBSTITUTE($G14,CHAR(160)," "),5) &amp; "|Full Rate",
      TRIM(SUBSTITUTE($Q$2:$Q$38,CHAR(160)," ")) &amp; "|" &amp;
      LEFT(SUBSTITUTE($R$2:$R$38,CHAR(160)," "),5) &amp; "|" &amp;
      TRIM(SUBSTITUTE($S$2:$S$38,CHAR(160)," ")),
      $T$2:$T$38
    )
  ),
"")</f>
        <v>800</v>
      </c>
      <c r="J14" s="52" cm="1">
        <f t="array" ref="J14">IFERROR(
  VALUE($H14) *
  VALUE(
    _xlfn.XLOOKUP(
      TRIM($F14) &amp; "|" &amp; LEFT(SUBSTITUTE($G14,CHAR(160)," "),5) &amp; "|Reduced Rate",
      TRIM(SUBSTITUTE($Q$2:$Q$38,CHAR(160)," ")) &amp; "|" &amp;
      LEFT(SUBSTITUTE($R$2:$R$38,CHAR(160)," "),5) &amp; "|" &amp;
      TRIM(SUBSTITUTE($S$2:$S$38,CHAR(160)," ")),
      $T$2:$T$38
    )
  ),
"")</f>
        <v>400</v>
      </c>
      <c r="K14" s="52" cm="1">
        <f t="array" ref="K14">IFERROR(
  VALUE($H14) *
  VALUE(
    _xlfn.XLOOKUP(
      TRIM($F14) &amp; "|" &amp; LEFT(SUBSTITUTE($G14,CHAR(160)," "),5) &amp; "|Ideas Rate",
      TRIM(SUBSTITUTE($Q$2:$Q$38,CHAR(160)," ")) &amp; "|" &amp;
      LEFT(SUBSTITUTE($R$2:$R$38,CHAR(160)," "),5) &amp; "|" &amp;
      TRIM(SUBSTITUTE($S$2:$S$38,CHAR(160)," ")),
      $T$2:$T$38
    )
  ),
"")</f>
        <v>240</v>
      </c>
      <c r="Q14" t="s">
        <v>9</v>
      </c>
      <c r="R14" t="s">
        <v>375</v>
      </c>
      <c r="S14" t="s">
        <v>384</v>
      </c>
      <c r="T14" s="32">
        <v>150</v>
      </c>
      <c r="V14" s="284" t="s">
        <v>191</v>
      </c>
      <c r="W14" s="285">
        <f t="shared" si="0"/>
        <v>0</v>
      </c>
      <c r="X14" s="120">
        <f>SUMIF($D:$D,$V14,$I:I)</f>
        <v>0</v>
      </c>
      <c r="Y14" s="286"/>
    </row>
    <row r="15" spans="1:27" x14ac:dyDescent="0.2">
      <c r="A15" s="4">
        <v>45834</v>
      </c>
      <c r="B15" s="7" t="s">
        <v>7</v>
      </c>
      <c r="C15" s="31" t="s">
        <v>12</v>
      </c>
      <c r="D15" s="2" t="s">
        <v>182</v>
      </c>
      <c r="E15" s="2" t="s">
        <v>22</v>
      </c>
      <c r="F15" s="78" t="s">
        <v>155</v>
      </c>
      <c r="G15" s="2" t="s">
        <v>367</v>
      </c>
      <c r="H15" s="35">
        <v>3</v>
      </c>
      <c r="I15" s="52" cm="1">
        <f t="array" ref="I15">IFERROR(
  VALUE($H15) *
  VALUE(
    _xlfn.XLOOKUP(
      TRIM($F15) &amp; "|" &amp; LEFT(SUBSTITUTE($G15,CHAR(160)," "),5) &amp; "|Full Rate",
      TRIM(SUBSTITUTE($Q$2:$Q$38,CHAR(160)," ")) &amp; "|" &amp;
      LEFT(SUBSTITUTE($R$2:$R$38,CHAR(160)," "),5) &amp; "|" &amp;
      TRIM(SUBSTITUTE($S$2:$S$38,CHAR(160)," ")),
      $T$2:$T$38
    )
  ),
"")</f>
        <v>1200</v>
      </c>
      <c r="J15" s="52" cm="1">
        <f t="array" ref="J15">IFERROR(
  VALUE($H15) *
  VALUE(
    _xlfn.XLOOKUP(
      TRIM($F15) &amp; "|" &amp; LEFT(SUBSTITUTE($G15,CHAR(160)," "),5) &amp; "|Reduced Rate",
      TRIM(SUBSTITUTE($Q$2:$Q$38,CHAR(160)," ")) &amp; "|" &amp;
      LEFT(SUBSTITUTE($R$2:$R$38,CHAR(160)," "),5) &amp; "|" &amp;
      TRIM(SUBSTITUTE($S$2:$S$38,CHAR(160)," ")),
      $T$2:$T$38
    )
  ),
"")</f>
        <v>600</v>
      </c>
      <c r="K15" s="52" cm="1">
        <f t="array" ref="K15">IFERROR(
  VALUE($H15) *
  VALUE(
    _xlfn.XLOOKUP(
      TRIM($F15) &amp; "|" &amp; LEFT(SUBSTITUTE($G15,CHAR(160)," "),5) &amp; "|Ideas Rate",
      TRIM(SUBSTITUTE($Q$2:$Q$38,CHAR(160)," ")) &amp; "|" &amp;
      LEFT(SUBSTITUTE($R$2:$R$38,CHAR(160)," "),5) &amp; "|" &amp;
      TRIM(SUBSTITUTE($S$2:$S$38,CHAR(160)," ")),
      $T$2:$T$38
    )
  ),
"")</f>
        <v>360</v>
      </c>
      <c r="Q15" t="s">
        <v>9</v>
      </c>
      <c r="R15" t="s">
        <v>376</v>
      </c>
      <c r="S15" t="s">
        <v>382</v>
      </c>
      <c r="T15" s="32">
        <v>250</v>
      </c>
      <c r="V15" s="284" t="s">
        <v>178</v>
      </c>
      <c r="W15" s="285">
        <f t="shared" si="0"/>
        <v>5</v>
      </c>
      <c r="X15" s="120">
        <f>SUMIF($D:$D,$V15,$I:I)</f>
        <v>1092.5</v>
      </c>
      <c r="Y15" s="286"/>
    </row>
    <row r="16" spans="1:27" s="54" customFormat="1" x14ac:dyDescent="0.2">
      <c r="A16" s="276">
        <v>45834</v>
      </c>
      <c r="B16" s="277" t="s">
        <v>7</v>
      </c>
      <c r="C16" s="31" t="s">
        <v>12</v>
      </c>
      <c r="D16" s="78" t="s">
        <v>179</v>
      </c>
      <c r="E16" s="78" t="s">
        <v>23</v>
      </c>
      <c r="F16" s="78" t="s">
        <v>156</v>
      </c>
      <c r="G16" s="78" t="s">
        <v>367</v>
      </c>
      <c r="H16" s="278">
        <v>2.5</v>
      </c>
      <c r="I16" s="52" cm="1">
        <f t="array" ref="I16">IFERROR(
  VALUE($H16) *
  VALUE(
    _xlfn.XLOOKUP(
      TRIM($F16) &amp; "|" &amp; LEFT(SUBSTITUTE($G16,CHAR(160)," "),5) &amp; "|Full Rate",
      TRIM(SUBSTITUTE($Q$2:$Q$38,CHAR(160)," ")) &amp; "|" &amp;
      LEFT(SUBSTITUTE($R$2:$R$38,CHAR(160)," "),5) &amp; "|" &amp;
      TRIM(SUBSTITUTE($S$2:$S$38,CHAR(160)," ")),
      $T$2:$T$38
    )
  ),
"")</f>
        <v>812.5</v>
      </c>
      <c r="J16" s="52" cm="1">
        <f t="array" ref="J16">IFERROR(
  VALUE($H16) *
  VALUE(
    _xlfn.XLOOKUP(
      TRIM($F16) &amp; "|" &amp; LEFT(SUBSTITUTE($G16,CHAR(160)," "),5) &amp; "|Reduced Rate",
      TRIM(SUBSTITUTE($Q$2:$Q$38,CHAR(160)," ")) &amp; "|" &amp;
      LEFT(SUBSTITUTE($R$2:$R$38,CHAR(160)," "),5) &amp; "|" &amp;
      TRIM(SUBSTITUTE($S$2:$S$38,CHAR(160)," ")),
      $T$2:$T$38
    )
  ),
"")</f>
        <v>437.5</v>
      </c>
      <c r="K16" s="52" cm="1">
        <f t="array" ref="K16">IFERROR(
  VALUE($H16) *
  VALUE(
    _xlfn.XLOOKUP(
      TRIM($F16) &amp; "|" &amp; LEFT(SUBSTITUTE($G16,CHAR(160)," "),5) &amp; "|Ideas Rate",
      TRIM(SUBSTITUTE($Q$2:$Q$38,CHAR(160)," ")) &amp; "|" &amp;
      LEFT(SUBSTITUTE($R$2:$R$38,CHAR(160)," "),5) &amp; "|" &amp;
      TRIM(SUBSTITUTE($S$2:$S$38,CHAR(160)," ")),
      $T$2:$T$38
    )
  ),
"")</f>
        <v>237.5</v>
      </c>
      <c r="Q16" t="s">
        <v>9</v>
      </c>
      <c r="R16" t="s">
        <v>376</v>
      </c>
      <c r="S16" t="s">
        <v>383</v>
      </c>
      <c r="T16" s="32">
        <v>150</v>
      </c>
      <c r="V16" s="284" t="s">
        <v>81</v>
      </c>
      <c r="W16" s="285">
        <f t="shared" si="0"/>
        <v>0</v>
      </c>
      <c r="X16" s="120">
        <f>SUMIF($D:$D,$V16,$I:I)</f>
        <v>0</v>
      </c>
      <c r="Y16" s="286"/>
    </row>
    <row r="17" spans="1:25" s="54" customFormat="1" x14ac:dyDescent="0.2">
      <c r="A17" s="276">
        <v>45835</v>
      </c>
      <c r="B17" s="277" t="s">
        <v>7</v>
      </c>
      <c r="C17" s="31" t="s">
        <v>12</v>
      </c>
      <c r="D17" s="78" t="s">
        <v>179</v>
      </c>
      <c r="E17" s="78" t="s">
        <v>23</v>
      </c>
      <c r="F17" s="78" t="s">
        <v>156</v>
      </c>
      <c r="G17" s="78" t="s">
        <v>367</v>
      </c>
      <c r="H17" s="278">
        <v>1</v>
      </c>
      <c r="I17" s="52" cm="1">
        <f t="array" ref="I17">IFERROR(
  VALUE($H17) *
  VALUE(
    _xlfn.XLOOKUP(
      TRIM($F17) &amp; "|" &amp; LEFT(SUBSTITUTE($G17,CHAR(160)," "),5) &amp; "|Full Rate",
      TRIM(SUBSTITUTE($Q$2:$Q$38,CHAR(160)," ")) &amp; "|" &amp;
      LEFT(SUBSTITUTE($R$2:$R$38,CHAR(160)," "),5) &amp; "|" &amp;
      TRIM(SUBSTITUTE($S$2:$S$38,CHAR(160)," ")),
      $T$2:$T$38
    )
  ),
"")</f>
        <v>325</v>
      </c>
      <c r="J17" s="52" cm="1">
        <f t="array" ref="J17">IFERROR(
  VALUE($H17) *
  VALUE(
    _xlfn.XLOOKUP(
      TRIM($F17) &amp; "|" &amp; LEFT(SUBSTITUTE($G17,CHAR(160)," "),5) &amp; "|Reduced Rate",
      TRIM(SUBSTITUTE($Q$2:$Q$38,CHAR(160)," ")) &amp; "|" &amp;
      LEFT(SUBSTITUTE($R$2:$R$38,CHAR(160)," "),5) &amp; "|" &amp;
      TRIM(SUBSTITUTE($S$2:$S$38,CHAR(160)," ")),
      $T$2:$T$38
    )
  ),
"")</f>
        <v>175</v>
      </c>
      <c r="K17" s="52" cm="1">
        <f t="array" ref="K17">IFERROR(
  VALUE($H17) *
  VALUE(
    _xlfn.XLOOKUP(
      TRIM($F17) &amp; "|" &amp; LEFT(SUBSTITUTE($G17,CHAR(160)," "),5) &amp; "|Ideas Rate",
      TRIM(SUBSTITUTE($Q$2:$Q$38,CHAR(160)," ")) &amp; "|" &amp;
      LEFT(SUBSTITUTE($R$2:$R$38,CHAR(160)," "),5) &amp; "|" &amp;
      TRIM(SUBSTITUTE($S$2:$S$38,CHAR(160)," ")),
      $T$2:$T$38
    )
  ),
"")</f>
        <v>95</v>
      </c>
      <c r="Q17" t="s">
        <v>9</v>
      </c>
      <c r="R17" t="s">
        <v>376</v>
      </c>
      <c r="S17" t="s">
        <v>384</v>
      </c>
      <c r="T17" s="32">
        <v>75</v>
      </c>
      <c r="V17" s="284" t="s">
        <v>29</v>
      </c>
      <c r="W17" s="285">
        <f t="shared" si="0"/>
        <v>90.5</v>
      </c>
      <c r="X17" s="120">
        <f>SUMIF($D:$D,$V17,$I:I)</f>
        <v>30100</v>
      </c>
      <c r="Y17" s="286"/>
    </row>
    <row r="18" spans="1:25" s="54" customFormat="1" x14ac:dyDescent="0.2">
      <c r="A18" s="276">
        <v>45839</v>
      </c>
      <c r="B18" s="277" t="s">
        <v>24</v>
      </c>
      <c r="C18" s="31" t="s">
        <v>12</v>
      </c>
      <c r="D18" s="78" t="s">
        <v>179</v>
      </c>
      <c r="E18" s="78" t="s">
        <v>23</v>
      </c>
      <c r="F18" s="78" t="s">
        <v>156</v>
      </c>
      <c r="G18" s="78" t="s">
        <v>367</v>
      </c>
      <c r="H18" s="278">
        <v>3.5</v>
      </c>
      <c r="I18" s="52" cm="1">
        <f t="array" ref="I18">IFERROR(
  VALUE($H18) *
  VALUE(
    _xlfn.XLOOKUP(
      TRIM($F18) &amp; "|" &amp; LEFT(SUBSTITUTE($G18,CHAR(160)," "),5) &amp; "|Full Rate",
      TRIM(SUBSTITUTE($Q$2:$Q$38,CHAR(160)," ")) &amp; "|" &amp;
      LEFT(SUBSTITUTE($R$2:$R$38,CHAR(160)," "),5) &amp; "|" &amp;
      TRIM(SUBSTITUTE($S$2:$S$38,CHAR(160)," ")),
      $T$2:$T$38
    )
  ),
"")</f>
        <v>1137.5</v>
      </c>
      <c r="J18" s="52" cm="1">
        <f t="array" ref="J18">IFERROR(
  VALUE($H18) *
  VALUE(
    _xlfn.XLOOKUP(
      TRIM($F18) &amp; "|" &amp; LEFT(SUBSTITUTE($G18,CHAR(160)," "),5) &amp; "|Reduced Rate",
      TRIM(SUBSTITUTE($Q$2:$Q$38,CHAR(160)," ")) &amp; "|" &amp;
      LEFT(SUBSTITUTE($R$2:$R$38,CHAR(160)," "),5) &amp; "|" &amp;
      TRIM(SUBSTITUTE($S$2:$S$38,CHAR(160)," ")),
      $T$2:$T$38
    )
  ),
"")</f>
        <v>612.5</v>
      </c>
      <c r="K18" s="52" cm="1">
        <f t="array" ref="K18">IFERROR(
  VALUE($H18) *
  VALUE(
    _xlfn.XLOOKUP(
      TRIM($F18) &amp; "|" &amp; LEFT(SUBSTITUTE($G18,CHAR(160)," "),5) &amp; "|Ideas Rate",
      TRIM(SUBSTITUTE($Q$2:$Q$38,CHAR(160)," ")) &amp; "|" &amp;
      LEFT(SUBSTITUTE($R$2:$R$38,CHAR(160)," "),5) &amp; "|" &amp;
      TRIM(SUBSTITUTE($S$2:$S$38,CHAR(160)," ")),
      $T$2:$T$38
    )
  ),
"")</f>
        <v>332.5</v>
      </c>
      <c r="Q18" t="s">
        <v>9</v>
      </c>
      <c r="R18" t="s">
        <v>368</v>
      </c>
      <c r="S18" t="s">
        <v>382</v>
      </c>
      <c r="T18" s="32">
        <v>100</v>
      </c>
      <c r="V18" s="284" t="s">
        <v>192</v>
      </c>
      <c r="W18" s="285">
        <f t="shared" si="0"/>
        <v>2</v>
      </c>
      <c r="X18" s="120">
        <f>SUMIF($D:$D,$V18,$I:I)</f>
        <v>650</v>
      </c>
      <c r="Y18" s="286"/>
    </row>
    <row r="19" spans="1:25" s="54" customFormat="1" x14ac:dyDescent="0.2">
      <c r="A19" s="276">
        <v>45840</v>
      </c>
      <c r="B19" s="277" t="s">
        <v>24</v>
      </c>
      <c r="C19" s="31" t="s">
        <v>12</v>
      </c>
      <c r="D19" s="78" t="s">
        <v>179</v>
      </c>
      <c r="E19" s="78" t="s">
        <v>23</v>
      </c>
      <c r="F19" s="78" t="s">
        <v>156</v>
      </c>
      <c r="G19" s="78" t="s">
        <v>367</v>
      </c>
      <c r="H19" s="278">
        <v>4</v>
      </c>
      <c r="I19" s="52" cm="1">
        <f t="array" ref="I19">IFERROR(
  VALUE($H19) *
  VALUE(
    _xlfn.XLOOKUP(
      TRIM($F19) &amp; "|" &amp; LEFT(SUBSTITUTE($G19,CHAR(160)," "),5) &amp; "|Full Rate",
      TRIM(SUBSTITUTE($Q$2:$Q$38,CHAR(160)," ")) &amp; "|" &amp;
      LEFT(SUBSTITUTE($R$2:$R$38,CHAR(160)," "),5) &amp; "|" &amp;
      TRIM(SUBSTITUTE($S$2:$S$38,CHAR(160)," ")),
      $T$2:$T$38
    )
  ),
"")</f>
        <v>1300</v>
      </c>
      <c r="J19" s="52" cm="1">
        <f t="array" ref="J19">IFERROR(
  VALUE($H19) *
  VALUE(
    _xlfn.XLOOKUP(
      TRIM($F19) &amp; "|" &amp; LEFT(SUBSTITUTE($G19,CHAR(160)," "),5) &amp; "|Reduced Rate",
      TRIM(SUBSTITUTE($Q$2:$Q$38,CHAR(160)," ")) &amp; "|" &amp;
      LEFT(SUBSTITUTE($R$2:$R$38,CHAR(160)," "),5) &amp; "|" &amp;
      TRIM(SUBSTITUTE($S$2:$S$38,CHAR(160)," ")),
      $T$2:$T$38
    )
  ),
"")</f>
        <v>700</v>
      </c>
      <c r="K19" s="52" cm="1">
        <f t="array" ref="K19">IFERROR(
  VALUE($H19) *
  VALUE(
    _xlfn.XLOOKUP(
      TRIM($F19) &amp; "|" &amp; LEFT(SUBSTITUTE($G19,CHAR(160)," "),5) &amp; "|Ideas Rate",
      TRIM(SUBSTITUTE($Q$2:$Q$38,CHAR(160)," ")) &amp; "|" &amp;
      LEFT(SUBSTITUTE($R$2:$R$38,CHAR(160)," "),5) &amp; "|" &amp;
      TRIM(SUBSTITUTE($S$2:$S$38,CHAR(160)," ")),
      $T$2:$T$38
    )
  ),
"")</f>
        <v>380</v>
      </c>
      <c r="Q19" t="s">
        <v>9</v>
      </c>
      <c r="R19" t="s">
        <v>368</v>
      </c>
      <c r="S19" t="s">
        <v>378</v>
      </c>
      <c r="T19" s="32">
        <v>50</v>
      </c>
      <c r="V19" s="284" t="s">
        <v>184</v>
      </c>
      <c r="W19" s="285">
        <f t="shared" si="0"/>
        <v>104.5</v>
      </c>
      <c r="X19" s="120">
        <f>SUMIF($D:$D,$V19,$I:I)</f>
        <v>40055</v>
      </c>
      <c r="Y19" s="286"/>
    </row>
    <row r="20" spans="1:25" s="54" customFormat="1" x14ac:dyDescent="0.2">
      <c r="A20" s="276">
        <v>45845</v>
      </c>
      <c r="B20" s="277" t="s">
        <v>24</v>
      </c>
      <c r="C20" s="31" t="s">
        <v>12</v>
      </c>
      <c r="D20" s="78" t="s">
        <v>179</v>
      </c>
      <c r="E20" s="78" t="s">
        <v>23</v>
      </c>
      <c r="F20" s="78" t="s">
        <v>156</v>
      </c>
      <c r="G20" s="78" t="s">
        <v>367</v>
      </c>
      <c r="H20" s="278">
        <v>2.5</v>
      </c>
      <c r="I20" s="52" cm="1">
        <f t="array" ref="I20">IFERROR(
  VALUE($H20) *
  VALUE(
    _xlfn.XLOOKUP(
      TRIM($F20) &amp; "|" &amp; LEFT(SUBSTITUTE($G20,CHAR(160)," "),5) &amp; "|Full Rate",
      TRIM(SUBSTITUTE($Q$2:$Q$38,CHAR(160)," ")) &amp; "|" &amp;
      LEFT(SUBSTITUTE($R$2:$R$38,CHAR(160)," "),5) &amp; "|" &amp;
      TRIM(SUBSTITUTE($S$2:$S$38,CHAR(160)," ")),
      $T$2:$T$38
    )
  ),
"")</f>
        <v>812.5</v>
      </c>
      <c r="J20" s="52" cm="1">
        <f t="array" ref="J20">IFERROR(
  VALUE($H20) *
  VALUE(
    _xlfn.XLOOKUP(
      TRIM($F20) &amp; "|" &amp; LEFT(SUBSTITUTE($G20,CHAR(160)," "),5) &amp; "|Reduced Rate",
      TRIM(SUBSTITUTE($Q$2:$Q$38,CHAR(160)," ")) &amp; "|" &amp;
      LEFT(SUBSTITUTE($R$2:$R$38,CHAR(160)," "),5) &amp; "|" &amp;
      TRIM(SUBSTITUTE($S$2:$S$38,CHAR(160)," ")),
      $T$2:$T$38
    )
  ),
"")</f>
        <v>437.5</v>
      </c>
      <c r="K20" s="52" cm="1">
        <f t="array" ref="K20">IFERROR(
  VALUE($H20) *
  VALUE(
    _xlfn.XLOOKUP(
      TRIM($F20) &amp; "|" &amp; LEFT(SUBSTITUTE($G20,CHAR(160)," "),5) &amp; "|Ideas Rate",
      TRIM(SUBSTITUTE($Q$2:$Q$38,CHAR(160)," ")) &amp; "|" &amp;
      LEFT(SUBSTITUTE($R$2:$R$38,CHAR(160)," "),5) &amp; "|" &amp;
      TRIM(SUBSTITUTE($S$2:$S$38,CHAR(160)," ")),
      $T$2:$T$38
    )
  ),
"")</f>
        <v>237.5</v>
      </c>
      <c r="Q20" t="s">
        <v>9</v>
      </c>
      <c r="R20" t="s">
        <v>368</v>
      </c>
      <c r="S20" t="s">
        <v>384</v>
      </c>
      <c r="T20" s="32">
        <v>30</v>
      </c>
      <c r="V20" s="284" t="s">
        <v>187</v>
      </c>
      <c r="W20" s="285">
        <f t="shared" si="0"/>
        <v>419.5</v>
      </c>
      <c r="X20" s="120">
        <f>SUMIF($D:$D,$V20,$I:I)</f>
        <v>124312.5</v>
      </c>
      <c r="Y20" s="286"/>
    </row>
    <row r="21" spans="1:25" s="54" customFormat="1" x14ac:dyDescent="0.2">
      <c r="A21" s="276">
        <v>45847</v>
      </c>
      <c r="B21" s="277" t="s">
        <v>24</v>
      </c>
      <c r="C21" s="31" t="s">
        <v>12</v>
      </c>
      <c r="D21" s="78" t="s">
        <v>179</v>
      </c>
      <c r="E21" s="78" t="s">
        <v>25</v>
      </c>
      <c r="F21" s="78" t="s">
        <v>156</v>
      </c>
      <c r="G21" s="78" t="s">
        <v>367</v>
      </c>
      <c r="H21" s="278">
        <v>2</v>
      </c>
      <c r="I21" s="52" cm="1">
        <f t="array" ref="I21">IFERROR(
  VALUE($H21) *
  VALUE(
    _xlfn.XLOOKUP(
      TRIM($F21) &amp; "|" &amp; LEFT(SUBSTITUTE($G21,CHAR(160)," "),5) &amp; "|Full Rate",
      TRIM(SUBSTITUTE($Q$2:$Q$38,CHAR(160)," ")) &amp; "|" &amp;
      LEFT(SUBSTITUTE($R$2:$R$38,CHAR(160)," "),5) &amp; "|" &amp;
      TRIM(SUBSTITUTE($S$2:$S$38,CHAR(160)," ")),
      $T$2:$T$38
    )
  ),
"")</f>
        <v>650</v>
      </c>
      <c r="J21" s="52" cm="1">
        <f t="array" ref="J21">IFERROR(
  VALUE($H21) *
  VALUE(
    _xlfn.XLOOKUP(
      TRIM($F21) &amp; "|" &amp; LEFT(SUBSTITUTE($G21,CHAR(160)," "),5) &amp; "|Reduced Rate",
      TRIM(SUBSTITUTE($Q$2:$Q$38,CHAR(160)," ")) &amp; "|" &amp;
      LEFT(SUBSTITUTE($R$2:$R$38,CHAR(160)," "),5) &amp; "|" &amp;
      TRIM(SUBSTITUTE($S$2:$S$38,CHAR(160)," ")),
      $T$2:$T$38
    )
  ),
"")</f>
        <v>350</v>
      </c>
      <c r="K21" s="52" cm="1">
        <f t="array" ref="K21">IFERROR(
  VALUE($H21) *
  VALUE(
    _xlfn.XLOOKUP(
      TRIM($F21) &amp; "|" &amp; LEFT(SUBSTITUTE($G21,CHAR(160)," "),5) &amp; "|Ideas Rate",
      TRIM(SUBSTITUTE($Q$2:$Q$38,CHAR(160)," ")) &amp; "|" &amp;
      LEFT(SUBSTITUTE($R$2:$R$38,CHAR(160)," "),5) &amp; "|" &amp;
      TRIM(SUBSTITUTE($S$2:$S$38,CHAR(160)," ")),
      $T$2:$T$38
    )
  ),
"")</f>
        <v>190</v>
      </c>
      <c r="Q21" s="56" t="s">
        <v>155</v>
      </c>
      <c r="R21" s="56" t="s">
        <v>375</v>
      </c>
      <c r="S21" s="56" t="s">
        <v>382</v>
      </c>
      <c r="T21" s="57">
        <v>400</v>
      </c>
      <c r="V21" s="284" t="s">
        <v>323</v>
      </c>
      <c r="W21" s="285">
        <f t="shared" si="0"/>
        <v>102</v>
      </c>
      <c r="X21" s="120">
        <f>SUMIF($D:$D,$V21,$I:I)</f>
        <v>10221.810000000001</v>
      </c>
      <c r="Y21" s="286"/>
    </row>
    <row r="22" spans="1:25" s="54" customFormat="1" x14ac:dyDescent="0.2">
      <c r="A22" s="276">
        <v>45847</v>
      </c>
      <c r="B22" s="277" t="s">
        <v>24</v>
      </c>
      <c r="C22" s="31" t="s">
        <v>12</v>
      </c>
      <c r="D22" s="78" t="s">
        <v>179</v>
      </c>
      <c r="E22" s="78" t="s">
        <v>26</v>
      </c>
      <c r="F22" s="78" t="s">
        <v>156</v>
      </c>
      <c r="G22" s="78" t="s">
        <v>367</v>
      </c>
      <c r="H22" s="278">
        <v>4</v>
      </c>
      <c r="I22" s="52" cm="1">
        <f t="array" ref="I22">IFERROR(
  VALUE($H22) *
  VALUE(
    _xlfn.XLOOKUP(
      TRIM($F22) &amp; "|" &amp; LEFT(SUBSTITUTE($G22,CHAR(160)," "),5) &amp; "|Full Rate",
      TRIM(SUBSTITUTE($Q$2:$Q$38,CHAR(160)," ")) &amp; "|" &amp;
      LEFT(SUBSTITUTE($R$2:$R$38,CHAR(160)," "),5) &amp; "|" &amp;
      TRIM(SUBSTITUTE($S$2:$S$38,CHAR(160)," ")),
      $T$2:$T$38
    )
  ),
"")</f>
        <v>1300</v>
      </c>
      <c r="J22" s="52" cm="1">
        <f t="array" ref="J22">IFERROR(
  VALUE($H22) *
  VALUE(
    _xlfn.XLOOKUP(
      TRIM($F22) &amp; "|" &amp; LEFT(SUBSTITUTE($G22,CHAR(160)," "),5) &amp; "|Reduced Rate",
      TRIM(SUBSTITUTE($Q$2:$Q$38,CHAR(160)," ")) &amp; "|" &amp;
      LEFT(SUBSTITUTE($R$2:$R$38,CHAR(160)," "),5) &amp; "|" &amp;
      TRIM(SUBSTITUTE($S$2:$S$38,CHAR(160)," ")),
      $T$2:$T$38
    )
  ),
"")</f>
        <v>700</v>
      </c>
      <c r="K22" s="52" cm="1">
        <f t="array" ref="K22">IFERROR(
  VALUE($H22) *
  VALUE(
    _xlfn.XLOOKUP(
      TRIM($F22) &amp; "|" &amp; LEFT(SUBSTITUTE($G22,CHAR(160)," "),5) &amp; "|Ideas Rate",
      TRIM(SUBSTITUTE($Q$2:$Q$38,CHAR(160)," ")) &amp; "|" &amp;
      LEFT(SUBSTITUTE($R$2:$R$38,CHAR(160)," "),5) &amp; "|" &amp;
      TRIM(SUBSTITUTE($S$2:$S$38,CHAR(160)," ")),
      $T$2:$T$38
    )
  ),
"")</f>
        <v>380</v>
      </c>
      <c r="Q22" t="s">
        <v>155</v>
      </c>
      <c r="R22" t="s">
        <v>375</v>
      </c>
      <c r="S22" t="s">
        <v>383</v>
      </c>
      <c r="T22" s="32">
        <v>200</v>
      </c>
      <c r="V22" s="284" t="s">
        <v>324</v>
      </c>
      <c r="W22" s="285">
        <f t="shared" si="0"/>
        <v>1.5</v>
      </c>
      <c r="X22" s="120">
        <f>SUMIF($D:$D,$V22,$I:I)</f>
        <v>750</v>
      </c>
      <c r="Y22" s="286"/>
    </row>
    <row r="23" spans="1:25" s="54" customFormat="1" x14ac:dyDescent="0.2">
      <c r="A23" s="276">
        <v>45848</v>
      </c>
      <c r="B23" s="277" t="s">
        <v>24</v>
      </c>
      <c r="C23" s="31" t="s">
        <v>12</v>
      </c>
      <c r="D23" s="78" t="s">
        <v>179</v>
      </c>
      <c r="E23" s="78" t="s">
        <v>26</v>
      </c>
      <c r="F23" s="78" t="s">
        <v>156</v>
      </c>
      <c r="G23" s="78" t="s">
        <v>367</v>
      </c>
      <c r="H23" s="278">
        <v>3</v>
      </c>
      <c r="I23" s="52" cm="1">
        <f t="array" ref="I23">IFERROR(
  VALUE($H23) *
  VALUE(
    _xlfn.XLOOKUP(
      TRIM($F23) &amp; "|" &amp; LEFT(SUBSTITUTE($G23,CHAR(160)," "),5) &amp; "|Full Rate",
      TRIM(SUBSTITUTE($Q$2:$Q$38,CHAR(160)," ")) &amp; "|" &amp;
      LEFT(SUBSTITUTE($R$2:$R$38,CHAR(160)," "),5) &amp; "|" &amp;
      TRIM(SUBSTITUTE($S$2:$S$38,CHAR(160)," ")),
      $T$2:$T$38
    )
  ),
"")</f>
        <v>975</v>
      </c>
      <c r="J23" s="52" cm="1">
        <f t="array" ref="J23">IFERROR(
  VALUE($H23) *
  VALUE(
    _xlfn.XLOOKUP(
      TRIM($F23) &amp; "|" &amp; LEFT(SUBSTITUTE($G23,CHAR(160)," "),5) &amp; "|Reduced Rate",
      TRIM(SUBSTITUTE($Q$2:$Q$38,CHAR(160)," ")) &amp; "|" &amp;
      LEFT(SUBSTITUTE($R$2:$R$38,CHAR(160)," "),5) &amp; "|" &amp;
      TRIM(SUBSTITUTE($S$2:$S$38,CHAR(160)," ")),
      $T$2:$T$38
    )
  ),
"")</f>
        <v>525</v>
      </c>
      <c r="K23" s="52" cm="1">
        <f t="array" ref="K23">IFERROR(
  VALUE($H23) *
  VALUE(
    _xlfn.XLOOKUP(
      TRIM($F23) &amp; "|" &amp; LEFT(SUBSTITUTE($G23,CHAR(160)," "),5) &amp; "|Ideas Rate",
      TRIM(SUBSTITUTE($Q$2:$Q$38,CHAR(160)," ")) &amp; "|" &amp;
      LEFT(SUBSTITUTE($R$2:$R$38,CHAR(160)," "),5) &amp; "|" &amp;
      TRIM(SUBSTITUTE($S$2:$S$38,CHAR(160)," ")),
      $T$2:$T$38
    )
  ),
"")</f>
        <v>285</v>
      </c>
      <c r="Q23" t="s">
        <v>155</v>
      </c>
      <c r="R23" t="s">
        <v>375</v>
      </c>
      <c r="S23" t="s">
        <v>384</v>
      </c>
      <c r="T23" s="32">
        <v>120</v>
      </c>
    </row>
    <row r="24" spans="1:25" x14ac:dyDescent="0.2">
      <c r="A24" s="4">
        <v>45848</v>
      </c>
      <c r="B24" s="7" t="s">
        <v>24</v>
      </c>
      <c r="C24" s="31" t="s">
        <v>12</v>
      </c>
      <c r="D24" s="2" t="s">
        <v>182</v>
      </c>
      <c r="E24" s="2" t="s">
        <v>27</v>
      </c>
      <c r="F24" s="78" t="s">
        <v>156</v>
      </c>
      <c r="G24" s="78" t="s">
        <v>367</v>
      </c>
      <c r="H24" s="35">
        <v>2</v>
      </c>
      <c r="I24" s="52" cm="1">
        <f t="array" ref="I24">IFERROR(
  VALUE($H24) *
  VALUE(
    _xlfn.XLOOKUP(
      TRIM($F24) &amp; "|" &amp; LEFT(SUBSTITUTE($G24,CHAR(160)," "),5) &amp; "|Full Rate",
      TRIM(SUBSTITUTE($Q$2:$Q$38,CHAR(160)," ")) &amp; "|" &amp;
      LEFT(SUBSTITUTE($R$2:$R$38,CHAR(160)," "),5) &amp; "|" &amp;
      TRIM(SUBSTITUTE($S$2:$S$38,CHAR(160)," ")),
      $T$2:$T$38
    )
  ),
"")</f>
        <v>650</v>
      </c>
      <c r="J24" s="52" cm="1">
        <f t="array" ref="J24">IFERROR(
  VALUE($H24) *
  VALUE(
    _xlfn.XLOOKUP(
      TRIM($F24) &amp; "|" &amp; LEFT(SUBSTITUTE($G24,CHAR(160)," "),5) &amp; "|Reduced Rate",
      TRIM(SUBSTITUTE($Q$2:$Q$38,CHAR(160)," ")) &amp; "|" &amp;
      LEFT(SUBSTITUTE($R$2:$R$38,CHAR(160)," "),5) &amp; "|" &amp;
      TRIM(SUBSTITUTE($S$2:$S$38,CHAR(160)," ")),
      $T$2:$T$38
    )
  ),
"")</f>
        <v>350</v>
      </c>
      <c r="K24" s="52" cm="1">
        <f t="array" ref="K24">IFERROR(
  VALUE($H24) *
  VALUE(
    _xlfn.XLOOKUP(
      TRIM($F24) &amp; "|" &amp; LEFT(SUBSTITUTE($G24,CHAR(160)," "),5) &amp; "|Ideas Rate",
      TRIM(SUBSTITUTE($Q$2:$Q$38,CHAR(160)," ")) &amp; "|" &amp;
      LEFT(SUBSTITUTE($R$2:$R$38,CHAR(160)," "),5) &amp; "|" &amp;
      TRIM(SUBSTITUTE($S$2:$S$38,CHAR(160)," ")),
      $T$2:$T$38
    )
  ),
"")</f>
        <v>190</v>
      </c>
      <c r="Q24" t="s">
        <v>155</v>
      </c>
      <c r="R24" t="s">
        <v>376</v>
      </c>
      <c r="S24" t="s">
        <v>382</v>
      </c>
      <c r="T24" s="32">
        <v>260</v>
      </c>
    </row>
    <row r="25" spans="1:25" x14ac:dyDescent="0.2">
      <c r="A25" s="4">
        <v>45848</v>
      </c>
      <c r="B25" s="7" t="s">
        <v>24</v>
      </c>
      <c r="C25" s="31" t="s">
        <v>12</v>
      </c>
      <c r="D25" s="2" t="s">
        <v>182</v>
      </c>
      <c r="E25" s="2" t="s">
        <v>28</v>
      </c>
      <c r="F25" s="78" t="s">
        <v>155</v>
      </c>
      <c r="G25" s="78" t="s">
        <v>367</v>
      </c>
      <c r="H25" s="35">
        <v>1</v>
      </c>
      <c r="I25" s="52" cm="1">
        <f t="array" ref="I25">IFERROR(
  VALUE($H25) *
  VALUE(
    _xlfn.XLOOKUP(
      TRIM($F25) &amp; "|" &amp; LEFT(SUBSTITUTE($G25,CHAR(160)," "),5) &amp; "|Full Rate",
      TRIM(SUBSTITUTE($Q$2:$Q$38,CHAR(160)," ")) &amp; "|" &amp;
      LEFT(SUBSTITUTE($R$2:$R$38,CHAR(160)," "),5) &amp; "|" &amp;
      TRIM(SUBSTITUTE($S$2:$S$38,CHAR(160)," ")),
      $T$2:$T$38
    )
  ),
"")</f>
        <v>400</v>
      </c>
      <c r="J25" s="52" cm="1">
        <f t="array" ref="J25">IFERROR(
  VALUE($H25) *
  VALUE(
    _xlfn.XLOOKUP(
      TRIM($F25) &amp; "|" &amp; LEFT(SUBSTITUTE($G25,CHAR(160)," "),5) &amp; "|Reduced Rate",
      TRIM(SUBSTITUTE($Q$2:$Q$38,CHAR(160)," ")) &amp; "|" &amp;
      LEFT(SUBSTITUTE($R$2:$R$38,CHAR(160)," "),5) &amp; "|" &amp;
      TRIM(SUBSTITUTE($S$2:$S$38,CHAR(160)," ")),
      $T$2:$T$38
    )
  ),
"")</f>
        <v>200</v>
      </c>
      <c r="K25" s="52" cm="1">
        <f t="array" ref="K25">IFERROR(
  VALUE($H25) *
  VALUE(
    _xlfn.XLOOKUP(
      TRIM($F25) &amp; "|" &amp; LEFT(SUBSTITUTE($G25,CHAR(160)," "),5) &amp; "|Ideas Rate",
      TRIM(SUBSTITUTE($Q$2:$Q$38,CHAR(160)," ")) &amp; "|" &amp;
      LEFT(SUBSTITUTE($R$2:$R$38,CHAR(160)," "),5) &amp; "|" &amp;
      TRIM(SUBSTITUTE($S$2:$S$38,CHAR(160)," ")),
      $T$2:$T$38
    )
  ),
"")</f>
        <v>120</v>
      </c>
      <c r="Q25" t="s">
        <v>155</v>
      </c>
      <c r="R25" t="s">
        <v>376</v>
      </c>
      <c r="S25" t="s">
        <v>383</v>
      </c>
      <c r="T25" s="32">
        <v>120</v>
      </c>
    </row>
    <row r="26" spans="1:25" s="54" customFormat="1" x14ac:dyDescent="0.2">
      <c r="A26" s="276">
        <v>45849</v>
      </c>
      <c r="B26" s="277" t="s">
        <v>24</v>
      </c>
      <c r="C26" s="31" t="s">
        <v>12</v>
      </c>
      <c r="D26" s="78" t="s">
        <v>179</v>
      </c>
      <c r="E26" s="78" t="s">
        <v>25</v>
      </c>
      <c r="F26" s="78" t="s">
        <v>156</v>
      </c>
      <c r="G26" s="78" t="s">
        <v>367</v>
      </c>
      <c r="H26" s="278">
        <v>1</v>
      </c>
      <c r="I26" s="52" cm="1">
        <f t="array" ref="I26">IFERROR(
  VALUE($H26) *
  VALUE(
    _xlfn.XLOOKUP(
      TRIM($F26) &amp; "|" &amp; LEFT(SUBSTITUTE($G26,CHAR(160)," "),5) &amp; "|Full Rate",
      TRIM(SUBSTITUTE($Q$2:$Q$38,CHAR(160)," ")) &amp; "|" &amp;
      LEFT(SUBSTITUTE($R$2:$R$38,CHAR(160)," "),5) &amp; "|" &amp;
      TRIM(SUBSTITUTE($S$2:$S$38,CHAR(160)," ")),
      $T$2:$T$38
    )
  ),
"")</f>
        <v>325</v>
      </c>
      <c r="J26" s="52" cm="1">
        <f t="array" ref="J26">IFERROR(
  VALUE($H26) *
  VALUE(
    _xlfn.XLOOKUP(
      TRIM($F26) &amp; "|" &amp; LEFT(SUBSTITUTE($G26,CHAR(160)," "),5) &amp; "|Reduced Rate",
      TRIM(SUBSTITUTE($Q$2:$Q$38,CHAR(160)," ")) &amp; "|" &amp;
      LEFT(SUBSTITUTE($R$2:$R$38,CHAR(160)," "),5) &amp; "|" &amp;
      TRIM(SUBSTITUTE($S$2:$S$38,CHAR(160)," ")),
      $T$2:$T$38
    )
  ),
"")</f>
        <v>175</v>
      </c>
      <c r="K26" s="52" cm="1">
        <f t="array" ref="K26">IFERROR(
  VALUE($H26) *
  VALUE(
    _xlfn.XLOOKUP(
      TRIM($F26) &amp; "|" &amp; LEFT(SUBSTITUTE($G26,CHAR(160)," "),5) &amp; "|Ideas Rate",
      TRIM(SUBSTITUTE($Q$2:$Q$38,CHAR(160)," ")) &amp; "|" &amp;
      LEFT(SUBSTITUTE($R$2:$R$38,CHAR(160)," "),5) &amp; "|" &amp;
      TRIM(SUBSTITUTE($S$2:$S$38,CHAR(160)," ")),
      $T$2:$T$38
    )
  ),
"")</f>
        <v>95</v>
      </c>
      <c r="Q26" t="s">
        <v>155</v>
      </c>
      <c r="R26" t="s">
        <v>376</v>
      </c>
      <c r="S26" t="s">
        <v>384</v>
      </c>
      <c r="T26" s="32">
        <v>90</v>
      </c>
    </row>
    <row r="27" spans="1:25" s="54" customFormat="1" x14ac:dyDescent="0.2">
      <c r="A27" s="276">
        <v>45849</v>
      </c>
      <c r="B27" s="277" t="s">
        <v>24</v>
      </c>
      <c r="C27" s="31" t="s">
        <v>12</v>
      </c>
      <c r="D27" s="78" t="s">
        <v>179</v>
      </c>
      <c r="E27" s="78" t="s">
        <v>26</v>
      </c>
      <c r="F27" s="78" t="s">
        <v>156</v>
      </c>
      <c r="G27" s="78" t="s">
        <v>367</v>
      </c>
      <c r="H27" s="278">
        <v>2.5</v>
      </c>
      <c r="I27" s="52" cm="1">
        <f t="array" ref="I27">IFERROR(
  VALUE($H27) *
  VALUE(
    _xlfn.XLOOKUP(
      TRIM($F27) &amp; "|" &amp; LEFT(SUBSTITUTE($G27,CHAR(160)," "),5) &amp; "|Full Rate",
      TRIM(SUBSTITUTE($Q$2:$Q$38,CHAR(160)," ")) &amp; "|" &amp;
      LEFT(SUBSTITUTE($R$2:$R$38,CHAR(160)," "),5) &amp; "|" &amp;
      TRIM(SUBSTITUTE($S$2:$S$38,CHAR(160)," ")),
      $T$2:$T$38
    )
  ),
"")</f>
        <v>812.5</v>
      </c>
      <c r="J27" s="52" cm="1">
        <f t="array" ref="J27">IFERROR(
  VALUE($H27) *
  VALUE(
    _xlfn.XLOOKUP(
      TRIM($F27) &amp; "|" &amp; LEFT(SUBSTITUTE($G27,CHAR(160)," "),5) &amp; "|Reduced Rate",
      TRIM(SUBSTITUTE($Q$2:$Q$38,CHAR(160)," ")) &amp; "|" &amp;
      LEFT(SUBSTITUTE($R$2:$R$38,CHAR(160)," "),5) &amp; "|" &amp;
      TRIM(SUBSTITUTE($S$2:$S$38,CHAR(160)," ")),
      $T$2:$T$38
    )
  ),
"")</f>
        <v>437.5</v>
      </c>
      <c r="K27" s="52" cm="1">
        <f t="array" ref="K27">IFERROR(
  VALUE($H27) *
  VALUE(
    _xlfn.XLOOKUP(
      TRIM($F27) &amp; "|" &amp; LEFT(SUBSTITUTE($G27,CHAR(160)," "),5) &amp; "|Ideas Rate",
      TRIM(SUBSTITUTE($Q$2:$Q$38,CHAR(160)," ")) &amp; "|" &amp;
      LEFT(SUBSTITUTE($R$2:$R$38,CHAR(160)," "),5) &amp; "|" &amp;
      TRIM(SUBSTITUTE($S$2:$S$38,CHAR(160)," ")),
      $T$2:$T$38
    )
  ),
"")</f>
        <v>237.5</v>
      </c>
      <c r="Q27" t="s">
        <v>155</v>
      </c>
      <c r="R27" t="s">
        <v>368</v>
      </c>
      <c r="S27" t="s">
        <v>382</v>
      </c>
      <c r="T27" s="32">
        <v>100</v>
      </c>
    </row>
    <row r="28" spans="1:25" x14ac:dyDescent="0.2">
      <c r="A28" s="4">
        <v>45849</v>
      </c>
      <c r="B28" s="7" t="s">
        <v>24</v>
      </c>
      <c r="C28" s="31" t="s">
        <v>12</v>
      </c>
      <c r="D28" s="2" t="s">
        <v>182</v>
      </c>
      <c r="E28" s="2" t="s">
        <v>28</v>
      </c>
      <c r="F28" s="78" t="s">
        <v>155</v>
      </c>
      <c r="G28" s="78" t="s">
        <v>367</v>
      </c>
      <c r="H28" s="35">
        <v>3</v>
      </c>
      <c r="I28" s="52" cm="1">
        <f t="array" ref="I28">IFERROR(
  VALUE($H28) *
  VALUE(
    _xlfn.XLOOKUP(
      TRIM($F28) &amp; "|" &amp; LEFT(SUBSTITUTE($G28,CHAR(160)," "),5) &amp; "|Full Rate",
      TRIM(SUBSTITUTE($Q$2:$Q$38,CHAR(160)," ")) &amp; "|" &amp;
      LEFT(SUBSTITUTE($R$2:$R$38,CHAR(160)," "),5) &amp; "|" &amp;
      TRIM(SUBSTITUTE($S$2:$S$38,CHAR(160)," ")),
      $T$2:$T$38
    )
  ),
"")</f>
        <v>1200</v>
      </c>
      <c r="J28" s="52" cm="1">
        <f t="array" ref="J28">IFERROR(
  VALUE($H28) *
  VALUE(
    _xlfn.XLOOKUP(
      TRIM($F28) &amp; "|" &amp; LEFT(SUBSTITUTE($G28,CHAR(160)," "),5) &amp; "|Reduced Rate",
      TRIM(SUBSTITUTE($Q$2:$Q$38,CHAR(160)," ")) &amp; "|" &amp;
      LEFT(SUBSTITUTE($R$2:$R$38,CHAR(160)," "),5) &amp; "|" &amp;
      TRIM(SUBSTITUTE($S$2:$S$38,CHAR(160)," ")),
      $T$2:$T$38
    )
  ),
"")</f>
        <v>600</v>
      </c>
      <c r="K28" s="52" cm="1">
        <f t="array" ref="K28">IFERROR(
  VALUE($H28) *
  VALUE(
    _xlfn.XLOOKUP(
      TRIM($F28) &amp; "|" &amp; LEFT(SUBSTITUTE($G28,CHAR(160)," "),5) &amp; "|Ideas Rate",
      TRIM(SUBSTITUTE($Q$2:$Q$38,CHAR(160)," ")) &amp; "|" &amp;
      LEFT(SUBSTITUTE($R$2:$R$38,CHAR(160)," "),5) &amp; "|" &amp;
      TRIM(SUBSTITUTE($S$2:$S$38,CHAR(160)," ")),
      $T$2:$T$38
    )
  ),
"")</f>
        <v>360</v>
      </c>
      <c r="Q28" t="s">
        <v>155</v>
      </c>
      <c r="R28" t="s">
        <v>368</v>
      </c>
      <c r="S28" t="s">
        <v>383</v>
      </c>
      <c r="T28" s="32">
        <v>50</v>
      </c>
    </row>
    <row r="29" spans="1:25" s="54" customFormat="1" x14ac:dyDescent="0.2">
      <c r="A29" s="276">
        <v>45849</v>
      </c>
      <c r="B29" s="277" t="s">
        <v>24</v>
      </c>
      <c r="C29" s="31" t="s">
        <v>12</v>
      </c>
      <c r="D29" s="78" t="s">
        <v>29</v>
      </c>
      <c r="E29" s="78" t="s">
        <v>29</v>
      </c>
      <c r="F29" s="78" t="s">
        <v>10</v>
      </c>
      <c r="G29" s="78" t="s">
        <v>380</v>
      </c>
      <c r="H29" s="278">
        <v>5</v>
      </c>
      <c r="I29" s="52" cm="1">
        <f t="array" ref="I29">IFERROR(
  VALUE($H29) *
  VALUE(
    _xlfn.XLOOKUP(
      TRIM($F29) &amp; "|" &amp; LEFT(SUBSTITUTE($G29,CHAR(160)," "),5) &amp; "|Full Rate",
      TRIM(SUBSTITUTE($Q$2:$Q$38,CHAR(160)," ")) &amp; "|" &amp;
      LEFT(SUBSTITUTE($R$2:$R$38,CHAR(160)," "),5) &amp; "|" &amp;
      TRIM(SUBSTITUTE($S$2:$S$38,CHAR(160)," ")),
      $T$2:$T$38
    )
  ),
"")</f>
        <v>1250</v>
      </c>
      <c r="J29" s="52" cm="1">
        <f t="array" ref="J29">IFERROR(
  VALUE($H29) *
  VALUE(
    _xlfn.XLOOKUP(
      TRIM($F29) &amp; "|" &amp; LEFT(SUBSTITUTE($G29,CHAR(160)," "),5) &amp; "|Reduced Rate",
      TRIM(SUBSTITUTE($Q$2:$Q$38,CHAR(160)," ")) &amp; "|" &amp;
      LEFT(SUBSTITUTE($R$2:$R$38,CHAR(160)," "),5) &amp; "|" &amp;
      TRIM(SUBSTITUTE($S$2:$S$38,CHAR(160)," ")),
      $T$2:$T$38
    )
  ),
"")</f>
        <v>750</v>
      </c>
      <c r="K29" s="52" cm="1">
        <f t="array" ref="K29">IFERROR(
  VALUE($H29) *
  VALUE(
    _xlfn.XLOOKUP(
      TRIM($F29) &amp; "|" &amp; LEFT(SUBSTITUTE($G29,CHAR(160)," "),5) &amp; "|Ideas Rate",
      TRIM(SUBSTITUTE($Q$2:$Q$38,CHAR(160)," ")) &amp; "|" &amp;
      LEFT(SUBSTITUTE($R$2:$R$38,CHAR(160)," "),5) &amp; "|" &amp;
      TRIM(SUBSTITUTE($S$2:$S$38,CHAR(160)," ")),
      $T$2:$T$38
    )
  ),
"")</f>
        <v>375</v>
      </c>
      <c r="Q29" t="s">
        <v>155</v>
      </c>
      <c r="R29" t="s">
        <v>368</v>
      </c>
      <c r="S29" t="s">
        <v>384</v>
      </c>
      <c r="T29" s="32">
        <v>30</v>
      </c>
    </row>
    <row r="30" spans="1:25" s="54" customFormat="1" x14ac:dyDescent="0.2">
      <c r="A30" s="276">
        <v>45852</v>
      </c>
      <c r="B30" s="277" t="s">
        <v>24</v>
      </c>
      <c r="C30" s="31" t="s">
        <v>12</v>
      </c>
      <c r="D30" s="78" t="s">
        <v>179</v>
      </c>
      <c r="E30" s="78" t="s">
        <v>30</v>
      </c>
      <c r="F30" s="78" t="s">
        <v>156</v>
      </c>
      <c r="G30" s="78" t="s">
        <v>367</v>
      </c>
      <c r="H30" s="278">
        <v>4.5</v>
      </c>
      <c r="I30" s="52" cm="1">
        <f t="array" ref="I30">IFERROR(
  VALUE($H30) *
  VALUE(
    _xlfn.XLOOKUP(
      TRIM($F30) &amp; "|" &amp; LEFT(SUBSTITUTE($G30,CHAR(160)," "),5) &amp; "|Full Rate",
      TRIM(SUBSTITUTE($Q$2:$Q$38,CHAR(160)," ")) &amp; "|" &amp;
      LEFT(SUBSTITUTE($R$2:$R$38,CHAR(160)," "),5) &amp; "|" &amp;
      TRIM(SUBSTITUTE($S$2:$S$38,CHAR(160)," ")),
      $T$2:$T$38
    )
  ),
"")</f>
        <v>1462.5</v>
      </c>
      <c r="J30" s="52" cm="1">
        <f t="array" ref="J30">IFERROR(
  VALUE($H30) *
  VALUE(
    _xlfn.XLOOKUP(
      TRIM($F30) &amp; "|" &amp; LEFT(SUBSTITUTE($G30,CHAR(160)," "),5) &amp; "|Reduced Rate",
      TRIM(SUBSTITUTE($Q$2:$Q$38,CHAR(160)," ")) &amp; "|" &amp;
      LEFT(SUBSTITUTE($R$2:$R$38,CHAR(160)," "),5) &amp; "|" &amp;
      TRIM(SUBSTITUTE($S$2:$S$38,CHAR(160)," ")),
      $T$2:$T$38
    )
  ),
"")</f>
        <v>787.5</v>
      </c>
      <c r="K30" s="52" cm="1">
        <f t="array" ref="K30">IFERROR(
  VALUE($H30) *
  VALUE(
    _xlfn.XLOOKUP(
      TRIM($F30) &amp; "|" &amp; LEFT(SUBSTITUTE($G30,CHAR(160)," "),5) &amp; "|Ideas Rate",
      TRIM(SUBSTITUTE($Q$2:$Q$38,CHAR(160)," ")) &amp; "|" &amp;
      LEFT(SUBSTITUTE($R$2:$R$38,CHAR(160)," "),5) &amp; "|" &amp;
      TRIM(SUBSTITUTE($S$2:$S$38,CHAR(160)," ")),
      $T$2:$T$38
    )
  ),
"")</f>
        <v>427.5</v>
      </c>
      <c r="Q30" s="56" t="s">
        <v>156</v>
      </c>
      <c r="R30" s="56" t="s">
        <v>375</v>
      </c>
      <c r="S30" s="56" t="s">
        <v>382</v>
      </c>
      <c r="T30" s="57">
        <v>325</v>
      </c>
    </row>
    <row r="31" spans="1:25" s="54" customFormat="1" x14ac:dyDescent="0.2">
      <c r="A31" s="276">
        <v>45852</v>
      </c>
      <c r="B31" s="277" t="s">
        <v>24</v>
      </c>
      <c r="C31" s="31" t="s">
        <v>12</v>
      </c>
      <c r="D31" s="78" t="s">
        <v>29</v>
      </c>
      <c r="E31" s="78" t="s">
        <v>31</v>
      </c>
      <c r="F31" s="78" t="s">
        <v>10</v>
      </c>
      <c r="G31" s="78" t="s">
        <v>367</v>
      </c>
      <c r="H31" s="278">
        <v>1.5</v>
      </c>
      <c r="I31" s="52" cm="1">
        <f t="array" ref="I31">IFERROR(
  VALUE($H31) *
  VALUE(
    _xlfn.XLOOKUP(
      TRIM($F31) &amp; "|" &amp; LEFT(SUBSTITUTE($G31,CHAR(160)," "),5) &amp; "|Full Rate",
      TRIM(SUBSTITUTE($Q$2:$Q$38,CHAR(160)," ")) &amp; "|" &amp;
      LEFT(SUBSTITUTE($R$2:$R$38,CHAR(160)," "),5) &amp; "|" &amp;
      TRIM(SUBSTITUTE($S$2:$S$38,CHAR(160)," ")),
      $T$2:$T$38
    )
  ),
"")</f>
        <v>750</v>
      </c>
      <c r="J31" s="52" cm="1">
        <f t="array" ref="J31">IFERROR(
  VALUE($H31) *
  VALUE(
    _xlfn.XLOOKUP(
      TRIM($F31) &amp; "|" &amp; LEFT(SUBSTITUTE($G31,CHAR(160)," "),5) &amp; "|Reduced Rate",
      TRIM(SUBSTITUTE($Q$2:$Q$38,CHAR(160)," ")) &amp; "|" &amp;
      LEFT(SUBSTITUTE($R$2:$R$38,CHAR(160)," "),5) &amp; "|" &amp;
      TRIM(SUBSTITUTE($S$2:$S$38,CHAR(160)," ")),
      $T$2:$T$38
    )
  ),
"")</f>
        <v>450</v>
      </c>
      <c r="K31" s="52" cm="1">
        <f t="array" ref="K31">IFERROR(
  VALUE($H31) *
  VALUE(
    _xlfn.XLOOKUP(
      TRIM($F31) &amp; "|" &amp; LEFT(SUBSTITUTE($G31,CHAR(160)," "),5) &amp; "|Ideas Rate",
      TRIM(SUBSTITUTE($Q$2:$Q$38,CHAR(160)," ")) &amp; "|" &amp;
      LEFT(SUBSTITUTE($R$2:$R$38,CHAR(160)," "),5) &amp; "|" &amp;
      TRIM(SUBSTITUTE($S$2:$S$38,CHAR(160)," ")),
      $T$2:$T$38
    )
  ),
"")</f>
        <v>225</v>
      </c>
      <c r="Q31" t="s">
        <v>156</v>
      </c>
      <c r="R31" t="s">
        <v>375</v>
      </c>
      <c r="S31" t="s">
        <v>383</v>
      </c>
      <c r="T31" s="32">
        <v>175</v>
      </c>
    </row>
    <row r="32" spans="1:25" x14ac:dyDescent="0.2">
      <c r="A32" s="4">
        <v>45852</v>
      </c>
      <c r="B32" s="7" t="s">
        <v>24</v>
      </c>
      <c r="C32" s="31" t="s">
        <v>12</v>
      </c>
      <c r="D32" s="2" t="s">
        <v>182</v>
      </c>
      <c r="E32" s="2" t="s">
        <v>28</v>
      </c>
      <c r="F32" s="78" t="s">
        <v>155</v>
      </c>
      <c r="G32" s="2" t="s">
        <v>367</v>
      </c>
      <c r="H32" s="35">
        <v>4</v>
      </c>
      <c r="I32" s="52" cm="1">
        <f t="array" ref="I32">IFERROR(
  VALUE($H32) *
  VALUE(
    _xlfn.XLOOKUP(
      TRIM($F32) &amp; "|" &amp; LEFT(SUBSTITUTE($G32,CHAR(160)," "),5) &amp; "|Full Rate",
      TRIM(SUBSTITUTE($Q$2:$Q$38,CHAR(160)," ")) &amp; "|" &amp;
      LEFT(SUBSTITUTE($R$2:$R$38,CHAR(160)," "),5) &amp; "|" &amp;
      TRIM(SUBSTITUTE($S$2:$S$38,CHAR(160)," ")),
      $T$2:$T$38
    )
  ),
"")</f>
        <v>1600</v>
      </c>
      <c r="J32" s="52" cm="1">
        <f t="array" ref="J32">IFERROR(
  VALUE($H32) *
  VALUE(
    _xlfn.XLOOKUP(
      TRIM($F32) &amp; "|" &amp; LEFT(SUBSTITUTE($G32,CHAR(160)," "),5) &amp; "|Reduced Rate",
      TRIM(SUBSTITUTE($Q$2:$Q$38,CHAR(160)," ")) &amp; "|" &amp;
      LEFT(SUBSTITUTE($R$2:$R$38,CHAR(160)," "),5) &amp; "|" &amp;
      TRIM(SUBSTITUTE($S$2:$S$38,CHAR(160)," ")),
      $T$2:$T$38
    )
  ),
"")</f>
        <v>800</v>
      </c>
      <c r="K32" s="52" cm="1">
        <f t="array" ref="K32">IFERROR(
  VALUE($H32) *
  VALUE(
    _xlfn.XLOOKUP(
      TRIM($F32) &amp; "|" &amp; LEFT(SUBSTITUTE($G32,CHAR(160)," "),5) &amp; "|Ideas Rate",
      TRIM(SUBSTITUTE($Q$2:$Q$38,CHAR(160)," ")) &amp; "|" &amp;
      LEFT(SUBSTITUTE($R$2:$R$38,CHAR(160)," "),5) &amp; "|" &amp;
      TRIM(SUBSTITUTE($S$2:$S$38,CHAR(160)," ")),
      $T$2:$T$38
    )
  ),
"")</f>
        <v>480</v>
      </c>
      <c r="Q32" t="s">
        <v>156</v>
      </c>
      <c r="R32" t="s">
        <v>375</v>
      </c>
      <c r="S32" t="s">
        <v>384</v>
      </c>
      <c r="T32" s="32">
        <v>95</v>
      </c>
    </row>
    <row r="33" spans="1:20" s="54" customFormat="1" x14ac:dyDescent="0.2">
      <c r="A33" s="276">
        <v>45853</v>
      </c>
      <c r="B33" s="277" t="s">
        <v>24</v>
      </c>
      <c r="C33" s="31" t="s">
        <v>12</v>
      </c>
      <c r="D33" s="78" t="s">
        <v>29</v>
      </c>
      <c r="E33" s="78" t="s">
        <v>31</v>
      </c>
      <c r="F33" s="78" t="s">
        <v>10</v>
      </c>
      <c r="G33" s="78" t="s">
        <v>367</v>
      </c>
      <c r="H33" s="278">
        <v>1</v>
      </c>
      <c r="I33" s="52" cm="1">
        <f t="array" ref="I33">IFERROR(
  VALUE($H33) *
  VALUE(
    _xlfn.XLOOKUP(
      TRIM($F33) &amp; "|" &amp; LEFT(SUBSTITUTE($G33,CHAR(160)," "),5) &amp; "|Full Rate",
      TRIM(SUBSTITUTE($Q$2:$Q$38,CHAR(160)," ")) &amp; "|" &amp;
      LEFT(SUBSTITUTE($R$2:$R$38,CHAR(160)," "),5) &amp; "|" &amp;
      TRIM(SUBSTITUTE($S$2:$S$38,CHAR(160)," ")),
      $T$2:$T$38
    )
  ),
"")</f>
        <v>500</v>
      </c>
      <c r="J33" s="52" cm="1">
        <f t="array" ref="J33">IFERROR(
  VALUE($H33) *
  VALUE(
    _xlfn.XLOOKUP(
      TRIM($F33) &amp; "|" &amp; LEFT(SUBSTITUTE($G33,CHAR(160)," "),5) &amp; "|Reduced Rate",
      TRIM(SUBSTITUTE($Q$2:$Q$38,CHAR(160)," ")) &amp; "|" &amp;
      LEFT(SUBSTITUTE($R$2:$R$38,CHAR(160)," "),5) &amp; "|" &amp;
      TRIM(SUBSTITUTE($S$2:$S$38,CHAR(160)," ")),
      $T$2:$T$38
    )
  ),
"")</f>
        <v>300</v>
      </c>
      <c r="K33" s="52" cm="1">
        <f t="array" ref="K33">IFERROR(
  VALUE($H33) *
  VALUE(
    _xlfn.XLOOKUP(
      TRIM($F33) &amp; "|" &amp; LEFT(SUBSTITUTE($G33,CHAR(160)," "),5) &amp; "|Ideas Rate",
      TRIM(SUBSTITUTE($Q$2:$Q$38,CHAR(160)," ")) &amp; "|" &amp;
      LEFT(SUBSTITUTE($R$2:$R$38,CHAR(160)," "),5) &amp; "|" &amp;
      TRIM(SUBSTITUTE($S$2:$S$38,CHAR(160)," ")),
      $T$2:$T$38
    )
  ),
"")</f>
        <v>150</v>
      </c>
      <c r="Q33" t="s">
        <v>156</v>
      </c>
      <c r="R33" t="s">
        <v>376</v>
      </c>
      <c r="S33" t="s">
        <v>382</v>
      </c>
      <c r="T33" s="32">
        <v>195</v>
      </c>
    </row>
    <row r="34" spans="1:20" x14ac:dyDescent="0.2">
      <c r="A34" s="4">
        <v>45853</v>
      </c>
      <c r="B34" s="7" t="s">
        <v>24</v>
      </c>
      <c r="C34" s="31" t="s">
        <v>12</v>
      </c>
      <c r="D34" s="2" t="s">
        <v>182</v>
      </c>
      <c r="E34" s="2" t="s">
        <v>32</v>
      </c>
      <c r="F34" s="78" t="s">
        <v>155</v>
      </c>
      <c r="G34" s="2" t="s">
        <v>367</v>
      </c>
      <c r="H34" s="35">
        <v>6</v>
      </c>
      <c r="I34" s="52" cm="1">
        <f t="array" ref="I34">IFERROR(
  VALUE($H34) *
  VALUE(
    _xlfn.XLOOKUP(
      TRIM($F34) &amp; "|" &amp; LEFT(SUBSTITUTE($G34,CHAR(160)," "),5) &amp; "|Full Rate",
      TRIM(SUBSTITUTE($Q$2:$Q$38,CHAR(160)," ")) &amp; "|" &amp;
      LEFT(SUBSTITUTE($R$2:$R$38,CHAR(160)," "),5) &amp; "|" &amp;
      TRIM(SUBSTITUTE($S$2:$S$38,CHAR(160)," ")),
      $T$2:$T$38
    )
  ),
"")</f>
        <v>2400</v>
      </c>
      <c r="J34" s="52" cm="1">
        <f t="array" ref="J34">IFERROR(
  VALUE($H34) *
  VALUE(
    _xlfn.XLOOKUP(
      TRIM($F34) &amp; "|" &amp; LEFT(SUBSTITUTE($G34,CHAR(160)," "),5) &amp; "|Reduced Rate",
      TRIM(SUBSTITUTE($Q$2:$Q$38,CHAR(160)," ")) &amp; "|" &amp;
      LEFT(SUBSTITUTE($R$2:$R$38,CHAR(160)," "),5) &amp; "|" &amp;
      TRIM(SUBSTITUTE($S$2:$S$38,CHAR(160)," ")),
      $T$2:$T$38
    )
  ),
"")</f>
        <v>1200</v>
      </c>
      <c r="K34" s="52" cm="1">
        <f t="array" ref="K34">IFERROR(
  VALUE($H34) *
  VALUE(
    _xlfn.XLOOKUP(
      TRIM($F34) &amp; "|" &amp; LEFT(SUBSTITUTE($G34,CHAR(160)," "),5) &amp; "|Ideas Rate",
      TRIM(SUBSTITUTE($Q$2:$Q$38,CHAR(160)," ")) &amp; "|" &amp;
      LEFT(SUBSTITUTE($R$2:$R$38,CHAR(160)," "),5) &amp; "|" &amp;
      TRIM(SUBSTITUTE($S$2:$S$38,CHAR(160)," ")),
      $T$2:$T$38
    )
  ),
"")</f>
        <v>720</v>
      </c>
      <c r="Q34" t="s">
        <v>156</v>
      </c>
      <c r="R34" t="s">
        <v>376</v>
      </c>
      <c r="S34" t="s">
        <v>383</v>
      </c>
      <c r="T34" s="32">
        <v>90</v>
      </c>
    </row>
    <row r="35" spans="1:20" x14ac:dyDescent="0.2">
      <c r="A35" s="4">
        <v>45854</v>
      </c>
      <c r="B35" s="7" t="s">
        <v>24</v>
      </c>
      <c r="C35" s="31" t="s">
        <v>12</v>
      </c>
      <c r="D35" s="2" t="s">
        <v>182</v>
      </c>
      <c r="E35" s="2" t="s">
        <v>28</v>
      </c>
      <c r="F35" s="78" t="s">
        <v>155</v>
      </c>
      <c r="G35" s="2" t="s">
        <v>367</v>
      </c>
      <c r="H35" s="35">
        <v>4</v>
      </c>
      <c r="I35" s="52" cm="1">
        <f t="array" ref="I35">IFERROR(
  VALUE($H35) *
  VALUE(
    _xlfn.XLOOKUP(
      TRIM($F35) &amp; "|" &amp; LEFT(SUBSTITUTE($G35,CHAR(160)," "),5) &amp; "|Full Rate",
      TRIM(SUBSTITUTE($Q$2:$Q$38,CHAR(160)," ")) &amp; "|" &amp;
      LEFT(SUBSTITUTE($R$2:$R$38,CHAR(160)," "),5) &amp; "|" &amp;
      TRIM(SUBSTITUTE($S$2:$S$38,CHAR(160)," ")),
      $T$2:$T$38
    )
  ),
"")</f>
        <v>1600</v>
      </c>
      <c r="J35" s="52" cm="1">
        <f t="array" ref="J35">IFERROR(
  VALUE($H35) *
  VALUE(
    _xlfn.XLOOKUP(
      TRIM($F35) &amp; "|" &amp; LEFT(SUBSTITUTE($G35,CHAR(160)," "),5) &amp; "|Reduced Rate",
      TRIM(SUBSTITUTE($Q$2:$Q$38,CHAR(160)," ")) &amp; "|" &amp;
      LEFT(SUBSTITUTE($R$2:$R$38,CHAR(160)," "),5) &amp; "|" &amp;
      TRIM(SUBSTITUTE($S$2:$S$38,CHAR(160)," ")),
      $T$2:$T$38
    )
  ),
"")</f>
        <v>800</v>
      </c>
      <c r="K35" s="52" cm="1">
        <f t="array" ref="K35">IFERROR(
  VALUE($H35) *
  VALUE(
    _xlfn.XLOOKUP(
      TRIM($F35) &amp; "|" &amp; LEFT(SUBSTITUTE($G35,CHAR(160)," "),5) &amp; "|Ideas Rate",
      TRIM(SUBSTITUTE($Q$2:$Q$38,CHAR(160)," ")) &amp; "|" &amp;
      LEFT(SUBSTITUTE($R$2:$R$38,CHAR(160)," "),5) &amp; "|" &amp;
      TRIM(SUBSTITUTE($S$2:$S$38,CHAR(160)," ")),
      $T$2:$T$38
    )
  ),
"")</f>
        <v>480</v>
      </c>
      <c r="Q35" t="s">
        <v>156</v>
      </c>
      <c r="R35" t="s">
        <v>376</v>
      </c>
      <c r="S35" t="s">
        <v>384</v>
      </c>
      <c r="T35" s="32">
        <v>45</v>
      </c>
    </row>
    <row r="36" spans="1:20" s="54" customFormat="1" x14ac:dyDescent="0.2">
      <c r="A36" s="276">
        <v>45854</v>
      </c>
      <c r="B36" s="277" t="s">
        <v>24</v>
      </c>
      <c r="C36" s="31" t="s">
        <v>12</v>
      </c>
      <c r="D36" s="78" t="s">
        <v>182</v>
      </c>
      <c r="E36" s="78" t="s">
        <v>33</v>
      </c>
      <c r="F36" s="78" t="s">
        <v>155</v>
      </c>
      <c r="G36" s="78" t="s">
        <v>367</v>
      </c>
      <c r="H36" s="278">
        <v>1</v>
      </c>
      <c r="I36" s="52" cm="1">
        <f t="array" ref="I36">IFERROR(
  VALUE($H36) *
  VALUE(
    _xlfn.XLOOKUP(
      TRIM($F36) &amp; "|" &amp; LEFT(SUBSTITUTE($G36,CHAR(160)," "),5) &amp; "|Full Rate",
      TRIM(SUBSTITUTE($Q$2:$Q$38,CHAR(160)," ")) &amp; "|" &amp;
      LEFT(SUBSTITUTE($R$2:$R$38,CHAR(160)," "),5) &amp; "|" &amp;
      TRIM(SUBSTITUTE($S$2:$S$38,CHAR(160)," ")),
      $T$2:$T$38
    )
  ),
"")</f>
        <v>400</v>
      </c>
      <c r="J36" s="52" cm="1">
        <f t="array" ref="J36">IFERROR(
  VALUE($H36) *
  VALUE(
    _xlfn.XLOOKUP(
      TRIM($F36) &amp; "|" &amp; LEFT(SUBSTITUTE($G36,CHAR(160)," "),5) &amp; "|Reduced Rate",
      TRIM(SUBSTITUTE($Q$2:$Q$38,CHAR(160)," ")) &amp; "|" &amp;
      LEFT(SUBSTITUTE($R$2:$R$38,CHAR(160)," "),5) &amp; "|" &amp;
      TRIM(SUBSTITUTE($S$2:$S$38,CHAR(160)," ")),
      $T$2:$T$38
    )
  ),
"")</f>
        <v>200</v>
      </c>
      <c r="K36" s="52" cm="1">
        <f t="array" ref="K36">IFERROR(
  VALUE($H36) *
  VALUE(
    _xlfn.XLOOKUP(
      TRIM($F36) &amp; "|" &amp; LEFT(SUBSTITUTE($G36,CHAR(160)," "),5) &amp; "|Ideas Rate",
      TRIM(SUBSTITUTE($Q$2:$Q$38,CHAR(160)," ")) &amp; "|" &amp;
      LEFT(SUBSTITUTE($R$2:$R$38,CHAR(160)," "),5) &amp; "|" &amp;
      TRIM(SUBSTITUTE($S$2:$S$38,CHAR(160)," ")),
      $T$2:$T$38
    )
  ),
"")</f>
        <v>120</v>
      </c>
      <c r="Q36" t="s">
        <v>156</v>
      </c>
      <c r="R36" t="s">
        <v>368</v>
      </c>
      <c r="S36" t="s">
        <v>382</v>
      </c>
      <c r="T36" s="32">
        <v>100</v>
      </c>
    </row>
    <row r="37" spans="1:20" s="54" customFormat="1" x14ac:dyDescent="0.2">
      <c r="A37" s="276">
        <v>45854</v>
      </c>
      <c r="B37" s="277" t="s">
        <v>24</v>
      </c>
      <c r="C37" s="31" t="s">
        <v>12</v>
      </c>
      <c r="D37" s="78" t="s">
        <v>29</v>
      </c>
      <c r="E37" s="78" t="s">
        <v>34</v>
      </c>
      <c r="F37" s="78" t="s">
        <v>10</v>
      </c>
      <c r="G37" s="78" t="s">
        <v>367</v>
      </c>
      <c r="H37" s="278">
        <v>2.5</v>
      </c>
      <c r="I37" s="52" cm="1">
        <f t="array" ref="I37">IFERROR(
  VALUE($H37) *
  VALUE(
    _xlfn.XLOOKUP(
      TRIM($F37) &amp; "|" &amp; LEFT(SUBSTITUTE($G37,CHAR(160)," "),5) &amp; "|Full Rate",
      TRIM(SUBSTITUTE($Q$2:$Q$38,CHAR(160)," ")) &amp; "|" &amp;
      LEFT(SUBSTITUTE($R$2:$R$38,CHAR(160)," "),5) &amp; "|" &amp;
      TRIM(SUBSTITUTE($S$2:$S$38,CHAR(160)," ")),
      $T$2:$T$38
    )
  ),
"")</f>
        <v>1250</v>
      </c>
      <c r="J37" s="52" cm="1">
        <f t="array" ref="J37">IFERROR(
  VALUE($H37) *
  VALUE(
    _xlfn.XLOOKUP(
      TRIM($F37) &amp; "|" &amp; LEFT(SUBSTITUTE($G37,CHAR(160)," "),5) &amp; "|Reduced Rate",
      TRIM(SUBSTITUTE($Q$2:$Q$38,CHAR(160)," ")) &amp; "|" &amp;
      LEFT(SUBSTITUTE($R$2:$R$38,CHAR(160)," "),5) &amp; "|" &amp;
      TRIM(SUBSTITUTE($S$2:$S$38,CHAR(160)," ")),
      $T$2:$T$38
    )
  ),
"")</f>
        <v>750</v>
      </c>
      <c r="K37" s="52" cm="1">
        <f t="array" ref="K37">IFERROR(
  VALUE($H37) *
  VALUE(
    _xlfn.XLOOKUP(
      TRIM($F37) &amp; "|" &amp; LEFT(SUBSTITUTE($G37,CHAR(160)," "),5) &amp; "|Ideas Rate",
      TRIM(SUBSTITUTE($Q$2:$Q$38,CHAR(160)," ")) &amp; "|" &amp;
      LEFT(SUBSTITUTE($R$2:$R$38,CHAR(160)," "),5) &amp; "|" &amp;
      TRIM(SUBSTITUTE($S$2:$S$38,CHAR(160)," ")),
      $T$2:$T$38
    )
  ),
"")</f>
        <v>375</v>
      </c>
      <c r="Q37" t="s">
        <v>156</v>
      </c>
      <c r="R37" t="s">
        <v>368</v>
      </c>
      <c r="S37" t="s">
        <v>383</v>
      </c>
      <c r="T37" s="32">
        <v>50</v>
      </c>
    </row>
    <row r="38" spans="1:20" s="54" customFormat="1" x14ac:dyDescent="0.2">
      <c r="A38" s="276">
        <v>45854</v>
      </c>
      <c r="B38" s="277" t="s">
        <v>24</v>
      </c>
      <c r="C38" s="31" t="s">
        <v>12</v>
      </c>
      <c r="D38" s="78" t="s">
        <v>179</v>
      </c>
      <c r="E38" s="78" t="s">
        <v>35</v>
      </c>
      <c r="F38" s="78" t="s">
        <v>156</v>
      </c>
      <c r="G38" s="78" t="s">
        <v>367</v>
      </c>
      <c r="H38" s="278">
        <v>4</v>
      </c>
      <c r="I38" s="52" cm="1">
        <f t="array" ref="I38">IFERROR(
  VALUE($H38) *
  VALUE(
    _xlfn.XLOOKUP(
      TRIM($F38) &amp; "|" &amp; LEFT(SUBSTITUTE($G38,CHAR(160)," "),5) &amp; "|Full Rate",
      TRIM(SUBSTITUTE($Q$2:$Q$38,CHAR(160)," ")) &amp; "|" &amp;
      LEFT(SUBSTITUTE($R$2:$R$38,CHAR(160)," "),5) &amp; "|" &amp;
      TRIM(SUBSTITUTE($S$2:$S$38,CHAR(160)," ")),
      $T$2:$T$38
    )
  ),
"")</f>
        <v>1300</v>
      </c>
      <c r="J38" s="52" cm="1">
        <f t="array" ref="J38">IFERROR(
  VALUE($H38) *
  VALUE(
    _xlfn.XLOOKUP(
      TRIM($F38) &amp; "|" &amp; LEFT(SUBSTITUTE($G38,CHAR(160)," "),5) &amp; "|Reduced Rate",
      TRIM(SUBSTITUTE($Q$2:$Q$38,CHAR(160)," ")) &amp; "|" &amp;
      LEFT(SUBSTITUTE($R$2:$R$38,CHAR(160)," "),5) &amp; "|" &amp;
      TRIM(SUBSTITUTE($S$2:$S$38,CHAR(160)," ")),
      $T$2:$T$38
    )
  ),
"")</f>
        <v>700</v>
      </c>
      <c r="K38" s="52" cm="1">
        <f t="array" ref="K38">IFERROR(
  VALUE($H38) *
  VALUE(
    _xlfn.XLOOKUP(
      TRIM($F38) &amp; "|" &amp; LEFT(SUBSTITUTE($G38,CHAR(160)," "),5) &amp; "|Ideas Rate",
      TRIM(SUBSTITUTE($Q$2:$Q$38,CHAR(160)," ")) &amp; "|" &amp;
      LEFT(SUBSTITUTE($R$2:$R$38,CHAR(160)," "),5) &amp; "|" &amp;
      TRIM(SUBSTITUTE($S$2:$S$38,CHAR(160)," ")),
      $T$2:$T$38
    )
  ),
"")</f>
        <v>380</v>
      </c>
      <c r="Q38" t="s">
        <v>156</v>
      </c>
      <c r="R38" t="s">
        <v>368</v>
      </c>
      <c r="S38" t="s">
        <v>384</v>
      </c>
      <c r="T38" s="32">
        <v>30</v>
      </c>
    </row>
    <row r="39" spans="1:20" s="54" customFormat="1" x14ac:dyDescent="0.2">
      <c r="A39" s="276">
        <v>45855</v>
      </c>
      <c r="B39" s="277" t="s">
        <v>24</v>
      </c>
      <c r="C39" s="31" t="s">
        <v>12</v>
      </c>
      <c r="D39" s="78" t="s">
        <v>182</v>
      </c>
      <c r="E39" s="78" t="s">
        <v>36</v>
      </c>
      <c r="F39" s="78" t="s">
        <v>155</v>
      </c>
      <c r="G39" s="78" t="s">
        <v>367</v>
      </c>
      <c r="H39" s="278">
        <v>4</v>
      </c>
      <c r="I39" s="52" cm="1">
        <f t="array" ref="I39">IFERROR(
  VALUE($H39) *
  VALUE(
    _xlfn.XLOOKUP(
      TRIM($F39) &amp; "|" &amp; LEFT(SUBSTITUTE($G39,CHAR(160)," "),5) &amp; "|Full Rate",
      TRIM(SUBSTITUTE($Q$2:$Q$38,CHAR(160)," ")) &amp; "|" &amp;
      LEFT(SUBSTITUTE($R$2:$R$38,CHAR(160)," "),5) &amp; "|" &amp;
      TRIM(SUBSTITUTE($S$2:$S$38,CHAR(160)," ")),
      $T$2:$T$38
    )
  ),
"")</f>
        <v>1600</v>
      </c>
      <c r="J39" s="52" cm="1">
        <f t="array" ref="J39">IFERROR(
  VALUE($H39) *
  VALUE(
    _xlfn.XLOOKUP(
      TRIM($F39) &amp; "|" &amp; LEFT(SUBSTITUTE($G39,CHAR(160)," "),5) &amp; "|Reduced Rate",
      TRIM(SUBSTITUTE($Q$2:$Q$38,CHAR(160)," ")) &amp; "|" &amp;
      LEFT(SUBSTITUTE($R$2:$R$38,CHAR(160)," "),5) &amp; "|" &amp;
      TRIM(SUBSTITUTE($S$2:$S$38,CHAR(160)," ")),
      $T$2:$T$38
    )
  ),
"")</f>
        <v>800</v>
      </c>
      <c r="K39" s="52" cm="1">
        <f t="array" ref="K39">IFERROR(
  VALUE($H39) *
  VALUE(
    _xlfn.XLOOKUP(
      TRIM($F39) &amp; "|" &amp; LEFT(SUBSTITUTE($G39,CHAR(160)," "),5) &amp; "|Ideas Rate",
      TRIM(SUBSTITUTE($Q$2:$Q$38,CHAR(160)," ")) &amp; "|" &amp;
      LEFT(SUBSTITUTE($R$2:$R$38,CHAR(160)," "),5) &amp; "|" &amp;
      TRIM(SUBSTITUTE($S$2:$S$38,CHAR(160)," ")),
      $T$2:$T$38
    )
  ),
"")</f>
        <v>480</v>
      </c>
      <c r="Q39" s="56" t="s">
        <v>439</v>
      </c>
      <c r="R39" s="56" t="s">
        <v>375</v>
      </c>
      <c r="S39" s="56" t="s">
        <v>382</v>
      </c>
      <c r="T39" s="57">
        <v>325</v>
      </c>
    </row>
    <row r="40" spans="1:20" s="54" customFormat="1" x14ac:dyDescent="0.2">
      <c r="A40" s="276">
        <v>45853</v>
      </c>
      <c r="B40" s="277" t="s">
        <v>24</v>
      </c>
      <c r="C40" s="31" t="s">
        <v>12</v>
      </c>
      <c r="D40" s="78" t="s">
        <v>179</v>
      </c>
      <c r="E40" s="78" t="s">
        <v>37</v>
      </c>
      <c r="F40" s="78" t="s">
        <v>156</v>
      </c>
      <c r="G40" s="78" t="s">
        <v>367</v>
      </c>
      <c r="H40" s="278">
        <v>3.5</v>
      </c>
      <c r="I40" s="52" cm="1">
        <f t="array" ref="I40">IFERROR(
  VALUE($H40) *
  VALUE(
    _xlfn.XLOOKUP(
      TRIM($F40) &amp; "|" &amp; LEFT(SUBSTITUTE($G40,CHAR(160)," "),5) &amp; "|Full Rate",
      TRIM(SUBSTITUTE($Q$2:$Q$38,CHAR(160)," ")) &amp; "|" &amp;
      LEFT(SUBSTITUTE($R$2:$R$38,CHAR(160)," "),5) &amp; "|" &amp;
      TRIM(SUBSTITUTE($S$2:$S$38,CHAR(160)," ")),
      $T$2:$T$38
    )
  ),
"")</f>
        <v>1137.5</v>
      </c>
      <c r="J40" s="52" cm="1">
        <f t="array" ref="J40">IFERROR(
  VALUE($H40) *
  VALUE(
    _xlfn.XLOOKUP(
      TRIM($F40) &amp; "|" &amp; LEFT(SUBSTITUTE($G40,CHAR(160)," "),5) &amp; "|Reduced Rate",
      TRIM(SUBSTITUTE($Q$2:$Q$38,CHAR(160)," ")) &amp; "|" &amp;
      LEFT(SUBSTITUTE($R$2:$R$38,CHAR(160)," "),5) &amp; "|" &amp;
      TRIM(SUBSTITUTE($S$2:$S$38,CHAR(160)," ")),
      $T$2:$T$38
    )
  ),
"")</f>
        <v>612.5</v>
      </c>
      <c r="K40" s="52" cm="1">
        <f t="array" ref="K40">IFERROR(
  VALUE($H40) *
  VALUE(
    _xlfn.XLOOKUP(
      TRIM($F40) &amp; "|" &amp; LEFT(SUBSTITUTE($G40,CHAR(160)," "),5) &amp; "|Ideas Rate",
      TRIM(SUBSTITUTE($Q$2:$Q$38,CHAR(160)," ")) &amp; "|" &amp;
      LEFT(SUBSTITUTE($R$2:$R$38,CHAR(160)," "),5) &amp; "|" &amp;
      TRIM(SUBSTITUTE($S$2:$S$38,CHAR(160)," ")),
      $T$2:$T$38
    )
  ),
"")</f>
        <v>332.5</v>
      </c>
      <c r="Q40" t="s">
        <v>439</v>
      </c>
      <c r="R40" t="s">
        <v>375</v>
      </c>
      <c r="S40" t="s">
        <v>383</v>
      </c>
      <c r="T40" s="32">
        <v>175</v>
      </c>
    </row>
    <row r="41" spans="1:20" s="54" customFormat="1" x14ac:dyDescent="0.2">
      <c r="A41" s="276">
        <v>45855</v>
      </c>
      <c r="B41" s="277" t="s">
        <v>24</v>
      </c>
      <c r="C41" s="31" t="s">
        <v>12</v>
      </c>
      <c r="D41" s="78" t="s">
        <v>179</v>
      </c>
      <c r="E41" s="78" t="s">
        <v>37</v>
      </c>
      <c r="F41" s="78" t="s">
        <v>156</v>
      </c>
      <c r="G41" s="78" t="s">
        <v>367</v>
      </c>
      <c r="H41" s="278">
        <v>4.5</v>
      </c>
      <c r="I41" s="52" cm="1">
        <f t="array" ref="I41">IFERROR(
  VALUE($H41) *
  VALUE(
    _xlfn.XLOOKUP(
      TRIM($F41) &amp; "|" &amp; LEFT(SUBSTITUTE($G41,CHAR(160)," "),5) &amp; "|Full Rate",
      TRIM(SUBSTITUTE($Q$2:$Q$38,CHAR(160)," ")) &amp; "|" &amp;
      LEFT(SUBSTITUTE($R$2:$R$38,CHAR(160)," "),5) &amp; "|" &amp;
      TRIM(SUBSTITUTE($S$2:$S$38,CHAR(160)," ")),
      $T$2:$T$38
    )
  ),
"")</f>
        <v>1462.5</v>
      </c>
      <c r="J41" s="52" cm="1">
        <f t="array" ref="J41">IFERROR(
  VALUE($H41) *
  VALUE(
    _xlfn.XLOOKUP(
      TRIM($F41) &amp; "|" &amp; LEFT(SUBSTITUTE($G41,CHAR(160)," "),5) &amp; "|Reduced Rate",
      TRIM(SUBSTITUTE($Q$2:$Q$38,CHAR(160)," ")) &amp; "|" &amp;
      LEFT(SUBSTITUTE($R$2:$R$38,CHAR(160)," "),5) &amp; "|" &amp;
      TRIM(SUBSTITUTE($S$2:$S$38,CHAR(160)," ")),
      $T$2:$T$38
    )
  ),
"")</f>
        <v>787.5</v>
      </c>
      <c r="K41" s="52" cm="1">
        <f t="array" ref="K41">IFERROR(
  VALUE($H41) *
  VALUE(
    _xlfn.XLOOKUP(
      TRIM($F41) &amp; "|" &amp; LEFT(SUBSTITUTE($G41,CHAR(160)," "),5) &amp; "|Ideas Rate",
      TRIM(SUBSTITUTE($Q$2:$Q$38,CHAR(160)," ")) &amp; "|" &amp;
      LEFT(SUBSTITUTE($R$2:$R$38,CHAR(160)," "),5) &amp; "|" &amp;
      TRIM(SUBSTITUTE($S$2:$S$38,CHAR(160)," ")),
      $T$2:$T$38
    )
  ),
"")</f>
        <v>427.5</v>
      </c>
      <c r="Q41" t="s">
        <v>439</v>
      </c>
      <c r="R41" t="s">
        <v>375</v>
      </c>
      <c r="S41" t="s">
        <v>384</v>
      </c>
      <c r="T41" s="32">
        <v>95</v>
      </c>
    </row>
    <row r="42" spans="1:20" s="54" customFormat="1" x14ac:dyDescent="0.2">
      <c r="A42" s="276">
        <v>45855</v>
      </c>
      <c r="B42" s="277" t="s">
        <v>24</v>
      </c>
      <c r="C42" s="31" t="s">
        <v>12</v>
      </c>
      <c r="D42" s="78" t="s">
        <v>29</v>
      </c>
      <c r="E42" s="78" t="s">
        <v>38</v>
      </c>
      <c r="F42" s="78" t="s">
        <v>10</v>
      </c>
      <c r="G42" s="78" t="s">
        <v>367</v>
      </c>
      <c r="H42" s="278">
        <v>3</v>
      </c>
      <c r="I42" s="52" cm="1">
        <f t="array" ref="I42">IFERROR(
  VALUE($H42) *
  VALUE(
    _xlfn.XLOOKUP(
      TRIM($F42) &amp; "|" &amp; LEFT(SUBSTITUTE($G42,CHAR(160)," "),5) &amp; "|Full Rate",
      TRIM(SUBSTITUTE($Q$2:$Q$38,CHAR(160)," ")) &amp; "|" &amp;
      LEFT(SUBSTITUTE($R$2:$R$38,CHAR(160)," "),5) &amp; "|" &amp;
      TRIM(SUBSTITUTE($S$2:$S$38,CHAR(160)," ")),
      $T$2:$T$38
    )
  ),
"")</f>
        <v>1500</v>
      </c>
      <c r="J42" s="52" cm="1">
        <f t="array" ref="J42">IFERROR(
  VALUE($H42) *
  VALUE(
    _xlfn.XLOOKUP(
      TRIM($F42) &amp; "|" &amp; LEFT(SUBSTITUTE($G42,CHAR(160)," "),5) &amp; "|Reduced Rate",
      TRIM(SUBSTITUTE($Q$2:$Q$38,CHAR(160)," ")) &amp; "|" &amp;
      LEFT(SUBSTITUTE($R$2:$R$38,CHAR(160)," "),5) &amp; "|" &amp;
      TRIM(SUBSTITUTE($S$2:$S$38,CHAR(160)," ")),
      $T$2:$T$38
    )
  ),
"")</f>
        <v>900</v>
      </c>
      <c r="K42" s="52" cm="1">
        <f t="array" ref="K42">IFERROR(
  VALUE($H42) *
  VALUE(
    _xlfn.XLOOKUP(
      TRIM($F42) &amp; "|" &amp; LEFT(SUBSTITUTE($G42,CHAR(160)," "),5) &amp; "|Ideas Rate",
      TRIM(SUBSTITUTE($Q$2:$Q$38,CHAR(160)," ")) &amp; "|" &amp;
      LEFT(SUBSTITUTE($R$2:$R$38,CHAR(160)," "),5) &amp; "|" &amp;
      TRIM(SUBSTITUTE($S$2:$S$38,CHAR(160)," ")),
      $T$2:$T$38
    )
  ),
"")</f>
        <v>450</v>
      </c>
      <c r="Q42" t="s">
        <v>439</v>
      </c>
      <c r="R42" t="s">
        <v>376</v>
      </c>
      <c r="S42" t="s">
        <v>382</v>
      </c>
      <c r="T42" s="32">
        <v>195</v>
      </c>
    </row>
    <row r="43" spans="1:20" s="54" customFormat="1" x14ac:dyDescent="0.2">
      <c r="A43" s="276">
        <v>45856</v>
      </c>
      <c r="B43" s="277" t="s">
        <v>24</v>
      </c>
      <c r="C43" s="31" t="s">
        <v>12</v>
      </c>
      <c r="D43" s="78" t="s">
        <v>29</v>
      </c>
      <c r="E43" s="78" t="s">
        <v>38</v>
      </c>
      <c r="F43" s="78" t="s">
        <v>10</v>
      </c>
      <c r="G43" s="78" t="s">
        <v>367</v>
      </c>
      <c r="H43" s="278">
        <v>1.5</v>
      </c>
      <c r="I43" s="52" cm="1">
        <f t="array" ref="I43">IFERROR(
  VALUE($H43) *
  VALUE(
    _xlfn.XLOOKUP(
      TRIM($F43) &amp; "|" &amp; LEFT(SUBSTITUTE($G43,CHAR(160)," "),5) &amp; "|Full Rate",
      TRIM(SUBSTITUTE($Q$2:$Q$38,CHAR(160)," ")) &amp; "|" &amp;
      LEFT(SUBSTITUTE($R$2:$R$38,CHAR(160)," "),5) &amp; "|" &amp;
      TRIM(SUBSTITUTE($S$2:$S$38,CHAR(160)," ")),
      $T$2:$T$38
    )
  ),
"")</f>
        <v>750</v>
      </c>
      <c r="J43" s="52" cm="1">
        <f t="array" ref="J43">IFERROR(
  VALUE($H43) *
  VALUE(
    _xlfn.XLOOKUP(
      TRIM($F43) &amp; "|" &amp; LEFT(SUBSTITUTE($G43,CHAR(160)," "),5) &amp; "|Reduced Rate",
      TRIM(SUBSTITUTE($Q$2:$Q$38,CHAR(160)," ")) &amp; "|" &amp;
      LEFT(SUBSTITUTE($R$2:$R$38,CHAR(160)," "),5) &amp; "|" &amp;
      TRIM(SUBSTITUTE($S$2:$S$38,CHAR(160)," ")),
      $T$2:$T$38
    )
  ),
"")</f>
        <v>450</v>
      </c>
      <c r="K43" s="52" cm="1">
        <f t="array" ref="K43">IFERROR(
  VALUE($H43) *
  VALUE(
    _xlfn.XLOOKUP(
      TRIM($F43) &amp; "|" &amp; LEFT(SUBSTITUTE($G43,CHAR(160)," "),5) &amp; "|Ideas Rate",
      TRIM(SUBSTITUTE($Q$2:$Q$38,CHAR(160)," ")) &amp; "|" &amp;
      LEFT(SUBSTITUTE($R$2:$R$38,CHAR(160)," "),5) &amp; "|" &amp;
      TRIM(SUBSTITUTE($S$2:$S$38,CHAR(160)," ")),
      $T$2:$T$38
    )
  ),
"")</f>
        <v>225</v>
      </c>
      <c r="Q43" t="s">
        <v>439</v>
      </c>
      <c r="R43" t="s">
        <v>376</v>
      </c>
      <c r="S43" t="s">
        <v>383</v>
      </c>
      <c r="T43" s="32">
        <v>90</v>
      </c>
    </row>
    <row r="44" spans="1:20" s="54" customFormat="1" x14ac:dyDescent="0.2">
      <c r="A44" s="276">
        <v>45858</v>
      </c>
      <c r="B44" s="277" t="s">
        <v>24</v>
      </c>
      <c r="C44" s="31" t="s">
        <v>12</v>
      </c>
      <c r="D44" s="78" t="s">
        <v>29</v>
      </c>
      <c r="E44" s="78" t="s">
        <v>38</v>
      </c>
      <c r="F44" s="78" t="s">
        <v>10</v>
      </c>
      <c r="G44" s="78" t="s">
        <v>367</v>
      </c>
      <c r="H44" s="278">
        <v>2.5</v>
      </c>
      <c r="I44" s="52" cm="1">
        <f t="array" ref="I44">IFERROR(
  VALUE($H44) *
  VALUE(
    _xlfn.XLOOKUP(
      TRIM($F44) &amp; "|" &amp; LEFT(SUBSTITUTE($G44,CHAR(160)," "),5) &amp; "|Full Rate",
      TRIM(SUBSTITUTE($Q$2:$Q$38,CHAR(160)," ")) &amp; "|" &amp;
      LEFT(SUBSTITUTE($R$2:$R$38,CHAR(160)," "),5) &amp; "|" &amp;
      TRIM(SUBSTITUTE($S$2:$S$38,CHAR(160)," ")),
      $T$2:$T$38
    )
  ),
"")</f>
        <v>1250</v>
      </c>
      <c r="J44" s="52" cm="1">
        <f t="array" ref="J44">IFERROR(
  VALUE($H44) *
  VALUE(
    _xlfn.XLOOKUP(
      TRIM($F44) &amp; "|" &amp; LEFT(SUBSTITUTE($G44,CHAR(160)," "),5) &amp; "|Reduced Rate",
      TRIM(SUBSTITUTE($Q$2:$Q$38,CHAR(160)," ")) &amp; "|" &amp;
      LEFT(SUBSTITUTE($R$2:$R$38,CHAR(160)," "),5) &amp; "|" &amp;
      TRIM(SUBSTITUTE($S$2:$S$38,CHAR(160)," ")),
      $T$2:$T$38
    )
  ),
"")</f>
        <v>750</v>
      </c>
      <c r="K44" s="52" cm="1">
        <f t="array" ref="K44">IFERROR(
  VALUE($H44) *
  VALUE(
    _xlfn.XLOOKUP(
      TRIM($F44) &amp; "|" &amp; LEFT(SUBSTITUTE($G44,CHAR(160)," "),5) &amp; "|Ideas Rate",
      TRIM(SUBSTITUTE($Q$2:$Q$38,CHAR(160)," ")) &amp; "|" &amp;
      LEFT(SUBSTITUTE($R$2:$R$38,CHAR(160)," "),5) &amp; "|" &amp;
      TRIM(SUBSTITUTE($S$2:$S$38,CHAR(160)," ")),
      $T$2:$T$38
    )
  ),
"")</f>
        <v>375</v>
      </c>
      <c r="Q44" t="s">
        <v>439</v>
      </c>
      <c r="R44" t="s">
        <v>376</v>
      </c>
      <c r="S44" t="s">
        <v>384</v>
      </c>
      <c r="T44" s="32">
        <v>45</v>
      </c>
    </row>
    <row r="45" spans="1:20" s="54" customFormat="1" x14ac:dyDescent="0.2">
      <c r="A45" s="276">
        <v>45859</v>
      </c>
      <c r="B45" s="277" t="s">
        <v>24</v>
      </c>
      <c r="C45" s="31" t="s">
        <v>12</v>
      </c>
      <c r="D45" s="78" t="s">
        <v>29</v>
      </c>
      <c r="E45" s="78" t="s">
        <v>38</v>
      </c>
      <c r="F45" s="78" t="s">
        <v>10</v>
      </c>
      <c r="G45" s="78" t="s">
        <v>367</v>
      </c>
      <c r="H45" s="278">
        <v>2.5</v>
      </c>
      <c r="I45" s="52" cm="1">
        <f t="array" ref="I45">IFERROR(
  VALUE($H45) *
  VALUE(
    _xlfn.XLOOKUP(
      TRIM($F45) &amp; "|" &amp; LEFT(SUBSTITUTE($G45,CHAR(160)," "),5) &amp; "|Full Rate",
      TRIM(SUBSTITUTE($Q$2:$Q$38,CHAR(160)," ")) &amp; "|" &amp;
      LEFT(SUBSTITUTE($R$2:$R$38,CHAR(160)," "),5) &amp; "|" &amp;
      TRIM(SUBSTITUTE($S$2:$S$38,CHAR(160)," ")),
      $T$2:$T$38
    )
  ),
"")</f>
        <v>1250</v>
      </c>
      <c r="J45" s="52" cm="1">
        <f t="array" ref="J45">IFERROR(
  VALUE($H45) *
  VALUE(
    _xlfn.XLOOKUP(
      TRIM($F45) &amp; "|" &amp; LEFT(SUBSTITUTE($G45,CHAR(160)," "),5) &amp; "|Reduced Rate",
      TRIM(SUBSTITUTE($Q$2:$Q$38,CHAR(160)," ")) &amp; "|" &amp;
      LEFT(SUBSTITUTE($R$2:$R$38,CHAR(160)," "),5) &amp; "|" &amp;
      TRIM(SUBSTITUTE($S$2:$S$38,CHAR(160)," ")),
      $T$2:$T$38
    )
  ),
"")</f>
        <v>750</v>
      </c>
      <c r="K45" s="52" cm="1">
        <f t="array" ref="K45">IFERROR(
  VALUE($H45) *
  VALUE(
    _xlfn.XLOOKUP(
      TRIM($F45) &amp; "|" &amp; LEFT(SUBSTITUTE($G45,CHAR(160)," "),5) &amp; "|Ideas Rate",
      TRIM(SUBSTITUTE($Q$2:$Q$38,CHAR(160)," ")) &amp; "|" &amp;
      LEFT(SUBSTITUTE($R$2:$R$38,CHAR(160)," "),5) &amp; "|" &amp;
      TRIM(SUBSTITUTE($S$2:$S$38,CHAR(160)," ")),
      $T$2:$T$38
    )
  ),
"")</f>
        <v>375</v>
      </c>
      <c r="Q45" t="s">
        <v>439</v>
      </c>
      <c r="R45" t="s">
        <v>368</v>
      </c>
      <c r="S45" t="s">
        <v>382</v>
      </c>
      <c r="T45" s="32">
        <v>100</v>
      </c>
    </row>
    <row r="46" spans="1:20" x14ac:dyDescent="0.2">
      <c r="A46" s="4">
        <v>45859</v>
      </c>
      <c r="B46" s="7" t="s">
        <v>24</v>
      </c>
      <c r="C46" s="31" t="s">
        <v>12</v>
      </c>
      <c r="D46" s="2" t="s">
        <v>179</v>
      </c>
      <c r="E46" s="2" t="s">
        <v>39</v>
      </c>
      <c r="F46" s="78" t="s">
        <v>156</v>
      </c>
      <c r="G46" s="78" t="s">
        <v>367</v>
      </c>
      <c r="H46" s="35">
        <v>4.5</v>
      </c>
      <c r="I46" s="52" cm="1">
        <f t="array" ref="I46">IFERROR(
  VALUE($H46) *
  VALUE(
    _xlfn.XLOOKUP(
      TRIM($F46) &amp; "|" &amp; LEFT(SUBSTITUTE($G46,CHAR(160)," "),5) &amp; "|Full Rate",
      TRIM(SUBSTITUTE($Q$2:$Q$38,CHAR(160)," ")) &amp; "|" &amp;
      LEFT(SUBSTITUTE($R$2:$R$38,CHAR(160)," "),5) &amp; "|" &amp;
      TRIM(SUBSTITUTE($S$2:$S$38,CHAR(160)," ")),
      $T$2:$T$38
    )
  ),
"")</f>
        <v>1462.5</v>
      </c>
      <c r="J46" s="52" cm="1">
        <f t="array" ref="J46">IFERROR(
  VALUE($H46) *
  VALUE(
    _xlfn.XLOOKUP(
      TRIM($F46) &amp; "|" &amp; LEFT(SUBSTITUTE($G46,CHAR(160)," "),5) &amp; "|Reduced Rate",
      TRIM(SUBSTITUTE($Q$2:$Q$38,CHAR(160)," ")) &amp; "|" &amp;
      LEFT(SUBSTITUTE($R$2:$R$38,CHAR(160)," "),5) &amp; "|" &amp;
      TRIM(SUBSTITUTE($S$2:$S$38,CHAR(160)," ")),
      $T$2:$T$38
    )
  ),
"")</f>
        <v>787.5</v>
      </c>
      <c r="K46" s="52" cm="1">
        <f t="array" ref="K46">IFERROR(
  VALUE($H46) *
  VALUE(
    _xlfn.XLOOKUP(
      TRIM($F46) &amp; "|" &amp; LEFT(SUBSTITUTE($G46,CHAR(160)," "),5) &amp; "|Ideas Rate",
      TRIM(SUBSTITUTE($Q$2:$Q$38,CHAR(160)," ")) &amp; "|" &amp;
      LEFT(SUBSTITUTE($R$2:$R$38,CHAR(160)," "),5) &amp; "|" &amp;
      TRIM(SUBSTITUTE($S$2:$S$38,CHAR(160)," ")),
      $T$2:$T$38
    )
  ),
"")</f>
        <v>427.5</v>
      </c>
      <c r="Q46" t="s">
        <v>439</v>
      </c>
      <c r="R46" t="s">
        <v>368</v>
      </c>
      <c r="S46" t="s">
        <v>383</v>
      </c>
      <c r="T46" s="32">
        <v>50</v>
      </c>
    </row>
    <row r="47" spans="1:20" x14ac:dyDescent="0.2">
      <c r="A47" s="4">
        <v>45859</v>
      </c>
      <c r="B47" s="7" t="s">
        <v>24</v>
      </c>
      <c r="C47" s="31" t="s">
        <v>12</v>
      </c>
      <c r="D47" s="2" t="s">
        <v>182</v>
      </c>
      <c r="E47" s="2" t="s">
        <v>40</v>
      </c>
      <c r="F47" s="78" t="s">
        <v>155</v>
      </c>
      <c r="G47" s="78" t="s">
        <v>367</v>
      </c>
      <c r="H47" s="35">
        <v>2</v>
      </c>
      <c r="I47" s="52" cm="1">
        <f t="array" ref="I47">IFERROR(
  VALUE($H47) *
  VALUE(
    _xlfn.XLOOKUP(
      TRIM($F47) &amp; "|" &amp; LEFT(SUBSTITUTE($G47,CHAR(160)," "),5) &amp; "|Full Rate",
      TRIM(SUBSTITUTE($Q$2:$Q$38,CHAR(160)," ")) &amp; "|" &amp;
      LEFT(SUBSTITUTE($R$2:$R$38,CHAR(160)," "),5) &amp; "|" &amp;
      TRIM(SUBSTITUTE($S$2:$S$38,CHAR(160)," ")),
      $T$2:$T$38
    )
  ),
"")</f>
        <v>800</v>
      </c>
      <c r="J47" s="52" cm="1">
        <f t="array" ref="J47">IFERROR(
  VALUE($H47) *
  VALUE(
    _xlfn.XLOOKUP(
      TRIM($F47) &amp; "|" &amp; LEFT(SUBSTITUTE($G47,CHAR(160)," "),5) &amp; "|Reduced Rate",
      TRIM(SUBSTITUTE($Q$2:$Q$38,CHAR(160)," ")) &amp; "|" &amp;
      LEFT(SUBSTITUTE($R$2:$R$38,CHAR(160)," "),5) &amp; "|" &amp;
      TRIM(SUBSTITUTE($S$2:$S$38,CHAR(160)," ")),
      $T$2:$T$38
    )
  ),
"")</f>
        <v>400</v>
      </c>
      <c r="K47" s="52" cm="1">
        <f t="array" ref="K47">IFERROR(
  VALUE($H47) *
  VALUE(
    _xlfn.XLOOKUP(
      TRIM($F47) &amp; "|" &amp; LEFT(SUBSTITUTE($G47,CHAR(160)," "),5) &amp; "|Ideas Rate",
      TRIM(SUBSTITUTE($Q$2:$Q$38,CHAR(160)," ")) &amp; "|" &amp;
      LEFT(SUBSTITUTE($R$2:$R$38,CHAR(160)," "),5) &amp; "|" &amp;
      TRIM(SUBSTITUTE($S$2:$S$38,CHAR(160)," ")),
      $T$2:$T$38
    )
  ),
"")</f>
        <v>240</v>
      </c>
      <c r="Q47" t="s">
        <v>439</v>
      </c>
      <c r="R47" t="s">
        <v>368</v>
      </c>
      <c r="S47" t="s">
        <v>384</v>
      </c>
      <c r="T47" s="32">
        <v>30</v>
      </c>
    </row>
    <row r="48" spans="1:20" x14ac:dyDescent="0.2">
      <c r="A48" s="4">
        <v>45860</v>
      </c>
      <c r="B48" s="7" t="s">
        <v>24</v>
      </c>
      <c r="C48" s="31" t="s">
        <v>12</v>
      </c>
      <c r="D48" s="2" t="s">
        <v>179</v>
      </c>
      <c r="E48" s="2" t="s">
        <v>41</v>
      </c>
      <c r="F48" s="78" t="s">
        <v>156</v>
      </c>
      <c r="G48" s="78" t="s">
        <v>367</v>
      </c>
      <c r="H48" s="35">
        <v>5.5</v>
      </c>
      <c r="I48" s="52" cm="1">
        <f t="array" ref="I48">IFERROR(
  VALUE($H48) *
  VALUE(
    _xlfn.XLOOKUP(
      TRIM($F48) &amp; "|" &amp; LEFT(SUBSTITUTE($G48,CHAR(160)," "),5) &amp; "|Full Rate",
      TRIM(SUBSTITUTE($Q$2:$Q$38,CHAR(160)," ")) &amp; "|" &amp;
      LEFT(SUBSTITUTE($R$2:$R$38,CHAR(160)," "),5) &amp; "|" &amp;
      TRIM(SUBSTITUTE($S$2:$S$38,CHAR(160)," ")),
      $T$2:$T$38
    )
  ),
"")</f>
        <v>1787.5</v>
      </c>
      <c r="J48" s="52" cm="1">
        <f t="array" ref="J48">IFERROR(
  VALUE($H48) *
  VALUE(
    _xlfn.XLOOKUP(
      TRIM($F48) &amp; "|" &amp; LEFT(SUBSTITUTE($G48,CHAR(160)," "),5) &amp; "|Reduced Rate",
      TRIM(SUBSTITUTE($Q$2:$Q$38,CHAR(160)," ")) &amp; "|" &amp;
      LEFT(SUBSTITUTE($R$2:$R$38,CHAR(160)," "),5) &amp; "|" &amp;
      TRIM(SUBSTITUTE($S$2:$S$38,CHAR(160)," ")),
      $T$2:$T$38
    )
  ),
"")</f>
        <v>962.5</v>
      </c>
      <c r="K48" s="52" cm="1">
        <f t="array" ref="K48">IFERROR(
  VALUE($H48) *
  VALUE(
    _xlfn.XLOOKUP(
      TRIM($F48) &amp; "|" &amp; LEFT(SUBSTITUTE($G48,CHAR(160)," "),5) &amp; "|Ideas Rate",
      TRIM(SUBSTITUTE($Q$2:$Q$38,CHAR(160)," ")) &amp; "|" &amp;
      LEFT(SUBSTITUTE($R$2:$R$38,CHAR(160)," "),5) &amp; "|" &amp;
      TRIM(SUBSTITUTE($S$2:$S$38,CHAR(160)," ")),
      $T$2:$T$38
    )
  ),
"")</f>
        <v>522.5</v>
      </c>
    </row>
    <row r="49" spans="1:11" x14ac:dyDescent="0.2">
      <c r="A49" s="4">
        <v>45860</v>
      </c>
      <c r="B49" s="7" t="s">
        <v>24</v>
      </c>
      <c r="C49" s="31" t="s">
        <v>12</v>
      </c>
      <c r="D49" s="2" t="s">
        <v>179</v>
      </c>
      <c r="E49" s="2" t="s">
        <v>41</v>
      </c>
      <c r="F49" s="78" t="s">
        <v>155</v>
      </c>
      <c r="G49" s="78" t="s">
        <v>367</v>
      </c>
      <c r="H49" s="35">
        <v>4</v>
      </c>
      <c r="I49" s="52" cm="1">
        <f t="array" ref="I49">IFERROR(
  VALUE($H49) *
  VALUE(
    _xlfn.XLOOKUP(
      TRIM($F49) &amp; "|" &amp; LEFT(SUBSTITUTE($G49,CHAR(160)," "),5) &amp; "|Full Rate",
      TRIM(SUBSTITUTE($Q$2:$Q$38,CHAR(160)," ")) &amp; "|" &amp;
      LEFT(SUBSTITUTE($R$2:$R$38,CHAR(160)," "),5) &amp; "|" &amp;
      TRIM(SUBSTITUTE($S$2:$S$38,CHAR(160)," ")),
      $T$2:$T$38
    )
  ),
"")</f>
        <v>1600</v>
      </c>
      <c r="J49" s="52" cm="1">
        <f t="array" ref="J49">IFERROR(
  VALUE($H49) *
  VALUE(
    _xlfn.XLOOKUP(
      TRIM($F49) &amp; "|" &amp; LEFT(SUBSTITUTE($G49,CHAR(160)," "),5) &amp; "|Reduced Rate",
      TRIM(SUBSTITUTE($Q$2:$Q$38,CHAR(160)," ")) &amp; "|" &amp;
      LEFT(SUBSTITUTE($R$2:$R$38,CHAR(160)," "),5) &amp; "|" &amp;
      TRIM(SUBSTITUTE($S$2:$S$38,CHAR(160)," ")),
      $T$2:$T$38
    )
  ),
"")</f>
        <v>800</v>
      </c>
      <c r="K49" s="52" cm="1">
        <f t="array" ref="K49">IFERROR(
  VALUE($H49) *
  VALUE(
    _xlfn.XLOOKUP(
      TRIM($F49) &amp; "|" &amp; LEFT(SUBSTITUTE($G49,CHAR(160)," "),5) &amp; "|Ideas Rate",
      TRIM(SUBSTITUTE($Q$2:$Q$38,CHAR(160)," ")) &amp; "|" &amp;
      LEFT(SUBSTITUTE($R$2:$R$38,CHAR(160)," "),5) &amp; "|" &amp;
      TRIM(SUBSTITUTE($S$2:$S$38,CHAR(160)," ")),
      $T$2:$T$38
    )
  ),
"")</f>
        <v>480</v>
      </c>
    </row>
    <row r="50" spans="1:11" s="54" customFormat="1" x14ac:dyDescent="0.2">
      <c r="A50" s="276">
        <v>45860</v>
      </c>
      <c r="B50" s="277" t="s">
        <v>24</v>
      </c>
      <c r="C50" s="31" t="s">
        <v>12</v>
      </c>
      <c r="D50" s="78" t="s">
        <v>29</v>
      </c>
      <c r="E50" s="78" t="s">
        <v>29</v>
      </c>
      <c r="F50" s="78" t="s">
        <v>10</v>
      </c>
      <c r="G50" s="78" t="s">
        <v>380</v>
      </c>
      <c r="H50" s="278">
        <v>5</v>
      </c>
      <c r="I50" s="52" cm="1">
        <f t="array" ref="I50">IFERROR(
  VALUE($H50) *
  VALUE(
    _xlfn.XLOOKUP(
      TRIM($F50) &amp; "|" &amp; LEFT(SUBSTITUTE($G50,CHAR(160)," "),5) &amp; "|Full Rate",
      TRIM(SUBSTITUTE($Q$2:$Q$38,CHAR(160)," ")) &amp; "|" &amp;
      LEFT(SUBSTITUTE($R$2:$R$38,CHAR(160)," "),5) &amp; "|" &amp;
      TRIM(SUBSTITUTE($S$2:$S$38,CHAR(160)," ")),
      $T$2:$T$38
    )
  ),
"")</f>
        <v>1250</v>
      </c>
      <c r="J50" s="52" cm="1">
        <f t="array" ref="J50">IFERROR(
  VALUE($H50) *
  VALUE(
    _xlfn.XLOOKUP(
      TRIM($F50) &amp; "|" &amp; LEFT(SUBSTITUTE($G50,CHAR(160)," "),5) &amp; "|Reduced Rate",
      TRIM(SUBSTITUTE($Q$2:$Q$38,CHAR(160)," ")) &amp; "|" &amp;
      LEFT(SUBSTITUTE($R$2:$R$38,CHAR(160)," "),5) &amp; "|" &amp;
      TRIM(SUBSTITUTE($S$2:$S$38,CHAR(160)," ")),
      $T$2:$T$38
    )
  ),
"")</f>
        <v>750</v>
      </c>
      <c r="K50" s="52" cm="1">
        <f t="array" ref="K50">IFERROR(
  VALUE($H50) *
  VALUE(
    _xlfn.XLOOKUP(
      TRIM($F50) &amp; "|" &amp; LEFT(SUBSTITUTE($G50,CHAR(160)," "),5) &amp; "|Ideas Rate",
      TRIM(SUBSTITUTE($Q$2:$Q$38,CHAR(160)," ")) &amp; "|" &amp;
      LEFT(SUBSTITUTE($R$2:$R$38,CHAR(160)," "),5) &amp; "|" &amp;
      TRIM(SUBSTITUTE($S$2:$S$38,CHAR(160)," ")),
      $T$2:$T$38
    )
  ),
"")</f>
        <v>375</v>
      </c>
    </row>
    <row r="51" spans="1:11" x14ac:dyDescent="0.2">
      <c r="A51" s="4">
        <v>45861</v>
      </c>
      <c r="B51" s="7" t="s">
        <v>24</v>
      </c>
      <c r="C51" s="31" t="s">
        <v>12</v>
      </c>
      <c r="D51" s="2" t="s">
        <v>179</v>
      </c>
      <c r="E51" s="2" t="s">
        <v>42</v>
      </c>
      <c r="F51" s="78" t="s">
        <v>156</v>
      </c>
      <c r="G51" s="2" t="s">
        <v>367</v>
      </c>
      <c r="H51" s="35">
        <v>5</v>
      </c>
      <c r="I51" s="52" cm="1">
        <f t="array" ref="I51">IFERROR(
  VALUE($H51) *
  VALUE(
    _xlfn.XLOOKUP(
      TRIM($F51) &amp; "|" &amp; LEFT(SUBSTITUTE($G51,CHAR(160)," "),5) &amp; "|Full Rate",
      TRIM(SUBSTITUTE($Q$2:$Q$38,CHAR(160)," ")) &amp; "|" &amp;
      LEFT(SUBSTITUTE($R$2:$R$38,CHAR(160)," "),5) &amp; "|" &amp;
      TRIM(SUBSTITUTE($S$2:$S$38,CHAR(160)," ")),
      $T$2:$T$38
    )
  ),
"")</f>
        <v>1625</v>
      </c>
      <c r="J51" s="52" cm="1">
        <f t="array" ref="J51">IFERROR(
  VALUE($H51) *
  VALUE(
    _xlfn.XLOOKUP(
      TRIM($F51) &amp; "|" &amp; LEFT(SUBSTITUTE($G51,CHAR(160)," "),5) &amp; "|Reduced Rate",
      TRIM(SUBSTITUTE($Q$2:$Q$38,CHAR(160)," ")) &amp; "|" &amp;
      LEFT(SUBSTITUTE($R$2:$R$38,CHAR(160)," "),5) &amp; "|" &amp;
      TRIM(SUBSTITUTE($S$2:$S$38,CHAR(160)," ")),
      $T$2:$T$38
    )
  ),
"")</f>
        <v>875</v>
      </c>
      <c r="K51" s="52" cm="1">
        <f t="array" ref="K51">IFERROR(
  VALUE($H51) *
  VALUE(
    _xlfn.XLOOKUP(
      TRIM($F51) &amp; "|" &amp; LEFT(SUBSTITUTE($G51,CHAR(160)," "),5) &amp; "|Ideas Rate",
      TRIM(SUBSTITUTE($Q$2:$Q$38,CHAR(160)," ")) &amp; "|" &amp;
      LEFT(SUBSTITUTE($R$2:$R$38,CHAR(160)," "),5) &amp; "|" &amp;
      TRIM(SUBSTITUTE($S$2:$S$38,CHAR(160)," ")),
      $T$2:$T$38
    )
  ),
"")</f>
        <v>475</v>
      </c>
    </row>
    <row r="52" spans="1:11" s="54" customFormat="1" x14ac:dyDescent="0.2">
      <c r="A52" s="276">
        <v>45861</v>
      </c>
      <c r="B52" s="277" t="s">
        <v>24</v>
      </c>
      <c r="C52" s="31" t="s">
        <v>12</v>
      </c>
      <c r="D52" s="78" t="s">
        <v>29</v>
      </c>
      <c r="E52" s="78" t="s">
        <v>29</v>
      </c>
      <c r="F52" s="78" t="s">
        <v>10</v>
      </c>
      <c r="G52" s="78" t="s">
        <v>380</v>
      </c>
      <c r="H52" s="278">
        <v>3.5</v>
      </c>
      <c r="I52" s="52" cm="1">
        <f t="array" ref="I52">IFERROR(
  VALUE($H52) *
  VALUE(
    _xlfn.XLOOKUP(
      TRIM($F52) &amp; "|" &amp; LEFT(SUBSTITUTE($G52,CHAR(160)," "),5) &amp; "|Full Rate",
      TRIM(SUBSTITUTE($Q$2:$Q$38,CHAR(160)," ")) &amp; "|" &amp;
      LEFT(SUBSTITUTE($R$2:$R$38,CHAR(160)," "),5) &amp; "|" &amp;
      TRIM(SUBSTITUTE($S$2:$S$38,CHAR(160)," ")),
      $T$2:$T$38
    )
  ),
"")</f>
        <v>875</v>
      </c>
      <c r="J52" s="52" cm="1">
        <f t="array" ref="J52">IFERROR(
  VALUE($H52) *
  VALUE(
    _xlfn.XLOOKUP(
      TRIM($F52) &amp; "|" &amp; LEFT(SUBSTITUTE($G52,CHAR(160)," "),5) &amp; "|Reduced Rate",
      TRIM(SUBSTITUTE($Q$2:$Q$38,CHAR(160)," ")) &amp; "|" &amp;
      LEFT(SUBSTITUTE($R$2:$R$38,CHAR(160)," "),5) &amp; "|" &amp;
      TRIM(SUBSTITUTE($S$2:$S$38,CHAR(160)," ")),
      $T$2:$T$38
    )
  ),
"")</f>
        <v>525</v>
      </c>
      <c r="K52" s="52" cm="1">
        <f t="array" ref="K52">IFERROR(
  VALUE($H52) *
  VALUE(
    _xlfn.XLOOKUP(
      TRIM($F52) &amp; "|" &amp; LEFT(SUBSTITUTE($G52,CHAR(160)," "),5) &amp; "|Ideas Rate",
      TRIM(SUBSTITUTE($Q$2:$Q$38,CHAR(160)," ")) &amp; "|" &amp;
      LEFT(SUBSTITUTE($R$2:$R$38,CHAR(160)," "),5) &amp; "|" &amp;
      TRIM(SUBSTITUTE($S$2:$S$38,CHAR(160)," ")),
      $T$2:$T$38
    )
  ),
"")</f>
        <v>262.5</v>
      </c>
    </row>
    <row r="53" spans="1:11" x14ac:dyDescent="0.2">
      <c r="A53" s="4">
        <v>45861</v>
      </c>
      <c r="B53" s="7" t="s">
        <v>24</v>
      </c>
      <c r="C53" s="31" t="s">
        <v>12</v>
      </c>
      <c r="D53" s="2" t="s">
        <v>45</v>
      </c>
      <c r="E53" s="2" t="s">
        <v>43</v>
      </c>
      <c r="F53" s="78" t="s">
        <v>10</v>
      </c>
      <c r="G53" s="2" t="s">
        <v>380</v>
      </c>
      <c r="H53" s="35">
        <v>1</v>
      </c>
      <c r="I53" s="52" cm="1">
        <f t="array" ref="I53">IFERROR(
  VALUE($H53) *
  VALUE(
    _xlfn.XLOOKUP(
      TRIM($F53) &amp; "|" &amp; LEFT(SUBSTITUTE($G53,CHAR(160)," "),5) &amp; "|Full Rate",
      TRIM(SUBSTITUTE($Q$2:$Q$38,CHAR(160)," ")) &amp; "|" &amp;
      LEFT(SUBSTITUTE($R$2:$R$38,CHAR(160)," "),5) &amp; "|" &amp;
      TRIM(SUBSTITUTE($S$2:$S$38,CHAR(160)," ")),
      $T$2:$T$38
    )
  ),
"")</f>
        <v>250</v>
      </c>
      <c r="J53" s="52" cm="1">
        <f t="array" ref="J53">IFERROR(
  VALUE($H53) *
  VALUE(
    _xlfn.XLOOKUP(
      TRIM($F53) &amp; "|" &amp; LEFT(SUBSTITUTE($G53,CHAR(160)," "),5) &amp; "|Reduced Rate",
      TRIM(SUBSTITUTE($Q$2:$Q$38,CHAR(160)," ")) &amp; "|" &amp;
      LEFT(SUBSTITUTE($R$2:$R$38,CHAR(160)," "),5) &amp; "|" &amp;
      TRIM(SUBSTITUTE($S$2:$S$38,CHAR(160)," ")),
      $T$2:$T$38
    )
  ),
"")</f>
        <v>150</v>
      </c>
      <c r="K53" s="52" cm="1">
        <f t="array" ref="K53">IFERROR(
  VALUE($H53) *
  VALUE(
    _xlfn.XLOOKUP(
      TRIM($F53) &amp; "|" &amp; LEFT(SUBSTITUTE($G53,CHAR(160)," "),5) &amp; "|Ideas Rate",
      TRIM(SUBSTITUTE($Q$2:$Q$38,CHAR(160)," ")) &amp; "|" &amp;
      LEFT(SUBSTITUTE($R$2:$R$38,CHAR(160)," "),5) &amp; "|" &amp;
      TRIM(SUBSTITUTE($S$2:$S$38,CHAR(160)," ")),
      $T$2:$T$38
    )
  ),
"")</f>
        <v>75</v>
      </c>
    </row>
    <row r="54" spans="1:11" s="54" customFormat="1" x14ac:dyDescent="0.2">
      <c r="A54" s="276">
        <v>45861</v>
      </c>
      <c r="B54" s="277" t="s">
        <v>24</v>
      </c>
      <c r="C54" s="31" t="s">
        <v>12</v>
      </c>
      <c r="D54" s="78" t="s">
        <v>182</v>
      </c>
      <c r="E54" s="78" t="s">
        <v>44</v>
      </c>
      <c r="F54" s="78" t="s">
        <v>155</v>
      </c>
      <c r="G54" s="78" t="s">
        <v>367</v>
      </c>
      <c r="H54" s="278">
        <v>3</v>
      </c>
      <c r="I54" s="52" cm="1">
        <f t="array" ref="I54">IFERROR(
  VALUE($H54) *
  VALUE(
    _xlfn.XLOOKUP(
      TRIM($F54) &amp; "|" &amp; LEFT(SUBSTITUTE($G54,CHAR(160)," "),5) &amp; "|Full Rate",
      TRIM(SUBSTITUTE($Q$2:$Q$38,CHAR(160)," ")) &amp; "|" &amp;
      LEFT(SUBSTITUTE($R$2:$R$38,CHAR(160)," "),5) &amp; "|" &amp;
      TRIM(SUBSTITUTE($S$2:$S$38,CHAR(160)," ")),
      $T$2:$T$38
    )
  ),
"")</f>
        <v>1200</v>
      </c>
      <c r="J54" s="52" cm="1">
        <f t="array" ref="J54">IFERROR(
  VALUE($H54) *
  VALUE(
    _xlfn.XLOOKUP(
      TRIM($F54) &amp; "|" &amp; LEFT(SUBSTITUTE($G54,CHAR(160)," "),5) &amp; "|Reduced Rate",
      TRIM(SUBSTITUTE($Q$2:$Q$38,CHAR(160)," ")) &amp; "|" &amp;
      LEFT(SUBSTITUTE($R$2:$R$38,CHAR(160)," "),5) &amp; "|" &amp;
      TRIM(SUBSTITUTE($S$2:$S$38,CHAR(160)," ")),
      $T$2:$T$38
    )
  ),
"")</f>
        <v>600</v>
      </c>
      <c r="K54" s="52" cm="1">
        <f t="array" ref="K54">IFERROR(
  VALUE($H54) *
  VALUE(
    _xlfn.XLOOKUP(
      TRIM($F54) &amp; "|" &amp; LEFT(SUBSTITUTE($G54,CHAR(160)," "),5) &amp; "|Ideas Rate",
      TRIM(SUBSTITUTE($Q$2:$Q$38,CHAR(160)," ")) &amp; "|" &amp;
      LEFT(SUBSTITUTE($R$2:$R$38,CHAR(160)," "),5) &amp; "|" &amp;
      TRIM(SUBSTITUTE($S$2:$S$38,CHAR(160)," ")),
      $T$2:$T$38
    )
  ),
"")</f>
        <v>360</v>
      </c>
    </row>
    <row r="55" spans="1:11" s="54" customFormat="1" x14ac:dyDescent="0.2">
      <c r="A55" s="276">
        <v>45862</v>
      </c>
      <c r="B55" s="277" t="s">
        <v>24</v>
      </c>
      <c r="C55" s="31" t="s">
        <v>12</v>
      </c>
      <c r="D55" s="287" t="s">
        <v>182</v>
      </c>
      <c r="E55" s="78" t="s">
        <v>44</v>
      </c>
      <c r="F55" s="78" t="s">
        <v>155</v>
      </c>
      <c r="G55" s="78" t="s">
        <v>367</v>
      </c>
      <c r="H55" s="278">
        <v>2</v>
      </c>
      <c r="I55" s="52" cm="1">
        <f t="array" ref="I55">IFERROR(
  VALUE($H55) *
  VALUE(
    _xlfn.XLOOKUP(
      TRIM($F55) &amp; "|" &amp; LEFT(SUBSTITUTE($G55,CHAR(160)," "),5) &amp; "|Full Rate",
      TRIM(SUBSTITUTE($Q$2:$Q$38,CHAR(160)," ")) &amp; "|" &amp;
      LEFT(SUBSTITUTE($R$2:$R$38,CHAR(160)," "),5) &amp; "|" &amp;
      TRIM(SUBSTITUTE($S$2:$S$38,CHAR(160)," ")),
      $T$2:$T$38
    )
  ),
"")</f>
        <v>800</v>
      </c>
      <c r="J55" s="52" cm="1">
        <f t="array" ref="J55">IFERROR(
  VALUE($H55) *
  VALUE(
    _xlfn.XLOOKUP(
      TRIM($F55) &amp; "|" &amp; LEFT(SUBSTITUTE($G55,CHAR(160)," "),5) &amp; "|Reduced Rate",
      TRIM(SUBSTITUTE($Q$2:$Q$38,CHAR(160)," ")) &amp; "|" &amp;
      LEFT(SUBSTITUTE($R$2:$R$38,CHAR(160)," "),5) &amp; "|" &amp;
      TRIM(SUBSTITUTE($S$2:$S$38,CHAR(160)," ")),
      $T$2:$T$38
    )
  ),
"")</f>
        <v>400</v>
      </c>
      <c r="K55" s="52" cm="1">
        <f t="array" ref="K55">IFERROR(
  VALUE($H55) *
  VALUE(
    _xlfn.XLOOKUP(
      TRIM($F55) &amp; "|" &amp; LEFT(SUBSTITUTE($G55,CHAR(160)," "),5) &amp; "|Ideas Rate",
      TRIM(SUBSTITUTE($Q$2:$Q$38,CHAR(160)," ")) &amp; "|" &amp;
      LEFT(SUBSTITUTE($R$2:$R$38,CHAR(160)," "),5) &amp; "|" &amp;
      TRIM(SUBSTITUTE($S$2:$S$38,CHAR(160)," ")),
      $T$2:$T$38
    )
  ),
"")</f>
        <v>240</v>
      </c>
    </row>
    <row r="56" spans="1:11" x14ac:dyDescent="0.2">
      <c r="A56" s="4">
        <v>45862</v>
      </c>
      <c r="B56" s="7" t="s">
        <v>24</v>
      </c>
      <c r="C56" s="31" t="s">
        <v>12</v>
      </c>
      <c r="D56" s="2" t="s">
        <v>179</v>
      </c>
      <c r="E56" s="2" t="s">
        <v>42</v>
      </c>
      <c r="F56" s="78" t="s">
        <v>156</v>
      </c>
      <c r="G56" s="2" t="s">
        <v>367</v>
      </c>
      <c r="H56" s="35">
        <v>5</v>
      </c>
      <c r="I56" s="52" cm="1">
        <f t="array" ref="I56">IFERROR(
  VALUE($H56) *
  VALUE(
    _xlfn.XLOOKUP(
      TRIM($F56) &amp; "|" &amp; LEFT(SUBSTITUTE($G56,CHAR(160)," "),5) &amp; "|Full Rate",
      TRIM(SUBSTITUTE($Q$2:$Q$38,CHAR(160)," ")) &amp; "|" &amp;
      LEFT(SUBSTITUTE($R$2:$R$38,CHAR(160)," "),5) &amp; "|" &amp;
      TRIM(SUBSTITUTE($S$2:$S$38,CHAR(160)," ")),
      $T$2:$T$38
    )
  ),
"")</f>
        <v>1625</v>
      </c>
      <c r="J56" s="52" cm="1">
        <f t="array" ref="J56">IFERROR(
  VALUE($H56) *
  VALUE(
    _xlfn.XLOOKUP(
      TRIM($F56) &amp; "|" &amp; LEFT(SUBSTITUTE($G56,CHAR(160)," "),5) &amp; "|Reduced Rate",
      TRIM(SUBSTITUTE($Q$2:$Q$38,CHAR(160)," ")) &amp; "|" &amp;
      LEFT(SUBSTITUTE($R$2:$R$38,CHAR(160)," "),5) &amp; "|" &amp;
      TRIM(SUBSTITUTE($S$2:$S$38,CHAR(160)," ")),
      $T$2:$T$38
    )
  ),
"")</f>
        <v>875</v>
      </c>
      <c r="K56" s="52" cm="1">
        <f t="array" ref="K56">IFERROR(
  VALUE($H56) *
  VALUE(
    _xlfn.XLOOKUP(
      TRIM($F56) &amp; "|" &amp; LEFT(SUBSTITUTE($G56,CHAR(160)," "),5) &amp; "|Ideas Rate",
      TRIM(SUBSTITUTE($Q$2:$Q$38,CHAR(160)," ")) &amp; "|" &amp;
      LEFT(SUBSTITUTE($R$2:$R$38,CHAR(160)," "),5) &amp; "|" &amp;
      TRIM(SUBSTITUTE($S$2:$S$38,CHAR(160)," ")),
      $T$2:$T$38
    )
  ),
"")</f>
        <v>475</v>
      </c>
    </row>
    <row r="57" spans="1:11" s="54" customFormat="1" x14ac:dyDescent="0.2">
      <c r="A57" s="276">
        <v>45862</v>
      </c>
      <c r="B57" s="277" t="s">
        <v>24</v>
      </c>
      <c r="C57" s="31" t="s">
        <v>12</v>
      </c>
      <c r="D57" s="78" t="s">
        <v>29</v>
      </c>
      <c r="E57" s="78" t="s">
        <v>29</v>
      </c>
      <c r="F57" s="78" t="s">
        <v>10</v>
      </c>
      <c r="G57" s="78" t="s">
        <v>380</v>
      </c>
      <c r="H57" s="278">
        <v>1</v>
      </c>
      <c r="I57" s="52" cm="1">
        <f t="array" ref="I57">IFERROR(
  VALUE($H57) *
  VALUE(
    _xlfn.XLOOKUP(
      TRIM($F57) &amp; "|" &amp; LEFT(SUBSTITUTE($G57,CHAR(160)," "),5) &amp; "|Full Rate",
      TRIM(SUBSTITUTE($Q$2:$Q$38,CHAR(160)," ")) &amp; "|" &amp;
      LEFT(SUBSTITUTE($R$2:$R$38,CHAR(160)," "),5) &amp; "|" &amp;
      TRIM(SUBSTITUTE($S$2:$S$38,CHAR(160)," ")),
      $T$2:$T$38
    )
  ),
"")</f>
        <v>250</v>
      </c>
      <c r="J57" s="52" cm="1">
        <f t="array" ref="J57">IFERROR(
  VALUE($H57) *
  VALUE(
    _xlfn.XLOOKUP(
      TRIM($F57) &amp; "|" &amp; LEFT(SUBSTITUTE($G57,CHAR(160)," "),5) &amp; "|Reduced Rate",
      TRIM(SUBSTITUTE($Q$2:$Q$38,CHAR(160)," ")) &amp; "|" &amp;
      LEFT(SUBSTITUTE($R$2:$R$38,CHAR(160)," "),5) &amp; "|" &amp;
      TRIM(SUBSTITUTE($S$2:$S$38,CHAR(160)," ")),
      $T$2:$T$38
    )
  ),
"")</f>
        <v>150</v>
      </c>
      <c r="K57" s="52" cm="1">
        <f t="array" ref="K57">IFERROR(
  VALUE($H57) *
  VALUE(
    _xlfn.XLOOKUP(
      TRIM($F57) &amp; "|" &amp; LEFT(SUBSTITUTE($G57,CHAR(160)," "),5) &amp; "|Ideas Rate",
      TRIM(SUBSTITUTE($Q$2:$Q$38,CHAR(160)," ")) &amp; "|" &amp;
      LEFT(SUBSTITUTE($R$2:$R$38,CHAR(160)," "),5) &amp; "|" &amp;
      TRIM(SUBSTITUTE($S$2:$S$38,CHAR(160)," ")),
      $T$2:$T$38
    )
  ),
"")</f>
        <v>75</v>
      </c>
    </row>
    <row r="58" spans="1:11" x14ac:dyDescent="0.2">
      <c r="A58" s="4">
        <v>45862</v>
      </c>
      <c r="B58" s="7" t="s">
        <v>24</v>
      </c>
      <c r="C58" s="31" t="s">
        <v>12</v>
      </c>
      <c r="D58" s="2" t="s">
        <v>45</v>
      </c>
      <c r="E58" s="2" t="s">
        <v>45</v>
      </c>
      <c r="F58" s="78" t="s">
        <v>10</v>
      </c>
      <c r="G58" s="2" t="s">
        <v>380</v>
      </c>
      <c r="H58" s="35">
        <v>1</v>
      </c>
      <c r="I58" s="52" cm="1">
        <f t="array" ref="I58">IFERROR(
  VALUE($H58) *
  VALUE(
    _xlfn.XLOOKUP(
      TRIM($F58) &amp; "|" &amp; LEFT(SUBSTITUTE($G58,CHAR(160)," "),5) &amp; "|Full Rate",
      TRIM(SUBSTITUTE($Q$2:$Q$38,CHAR(160)," ")) &amp; "|" &amp;
      LEFT(SUBSTITUTE($R$2:$R$38,CHAR(160)," "),5) &amp; "|" &amp;
      TRIM(SUBSTITUTE($S$2:$S$38,CHAR(160)," ")),
      $T$2:$T$38
    )
  ),
"")</f>
        <v>250</v>
      </c>
      <c r="J58" s="52" cm="1">
        <f t="array" ref="J58">IFERROR(
  VALUE($H58) *
  VALUE(
    _xlfn.XLOOKUP(
      TRIM($F58) &amp; "|" &amp; LEFT(SUBSTITUTE($G58,CHAR(160)," "),5) &amp; "|Reduced Rate",
      TRIM(SUBSTITUTE($Q$2:$Q$38,CHAR(160)," ")) &amp; "|" &amp;
      LEFT(SUBSTITUTE($R$2:$R$38,CHAR(160)," "),5) &amp; "|" &amp;
      TRIM(SUBSTITUTE($S$2:$S$38,CHAR(160)," ")),
      $T$2:$T$38
    )
  ),
"")</f>
        <v>150</v>
      </c>
      <c r="K58" s="52" cm="1">
        <f t="array" ref="K58">IFERROR(
  VALUE($H58) *
  VALUE(
    _xlfn.XLOOKUP(
      TRIM($F58) &amp; "|" &amp; LEFT(SUBSTITUTE($G58,CHAR(160)," "),5) &amp; "|Ideas Rate",
      TRIM(SUBSTITUTE($Q$2:$Q$38,CHAR(160)," ")) &amp; "|" &amp;
      LEFT(SUBSTITUTE($R$2:$R$38,CHAR(160)," "),5) &amp; "|" &amp;
      TRIM(SUBSTITUTE($S$2:$S$38,CHAR(160)," ")),
      $T$2:$T$38
    )
  ),
"")</f>
        <v>75</v>
      </c>
    </row>
    <row r="59" spans="1:11" s="54" customFormat="1" x14ac:dyDescent="0.2">
      <c r="A59" s="276">
        <v>45863</v>
      </c>
      <c r="B59" s="277" t="s">
        <v>24</v>
      </c>
      <c r="C59" s="31" t="s">
        <v>12</v>
      </c>
      <c r="D59" s="78" t="s">
        <v>29</v>
      </c>
      <c r="E59" s="78" t="s">
        <v>31</v>
      </c>
      <c r="F59" s="78" t="s">
        <v>10</v>
      </c>
      <c r="G59" s="78" t="s">
        <v>367</v>
      </c>
      <c r="H59" s="278">
        <v>1</v>
      </c>
      <c r="I59" s="52" cm="1">
        <f t="array" ref="I59">IFERROR(
  VALUE($H59) *
  VALUE(
    _xlfn.XLOOKUP(
      TRIM($F59) &amp; "|" &amp; LEFT(SUBSTITUTE($G59,CHAR(160)," "),5) &amp; "|Full Rate",
      TRIM(SUBSTITUTE($Q$2:$Q$38,CHAR(160)," ")) &amp; "|" &amp;
      LEFT(SUBSTITUTE($R$2:$R$38,CHAR(160)," "),5) &amp; "|" &amp;
      TRIM(SUBSTITUTE($S$2:$S$38,CHAR(160)," ")),
      $T$2:$T$38
    )
  ),
"")</f>
        <v>500</v>
      </c>
      <c r="J59" s="52" cm="1">
        <f t="array" ref="J59">IFERROR(
  VALUE($H59) *
  VALUE(
    _xlfn.XLOOKUP(
      TRIM($F59) &amp; "|" &amp; LEFT(SUBSTITUTE($G59,CHAR(160)," "),5) &amp; "|Reduced Rate",
      TRIM(SUBSTITUTE($Q$2:$Q$38,CHAR(160)," ")) &amp; "|" &amp;
      LEFT(SUBSTITUTE($R$2:$R$38,CHAR(160)," "),5) &amp; "|" &amp;
      TRIM(SUBSTITUTE($S$2:$S$38,CHAR(160)," ")),
      $T$2:$T$38
    )
  ),
"")</f>
        <v>300</v>
      </c>
      <c r="K59" s="52" cm="1">
        <f t="array" ref="K59">IFERROR(
  VALUE($H59) *
  VALUE(
    _xlfn.XLOOKUP(
      TRIM($F59) &amp; "|" &amp; LEFT(SUBSTITUTE($G59,CHAR(160)," "),5) &amp; "|Ideas Rate",
      TRIM(SUBSTITUTE($Q$2:$Q$38,CHAR(160)," ")) &amp; "|" &amp;
      LEFT(SUBSTITUTE($R$2:$R$38,CHAR(160)," "),5) &amp; "|" &amp;
      TRIM(SUBSTITUTE($S$2:$S$38,CHAR(160)," ")),
      $T$2:$T$38
    )
  ),
"")</f>
        <v>150</v>
      </c>
    </row>
    <row r="60" spans="1:11" x14ac:dyDescent="0.2">
      <c r="A60" s="4">
        <v>45863</v>
      </c>
      <c r="B60" s="7" t="s">
        <v>24</v>
      </c>
      <c r="C60" s="31" t="s">
        <v>12</v>
      </c>
      <c r="D60" s="2" t="s">
        <v>179</v>
      </c>
      <c r="E60" s="2" t="s">
        <v>42</v>
      </c>
      <c r="F60" s="78" t="s">
        <v>156</v>
      </c>
      <c r="G60" s="2" t="s">
        <v>367</v>
      </c>
      <c r="H60" s="35">
        <v>2</v>
      </c>
      <c r="I60" s="52" cm="1">
        <f t="array" ref="I60">IFERROR(
  VALUE($H60) *
  VALUE(
    _xlfn.XLOOKUP(
      TRIM($F60) &amp; "|" &amp; LEFT(SUBSTITUTE($G60,CHAR(160)," "),5) &amp; "|Full Rate",
      TRIM(SUBSTITUTE($Q$2:$Q$38,CHAR(160)," ")) &amp; "|" &amp;
      LEFT(SUBSTITUTE($R$2:$R$38,CHAR(160)," "),5) &amp; "|" &amp;
      TRIM(SUBSTITUTE($S$2:$S$38,CHAR(160)," ")),
      $T$2:$T$38
    )
  ),
"")</f>
        <v>650</v>
      </c>
      <c r="J60" s="52" cm="1">
        <f t="array" ref="J60">IFERROR(
  VALUE($H60) *
  VALUE(
    _xlfn.XLOOKUP(
      TRIM($F60) &amp; "|" &amp; LEFT(SUBSTITUTE($G60,CHAR(160)," "),5) &amp; "|Reduced Rate",
      TRIM(SUBSTITUTE($Q$2:$Q$38,CHAR(160)," ")) &amp; "|" &amp;
      LEFT(SUBSTITUTE($R$2:$R$38,CHAR(160)," "),5) &amp; "|" &amp;
      TRIM(SUBSTITUTE($S$2:$S$38,CHAR(160)," ")),
      $T$2:$T$38
    )
  ),
"")</f>
        <v>350</v>
      </c>
      <c r="K60" s="52" cm="1">
        <f t="array" ref="K60">IFERROR(
  VALUE($H60) *
  VALUE(
    _xlfn.XLOOKUP(
      TRIM($F60) &amp; "|" &amp; LEFT(SUBSTITUTE($G60,CHAR(160)," "),5) &amp; "|Ideas Rate",
      TRIM(SUBSTITUTE($Q$2:$Q$38,CHAR(160)," ")) &amp; "|" &amp;
      LEFT(SUBSTITUTE($R$2:$R$38,CHAR(160)," "),5) &amp; "|" &amp;
      TRIM(SUBSTITUTE($S$2:$S$38,CHAR(160)," ")),
      $T$2:$T$38
    )
  ),
"")</f>
        <v>190</v>
      </c>
    </row>
    <row r="61" spans="1:11" s="54" customFormat="1" x14ac:dyDescent="0.2">
      <c r="A61" s="276">
        <v>45863</v>
      </c>
      <c r="B61" s="277" t="s">
        <v>24</v>
      </c>
      <c r="C61" s="31" t="s">
        <v>12</v>
      </c>
      <c r="D61" s="78" t="s">
        <v>181</v>
      </c>
      <c r="E61" s="78" t="s">
        <v>46</v>
      </c>
      <c r="F61" s="78" t="s">
        <v>156</v>
      </c>
      <c r="G61" s="78" t="s">
        <v>380</v>
      </c>
      <c r="H61" s="278">
        <v>3</v>
      </c>
      <c r="I61" s="52" cm="1">
        <f t="array" ref="I61">IFERROR(
  VALUE($H61) *
  VALUE(
    _xlfn.XLOOKUP(
      TRIM($F61) &amp; "|" &amp; LEFT(SUBSTITUTE($G61,CHAR(160)," "),5) &amp; "|Full Rate",
      TRIM(SUBSTITUTE($Q$2:$Q$38,CHAR(160)," ")) &amp; "|" &amp;
      LEFT(SUBSTITUTE($R$2:$R$38,CHAR(160)," "),5) &amp; "|" &amp;
      TRIM(SUBSTITUTE($S$2:$S$38,CHAR(160)," ")),
      $T$2:$T$38
    )
  ),
"")</f>
        <v>585</v>
      </c>
      <c r="J61" s="52" cm="1">
        <f t="array" ref="J61">IFERROR(
  VALUE($H61) *
  VALUE(
    _xlfn.XLOOKUP(
      TRIM($F61) &amp; "|" &amp; LEFT(SUBSTITUTE($G61,CHAR(160)," "),5) &amp; "|Reduced Rate",
      TRIM(SUBSTITUTE($Q$2:$Q$38,CHAR(160)," ")) &amp; "|" &amp;
      LEFT(SUBSTITUTE($R$2:$R$38,CHAR(160)," "),5) &amp; "|" &amp;
      TRIM(SUBSTITUTE($S$2:$S$38,CHAR(160)," ")),
      $T$2:$T$38
    )
  ),
"")</f>
        <v>270</v>
      </c>
      <c r="K61" s="52" cm="1">
        <f t="array" ref="K61">IFERROR(
  VALUE($H61) *
  VALUE(
    _xlfn.XLOOKUP(
      TRIM($F61) &amp; "|" &amp; LEFT(SUBSTITUTE($G61,CHAR(160)," "),5) &amp; "|Ideas Rate",
      TRIM(SUBSTITUTE($Q$2:$Q$38,CHAR(160)," ")) &amp; "|" &amp;
      LEFT(SUBSTITUTE($R$2:$R$38,CHAR(160)," "),5) &amp; "|" &amp;
      TRIM(SUBSTITUTE($S$2:$S$38,CHAR(160)," ")),
      $T$2:$T$38
    )
  ),
"")</f>
        <v>135</v>
      </c>
    </row>
    <row r="62" spans="1:11" x14ac:dyDescent="0.2">
      <c r="A62" s="4">
        <v>45867</v>
      </c>
      <c r="B62" s="7" t="s">
        <v>24</v>
      </c>
      <c r="C62" s="31" t="s">
        <v>12</v>
      </c>
      <c r="D62" s="2" t="s">
        <v>179</v>
      </c>
      <c r="E62" s="2" t="s">
        <v>42</v>
      </c>
      <c r="F62" s="78" t="s">
        <v>156</v>
      </c>
      <c r="G62" s="2" t="s">
        <v>367</v>
      </c>
      <c r="H62" s="35">
        <v>3</v>
      </c>
      <c r="I62" s="52" cm="1">
        <f t="array" ref="I62">IFERROR(
  VALUE($H62) *
  VALUE(
    _xlfn.XLOOKUP(
      TRIM($F62) &amp; "|" &amp; LEFT(SUBSTITUTE($G62,CHAR(160)," "),5) &amp; "|Full Rate",
      TRIM(SUBSTITUTE($Q$2:$Q$38,CHAR(160)," ")) &amp; "|" &amp;
      LEFT(SUBSTITUTE($R$2:$R$38,CHAR(160)," "),5) &amp; "|" &amp;
      TRIM(SUBSTITUTE($S$2:$S$38,CHAR(160)," ")),
      $T$2:$T$38
    )
  ),
"")</f>
        <v>975</v>
      </c>
      <c r="J62" s="52" cm="1">
        <f t="array" ref="J62">IFERROR(
  VALUE($H62) *
  VALUE(
    _xlfn.XLOOKUP(
      TRIM($F62) &amp; "|" &amp; LEFT(SUBSTITUTE($G62,CHAR(160)," "),5) &amp; "|Reduced Rate",
      TRIM(SUBSTITUTE($Q$2:$Q$38,CHAR(160)," ")) &amp; "|" &amp;
      LEFT(SUBSTITUTE($R$2:$R$38,CHAR(160)," "),5) &amp; "|" &amp;
      TRIM(SUBSTITUTE($S$2:$S$38,CHAR(160)," ")),
      $T$2:$T$38
    )
  ),
"")</f>
        <v>525</v>
      </c>
      <c r="K62" s="52" cm="1">
        <f t="array" ref="K62">IFERROR(
  VALUE($H62) *
  VALUE(
    _xlfn.XLOOKUP(
      TRIM($F62) &amp; "|" &amp; LEFT(SUBSTITUTE($G62,CHAR(160)," "),5) &amp; "|Ideas Rate",
      TRIM(SUBSTITUTE($Q$2:$Q$38,CHAR(160)," ")) &amp; "|" &amp;
      LEFT(SUBSTITUTE($R$2:$R$38,CHAR(160)," "),5) &amp; "|" &amp;
      TRIM(SUBSTITUTE($S$2:$S$38,CHAR(160)," ")),
      $T$2:$T$38
    )
  ),
"")</f>
        <v>285</v>
      </c>
    </row>
    <row r="63" spans="1:11" s="54" customFormat="1" x14ac:dyDescent="0.2">
      <c r="A63" s="276">
        <v>45867</v>
      </c>
      <c r="B63" s="277" t="s">
        <v>24</v>
      </c>
      <c r="C63" s="31" t="s">
        <v>12</v>
      </c>
      <c r="D63" s="78" t="s">
        <v>179</v>
      </c>
      <c r="E63" s="78" t="s">
        <v>37</v>
      </c>
      <c r="F63" s="78" t="s">
        <v>156</v>
      </c>
      <c r="G63" s="78" t="s">
        <v>367</v>
      </c>
      <c r="H63" s="278">
        <v>1.5</v>
      </c>
      <c r="I63" s="52" cm="1">
        <f t="array" ref="I63">IFERROR(
  VALUE($H63) *
  VALUE(
    _xlfn.XLOOKUP(
      TRIM($F63) &amp; "|" &amp; LEFT(SUBSTITUTE($G63,CHAR(160)," "),5) &amp; "|Full Rate",
      TRIM(SUBSTITUTE($Q$2:$Q$38,CHAR(160)," ")) &amp; "|" &amp;
      LEFT(SUBSTITUTE($R$2:$R$38,CHAR(160)," "),5) &amp; "|" &amp;
      TRIM(SUBSTITUTE($S$2:$S$38,CHAR(160)," ")),
      $T$2:$T$38
    )
  ),
"")</f>
        <v>487.5</v>
      </c>
      <c r="J63" s="52" cm="1">
        <f t="array" ref="J63">IFERROR(
  VALUE($H63) *
  VALUE(
    _xlfn.XLOOKUP(
      TRIM($F63) &amp; "|" &amp; LEFT(SUBSTITUTE($G63,CHAR(160)," "),5) &amp; "|Reduced Rate",
      TRIM(SUBSTITUTE($Q$2:$Q$38,CHAR(160)," ")) &amp; "|" &amp;
      LEFT(SUBSTITUTE($R$2:$R$38,CHAR(160)," "),5) &amp; "|" &amp;
      TRIM(SUBSTITUTE($S$2:$S$38,CHAR(160)," ")),
      $T$2:$T$38
    )
  ),
"")</f>
        <v>262.5</v>
      </c>
      <c r="K63" s="52" cm="1">
        <f t="array" ref="K63">IFERROR(
  VALUE($H63) *
  VALUE(
    _xlfn.XLOOKUP(
      TRIM($F63) &amp; "|" &amp; LEFT(SUBSTITUTE($G63,CHAR(160)," "),5) &amp; "|Ideas Rate",
      TRIM(SUBSTITUTE($Q$2:$Q$38,CHAR(160)," ")) &amp; "|" &amp;
      LEFT(SUBSTITUTE($R$2:$R$38,CHAR(160)," "),5) &amp; "|" &amp;
      TRIM(SUBSTITUTE($S$2:$S$38,CHAR(160)," ")),
      $T$2:$T$38
    )
  ),
"")</f>
        <v>142.5</v>
      </c>
    </row>
    <row r="64" spans="1:11" s="54" customFormat="1" x14ac:dyDescent="0.2">
      <c r="A64" s="276">
        <v>45868</v>
      </c>
      <c r="B64" s="277" t="s">
        <v>24</v>
      </c>
      <c r="C64" s="31" t="s">
        <v>12</v>
      </c>
      <c r="D64" s="78" t="s">
        <v>182</v>
      </c>
      <c r="E64" s="78" t="s">
        <v>47</v>
      </c>
      <c r="F64" s="78" t="s">
        <v>155</v>
      </c>
      <c r="G64" s="78" t="s">
        <v>367</v>
      </c>
      <c r="H64" s="278">
        <v>3.5</v>
      </c>
      <c r="I64" s="52" cm="1">
        <f t="array" ref="I64">IFERROR(
  VALUE($H64) *
  VALUE(
    _xlfn.XLOOKUP(
      TRIM($F64) &amp; "|" &amp; LEFT(SUBSTITUTE($G64,CHAR(160)," "),5) &amp; "|Full Rate",
      TRIM(SUBSTITUTE($Q$2:$Q$38,CHAR(160)," ")) &amp; "|" &amp;
      LEFT(SUBSTITUTE($R$2:$R$38,CHAR(160)," "),5) &amp; "|" &amp;
      TRIM(SUBSTITUTE($S$2:$S$38,CHAR(160)," ")),
      $T$2:$T$38
    )
  ),
"")</f>
        <v>1400</v>
      </c>
      <c r="J64" s="52" cm="1">
        <f t="array" ref="J64">IFERROR(
  VALUE($H64) *
  VALUE(
    _xlfn.XLOOKUP(
      TRIM($F64) &amp; "|" &amp; LEFT(SUBSTITUTE($G64,CHAR(160)," "),5) &amp; "|Reduced Rate",
      TRIM(SUBSTITUTE($Q$2:$Q$38,CHAR(160)," ")) &amp; "|" &amp;
      LEFT(SUBSTITUTE($R$2:$R$38,CHAR(160)," "),5) &amp; "|" &amp;
      TRIM(SUBSTITUTE($S$2:$S$38,CHAR(160)," ")),
      $T$2:$T$38
    )
  ),
"")</f>
        <v>700</v>
      </c>
      <c r="K64" s="52" cm="1">
        <f t="array" ref="K64">IFERROR(
  VALUE($H64) *
  VALUE(
    _xlfn.XLOOKUP(
      TRIM($F64) &amp; "|" &amp; LEFT(SUBSTITUTE($G64,CHAR(160)," "),5) &amp; "|Ideas Rate",
      TRIM(SUBSTITUTE($Q$2:$Q$38,CHAR(160)," ")) &amp; "|" &amp;
      LEFT(SUBSTITUTE($R$2:$R$38,CHAR(160)," "),5) &amp; "|" &amp;
      TRIM(SUBSTITUTE($S$2:$S$38,CHAR(160)," ")),
      $T$2:$T$38
    )
  ),
"")</f>
        <v>420</v>
      </c>
    </row>
    <row r="65" spans="1:11" s="54" customFormat="1" x14ac:dyDescent="0.2">
      <c r="A65" s="276">
        <v>45868</v>
      </c>
      <c r="B65" s="277" t="s">
        <v>24</v>
      </c>
      <c r="C65" s="31" t="s">
        <v>12</v>
      </c>
      <c r="D65" s="78" t="s">
        <v>29</v>
      </c>
      <c r="E65" s="78" t="s">
        <v>48</v>
      </c>
      <c r="F65" s="78" t="s">
        <v>10</v>
      </c>
      <c r="G65" s="78" t="s">
        <v>367</v>
      </c>
      <c r="H65" s="278">
        <v>3</v>
      </c>
      <c r="I65" s="52" cm="1">
        <f t="array" ref="I65">IFERROR(
  VALUE($H65) *
  VALUE(
    _xlfn.XLOOKUP(
      TRIM($F65) &amp; "|" &amp; LEFT(SUBSTITUTE($G65,CHAR(160)," "),5) &amp; "|Full Rate",
      TRIM(SUBSTITUTE($Q$2:$Q$38,CHAR(160)," ")) &amp; "|" &amp;
      LEFT(SUBSTITUTE($R$2:$R$38,CHAR(160)," "),5) &amp; "|" &amp;
      TRIM(SUBSTITUTE($S$2:$S$38,CHAR(160)," ")),
      $T$2:$T$38
    )
  ),
"")</f>
        <v>1500</v>
      </c>
      <c r="J65" s="52" cm="1">
        <f t="array" ref="J65">IFERROR(
  VALUE($H65) *
  VALUE(
    _xlfn.XLOOKUP(
      TRIM($F65) &amp; "|" &amp; LEFT(SUBSTITUTE($G65,CHAR(160)," "),5) &amp; "|Reduced Rate",
      TRIM(SUBSTITUTE($Q$2:$Q$38,CHAR(160)," ")) &amp; "|" &amp;
      LEFT(SUBSTITUTE($R$2:$R$38,CHAR(160)," "),5) &amp; "|" &amp;
      TRIM(SUBSTITUTE($S$2:$S$38,CHAR(160)," ")),
      $T$2:$T$38
    )
  ),
"")</f>
        <v>900</v>
      </c>
      <c r="K65" s="52" cm="1">
        <f t="array" ref="K65">IFERROR(
  VALUE($H65) *
  VALUE(
    _xlfn.XLOOKUP(
      TRIM($F65) &amp; "|" &amp; LEFT(SUBSTITUTE($G65,CHAR(160)," "),5) &amp; "|Ideas Rate",
      TRIM(SUBSTITUTE($Q$2:$Q$38,CHAR(160)," ")) &amp; "|" &amp;
      LEFT(SUBSTITUTE($R$2:$R$38,CHAR(160)," "),5) &amp; "|" &amp;
      TRIM(SUBSTITUTE($S$2:$S$38,CHAR(160)," ")),
      $T$2:$T$38
    )
  ),
"")</f>
        <v>450</v>
      </c>
    </row>
    <row r="66" spans="1:11" x14ac:dyDescent="0.2">
      <c r="A66" s="4">
        <v>45868</v>
      </c>
      <c r="B66" s="7" t="s">
        <v>24</v>
      </c>
      <c r="C66" s="31" t="s">
        <v>12</v>
      </c>
      <c r="D66" s="2" t="s">
        <v>45</v>
      </c>
      <c r="E66" s="2" t="s">
        <v>45</v>
      </c>
      <c r="F66" s="78" t="s">
        <v>10</v>
      </c>
      <c r="G66" s="2" t="s">
        <v>380</v>
      </c>
      <c r="H66" s="35">
        <v>3</v>
      </c>
      <c r="I66" s="52" cm="1">
        <f t="array" ref="I66">IFERROR(
  VALUE($H66) *
  VALUE(
    _xlfn.XLOOKUP(
      TRIM($F66) &amp; "|" &amp; LEFT(SUBSTITUTE($G66,CHAR(160)," "),5) &amp; "|Full Rate",
      TRIM(SUBSTITUTE($Q$2:$Q$38,CHAR(160)," ")) &amp; "|" &amp;
      LEFT(SUBSTITUTE($R$2:$R$38,CHAR(160)," "),5) &amp; "|" &amp;
      TRIM(SUBSTITUTE($S$2:$S$38,CHAR(160)," ")),
      $T$2:$T$38
    )
  ),
"")</f>
        <v>750</v>
      </c>
      <c r="J66" s="52" cm="1">
        <f t="array" ref="J66">IFERROR(
  VALUE($H66) *
  VALUE(
    _xlfn.XLOOKUP(
      TRIM($F66) &amp; "|" &amp; LEFT(SUBSTITUTE($G66,CHAR(160)," "),5) &amp; "|Reduced Rate",
      TRIM(SUBSTITUTE($Q$2:$Q$38,CHAR(160)," ")) &amp; "|" &amp;
      LEFT(SUBSTITUTE($R$2:$R$38,CHAR(160)," "),5) &amp; "|" &amp;
      TRIM(SUBSTITUTE($S$2:$S$38,CHAR(160)," ")),
      $T$2:$T$38
    )
  ),
"")</f>
        <v>450</v>
      </c>
      <c r="K66" s="52" cm="1">
        <f t="array" ref="K66">IFERROR(
  VALUE($H66) *
  VALUE(
    _xlfn.XLOOKUP(
      TRIM($F66) &amp; "|" &amp; LEFT(SUBSTITUTE($G66,CHAR(160)," "),5) &amp; "|Ideas Rate",
      TRIM(SUBSTITUTE($Q$2:$Q$38,CHAR(160)," ")) &amp; "|" &amp;
      LEFT(SUBSTITUTE($R$2:$R$38,CHAR(160)," "),5) &amp; "|" &amp;
      TRIM(SUBSTITUTE($S$2:$S$38,CHAR(160)," ")),
      $T$2:$T$38
    )
  ),
"")</f>
        <v>225</v>
      </c>
    </row>
    <row r="67" spans="1:11" s="54" customFormat="1" x14ac:dyDescent="0.2">
      <c r="A67" s="276">
        <v>45868</v>
      </c>
      <c r="B67" s="277" t="s">
        <v>24</v>
      </c>
      <c r="C67" s="31" t="s">
        <v>12</v>
      </c>
      <c r="D67" s="78" t="s">
        <v>179</v>
      </c>
      <c r="E67" s="78" t="s">
        <v>49</v>
      </c>
      <c r="F67" s="78" t="s">
        <v>156</v>
      </c>
      <c r="G67" s="78" t="s">
        <v>367</v>
      </c>
      <c r="H67" s="278">
        <v>5</v>
      </c>
      <c r="I67" s="52" cm="1">
        <f t="array" ref="I67">IFERROR(
  VALUE($H67) *
  VALUE(
    _xlfn.XLOOKUP(
      TRIM($F67) &amp; "|" &amp; LEFT(SUBSTITUTE($G67,CHAR(160)," "),5) &amp; "|Full Rate",
      TRIM(SUBSTITUTE($Q$2:$Q$38,CHAR(160)," ")) &amp; "|" &amp;
      LEFT(SUBSTITUTE($R$2:$R$38,CHAR(160)," "),5) &amp; "|" &amp;
      TRIM(SUBSTITUTE($S$2:$S$38,CHAR(160)," ")),
      $T$2:$T$38
    )
  ),
"")</f>
        <v>1625</v>
      </c>
      <c r="J67" s="52" cm="1">
        <f t="array" ref="J67">IFERROR(
  VALUE($H67) *
  VALUE(
    _xlfn.XLOOKUP(
      TRIM($F67) &amp; "|" &amp; LEFT(SUBSTITUTE($G67,CHAR(160)," "),5) &amp; "|Reduced Rate",
      TRIM(SUBSTITUTE($Q$2:$Q$38,CHAR(160)," ")) &amp; "|" &amp;
      LEFT(SUBSTITUTE($R$2:$R$38,CHAR(160)," "),5) &amp; "|" &amp;
      TRIM(SUBSTITUTE($S$2:$S$38,CHAR(160)," ")),
      $T$2:$T$38
    )
  ),
"")</f>
        <v>875</v>
      </c>
      <c r="K67" s="52" cm="1">
        <f t="array" ref="K67">IFERROR(
  VALUE($H67) *
  VALUE(
    _xlfn.XLOOKUP(
      TRIM($F67) &amp; "|" &amp; LEFT(SUBSTITUTE($G67,CHAR(160)," "),5) &amp; "|Ideas Rate",
      TRIM(SUBSTITUTE($Q$2:$Q$38,CHAR(160)," ")) &amp; "|" &amp;
      LEFT(SUBSTITUTE($R$2:$R$38,CHAR(160)," "),5) &amp; "|" &amp;
      TRIM(SUBSTITUTE($S$2:$S$38,CHAR(160)," ")),
      $T$2:$T$38
    )
  ),
"")</f>
        <v>475</v>
      </c>
    </row>
    <row r="68" spans="1:11" s="54" customFormat="1" x14ac:dyDescent="0.2">
      <c r="A68" s="276">
        <v>45869</v>
      </c>
      <c r="B68" s="277" t="s">
        <v>24</v>
      </c>
      <c r="C68" s="31" t="s">
        <v>12</v>
      </c>
      <c r="D68" s="78" t="s">
        <v>182</v>
      </c>
      <c r="E68" s="78" t="s">
        <v>47</v>
      </c>
      <c r="F68" s="78" t="s">
        <v>155</v>
      </c>
      <c r="G68" s="78" t="s">
        <v>367</v>
      </c>
      <c r="H68" s="278">
        <v>4</v>
      </c>
      <c r="I68" s="52" cm="1">
        <f t="array" ref="I68">IFERROR(
  VALUE($H68) *
  VALUE(
    _xlfn.XLOOKUP(
      TRIM($F68) &amp; "|" &amp; LEFT(SUBSTITUTE($G68,CHAR(160)," "),5) &amp; "|Full Rate",
      TRIM(SUBSTITUTE($Q$2:$Q$38,CHAR(160)," ")) &amp; "|" &amp;
      LEFT(SUBSTITUTE($R$2:$R$38,CHAR(160)," "),5) &amp; "|" &amp;
      TRIM(SUBSTITUTE($S$2:$S$38,CHAR(160)," ")),
      $T$2:$T$38
    )
  ),
"")</f>
        <v>1600</v>
      </c>
      <c r="J68" s="52" cm="1">
        <f t="array" ref="J68">IFERROR(
  VALUE($H68) *
  VALUE(
    _xlfn.XLOOKUP(
      TRIM($F68) &amp; "|" &amp; LEFT(SUBSTITUTE($G68,CHAR(160)," "),5) &amp; "|Reduced Rate",
      TRIM(SUBSTITUTE($Q$2:$Q$38,CHAR(160)," ")) &amp; "|" &amp;
      LEFT(SUBSTITUTE($R$2:$R$38,CHAR(160)," "),5) &amp; "|" &amp;
      TRIM(SUBSTITUTE($S$2:$S$38,CHAR(160)," ")),
      $T$2:$T$38
    )
  ),
"")</f>
        <v>800</v>
      </c>
      <c r="K68" s="52" cm="1">
        <f t="array" ref="K68">IFERROR(
  VALUE($H68) *
  VALUE(
    _xlfn.XLOOKUP(
      TRIM($F68) &amp; "|" &amp; LEFT(SUBSTITUTE($G68,CHAR(160)," "),5) &amp; "|Ideas Rate",
      TRIM(SUBSTITUTE($Q$2:$Q$38,CHAR(160)," ")) &amp; "|" &amp;
      LEFT(SUBSTITUTE($R$2:$R$38,CHAR(160)," "),5) &amp; "|" &amp;
      TRIM(SUBSTITUTE($S$2:$S$38,CHAR(160)," ")),
      $T$2:$T$38
    )
  ),
"")</f>
        <v>480</v>
      </c>
    </row>
    <row r="69" spans="1:11" x14ac:dyDescent="0.2">
      <c r="A69" s="4">
        <v>45869</v>
      </c>
      <c r="B69" s="7" t="s">
        <v>24</v>
      </c>
      <c r="C69" s="31" t="s">
        <v>12</v>
      </c>
      <c r="D69" s="2" t="s">
        <v>182</v>
      </c>
      <c r="E69" s="2" t="s">
        <v>50</v>
      </c>
      <c r="F69" s="78" t="s">
        <v>155</v>
      </c>
      <c r="G69" s="2" t="s">
        <v>367</v>
      </c>
      <c r="H69" s="35">
        <v>1</v>
      </c>
      <c r="I69" s="52" cm="1">
        <f t="array" ref="I69">IFERROR(
  VALUE($H69) *
  VALUE(
    _xlfn.XLOOKUP(
      TRIM($F69) &amp; "|" &amp; LEFT(SUBSTITUTE($G69,CHAR(160)," "),5) &amp; "|Full Rate",
      TRIM(SUBSTITUTE($Q$2:$Q$38,CHAR(160)," ")) &amp; "|" &amp;
      LEFT(SUBSTITUTE($R$2:$R$38,CHAR(160)," "),5) &amp; "|" &amp;
      TRIM(SUBSTITUTE($S$2:$S$38,CHAR(160)," ")),
      $T$2:$T$38
    )
  ),
"")</f>
        <v>400</v>
      </c>
      <c r="J69" s="52" cm="1">
        <f t="array" ref="J69">IFERROR(
  VALUE($H69) *
  VALUE(
    _xlfn.XLOOKUP(
      TRIM($F69) &amp; "|" &amp; LEFT(SUBSTITUTE($G69,CHAR(160)," "),5) &amp; "|Reduced Rate",
      TRIM(SUBSTITUTE($Q$2:$Q$38,CHAR(160)," ")) &amp; "|" &amp;
      LEFT(SUBSTITUTE($R$2:$R$38,CHAR(160)," "),5) &amp; "|" &amp;
      TRIM(SUBSTITUTE($S$2:$S$38,CHAR(160)," ")),
      $T$2:$T$38
    )
  ),
"")</f>
        <v>200</v>
      </c>
      <c r="K69" s="52" cm="1">
        <f t="array" ref="K69">IFERROR(
  VALUE($H69) *
  VALUE(
    _xlfn.XLOOKUP(
      TRIM($F69) &amp; "|" &amp; LEFT(SUBSTITUTE($G69,CHAR(160)," "),5) &amp; "|Ideas Rate",
      TRIM(SUBSTITUTE($Q$2:$Q$38,CHAR(160)," ")) &amp; "|" &amp;
      LEFT(SUBSTITUTE($R$2:$R$38,CHAR(160)," "),5) &amp; "|" &amp;
      TRIM(SUBSTITUTE($S$2:$S$38,CHAR(160)," ")),
      $T$2:$T$38
    )
  ),
"")</f>
        <v>120</v>
      </c>
    </row>
    <row r="70" spans="1:11" s="54" customFormat="1" x14ac:dyDescent="0.2">
      <c r="A70" s="276">
        <v>45869</v>
      </c>
      <c r="B70" s="277" t="s">
        <v>24</v>
      </c>
      <c r="C70" s="31" t="s">
        <v>12</v>
      </c>
      <c r="D70" s="78" t="s">
        <v>179</v>
      </c>
      <c r="E70" s="78" t="s">
        <v>51</v>
      </c>
      <c r="F70" s="78" t="s">
        <v>156</v>
      </c>
      <c r="G70" s="78" t="s">
        <v>367</v>
      </c>
      <c r="H70" s="278">
        <v>2</v>
      </c>
      <c r="I70" s="52" cm="1">
        <f t="array" ref="I70">IFERROR(
  VALUE($H70) *
  VALUE(
    _xlfn.XLOOKUP(
      TRIM($F70) &amp; "|" &amp; LEFT(SUBSTITUTE($G70,CHAR(160)," "),5) &amp; "|Full Rate",
      TRIM(SUBSTITUTE($Q$2:$Q$38,CHAR(160)," ")) &amp; "|" &amp;
      LEFT(SUBSTITUTE($R$2:$R$38,CHAR(160)," "),5) &amp; "|" &amp;
      TRIM(SUBSTITUTE($S$2:$S$38,CHAR(160)," ")),
      $T$2:$T$38
    )
  ),
"")</f>
        <v>650</v>
      </c>
      <c r="J70" s="52" cm="1">
        <f t="array" ref="J70">IFERROR(
  VALUE($H70) *
  VALUE(
    _xlfn.XLOOKUP(
      TRIM($F70) &amp; "|" &amp; LEFT(SUBSTITUTE($G70,CHAR(160)," "),5) &amp; "|Reduced Rate",
      TRIM(SUBSTITUTE($Q$2:$Q$38,CHAR(160)," ")) &amp; "|" &amp;
      LEFT(SUBSTITUTE($R$2:$R$38,CHAR(160)," "),5) &amp; "|" &amp;
      TRIM(SUBSTITUTE($S$2:$S$38,CHAR(160)," ")),
      $T$2:$T$38
    )
  ),
"")</f>
        <v>350</v>
      </c>
      <c r="K70" s="52" cm="1">
        <f t="array" ref="K70">IFERROR(
  VALUE($H70) *
  VALUE(
    _xlfn.XLOOKUP(
      TRIM($F70) &amp; "|" &amp; LEFT(SUBSTITUTE($G70,CHAR(160)," "),5) &amp; "|Ideas Rate",
      TRIM(SUBSTITUTE($Q$2:$Q$38,CHAR(160)," ")) &amp; "|" &amp;
      LEFT(SUBSTITUTE($R$2:$R$38,CHAR(160)," "),5) &amp; "|" &amp;
      TRIM(SUBSTITUTE($S$2:$S$38,CHAR(160)," ")),
      $T$2:$T$38
    )
  ),
"")</f>
        <v>190</v>
      </c>
    </row>
    <row r="71" spans="1:11" x14ac:dyDescent="0.2">
      <c r="A71" s="4">
        <v>45869</v>
      </c>
      <c r="B71" s="7" t="s">
        <v>24</v>
      </c>
      <c r="C71" s="31" t="s">
        <v>12</v>
      </c>
      <c r="D71" s="2" t="s">
        <v>179</v>
      </c>
      <c r="E71" s="2" t="s">
        <v>42</v>
      </c>
      <c r="F71" s="78" t="s">
        <v>156</v>
      </c>
      <c r="G71" s="2" t="s">
        <v>367</v>
      </c>
      <c r="H71" s="35">
        <v>3.5</v>
      </c>
      <c r="I71" s="52" cm="1">
        <f t="array" ref="I71">IFERROR(
  VALUE($H71) *
  VALUE(
    _xlfn.XLOOKUP(
      TRIM($F71) &amp; "|" &amp; LEFT(SUBSTITUTE($G71,CHAR(160)," "),5) &amp; "|Full Rate",
      TRIM(SUBSTITUTE($Q$2:$Q$38,CHAR(160)," ")) &amp; "|" &amp;
      LEFT(SUBSTITUTE($R$2:$R$38,CHAR(160)," "),5) &amp; "|" &amp;
      TRIM(SUBSTITUTE($S$2:$S$38,CHAR(160)," ")),
      $T$2:$T$38
    )
  ),
"")</f>
        <v>1137.5</v>
      </c>
      <c r="J71" s="52" cm="1">
        <f t="array" ref="J71">IFERROR(
  VALUE($H71) *
  VALUE(
    _xlfn.XLOOKUP(
      TRIM($F71) &amp; "|" &amp; LEFT(SUBSTITUTE($G71,CHAR(160)," "),5) &amp; "|Reduced Rate",
      TRIM(SUBSTITUTE($Q$2:$Q$38,CHAR(160)," ")) &amp; "|" &amp;
      LEFT(SUBSTITUTE($R$2:$R$38,CHAR(160)," "),5) &amp; "|" &amp;
      TRIM(SUBSTITUTE($S$2:$S$38,CHAR(160)," ")),
      $T$2:$T$38
    )
  ),
"")</f>
        <v>612.5</v>
      </c>
      <c r="K71" s="52" cm="1">
        <f t="array" ref="K71">IFERROR(
  VALUE($H71) *
  VALUE(
    _xlfn.XLOOKUP(
      TRIM($F71) &amp; "|" &amp; LEFT(SUBSTITUTE($G71,CHAR(160)," "),5) &amp; "|Ideas Rate",
      TRIM(SUBSTITUTE($Q$2:$Q$38,CHAR(160)," ")) &amp; "|" &amp;
      LEFT(SUBSTITUTE($R$2:$R$38,CHAR(160)," "),5) &amp; "|" &amp;
      TRIM(SUBSTITUTE($S$2:$S$38,CHAR(160)," ")),
      $T$2:$T$38
    )
  ),
"")</f>
        <v>332.5</v>
      </c>
    </row>
    <row r="72" spans="1:11" s="54" customFormat="1" x14ac:dyDescent="0.2">
      <c r="A72" s="276">
        <v>45869</v>
      </c>
      <c r="B72" s="277" t="s">
        <v>24</v>
      </c>
      <c r="C72" s="31" t="s">
        <v>12</v>
      </c>
      <c r="D72" s="78" t="s">
        <v>179</v>
      </c>
      <c r="E72" s="78" t="s">
        <v>37</v>
      </c>
      <c r="F72" s="78" t="s">
        <v>10</v>
      </c>
      <c r="G72" s="78" t="s">
        <v>367</v>
      </c>
      <c r="H72" s="278">
        <v>1</v>
      </c>
      <c r="I72" s="52" cm="1">
        <f t="array" ref="I72">IFERROR(
  VALUE($H72) *
  VALUE(
    _xlfn.XLOOKUP(
      TRIM($F72) &amp; "|" &amp; LEFT(SUBSTITUTE($G72,CHAR(160)," "),5) &amp; "|Full Rate",
      TRIM(SUBSTITUTE($Q$2:$Q$38,CHAR(160)," ")) &amp; "|" &amp;
      LEFT(SUBSTITUTE($R$2:$R$38,CHAR(160)," "),5) &amp; "|" &amp;
      TRIM(SUBSTITUTE($S$2:$S$38,CHAR(160)," ")),
      $T$2:$T$38
    )
  ),
"")</f>
        <v>500</v>
      </c>
      <c r="J72" s="52" cm="1">
        <f t="array" ref="J72">IFERROR(
  VALUE($H72) *
  VALUE(
    _xlfn.XLOOKUP(
      TRIM($F72) &amp; "|" &amp; LEFT(SUBSTITUTE($G72,CHAR(160)," "),5) &amp; "|Reduced Rate",
      TRIM(SUBSTITUTE($Q$2:$Q$38,CHAR(160)," ")) &amp; "|" &amp;
      LEFT(SUBSTITUTE($R$2:$R$38,CHAR(160)," "),5) &amp; "|" &amp;
      TRIM(SUBSTITUTE($S$2:$S$38,CHAR(160)," ")),
      $T$2:$T$38
    )
  ),
"")</f>
        <v>300</v>
      </c>
      <c r="K72" s="52" cm="1">
        <f t="array" ref="K72">IFERROR(
  VALUE($H72) *
  VALUE(
    _xlfn.XLOOKUP(
      TRIM($F72) &amp; "|" &amp; LEFT(SUBSTITUTE($G72,CHAR(160)," "),5) &amp; "|Ideas Rate",
      TRIM(SUBSTITUTE($Q$2:$Q$38,CHAR(160)," ")) &amp; "|" &amp;
      LEFT(SUBSTITUTE($R$2:$R$38,CHAR(160)," "),5) &amp; "|" &amp;
      TRIM(SUBSTITUTE($S$2:$S$38,CHAR(160)," ")),
      $T$2:$T$38
    )
  ),
"")</f>
        <v>150</v>
      </c>
    </row>
    <row r="73" spans="1:11" x14ac:dyDescent="0.2">
      <c r="A73" s="4">
        <v>45869</v>
      </c>
      <c r="B73" s="7" t="s">
        <v>24</v>
      </c>
      <c r="C73" s="31" t="s">
        <v>12</v>
      </c>
      <c r="D73" s="2" t="s">
        <v>179</v>
      </c>
      <c r="E73" s="2" t="s">
        <v>42</v>
      </c>
      <c r="F73" s="78" t="s">
        <v>10</v>
      </c>
      <c r="G73" s="2" t="s">
        <v>367</v>
      </c>
      <c r="H73" s="35">
        <v>1</v>
      </c>
      <c r="I73" s="52" cm="1">
        <f t="array" ref="I73">IFERROR(
  VALUE($H73) *
  VALUE(
    _xlfn.XLOOKUP(
      TRIM($F73) &amp; "|" &amp; LEFT(SUBSTITUTE($G73,CHAR(160)," "),5) &amp; "|Full Rate",
      TRIM(SUBSTITUTE($Q$2:$Q$38,CHAR(160)," ")) &amp; "|" &amp;
      LEFT(SUBSTITUTE($R$2:$R$38,CHAR(160)," "),5) &amp; "|" &amp;
      TRIM(SUBSTITUTE($S$2:$S$38,CHAR(160)," ")),
      $T$2:$T$38
    )
  ),
"")</f>
        <v>500</v>
      </c>
      <c r="J73" s="52" cm="1">
        <f t="array" ref="J73">IFERROR(
  VALUE($H73) *
  VALUE(
    _xlfn.XLOOKUP(
      TRIM($F73) &amp; "|" &amp; LEFT(SUBSTITUTE($G73,CHAR(160)," "),5) &amp; "|Reduced Rate",
      TRIM(SUBSTITUTE($Q$2:$Q$38,CHAR(160)," ")) &amp; "|" &amp;
      LEFT(SUBSTITUTE($R$2:$R$38,CHAR(160)," "),5) &amp; "|" &amp;
      TRIM(SUBSTITUTE($S$2:$S$38,CHAR(160)," ")),
      $T$2:$T$38
    )
  ),
"")</f>
        <v>300</v>
      </c>
      <c r="K73" s="52" cm="1">
        <f t="array" ref="K73">IFERROR(
  VALUE($H73) *
  VALUE(
    _xlfn.XLOOKUP(
      TRIM($F73) &amp; "|" &amp; LEFT(SUBSTITUTE($G73,CHAR(160)," "),5) &amp; "|Ideas Rate",
      TRIM(SUBSTITUTE($Q$2:$Q$38,CHAR(160)," ")) &amp; "|" &amp;
      LEFT(SUBSTITUTE($R$2:$R$38,CHAR(160)," "),5) &amp; "|" &amp;
      TRIM(SUBSTITUTE($S$2:$S$38,CHAR(160)," ")),
      $T$2:$T$38
    )
  ),
"")</f>
        <v>150</v>
      </c>
    </row>
    <row r="74" spans="1:11" x14ac:dyDescent="0.2">
      <c r="A74" s="4">
        <v>45869</v>
      </c>
      <c r="B74" s="7" t="s">
        <v>24</v>
      </c>
      <c r="C74" s="31" t="s">
        <v>12</v>
      </c>
      <c r="D74" s="2" t="s">
        <v>29</v>
      </c>
      <c r="E74" s="2" t="s">
        <v>29</v>
      </c>
      <c r="F74" s="78" t="s">
        <v>10</v>
      </c>
      <c r="G74" s="2" t="s">
        <v>380</v>
      </c>
      <c r="H74" s="35">
        <v>1</v>
      </c>
      <c r="I74" s="52" cm="1">
        <f t="array" ref="I74">IFERROR(
  VALUE($H74) *
  VALUE(
    _xlfn.XLOOKUP(
      TRIM($F74) &amp; "|" &amp; LEFT(SUBSTITUTE($G74,CHAR(160)," "),5) &amp; "|Full Rate",
      TRIM(SUBSTITUTE($Q$2:$Q$38,CHAR(160)," ")) &amp; "|" &amp;
      LEFT(SUBSTITUTE($R$2:$R$38,CHAR(160)," "),5) &amp; "|" &amp;
      TRIM(SUBSTITUTE($S$2:$S$38,CHAR(160)," ")),
      $T$2:$T$38
    )
  ),
"")</f>
        <v>250</v>
      </c>
      <c r="J74" s="52" cm="1">
        <f t="array" ref="J74">IFERROR(
  VALUE($H74) *
  VALUE(
    _xlfn.XLOOKUP(
      TRIM($F74) &amp; "|" &amp; LEFT(SUBSTITUTE($G74,CHAR(160)," "),5) &amp; "|Reduced Rate",
      TRIM(SUBSTITUTE($Q$2:$Q$38,CHAR(160)," ")) &amp; "|" &amp;
      LEFT(SUBSTITUTE($R$2:$R$38,CHAR(160)," "),5) &amp; "|" &amp;
      TRIM(SUBSTITUTE($S$2:$S$38,CHAR(160)," ")),
      $T$2:$T$38
    )
  ),
"")</f>
        <v>150</v>
      </c>
      <c r="K74" s="52" cm="1">
        <f t="array" ref="K74">IFERROR(
  VALUE($H74) *
  VALUE(
    _xlfn.XLOOKUP(
      TRIM($F74) &amp; "|" &amp; LEFT(SUBSTITUTE($G74,CHAR(160)," "),5) &amp; "|Ideas Rate",
      TRIM(SUBSTITUTE($Q$2:$Q$38,CHAR(160)," ")) &amp; "|" &amp;
      LEFT(SUBSTITUTE($R$2:$R$38,CHAR(160)," "),5) &amp; "|" &amp;
      TRIM(SUBSTITUTE($S$2:$S$38,CHAR(160)," ")),
      $T$2:$T$38
    )
  ),
"")</f>
        <v>75</v>
      </c>
    </row>
    <row r="75" spans="1:11" s="54" customFormat="1" x14ac:dyDescent="0.2">
      <c r="A75" s="276">
        <v>45665</v>
      </c>
      <c r="B75" s="277" t="s">
        <v>52</v>
      </c>
      <c r="C75" s="31" t="s">
        <v>12</v>
      </c>
      <c r="D75" s="78" t="s">
        <v>179</v>
      </c>
      <c r="E75" s="78" t="s">
        <v>37</v>
      </c>
      <c r="F75" s="78" t="s">
        <v>156</v>
      </c>
      <c r="G75" s="78" t="s">
        <v>367</v>
      </c>
      <c r="H75" s="278">
        <v>2</v>
      </c>
      <c r="I75" s="52" cm="1">
        <f t="array" ref="I75">IFERROR(
  VALUE($H75) *
  VALUE(
    _xlfn.XLOOKUP(
      TRIM($F75) &amp; "|" &amp; LEFT(SUBSTITUTE($G75,CHAR(160)," "),5) &amp; "|Full Rate",
      TRIM(SUBSTITUTE($Q$2:$Q$38,CHAR(160)," ")) &amp; "|" &amp;
      LEFT(SUBSTITUTE($R$2:$R$38,CHAR(160)," "),5) &amp; "|" &amp;
      TRIM(SUBSTITUTE($S$2:$S$38,CHAR(160)," ")),
      $T$2:$T$38
    )
  ),
"")</f>
        <v>650</v>
      </c>
      <c r="J75" s="52" cm="1">
        <f t="array" ref="J75">IFERROR(
  VALUE($H75) *
  VALUE(
    _xlfn.XLOOKUP(
      TRIM($F75) &amp; "|" &amp; LEFT(SUBSTITUTE($G75,CHAR(160)," "),5) &amp; "|Reduced Rate",
      TRIM(SUBSTITUTE($Q$2:$Q$38,CHAR(160)," ")) &amp; "|" &amp;
      LEFT(SUBSTITUTE($R$2:$R$38,CHAR(160)," "),5) &amp; "|" &amp;
      TRIM(SUBSTITUTE($S$2:$S$38,CHAR(160)," ")),
      $T$2:$T$38
    )
  ),
"")</f>
        <v>350</v>
      </c>
      <c r="K75" s="52" cm="1">
        <f t="array" ref="K75">IFERROR(
  VALUE($H75) *
  VALUE(
    _xlfn.XLOOKUP(
      TRIM($F75) &amp; "|" &amp; LEFT(SUBSTITUTE($G75,CHAR(160)," "),5) &amp; "|Ideas Rate",
      TRIM(SUBSTITUTE($Q$2:$Q$38,CHAR(160)," ")) &amp; "|" &amp;
      LEFT(SUBSTITUTE($R$2:$R$38,CHAR(160)," "),5) &amp; "|" &amp;
      TRIM(SUBSTITUTE($S$2:$S$38,CHAR(160)," ")),
      $T$2:$T$38
    )
  ),
"")</f>
        <v>190</v>
      </c>
    </row>
    <row r="76" spans="1:11" x14ac:dyDescent="0.2">
      <c r="A76" s="4">
        <v>45665</v>
      </c>
      <c r="B76" s="7" t="s">
        <v>52</v>
      </c>
      <c r="C76" s="31" t="s">
        <v>12</v>
      </c>
      <c r="D76" s="2" t="s">
        <v>179</v>
      </c>
      <c r="E76" s="2" t="s">
        <v>53</v>
      </c>
      <c r="F76" s="78" t="s">
        <v>156</v>
      </c>
      <c r="G76" s="2" t="s">
        <v>367</v>
      </c>
      <c r="H76" s="35">
        <v>5.5</v>
      </c>
      <c r="I76" s="52" cm="1">
        <f t="array" ref="I76">IFERROR(
  VALUE($H76) *
  VALUE(
    _xlfn.XLOOKUP(
      TRIM($F76) &amp; "|" &amp; LEFT(SUBSTITUTE($G76,CHAR(160)," "),5) &amp; "|Full Rate",
      TRIM(SUBSTITUTE($Q$2:$Q$38,CHAR(160)," ")) &amp; "|" &amp;
      LEFT(SUBSTITUTE($R$2:$R$38,CHAR(160)," "),5) &amp; "|" &amp;
      TRIM(SUBSTITUTE($S$2:$S$38,CHAR(160)," ")),
      $T$2:$T$38
    )
  ),
"")</f>
        <v>1787.5</v>
      </c>
      <c r="J76" s="52" cm="1">
        <f t="array" ref="J76">IFERROR(
  VALUE($H76) *
  VALUE(
    _xlfn.XLOOKUP(
      TRIM($F76) &amp; "|" &amp; LEFT(SUBSTITUTE($G76,CHAR(160)," "),5) &amp; "|Reduced Rate",
      TRIM(SUBSTITUTE($Q$2:$Q$38,CHAR(160)," ")) &amp; "|" &amp;
      LEFT(SUBSTITUTE($R$2:$R$38,CHAR(160)," "),5) &amp; "|" &amp;
      TRIM(SUBSTITUTE($S$2:$S$38,CHAR(160)," ")),
      $T$2:$T$38
    )
  ),
"")</f>
        <v>962.5</v>
      </c>
      <c r="K76" s="52" cm="1">
        <f t="array" ref="K76">IFERROR(
  VALUE($H76) *
  VALUE(
    _xlfn.XLOOKUP(
      TRIM($F76) &amp; "|" &amp; LEFT(SUBSTITUTE($G76,CHAR(160)," "),5) &amp; "|Ideas Rate",
      TRIM(SUBSTITUTE($Q$2:$Q$38,CHAR(160)," ")) &amp; "|" &amp;
      LEFT(SUBSTITUTE($R$2:$R$38,CHAR(160)," "),5) &amp; "|" &amp;
      TRIM(SUBSTITUTE($S$2:$S$38,CHAR(160)," ")),
      $T$2:$T$38
    )
  ),
"")</f>
        <v>522.5</v>
      </c>
    </row>
    <row r="77" spans="1:11" s="54" customFormat="1" x14ac:dyDescent="0.2">
      <c r="A77" s="276">
        <v>45665</v>
      </c>
      <c r="B77" s="277" t="s">
        <v>52</v>
      </c>
      <c r="C77" s="31" t="s">
        <v>12</v>
      </c>
      <c r="D77" s="78" t="s">
        <v>29</v>
      </c>
      <c r="E77" s="78" t="s">
        <v>54</v>
      </c>
      <c r="F77" s="78" t="s">
        <v>10</v>
      </c>
      <c r="G77" s="78" t="s">
        <v>380</v>
      </c>
      <c r="H77" s="278">
        <v>1</v>
      </c>
      <c r="I77" s="52" cm="1">
        <f t="array" ref="I77">IFERROR(
  VALUE($H77) *
  VALUE(
    _xlfn.XLOOKUP(
      TRIM($F77) &amp; "|" &amp; LEFT(SUBSTITUTE($G77,CHAR(160)," "),5) &amp; "|Full Rate",
      TRIM(SUBSTITUTE($Q$2:$Q$38,CHAR(160)," ")) &amp; "|" &amp;
      LEFT(SUBSTITUTE($R$2:$R$38,CHAR(160)," "),5) &amp; "|" &amp;
      TRIM(SUBSTITUTE($S$2:$S$38,CHAR(160)," ")),
      $T$2:$T$38
    )
  ),
"")</f>
        <v>250</v>
      </c>
      <c r="J77" s="52" cm="1">
        <f t="array" ref="J77">IFERROR(
  VALUE($H77) *
  VALUE(
    _xlfn.XLOOKUP(
      TRIM($F77) &amp; "|" &amp; LEFT(SUBSTITUTE($G77,CHAR(160)," "),5) &amp; "|Reduced Rate",
      TRIM(SUBSTITUTE($Q$2:$Q$38,CHAR(160)," ")) &amp; "|" &amp;
      LEFT(SUBSTITUTE($R$2:$R$38,CHAR(160)," "),5) &amp; "|" &amp;
      TRIM(SUBSTITUTE($S$2:$S$38,CHAR(160)," ")),
      $T$2:$T$38
    )
  ),
"")</f>
        <v>150</v>
      </c>
      <c r="K77" s="52" cm="1">
        <f t="array" ref="K77">IFERROR(
  VALUE($H77) *
  VALUE(
    _xlfn.XLOOKUP(
      TRIM($F77) &amp; "|" &amp; LEFT(SUBSTITUTE($G77,CHAR(160)," "),5) &amp; "|Ideas Rate",
      TRIM(SUBSTITUTE($Q$2:$Q$38,CHAR(160)," ")) &amp; "|" &amp;
      LEFT(SUBSTITUTE($R$2:$R$38,CHAR(160)," "),5) &amp; "|" &amp;
      TRIM(SUBSTITUTE($S$2:$S$38,CHAR(160)," ")),
      $T$2:$T$38
    )
  ),
"")</f>
        <v>75</v>
      </c>
    </row>
    <row r="78" spans="1:11" s="54" customFormat="1" x14ac:dyDescent="0.2">
      <c r="A78" s="276">
        <v>45755</v>
      </c>
      <c r="B78" s="277" t="s">
        <v>52</v>
      </c>
      <c r="C78" s="31" t="s">
        <v>12</v>
      </c>
      <c r="D78" s="78" t="s">
        <v>29</v>
      </c>
      <c r="E78" s="78" t="s">
        <v>48</v>
      </c>
      <c r="F78" s="78" t="s">
        <v>10</v>
      </c>
      <c r="G78" s="78" t="s">
        <v>380</v>
      </c>
      <c r="H78" s="278">
        <v>0.75</v>
      </c>
      <c r="I78" s="52" cm="1">
        <f t="array" ref="I78">IFERROR(
  VALUE($H78) *
  VALUE(
    _xlfn.XLOOKUP(
      TRIM($F78) &amp; "|" &amp; LEFT(SUBSTITUTE($G78,CHAR(160)," "),5) &amp; "|Full Rate",
      TRIM(SUBSTITUTE($Q$2:$Q$38,CHAR(160)," ")) &amp; "|" &amp;
      LEFT(SUBSTITUTE($R$2:$R$38,CHAR(160)," "),5) &amp; "|" &amp;
      TRIM(SUBSTITUTE($S$2:$S$38,CHAR(160)," ")),
      $T$2:$T$38
    )
  ),
"")</f>
        <v>187.5</v>
      </c>
      <c r="J78" s="52" cm="1">
        <f t="array" ref="J78">IFERROR(
  VALUE($H78) *
  VALUE(
    _xlfn.XLOOKUP(
      TRIM($F78) &amp; "|" &amp; LEFT(SUBSTITUTE($G78,CHAR(160)," "),5) &amp; "|Reduced Rate",
      TRIM(SUBSTITUTE($Q$2:$Q$38,CHAR(160)," ")) &amp; "|" &amp;
      LEFT(SUBSTITUTE($R$2:$R$38,CHAR(160)," "),5) &amp; "|" &amp;
      TRIM(SUBSTITUTE($S$2:$S$38,CHAR(160)," ")),
      $T$2:$T$38
    )
  ),
"")</f>
        <v>112.5</v>
      </c>
      <c r="K78" s="52" cm="1">
        <f t="array" ref="K78">IFERROR(
  VALUE($H78) *
  VALUE(
    _xlfn.XLOOKUP(
      TRIM($F78) &amp; "|" &amp; LEFT(SUBSTITUTE($G78,CHAR(160)," "),5) &amp; "|Ideas Rate",
      TRIM(SUBSTITUTE($Q$2:$Q$38,CHAR(160)," ")) &amp; "|" &amp;
      LEFT(SUBSTITUTE($R$2:$R$38,CHAR(160)," "),5) &amp; "|" &amp;
      TRIM(SUBSTITUTE($S$2:$S$38,CHAR(160)," ")),
      $T$2:$T$38
    )
  ),
"")</f>
        <v>56.25</v>
      </c>
    </row>
    <row r="79" spans="1:11" x14ac:dyDescent="0.2">
      <c r="A79" s="21">
        <v>45755</v>
      </c>
      <c r="B79" s="7" t="s">
        <v>52</v>
      </c>
      <c r="C79" s="31" t="s">
        <v>12</v>
      </c>
      <c r="D79" s="2" t="s">
        <v>179</v>
      </c>
      <c r="E79" s="2" t="s">
        <v>42</v>
      </c>
      <c r="F79" s="78" t="s">
        <v>156</v>
      </c>
      <c r="G79" s="2" t="s">
        <v>367</v>
      </c>
      <c r="H79" s="35">
        <v>2</v>
      </c>
      <c r="I79" s="52" cm="1">
        <f t="array" ref="I79">IFERROR(
  VALUE($H79) *
  VALUE(
    _xlfn.XLOOKUP(
      TRIM($F79) &amp; "|" &amp; LEFT(SUBSTITUTE($G79,CHAR(160)," "),5) &amp; "|Full Rate",
      TRIM(SUBSTITUTE($Q$2:$Q$38,CHAR(160)," ")) &amp; "|" &amp;
      LEFT(SUBSTITUTE($R$2:$R$38,CHAR(160)," "),5) &amp; "|" &amp;
      TRIM(SUBSTITUTE($S$2:$S$38,CHAR(160)," ")),
      $T$2:$T$38
    )
  ),
"")</f>
        <v>650</v>
      </c>
      <c r="J79" s="52" cm="1">
        <f t="array" ref="J79">IFERROR(
  VALUE($H79) *
  VALUE(
    _xlfn.XLOOKUP(
      TRIM($F79) &amp; "|" &amp; LEFT(SUBSTITUTE($G79,CHAR(160)," "),5) &amp; "|Reduced Rate",
      TRIM(SUBSTITUTE($Q$2:$Q$38,CHAR(160)," ")) &amp; "|" &amp;
      LEFT(SUBSTITUTE($R$2:$R$38,CHAR(160)," "),5) &amp; "|" &amp;
      TRIM(SUBSTITUTE($S$2:$S$38,CHAR(160)," ")),
      $T$2:$T$38
    )
  ),
"")</f>
        <v>350</v>
      </c>
      <c r="K79" s="52" cm="1">
        <f t="array" ref="K79">IFERROR(
  VALUE($H79) *
  VALUE(
    _xlfn.XLOOKUP(
      TRIM($F79) &amp; "|" &amp; LEFT(SUBSTITUTE($G79,CHAR(160)," "),5) &amp; "|Ideas Rate",
      TRIM(SUBSTITUTE($Q$2:$Q$38,CHAR(160)," ")) &amp; "|" &amp;
      LEFT(SUBSTITUTE($R$2:$R$38,CHAR(160)," "),5) &amp; "|" &amp;
      TRIM(SUBSTITUTE($S$2:$S$38,CHAR(160)," ")),
      $T$2:$T$38
    )
  ),
"")</f>
        <v>190</v>
      </c>
    </row>
    <row r="80" spans="1:11" x14ac:dyDescent="0.2">
      <c r="A80" s="21">
        <v>45785</v>
      </c>
      <c r="B80" s="7" t="s">
        <v>52</v>
      </c>
      <c r="C80" s="31" t="s">
        <v>12</v>
      </c>
      <c r="D80" s="2" t="s">
        <v>179</v>
      </c>
      <c r="E80" s="2" t="s">
        <v>42</v>
      </c>
      <c r="F80" s="78" t="s">
        <v>156</v>
      </c>
      <c r="G80" s="2" t="s">
        <v>367</v>
      </c>
      <c r="H80" s="35">
        <v>1.5</v>
      </c>
      <c r="I80" s="52" cm="1">
        <f t="array" ref="I80">IFERROR(
  VALUE($H80) *
  VALUE(
    _xlfn.XLOOKUP(
      TRIM($F80) &amp; "|" &amp; LEFT(SUBSTITUTE($G80,CHAR(160)," "),5) &amp; "|Full Rate",
      TRIM(SUBSTITUTE($Q$2:$Q$38,CHAR(160)," ")) &amp; "|" &amp;
      LEFT(SUBSTITUTE($R$2:$R$38,CHAR(160)," "),5) &amp; "|" &amp;
      TRIM(SUBSTITUTE($S$2:$S$38,CHAR(160)," ")),
      $T$2:$T$38
    )
  ),
"")</f>
        <v>487.5</v>
      </c>
      <c r="J80" s="52" cm="1">
        <f t="array" ref="J80">IFERROR(
  VALUE($H80) *
  VALUE(
    _xlfn.XLOOKUP(
      TRIM($F80) &amp; "|" &amp; LEFT(SUBSTITUTE($G80,CHAR(160)," "),5) &amp; "|Reduced Rate",
      TRIM(SUBSTITUTE($Q$2:$Q$38,CHAR(160)," ")) &amp; "|" &amp;
      LEFT(SUBSTITUTE($R$2:$R$38,CHAR(160)," "),5) &amp; "|" &amp;
      TRIM(SUBSTITUTE($S$2:$S$38,CHAR(160)," ")),
      $T$2:$T$38
    )
  ),
"")</f>
        <v>262.5</v>
      </c>
      <c r="K80" s="52" cm="1">
        <f t="array" ref="K80">IFERROR(
  VALUE($H80) *
  VALUE(
    _xlfn.XLOOKUP(
      TRIM($F80) &amp; "|" &amp; LEFT(SUBSTITUTE($G80,CHAR(160)," "),5) &amp; "|Ideas Rate",
      TRIM(SUBSTITUTE($Q$2:$Q$38,CHAR(160)," ")) &amp; "|" &amp;
      LEFT(SUBSTITUTE($R$2:$R$38,CHAR(160)," "),5) &amp; "|" &amp;
      TRIM(SUBSTITUTE($S$2:$S$38,CHAR(160)," ")),
      $T$2:$T$38
    )
  ),
"")</f>
        <v>142.5</v>
      </c>
    </row>
    <row r="81" spans="1:11" s="54" customFormat="1" x14ac:dyDescent="0.2">
      <c r="A81" s="38">
        <v>45816</v>
      </c>
      <c r="B81" s="277" t="s">
        <v>52</v>
      </c>
      <c r="C81" s="31" t="s">
        <v>12</v>
      </c>
      <c r="D81" s="78" t="s">
        <v>181</v>
      </c>
      <c r="E81" s="78" t="s">
        <v>55</v>
      </c>
      <c r="F81" s="78" t="s">
        <v>156</v>
      </c>
      <c r="G81" s="78" t="s">
        <v>380</v>
      </c>
      <c r="H81" s="278">
        <v>5</v>
      </c>
      <c r="I81" s="52" cm="1">
        <f t="array" ref="I81">IFERROR(
  VALUE($H81) *
  VALUE(
    _xlfn.XLOOKUP(
      TRIM($F81) &amp; "|" &amp; LEFT(SUBSTITUTE($G81,CHAR(160)," "),5) &amp; "|Full Rate",
      TRIM(SUBSTITUTE($Q$2:$Q$38,CHAR(160)," ")) &amp; "|" &amp;
      LEFT(SUBSTITUTE($R$2:$R$38,CHAR(160)," "),5) &amp; "|" &amp;
      TRIM(SUBSTITUTE($S$2:$S$38,CHAR(160)," ")),
      $T$2:$T$38
    )
  ),
"")</f>
        <v>975</v>
      </c>
      <c r="J81" s="52" cm="1">
        <f t="array" ref="J81">IFERROR(
  VALUE($H81) *
  VALUE(
    _xlfn.XLOOKUP(
      TRIM($F81) &amp; "|" &amp; LEFT(SUBSTITUTE($G81,CHAR(160)," "),5) &amp; "|Reduced Rate",
      TRIM(SUBSTITUTE($Q$2:$Q$38,CHAR(160)," ")) &amp; "|" &amp;
      LEFT(SUBSTITUTE($R$2:$R$38,CHAR(160)," "),5) &amp; "|" &amp;
      TRIM(SUBSTITUTE($S$2:$S$38,CHAR(160)," ")),
      $T$2:$T$38
    )
  ),
"")</f>
        <v>450</v>
      </c>
      <c r="K81" s="52" cm="1">
        <f t="array" ref="K81">IFERROR(
  VALUE($H81) *
  VALUE(
    _xlfn.XLOOKUP(
      TRIM($F81) &amp; "|" &amp; LEFT(SUBSTITUTE($G81,CHAR(160)," "),5) &amp; "|Ideas Rate",
      TRIM(SUBSTITUTE($Q$2:$Q$38,CHAR(160)," ")) &amp; "|" &amp;
      LEFT(SUBSTITUTE($R$2:$R$38,CHAR(160)," "),5) &amp; "|" &amp;
      TRIM(SUBSTITUTE($S$2:$S$38,CHAR(160)," ")),
      $T$2:$T$38
    )
  ),
"")</f>
        <v>225</v>
      </c>
    </row>
    <row r="82" spans="1:11" s="54" customFormat="1" x14ac:dyDescent="0.2">
      <c r="A82" s="38">
        <v>45846</v>
      </c>
      <c r="B82" s="277" t="s">
        <v>52</v>
      </c>
      <c r="C82" s="78" t="s">
        <v>12</v>
      </c>
      <c r="D82" s="78" t="s">
        <v>179</v>
      </c>
      <c r="E82" s="78" t="s">
        <v>56</v>
      </c>
      <c r="F82" s="78" t="s">
        <v>156</v>
      </c>
      <c r="G82" s="78" t="s">
        <v>380</v>
      </c>
      <c r="H82" s="278">
        <v>2</v>
      </c>
      <c r="I82" s="52" cm="1">
        <f t="array" ref="I82">IFERROR(
  VALUE($H82) *
  VALUE(
    _xlfn.XLOOKUP(
      TRIM($F82) &amp; "|" &amp; LEFT(SUBSTITUTE($G82,CHAR(160)," "),5) &amp; "|Full Rate",
      TRIM(SUBSTITUTE($Q$2:$Q$38,CHAR(160)," ")) &amp; "|" &amp;
      LEFT(SUBSTITUTE($R$2:$R$38,CHAR(160)," "),5) &amp; "|" &amp;
      TRIM(SUBSTITUTE($S$2:$S$38,CHAR(160)," ")),
      $T$2:$T$38
    )
  ),
"")</f>
        <v>390</v>
      </c>
      <c r="J82" s="52" cm="1">
        <f t="array" ref="J82">IFERROR(
  VALUE($H82) *
  VALUE(
    _xlfn.XLOOKUP(
      TRIM($F82) &amp; "|" &amp; LEFT(SUBSTITUTE($G82,CHAR(160)," "),5) &amp; "|Reduced Rate",
      TRIM(SUBSTITUTE($Q$2:$Q$38,CHAR(160)," ")) &amp; "|" &amp;
      LEFT(SUBSTITUTE($R$2:$R$38,CHAR(160)," "),5) &amp; "|" &amp;
      TRIM(SUBSTITUTE($S$2:$S$38,CHAR(160)," ")),
      $T$2:$T$38
    )
  ),
"")</f>
        <v>180</v>
      </c>
      <c r="K82" s="52" cm="1">
        <f t="array" ref="K82">IFERROR(
  VALUE($H82) *
  VALUE(
    _xlfn.XLOOKUP(
      TRIM($F82) &amp; "|" &amp; LEFT(SUBSTITUTE($G82,CHAR(160)," "),5) &amp; "|Ideas Rate",
      TRIM(SUBSTITUTE($Q$2:$Q$38,CHAR(160)," ")) &amp; "|" &amp;
      LEFT(SUBSTITUTE($R$2:$R$38,CHAR(160)," "),5) &amp; "|" &amp;
      TRIM(SUBSTITUTE($S$2:$S$38,CHAR(160)," ")),
      $T$2:$T$38
    )
  ),
"")</f>
        <v>90</v>
      </c>
    </row>
    <row r="83" spans="1:11" s="54" customFormat="1" x14ac:dyDescent="0.2">
      <c r="A83" s="38">
        <v>45846</v>
      </c>
      <c r="B83" s="277" t="s">
        <v>52</v>
      </c>
      <c r="C83" s="31" t="s">
        <v>12</v>
      </c>
      <c r="D83" s="78" t="s">
        <v>179</v>
      </c>
      <c r="E83" s="78" t="s">
        <v>57</v>
      </c>
      <c r="F83" s="78" t="s">
        <v>156</v>
      </c>
      <c r="G83" s="78" t="s">
        <v>367</v>
      </c>
      <c r="H83" s="278">
        <v>2</v>
      </c>
      <c r="I83" s="52" cm="1">
        <f t="array" ref="I83">IFERROR(
  VALUE($H83) *
  VALUE(
    _xlfn.XLOOKUP(
      TRIM($F83) &amp; "|" &amp; LEFT(SUBSTITUTE($G83,CHAR(160)," "),5) &amp; "|Full Rate",
      TRIM(SUBSTITUTE($Q$2:$Q$38,CHAR(160)," ")) &amp; "|" &amp;
      LEFT(SUBSTITUTE($R$2:$R$38,CHAR(160)," "),5) &amp; "|" &amp;
      TRIM(SUBSTITUTE($S$2:$S$38,CHAR(160)," ")),
      $T$2:$T$38
    )
  ),
"")</f>
        <v>650</v>
      </c>
      <c r="J83" s="52" cm="1">
        <f t="array" ref="J83">IFERROR(
  VALUE($H83) *
  VALUE(
    _xlfn.XLOOKUP(
      TRIM($F83) &amp; "|" &amp; LEFT(SUBSTITUTE($G83,CHAR(160)," "),5) &amp; "|Reduced Rate",
      TRIM(SUBSTITUTE($Q$2:$Q$38,CHAR(160)," ")) &amp; "|" &amp;
      LEFT(SUBSTITUTE($R$2:$R$38,CHAR(160)," "),5) &amp; "|" &amp;
      TRIM(SUBSTITUTE($S$2:$S$38,CHAR(160)," ")),
      $T$2:$T$38
    )
  ),
"")</f>
        <v>350</v>
      </c>
      <c r="K83" s="52" cm="1">
        <f t="array" ref="K83">IFERROR(
  VALUE($H83) *
  VALUE(
    _xlfn.XLOOKUP(
      TRIM($F83) &amp; "|" &amp; LEFT(SUBSTITUTE($G83,CHAR(160)," "),5) &amp; "|Ideas Rate",
      TRIM(SUBSTITUTE($Q$2:$Q$38,CHAR(160)," ")) &amp; "|" &amp;
      LEFT(SUBSTITUTE($R$2:$R$38,CHAR(160)," "),5) &amp; "|" &amp;
      TRIM(SUBSTITUTE($S$2:$S$38,CHAR(160)," ")),
      $T$2:$T$38
    )
  ),
"")</f>
        <v>190</v>
      </c>
    </row>
    <row r="84" spans="1:11" s="54" customFormat="1" x14ac:dyDescent="0.2">
      <c r="A84" s="288">
        <v>45889</v>
      </c>
      <c r="B84" s="277" t="s">
        <v>52</v>
      </c>
      <c r="C84" s="31" t="s">
        <v>12</v>
      </c>
      <c r="D84" s="289" t="s">
        <v>29</v>
      </c>
      <c r="E84" s="78" t="s">
        <v>29</v>
      </c>
      <c r="F84" s="78" t="s">
        <v>10</v>
      </c>
      <c r="G84" s="78" t="s">
        <v>380</v>
      </c>
      <c r="H84" s="278">
        <v>1</v>
      </c>
      <c r="I84" s="52" cm="1">
        <f t="array" ref="I84">IFERROR(
  VALUE($H84) *
  VALUE(
    _xlfn.XLOOKUP(
      TRIM($F84) &amp; "|" &amp; LEFT(SUBSTITUTE($G84,CHAR(160)," "),5) &amp; "|Full Rate",
      TRIM(SUBSTITUTE($Q$2:$Q$38,CHAR(160)," ")) &amp; "|" &amp;
      LEFT(SUBSTITUTE($R$2:$R$38,CHAR(160)," "),5) &amp; "|" &amp;
      TRIM(SUBSTITUTE($S$2:$S$38,CHAR(160)," ")),
      $T$2:$T$38
    )
  ),
"")</f>
        <v>250</v>
      </c>
      <c r="J84" s="52" cm="1">
        <f t="array" ref="J84">IFERROR(
  VALUE($H84) *
  VALUE(
    _xlfn.XLOOKUP(
      TRIM($F84) &amp; "|" &amp; LEFT(SUBSTITUTE($G84,CHAR(160)," "),5) &amp; "|Reduced Rate",
      TRIM(SUBSTITUTE($Q$2:$Q$38,CHAR(160)," ")) &amp; "|" &amp;
      LEFT(SUBSTITUTE($R$2:$R$38,CHAR(160)," "),5) &amp; "|" &amp;
      TRIM(SUBSTITUTE($S$2:$S$38,CHAR(160)," ")),
      $T$2:$T$38
    )
  ),
"")</f>
        <v>150</v>
      </c>
      <c r="K84" s="52" cm="1">
        <f t="array" ref="K84">IFERROR(
  VALUE($H84) *
  VALUE(
    _xlfn.XLOOKUP(
      TRIM($F84) &amp; "|" &amp; LEFT(SUBSTITUTE($G84,CHAR(160)," "),5) &amp; "|Ideas Rate",
      TRIM(SUBSTITUTE($Q$2:$Q$38,CHAR(160)," ")) &amp; "|" &amp;
      LEFT(SUBSTITUTE($R$2:$R$38,CHAR(160)," "),5) &amp; "|" &amp;
      TRIM(SUBSTITUTE($S$2:$S$38,CHAR(160)," ")),
      $T$2:$T$38
    )
  ),
"")</f>
        <v>75</v>
      </c>
    </row>
    <row r="85" spans="1:11" s="54" customFormat="1" x14ac:dyDescent="0.2">
      <c r="A85" s="38">
        <v>45890</v>
      </c>
      <c r="B85" s="290" t="s">
        <v>52</v>
      </c>
      <c r="C85" s="23" t="s">
        <v>12</v>
      </c>
      <c r="D85" s="289" t="s">
        <v>29</v>
      </c>
      <c r="E85" s="37" t="s">
        <v>58</v>
      </c>
      <c r="F85" s="37" t="s">
        <v>10</v>
      </c>
      <c r="G85" s="37" t="s">
        <v>380</v>
      </c>
      <c r="H85" s="291">
        <v>0.5</v>
      </c>
      <c r="I85" s="52" cm="1">
        <f t="array" ref="I85">IFERROR(
  VALUE($H85) *
  VALUE(
    _xlfn.XLOOKUP(
      TRIM($F85) &amp; "|" &amp; LEFT(SUBSTITUTE($G85,CHAR(160)," "),5) &amp; "|Full Rate",
      TRIM(SUBSTITUTE($Q$2:$Q$38,CHAR(160)," ")) &amp; "|" &amp;
      LEFT(SUBSTITUTE($R$2:$R$38,CHAR(160)," "),5) &amp; "|" &amp;
      TRIM(SUBSTITUTE($S$2:$S$38,CHAR(160)," ")),
      $T$2:$T$38
    )
  ),
"")</f>
        <v>125</v>
      </c>
      <c r="J85" s="52" cm="1">
        <f t="array" ref="J85">IFERROR(
  VALUE($H85) *
  VALUE(
    _xlfn.XLOOKUP(
      TRIM($F85) &amp; "|" &amp; LEFT(SUBSTITUTE($G85,CHAR(160)," "),5) &amp; "|Reduced Rate",
      TRIM(SUBSTITUTE($Q$2:$Q$38,CHAR(160)," ")) &amp; "|" &amp;
      LEFT(SUBSTITUTE($R$2:$R$38,CHAR(160)," "),5) &amp; "|" &amp;
      TRIM(SUBSTITUTE($S$2:$S$38,CHAR(160)," ")),
      $T$2:$T$38
    )
  ),
"")</f>
        <v>75</v>
      </c>
      <c r="K85" s="52" cm="1">
        <f t="array" ref="K85">IFERROR(
  VALUE($H85) *
  VALUE(
    _xlfn.XLOOKUP(
      TRIM($F85) &amp; "|" &amp; LEFT(SUBSTITUTE($G85,CHAR(160)," "),5) &amp; "|Ideas Rate",
      TRIM(SUBSTITUTE($Q$2:$Q$38,CHAR(160)," ")) &amp; "|" &amp;
      LEFT(SUBSTITUTE($R$2:$R$38,CHAR(160)," "),5) &amp; "|" &amp;
      TRIM(SUBSTITUTE($S$2:$S$38,CHAR(160)," ")),
      $T$2:$T$38
    )
  ),
"")</f>
        <v>37.5</v>
      </c>
    </row>
    <row r="86" spans="1:11" s="54" customFormat="1" x14ac:dyDescent="0.2">
      <c r="A86" s="38">
        <v>45889</v>
      </c>
      <c r="B86" s="290" t="s">
        <v>52</v>
      </c>
      <c r="C86" s="23" t="s">
        <v>12</v>
      </c>
      <c r="D86" s="289" t="s">
        <v>29</v>
      </c>
      <c r="E86" s="37" t="s">
        <v>59</v>
      </c>
      <c r="F86" s="37" t="s">
        <v>10</v>
      </c>
      <c r="G86" s="54" t="s">
        <v>368</v>
      </c>
      <c r="H86" s="291">
        <v>0.75</v>
      </c>
      <c r="I86" s="52" cm="1">
        <f t="array" ref="I86">IFERROR(
  VALUE($H86) *
  VALUE(
    _xlfn.XLOOKUP(
      TRIM($F86) &amp; "|" &amp; LEFT(SUBSTITUTE($G86,CHAR(160)," "),5) &amp; "|Full Rate",
      TRIM(SUBSTITUTE($Q$2:$Q$38,CHAR(160)," ")) &amp; "|" &amp;
      LEFT(SUBSTITUTE($R$2:$R$38,CHAR(160)," "),5) &amp; "|" &amp;
      TRIM(SUBSTITUTE($S$2:$S$38,CHAR(160)," ")),
      $T$2:$T$38
    )
  ),
"")</f>
        <v>75</v>
      </c>
      <c r="J86" s="52" cm="1">
        <f t="array" ref="J86">IFERROR(
  VALUE($H86) *
  VALUE(
    _xlfn.XLOOKUP(
      TRIM($F86) &amp; "|" &amp; LEFT(SUBSTITUTE($G86,CHAR(160)," "),5) &amp; "|Reduced Rate",
      TRIM(SUBSTITUTE($Q$2:$Q$38,CHAR(160)," ")) &amp; "|" &amp;
      LEFT(SUBSTITUTE($R$2:$R$38,CHAR(160)," "),5) &amp; "|" &amp;
      TRIM(SUBSTITUTE($S$2:$S$38,CHAR(160)," ")),
      $T$2:$T$38
    )
  ),
"")</f>
        <v>37.5</v>
      </c>
      <c r="K86" s="52" cm="1">
        <f t="array" ref="K86">IFERROR(
  VALUE($H86) *
  VALUE(
    _xlfn.XLOOKUP(
      TRIM($F86) &amp; "|" &amp; LEFT(SUBSTITUTE($G86,CHAR(160)," "),5) &amp; "|Ideas Rate",
      TRIM(SUBSTITUTE($Q$2:$Q$38,CHAR(160)," ")) &amp; "|" &amp;
      LEFT(SUBSTITUTE($R$2:$R$38,CHAR(160)," "),5) &amp; "|" &amp;
      TRIM(SUBSTITUTE($S$2:$S$38,CHAR(160)," ")),
      $T$2:$T$38
    )
  ),
"")</f>
        <v>22.5</v>
      </c>
    </row>
    <row r="87" spans="1:11" s="54" customFormat="1" x14ac:dyDescent="0.2">
      <c r="A87" s="38">
        <v>45890</v>
      </c>
      <c r="B87" s="290" t="s">
        <v>52</v>
      </c>
      <c r="C87" s="23" t="s">
        <v>12</v>
      </c>
      <c r="D87" s="289" t="s">
        <v>29</v>
      </c>
      <c r="E87" s="37" t="s">
        <v>59</v>
      </c>
      <c r="F87" s="37" t="s">
        <v>9</v>
      </c>
      <c r="G87" s="37" t="s">
        <v>368</v>
      </c>
      <c r="H87" s="291">
        <v>0.25</v>
      </c>
      <c r="I87" s="52" cm="1">
        <f t="array" ref="I87">IFERROR(
  VALUE($H87) *
  VALUE(
    _xlfn.XLOOKUP(
      TRIM($F87) &amp; "|" &amp; LEFT(SUBSTITUTE($G87,CHAR(160)," "),5) &amp; "|Full Rate",
      TRIM(SUBSTITUTE($Q$2:$Q$38,CHAR(160)," ")) &amp; "|" &amp;
      LEFT(SUBSTITUTE($R$2:$R$38,CHAR(160)," "),5) &amp; "|" &amp;
      TRIM(SUBSTITUTE($S$2:$S$38,CHAR(160)," ")),
      $T$2:$T$38
    )
  ),
"")</f>
        <v>25</v>
      </c>
      <c r="J87" s="52" cm="1">
        <f t="array" ref="J87">IFERROR(
  VALUE($H87) *
  VALUE(
    _xlfn.XLOOKUP(
      TRIM($F87) &amp; "|" &amp; LEFT(SUBSTITUTE($G87,CHAR(160)," "),5) &amp; "|Reduced Rate",
      TRIM(SUBSTITUTE($Q$2:$Q$38,CHAR(160)," ")) &amp; "|" &amp;
      LEFT(SUBSTITUTE($R$2:$R$38,CHAR(160)," "),5) &amp; "|" &amp;
      TRIM(SUBSTITUTE($S$2:$S$38,CHAR(160)," ")),
      $T$2:$T$38
    )
  ),
"")</f>
        <v>12.5</v>
      </c>
      <c r="K87" s="52" cm="1">
        <f t="array" ref="K87">IFERROR(
  VALUE($H87) *
  VALUE(
    _xlfn.XLOOKUP(
      TRIM($F87) &amp; "|" &amp; LEFT(SUBSTITUTE($G87,CHAR(160)," "),5) &amp; "|Ideas Rate",
      TRIM(SUBSTITUTE($Q$2:$Q$38,CHAR(160)," ")) &amp; "|" &amp;
      LEFT(SUBSTITUTE($R$2:$R$38,CHAR(160)," "),5) &amp; "|" &amp;
      TRIM(SUBSTITUTE($S$2:$S$38,CHAR(160)," ")),
      $T$2:$T$38
    )
  ),
"")</f>
        <v>7.5</v>
      </c>
    </row>
    <row r="88" spans="1:11" x14ac:dyDescent="0.2">
      <c r="A88" s="21">
        <v>45895</v>
      </c>
      <c r="B88" s="5" t="s">
        <v>52</v>
      </c>
      <c r="C88" s="23" t="s">
        <v>12</v>
      </c>
      <c r="D88" s="17" t="s">
        <v>178</v>
      </c>
      <c r="E88" s="18" t="s">
        <v>60</v>
      </c>
      <c r="F88" s="37" t="s">
        <v>156</v>
      </c>
      <c r="G88" s="18" t="s">
        <v>368</v>
      </c>
      <c r="H88" s="36">
        <v>1</v>
      </c>
      <c r="I88" s="52" cm="1">
        <f t="array" ref="I88">IFERROR(
  VALUE($H88) *
  VALUE(
    _xlfn.XLOOKUP(
      TRIM($F88) &amp; "|" &amp; LEFT(SUBSTITUTE($G88,CHAR(160)," "),5) &amp; "|Full Rate",
      TRIM(SUBSTITUTE($Q$2:$Q$38,CHAR(160)," ")) &amp; "|" &amp;
      LEFT(SUBSTITUTE($R$2:$R$38,CHAR(160)," "),5) &amp; "|" &amp;
      TRIM(SUBSTITUTE($S$2:$S$38,CHAR(160)," ")),
      $T$2:$T$38
    )
  ),
"")</f>
        <v>100</v>
      </c>
      <c r="J88" s="52" cm="1">
        <f t="array" ref="J88">IFERROR(
  VALUE($H88) *
  VALUE(
    _xlfn.XLOOKUP(
      TRIM($F88) &amp; "|" &amp; LEFT(SUBSTITUTE($G88,CHAR(160)," "),5) &amp; "|Reduced Rate",
      TRIM(SUBSTITUTE($Q$2:$Q$38,CHAR(160)," ")) &amp; "|" &amp;
      LEFT(SUBSTITUTE($R$2:$R$38,CHAR(160)," "),5) &amp; "|" &amp;
      TRIM(SUBSTITUTE($S$2:$S$38,CHAR(160)," ")),
      $T$2:$T$38
    )
  ),
"")</f>
        <v>50</v>
      </c>
      <c r="K88" s="52" cm="1">
        <f t="array" ref="K88">IFERROR(
  VALUE($H88) *
  VALUE(
    _xlfn.XLOOKUP(
      TRIM($F88) &amp; "|" &amp; LEFT(SUBSTITUTE($G88,CHAR(160)," "),5) &amp; "|Ideas Rate",
      TRIM(SUBSTITUTE($Q$2:$Q$38,CHAR(160)," ")) &amp; "|" &amp;
      LEFT(SUBSTITUTE($R$2:$R$38,CHAR(160)," "),5) &amp; "|" &amp;
      TRIM(SUBSTITUTE($S$2:$S$38,CHAR(160)," ")),
      $T$2:$T$38
    )
  ),
"")</f>
        <v>30</v>
      </c>
    </row>
    <row r="89" spans="1:11" s="54" customFormat="1" x14ac:dyDescent="0.2">
      <c r="A89" s="38">
        <v>45895</v>
      </c>
      <c r="B89" s="290" t="s">
        <v>52</v>
      </c>
      <c r="C89" s="23" t="s">
        <v>12</v>
      </c>
      <c r="D89" s="289" t="s">
        <v>179</v>
      </c>
      <c r="E89" s="37" t="s">
        <v>61</v>
      </c>
      <c r="F89" s="37" t="s">
        <v>156</v>
      </c>
      <c r="G89" s="37" t="s">
        <v>367</v>
      </c>
      <c r="H89" s="291">
        <v>2</v>
      </c>
      <c r="I89" s="52" cm="1">
        <f t="array" ref="I89">IFERROR(
  VALUE($H89) *
  VALUE(
    _xlfn.XLOOKUP(
      TRIM($F89) &amp; "|" &amp; LEFT(SUBSTITUTE($G89,CHAR(160)," "),5) &amp; "|Full Rate",
      TRIM(SUBSTITUTE($Q$2:$Q$38,CHAR(160)," ")) &amp; "|" &amp;
      LEFT(SUBSTITUTE($R$2:$R$38,CHAR(160)," "),5) &amp; "|" &amp;
      TRIM(SUBSTITUTE($S$2:$S$38,CHAR(160)," ")),
      $T$2:$T$38
    )
  ),
"")</f>
        <v>650</v>
      </c>
      <c r="J89" s="52" cm="1">
        <f t="array" ref="J89">IFERROR(
  VALUE($H89) *
  VALUE(
    _xlfn.XLOOKUP(
      TRIM($F89) &amp; "|" &amp; LEFT(SUBSTITUTE($G89,CHAR(160)," "),5) &amp; "|Reduced Rate",
      TRIM(SUBSTITUTE($Q$2:$Q$38,CHAR(160)," ")) &amp; "|" &amp;
      LEFT(SUBSTITUTE($R$2:$R$38,CHAR(160)," "),5) &amp; "|" &amp;
      TRIM(SUBSTITUTE($S$2:$S$38,CHAR(160)," ")),
      $T$2:$T$38
    )
  ),
"")</f>
        <v>350</v>
      </c>
      <c r="K89" s="52" cm="1">
        <f t="array" ref="K89">IFERROR(
  VALUE($H89) *
  VALUE(
    _xlfn.XLOOKUP(
      TRIM($F89) &amp; "|" &amp; LEFT(SUBSTITUTE($G89,CHAR(160)," "),5) &amp; "|Ideas Rate",
      TRIM(SUBSTITUTE($Q$2:$Q$38,CHAR(160)," ")) &amp; "|" &amp;
      LEFT(SUBSTITUTE($R$2:$R$38,CHAR(160)," "),5) &amp; "|" &amp;
      TRIM(SUBSTITUTE($S$2:$S$38,CHAR(160)," ")),
      $T$2:$T$38
    )
  ),
"")</f>
        <v>190</v>
      </c>
    </row>
    <row r="90" spans="1:11" x14ac:dyDescent="0.2">
      <c r="A90" s="21">
        <v>45895</v>
      </c>
      <c r="B90" s="5" t="s">
        <v>52</v>
      </c>
      <c r="C90" s="23" t="s">
        <v>12</v>
      </c>
      <c r="D90" s="17" t="s">
        <v>179</v>
      </c>
      <c r="E90" s="18" t="s">
        <v>62</v>
      </c>
      <c r="F90" s="37" t="s">
        <v>156</v>
      </c>
      <c r="G90" s="18" t="s">
        <v>367</v>
      </c>
      <c r="H90" s="36">
        <v>2</v>
      </c>
      <c r="I90" s="52" cm="1">
        <f t="array" ref="I90">IFERROR(
  VALUE($H90) *
  VALUE(
    _xlfn.XLOOKUP(
      TRIM($F90) &amp; "|" &amp; LEFT(SUBSTITUTE($G90,CHAR(160)," "),5) &amp; "|Full Rate",
      TRIM(SUBSTITUTE($Q$2:$Q$38,CHAR(160)," ")) &amp; "|" &amp;
      LEFT(SUBSTITUTE($R$2:$R$38,CHAR(160)," "),5) &amp; "|" &amp;
      TRIM(SUBSTITUTE($S$2:$S$38,CHAR(160)," ")),
      $T$2:$T$38
    )
  ),
"")</f>
        <v>650</v>
      </c>
      <c r="J90" s="52" cm="1">
        <f t="array" ref="J90">IFERROR(
  VALUE($H90) *
  VALUE(
    _xlfn.XLOOKUP(
      TRIM($F90) &amp; "|" &amp; LEFT(SUBSTITUTE($G90,CHAR(160)," "),5) &amp; "|Reduced Rate",
      TRIM(SUBSTITUTE($Q$2:$Q$38,CHAR(160)," ")) &amp; "|" &amp;
      LEFT(SUBSTITUTE($R$2:$R$38,CHAR(160)," "),5) &amp; "|" &amp;
      TRIM(SUBSTITUTE($S$2:$S$38,CHAR(160)," ")),
      $T$2:$T$38
    )
  ),
"")</f>
        <v>350</v>
      </c>
      <c r="K90" s="52" cm="1">
        <f t="array" ref="K90">IFERROR(
  VALUE($H90) *
  VALUE(
    _xlfn.XLOOKUP(
      TRIM($F90) &amp; "|" &amp; LEFT(SUBSTITUTE($G90,CHAR(160)," "),5) &amp; "|Ideas Rate",
      TRIM(SUBSTITUTE($Q$2:$Q$38,CHAR(160)," ")) &amp; "|" &amp;
      LEFT(SUBSTITUTE($R$2:$R$38,CHAR(160)," "),5) &amp; "|" &amp;
      TRIM(SUBSTITUTE($S$2:$S$38,CHAR(160)," ")),
      $T$2:$T$38
    )
  ),
"")</f>
        <v>190</v>
      </c>
    </row>
    <row r="91" spans="1:11" x14ac:dyDescent="0.2">
      <c r="A91" s="21">
        <v>45895</v>
      </c>
      <c r="B91" s="5" t="s">
        <v>52</v>
      </c>
      <c r="C91" s="23" t="s">
        <v>12</v>
      </c>
      <c r="D91" s="17" t="s">
        <v>178</v>
      </c>
      <c r="E91" s="18" t="s">
        <v>60</v>
      </c>
      <c r="F91" s="37" t="s">
        <v>156</v>
      </c>
      <c r="G91" s="18" t="s">
        <v>380</v>
      </c>
      <c r="H91" s="36">
        <v>0.5</v>
      </c>
      <c r="I91" s="52" cm="1">
        <f t="array" ref="I91">IFERROR(
  VALUE($H91) *
  VALUE(
    _xlfn.XLOOKUP(
      TRIM($F91) &amp; "|" &amp; LEFT(SUBSTITUTE($G91,CHAR(160)," "),5) &amp; "|Full Rate",
      TRIM(SUBSTITUTE($Q$2:$Q$38,CHAR(160)," ")) &amp; "|" &amp;
      LEFT(SUBSTITUTE($R$2:$R$38,CHAR(160)," "),5) &amp; "|" &amp;
      TRIM(SUBSTITUTE($S$2:$S$38,CHAR(160)," ")),
      $T$2:$T$38
    )
  ),
"")</f>
        <v>97.5</v>
      </c>
      <c r="J91" s="52" cm="1">
        <f t="array" ref="J91">IFERROR(
  VALUE($H91) *
  VALUE(
    _xlfn.XLOOKUP(
      TRIM($F91) &amp; "|" &amp; LEFT(SUBSTITUTE($G91,CHAR(160)," "),5) &amp; "|Reduced Rate",
      TRIM(SUBSTITUTE($Q$2:$Q$38,CHAR(160)," ")) &amp; "|" &amp;
      LEFT(SUBSTITUTE($R$2:$R$38,CHAR(160)," "),5) &amp; "|" &amp;
      TRIM(SUBSTITUTE($S$2:$S$38,CHAR(160)," ")),
      $T$2:$T$38
    )
  ),
"")</f>
        <v>45</v>
      </c>
      <c r="K91" s="52" cm="1">
        <f t="array" ref="K91">IFERROR(
  VALUE($H91) *
  VALUE(
    _xlfn.XLOOKUP(
      TRIM($F91) &amp; "|" &amp; LEFT(SUBSTITUTE($G91,CHAR(160)," "),5) &amp; "|Ideas Rate",
      TRIM(SUBSTITUTE($Q$2:$Q$38,CHAR(160)," ")) &amp; "|" &amp;
      LEFT(SUBSTITUTE($R$2:$R$38,CHAR(160)," "),5) &amp; "|" &amp;
      TRIM(SUBSTITUTE($S$2:$S$38,CHAR(160)," ")),
      $T$2:$T$38
    )
  ),
"")</f>
        <v>22.5</v>
      </c>
    </row>
    <row r="92" spans="1:11" s="54" customFormat="1" x14ac:dyDescent="0.2">
      <c r="A92" s="38">
        <v>45895</v>
      </c>
      <c r="B92" s="290" t="s">
        <v>52</v>
      </c>
      <c r="C92" s="23" t="s">
        <v>12</v>
      </c>
      <c r="D92" s="289" t="s">
        <v>29</v>
      </c>
      <c r="E92" s="37" t="s">
        <v>63</v>
      </c>
      <c r="F92" s="37" t="s">
        <v>10</v>
      </c>
      <c r="G92" s="37" t="s">
        <v>368</v>
      </c>
      <c r="H92" s="291">
        <v>0.25</v>
      </c>
      <c r="I92" s="52" cm="1">
        <f t="array" ref="I92">IFERROR(
  VALUE($H92) *
  VALUE(
    _xlfn.XLOOKUP(
      TRIM($F92) &amp; "|" &amp; LEFT(SUBSTITUTE($G92,CHAR(160)," "),5) &amp; "|Full Rate",
      TRIM(SUBSTITUTE($Q$2:$Q$38,CHAR(160)," ")) &amp; "|" &amp;
      LEFT(SUBSTITUTE($R$2:$R$38,CHAR(160)," "),5) &amp; "|" &amp;
      TRIM(SUBSTITUTE($S$2:$S$38,CHAR(160)," ")),
      $T$2:$T$38
    )
  ),
"")</f>
        <v>25</v>
      </c>
      <c r="J92" s="52" cm="1">
        <f t="array" ref="J92">IFERROR(
  VALUE($H92) *
  VALUE(
    _xlfn.XLOOKUP(
      TRIM($F92) &amp; "|" &amp; LEFT(SUBSTITUTE($G92,CHAR(160)," "),5) &amp; "|Reduced Rate",
      TRIM(SUBSTITUTE($Q$2:$Q$38,CHAR(160)," ")) &amp; "|" &amp;
      LEFT(SUBSTITUTE($R$2:$R$38,CHAR(160)," "),5) &amp; "|" &amp;
      TRIM(SUBSTITUTE($S$2:$S$38,CHAR(160)," ")),
      $T$2:$T$38
    )
  ),
"")</f>
        <v>12.5</v>
      </c>
      <c r="K92" s="52" cm="1">
        <f t="array" ref="K92">IFERROR(
  VALUE($H92) *
  VALUE(
    _xlfn.XLOOKUP(
      TRIM($F92) &amp; "|" &amp; LEFT(SUBSTITUTE($G92,CHAR(160)," "),5) &amp; "|Ideas Rate",
      TRIM(SUBSTITUTE($Q$2:$Q$38,CHAR(160)," ")) &amp; "|" &amp;
      LEFT(SUBSTITUTE($R$2:$R$38,CHAR(160)," "),5) &amp; "|" &amp;
      TRIM(SUBSTITUTE($S$2:$S$38,CHAR(160)," ")),
      $T$2:$T$38
    )
  ),
"")</f>
        <v>7.5</v>
      </c>
    </row>
    <row r="93" spans="1:11" s="54" customFormat="1" x14ac:dyDescent="0.2">
      <c r="A93" s="38">
        <v>45895</v>
      </c>
      <c r="B93" s="290" t="s">
        <v>52</v>
      </c>
      <c r="C93" s="23" t="s">
        <v>12</v>
      </c>
      <c r="D93" s="289" t="s">
        <v>29</v>
      </c>
      <c r="E93" s="37" t="s">
        <v>64</v>
      </c>
      <c r="F93" s="37" t="s">
        <v>10</v>
      </c>
      <c r="G93" s="37" t="s">
        <v>368</v>
      </c>
      <c r="H93" s="291">
        <v>2.5</v>
      </c>
      <c r="I93" s="52" cm="1">
        <f t="array" ref="I93">IFERROR(
  VALUE($H93) *
  VALUE(
    _xlfn.XLOOKUP(
      TRIM($F93) &amp; "|" &amp; LEFT(SUBSTITUTE($G93,CHAR(160)," "),5) &amp; "|Full Rate",
      TRIM(SUBSTITUTE($Q$2:$Q$38,CHAR(160)," ")) &amp; "|" &amp;
      LEFT(SUBSTITUTE($R$2:$R$38,CHAR(160)," "),5) &amp; "|" &amp;
      TRIM(SUBSTITUTE($S$2:$S$38,CHAR(160)," ")),
      $T$2:$T$38
    )
  ),
"")</f>
        <v>250</v>
      </c>
      <c r="J93" s="52" cm="1">
        <f t="array" ref="J93">IFERROR(
  VALUE($H93) *
  VALUE(
    _xlfn.XLOOKUP(
      TRIM($F93) &amp; "|" &amp; LEFT(SUBSTITUTE($G93,CHAR(160)," "),5) &amp; "|Reduced Rate",
      TRIM(SUBSTITUTE($Q$2:$Q$38,CHAR(160)," ")) &amp; "|" &amp;
      LEFT(SUBSTITUTE($R$2:$R$38,CHAR(160)," "),5) &amp; "|" &amp;
      TRIM(SUBSTITUTE($S$2:$S$38,CHAR(160)," ")),
      $T$2:$T$38
    )
  ),
"")</f>
        <v>125</v>
      </c>
      <c r="K93" s="52" cm="1">
        <f t="array" ref="K93">IFERROR(
  VALUE($H93) *
  VALUE(
    _xlfn.XLOOKUP(
      TRIM($F93) &amp; "|" &amp; LEFT(SUBSTITUTE($G93,CHAR(160)," "),5) &amp; "|Ideas Rate",
      TRIM(SUBSTITUTE($Q$2:$Q$38,CHAR(160)," ")) &amp; "|" &amp;
      LEFT(SUBSTITUTE($R$2:$R$38,CHAR(160)," "),5) &amp; "|" &amp;
      TRIM(SUBSTITUTE($S$2:$S$38,CHAR(160)," ")),
      $T$2:$T$38
    )
  ),
"")</f>
        <v>75</v>
      </c>
    </row>
    <row r="94" spans="1:11" x14ac:dyDescent="0.2">
      <c r="A94" s="21">
        <v>45895</v>
      </c>
      <c r="B94" s="5" t="s">
        <v>52</v>
      </c>
      <c r="C94" s="23" t="s">
        <v>12</v>
      </c>
      <c r="D94" s="17" t="s">
        <v>178</v>
      </c>
      <c r="E94" s="18" t="s">
        <v>60</v>
      </c>
      <c r="F94" s="37" t="s">
        <v>10</v>
      </c>
      <c r="G94" s="18" t="s">
        <v>368</v>
      </c>
      <c r="H94" s="36">
        <v>0.5</v>
      </c>
      <c r="I94" s="52" cm="1">
        <f t="array" ref="I94">IFERROR(
  VALUE($H94) *
  VALUE(
    _xlfn.XLOOKUP(
      TRIM($F94) &amp; "|" &amp; LEFT(SUBSTITUTE($G94,CHAR(160)," "),5) &amp; "|Full Rate",
      TRIM(SUBSTITUTE($Q$2:$Q$38,CHAR(160)," ")) &amp; "|" &amp;
      LEFT(SUBSTITUTE($R$2:$R$38,CHAR(160)," "),5) &amp; "|" &amp;
      TRIM(SUBSTITUTE($S$2:$S$38,CHAR(160)," ")),
      $T$2:$T$38
    )
  ),
"")</f>
        <v>50</v>
      </c>
      <c r="J94" s="52" cm="1">
        <f t="array" ref="J94">IFERROR(
  VALUE($H94) *
  VALUE(
    _xlfn.XLOOKUP(
      TRIM($F94) &amp; "|" &amp; LEFT(SUBSTITUTE($G94,CHAR(160)," "),5) &amp; "|Reduced Rate",
      TRIM(SUBSTITUTE($Q$2:$Q$38,CHAR(160)," ")) &amp; "|" &amp;
      LEFT(SUBSTITUTE($R$2:$R$38,CHAR(160)," "),5) &amp; "|" &amp;
      TRIM(SUBSTITUTE($S$2:$S$38,CHAR(160)," ")),
      $T$2:$T$38
    )
  ),
"")</f>
        <v>25</v>
      </c>
      <c r="K94" s="52" cm="1">
        <f t="array" ref="K94">IFERROR(
  VALUE($H94) *
  VALUE(
    _xlfn.XLOOKUP(
      TRIM($F94) &amp; "|" &amp; LEFT(SUBSTITUTE($G94,CHAR(160)," "),5) &amp; "|Ideas Rate",
      TRIM(SUBSTITUTE($Q$2:$Q$38,CHAR(160)," ")) &amp; "|" &amp;
      LEFT(SUBSTITUTE($R$2:$R$38,CHAR(160)," "),5) &amp; "|" &amp;
      TRIM(SUBSTITUTE($S$2:$S$38,CHAR(160)," ")),
      $T$2:$T$38
    )
  ),
"")</f>
        <v>15</v>
      </c>
    </row>
    <row r="95" spans="1:11" s="54" customFormat="1" x14ac:dyDescent="0.2">
      <c r="A95" s="38">
        <v>45895</v>
      </c>
      <c r="B95" s="290" t="s">
        <v>52</v>
      </c>
      <c r="C95" s="23" t="s">
        <v>12</v>
      </c>
      <c r="D95" s="289" t="s">
        <v>181</v>
      </c>
      <c r="E95" s="37" t="s">
        <v>65</v>
      </c>
      <c r="F95" s="37" t="s">
        <v>10</v>
      </c>
      <c r="G95" s="37" t="s">
        <v>368</v>
      </c>
      <c r="H95" s="291">
        <v>1</v>
      </c>
      <c r="I95" s="52" cm="1">
        <f t="array" ref="I95">IFERROR(
  VALUE($H95) *
  VALUE(
    _xlfn.XLOOKUP(
      TRIM($F95) &amp; "|" &amp; LEFT(SUBSTITUTE($G95,CHAR(160)," "),5) &amp; "|Full Rate",
      TRIM(SUBSTITUTE($Q$2:$Q$38,CHAR(160)," ")) &amp; "|" &amp;
      LEFT(SUBSTITUTE($R$2:$R$38,CHAR(160)," "),5) &amp; "|" &amp;
      TRIM(SUBSTITUTE($S$2:$S$38,CHAR(160)," ")),
      $T$2:$T$38
    )
  ),
"")</f>
        <v>100</v>
      </c>
      <c r="J95" s="52" cm="1">
        <f t="array" ref="J95">IFERROR(
  VALUE($H95) *
  VALUE(
    _xlfn.XLOOKUP(
      TRIM($F95) &amp; "|" &amp; LEFT(SUBSTITUTE($G95,CHAR(160)," "),5) &amp; "|Reduced Rate",
      TRIM(SUBSTITUTE($Q$2:$Q$38,CHAR(160)," ")) &amp; "|" &amp;
      LEFT(SUBSTITUTE($R$2:$R$38,CHAR(160)," "),5) &amp; "|" &amp;
      TRIM(SUBSTITUTE($S$2:$S$38,CHAR(160)," ")),
      $T$2:$T$38
    )
  ),
"")</f>
        <v>50</v>
      </c>
      <c r="K95" s="52" cm="1">
        <f t="array" ref="K95">IFERROR(
  VALUE($H95) *
  VALUE(
    _xlfn.XLOOKUP(
      TRIM($F95) &amp; "|" &amp; LEFT(SUBSTITUTE($G95,CHAR(160)," "),5) &amp; "|Ideas Rate",
      TRIM(SUBSTITUTE($Q$2:$Q$38,CHAR(160)," ")) &amp; "|" &amp;
      LEFT(SUBSTITUTE($R$2:$R$38,CHAR(160)," "),5) &amp; "|" &amp;
      TRIM(SUBSTITUTE($S$2:$S$38,CHAR(160)," ")),
      $T$2:$T$38
    )
  ),
"")</f>
        <v>30</v>
      </c>
    </row>
    <row r="96" spans="1:11" s="54" customFormat="1" x14ac:dyDescent="0.2">
      <c r="A96" s="38">
        <v>45896</v>
      </c>
      <c r="B96" s="290" t="s">
        <v>52</v>
      </c>
      <c r="C96" s="23" t="s">
        <v>12</v>
      </c>
      <c r="D96" s="289" t="s">
        <v>179</v>
      </c>
      <c r="E96" s="37" t="s">
        <v>146</v>
      </c>
      <c r="F96" s="37" t="s">
        <v>156</v>
      </c>
      <c r="G96" s="37" t="s">
        <v>367</v>
      </c>
      <c r="H96" s="291">
        <v>2</v>
      </c>
      <c r="I96" s="52" cm="1">
        <f t="array" ref="I96">IFERROR(
  VALUE($H96) *
  VALUE(
    _xlfn.XLOOKUP(
      TRIM($F96) &amp; "|" &amp; LEFT(SUBSTITUTE($G96,CHAR(160)," "),5) &amp; "|Full Rate",
      TRIM(SUBSTITUTE($Q$2:$Q$38,CHAR(160)," ")) &amp; "|" &amp;
      LEFT(SUBSTITUTE($R$2:$R$38,CHAR(160)," "),5) &amp; "|" &amp;
      TRIM(SUBSTITUTE($S$2:$S$38,CHAR(160)," ")),
      $T$2:$T$38
    )
  ),
"")</f>
        <v>650</v>
      </c>
      <c r="J96" s="52" cm="1">
        <f t="array" ref="J96">IFERROR(
  VALUE($H96) *
  VALUE(
    _xlfn.XLOOKUP(
      TRIM($F96) &amp; "|" &amp; LEFT(SUBSTITUTE($G96,CHAR(160)," "),5) &amp; "|Reduced Rate",
      TRIM(SUBSTITUTE($Q$2:$Q$38,CHAR(160)," ")) &amp; "|" &amp;
      LEFT(SUBSTITUTE($R$2:$R$38,CHAR(160)," "),5) &amp; "|" &amp;
      TRIM(SUBSTITUTE($S$2:$S$38,CHAR(160)," ")),
      $T$2:$T$38
    )
  ),
"")</f>
        <v>350</v>
      </c>
      <c r="K96" s="52" cm="1">
        <f t="array" ref="K96">IFERROR(
  VALUE($H96) *
  VALUE(
    _xlfn.XLOOKUP(
      TRIM($F96) &amp; "|" &amp; LEFT(SUBSTITUTE($G96,CHAR(160)," "),5) &amp; "|Ideas Rate",
      TRIM(SUBSTITUTE($Q$2:$Q$38,CHAR(160)," ")) &amp; "|" &amp;
      LEFT(SUBSTITUTE($R$2:$R$38,CHAR(160)," "),5) &amp; "|" &amp;
      TRIM(SUBSTITUTE($S$2:$S$38,CHAR(160)," ")),
      $T$2:$T$38
    )
  ),
"")</f>
        <v>190</v>
      </c>
    </row>
    <row r="97" spans="1:11" s="54" customFormat="1" x14ac:dyDescent="0.2">
      <c r="A97" s="38">
        <v>45897</v>
      </c>
      <c r="B97" s="290" t="s">
        <v>52</v>
      </c>
      <c r="C97" s="23" t="s">
        <v>151</v>
      </c>
      <c r="D97" s="289" t="s">
        <v>179</v>
      </c>
      <c r="E97" s="37" t="s">
        <v>61</v>
      </c>
      <c r="F97" s="37" t="s">
        <v>156</v>
      </c>
      <c r="G97" s="37" t="s">
        <v>367</v>
      </c>
      <c r="H97" s="291">
        <v>1</v>
      </c>
      <c r="I97" s="52" cm="1">
        <f t="array" ref="I97">IFERROR(
  VALUE($H97) *
  VALUE(
    _xlfn.XLOOKUP(
      TRIM($F97) &amp; "|" &amp; LEFT(SUBSTITUTE($G97,CHAR(160)," "),5) &amp; "|Full Rate",
      TRIM(SUBSTITUTE($Q$2:$Q$38,CHAR(160)," ")) &amp; "|" &amp;
      LEFT(SUBSTITUTE($R$2:$R$38,CHAR(160)," "),5) &amp; "|" &amp;
      TRIM(SUBSTITUTE($S$2:$S$38,CHAR(160)," ")),
      $T$2:$T$38
    )
  ),
"")</f>
        <v>325</v>
      </c>
      <c r="J97" s="52" cm="1">
        <f t="array" ref="J97">IFERROR(
  VALUE($H97) *
  VALUE(
    _xlfn.XLOOKUP(
      TRIM($F97) &amp; "|" &amp; LEFT(SUBSTITUTE($G97,CHAR(160)," "),5) &amp; "|Reduced Rate",
      TRIM(SUBSTITUTE($Q$2:$Q$38,CHAR(160)," ")) &amp; "|" &amp;
      LEFT(SUBSTITUTE($R$2:$R$38,CHAR(160)," "),5) &amp; "|" &amp;
      TRIM(SUBSTITUTE($S$2:$S$38,CHAR(160)," ")),
      $T$2:$T$38
    )
  ),
"")</f>
        <v>175</v>
      </c>
      <c r="K97" s="52" cm="1">
        <f t="array" ref="K97">IFERROR(
  VALUE($H97) *
  VALUE(
    _xlfn.XLOOKUP(
      TRIM($F97) &amp; "|" &amp; LEFT(SUBSTITUTE($G97,CHAR(160)," "),5) &amp; "|Ideas Rate",
      TRIM(SUBSTITUTE($Q$2:$Q$38,CHAR(160)," ")) &amp; "|" &amp;
      LEFT(SUBSTITUTE($R$2:$R$38,CHAR(160)," "),5) &amp; "|" &amp;
      TRIM(SUBSTITUTE($S$2:$S$38,CHAR(160)," ")),
      $T$2:$T$38
    )
  ),
"")</f>
        <v>95</v>
      </c>
    </row>
    <row r="98" spans="1:11" x14ac:dyDescent="0.2">
      <c r="A98" s="21">
        <v>45902</v>
      </c>
      <c r="B98" s="5" t="s">
        <v>169</v>
      </c>
      <c r="C98" s="23" t="s">
        <v>151</v>
      </c>
      <c r="D98" s="17" t="s">
        <v>178</v>
      </c>
      <c r="E98" s="18" t="s">
        <v>176</v>
      </c>
      <c r="F98" s="37" t="s">
        <v>156</v>
      </c>
      <c r="G98" s="18" t="s">
        <v>367</v>
      </c>
      <c r="H98" s="36">
        <v>1</v>
      </c>
      <c r="I98" s="52" cm="1">
        <f t="array" ref="I98">IFERROR(
  VALUE($H98) *
  VALUE(
    _xlfn.XLOOKUP(
      TRIM($F98) &amp; "|" &amp; LEFT(SUBSTITUTE($G98,CHAR(160)," "),5) &amp; "|Full Rate",
      TRIM(SUBSTITUTE($Q$2:$Q$38,CHAR(160)," ")) &amp; "|" &amp;
      LEFT(SUBSTITUTE($R$2:$R$38,CHAR(160)," "),5) &amp; "|" &amp;
      TRIM(SUBSTITUTE($S$2:$S$38,CHAR(160)," ")),
      $T$2:$T$38
    )
  ),
"")</f>
        <v>325</v>
      </c>
      <c r="J98" s="52" cm="1">
        <f t="array" ref="J98">IFERROR(
  VALUE($H98) *
  VALUE(
    _xlfn.XLOOKUP(
      TRIM($F98) &amp; "|" &amp; LEFT(SUBSTITUTE($G98,CHAR(160)," "),5) &amp; "|Reduced Rate",
      TRIM(SUBSTITUTE($Q$2:$Q$38,CHAR(160)," ")) &amp; "|" &amp;
      LEFT(SUBSTITUTE($R$2:$R$38,CHAR(160)," "),5) &amp; "|" &amp;
      TRIM(SUBSTITUTE($S$2:$S$38,CHAR(160)," ")),
      $T$2:$T$38
    )
  ),
"")</f>
        <v>175</v>
      </c>
      <c r="K98" s="52" cm="1">
        <f t="array" ref="K98">IFERROR(
  VALUE($H98) *
  VALUE(
    _xlfn.XLOOKUP(
      TRIM($F98) &amp; "|" &amp; LEFT(SUBSTITUTE($G98,CHAR(160)," "),5) &amp; "|Ideas Rate",
      TRIM(SUBSTITUTE($Q$2:$Q$38,CHAR(160)," ")) &amp; "|" &amp;
      LEFT(SUBSTITUTE($R$2:$R$38,CHAR(160)," "),5) &amp; "|" &amp;
      TRIM(SUBSTITUTE($S$2:$S$38,CHAR(160)," ")),
      $T$2:$T$38
    )
  ),
"")</f>
        <v>95</v>
      </c>
    </row>
    <row r="99" spans="1:11" x14ac:dyDescent="0.2">
      <c r="A99" s="21">
        <v>45902</v>
      </c>
      <c r="B99" s="5" t="s">
        <v>169</v>
      </c>
      <c r="C99" s="23" t="s">
        <v>151</v>
      </c>
      <c r="D99" s="17" t="s">
        <v>179</v>
      </c>
      <c r="E99" s="18" t="s">
        <v>177</v>
      </c>
      <c r="F99" s="37" t="s">
        <v>156</v>
      </c>
      <c r="G99" s="18" t="s">
        <v>380</v>
      </c>
      <c r="H99" s="36">
        <v>0.5</v>
      </c>
      <c r="I99" s="52" cm="1">
        <f t="array" ref="I99">IFERROR(
  VALUE($H99) *
  VALUE(
    _xlfn.XLOOKUP(
      TRIM($F99) &amp; "|" &amp; LEFT(SUBSTITUTE($G99,CHAR(160)," "),5) &amp; "|Full Rate",
      TRIM(SUBSTITUTE($Q$2:$Q$38,CHAR(160)," ")) &amp; "|" &amp;
      LEFT(SUBSTITUTE($R$2:$R$38,CHAR(160)," "),5) &amp; "|" &amp;
      TRIM(SUBSTITUTE($S$2:$S$38,CHAR(160)," ")),
      $T$2:$T$38
    )
  ),
"")</f>
        <v>97.5</v>
      </c>
      <c r="J99" s="52" cm="1">
        <f t="array" ref="J99">IFERROR(
  VALUE($H99) *
  VALUE(
    _xlfn.XLOOKUP(
      TRIM($F99) &amp; "|" &amp; LEFT(SUBSTITUTE($G99,CHAR(160)," "),5) &amp; "|Reduced Rate",
      TRIM(SUBSTITUTE($Q$2:$Q$38,CHAR(160)," ")) &amp; "|" &amp;
      LEFT(SUBSTITUTE($R$2:$R$38,CHAR(160)," "),5) &amp; "|" &amp;
      TRIM(SUBSTITUTE($S$2:$S$38,CHAR(160)," ")),
      $T$2:$T$38
    )
  ),
"")</f>
        <v>45</v>
      </c>
      <c r="K99" s="52" cm="1">
        <f t="array" ref="K99">IFERROR(
  VALUE($H99) *
  VALUE(
    _xlfn.XLOOKUP(
      TRIM($F99) &amp; "|" &amp; LEFT(SUBSTITUTE($G99,CHAR(160)," "),5) &amp; "|Ideas Rate",
      TRIM(SUBSTITUTE($Q$2:$Q$38,CHAR(160)," ")) &amp; "|" &amp;
      LEFT(SUBSTITUTE($R$2:$R$38,CHAR(160)," "),5) &amp; "|" &amp;
      TRIM(SUBSTITUTE($S$2:$S$38,CHAR(160)," ")),
      $T$2:$T$38
    )
  ),
"")</f>
        <v>22.5</v>
      </c>
    </row>
    <row r="100" spans="1:11" s="54" customFormat="1" x14ac:dyDescent="0.2">
      <c r="A100" s="38">
        <v>45908</v>
      </c>
      <c r="B100" s="290" t="s">
        <v>169</v>
      </c>
      <c r="C100" s="23" t="s">
        <v>151</v>
      </c>
      <c r="D100" s="289" t="s">
        <v>29</v>
      </c>
      <c r="E100" s="37" t="s">
        <v>231</v>
      </c>
      <c r="F100" s="37" t="s">
        <v>156</v>
      </c>
      <c r="G100" s="37" t="s">
        <v>380</v>
      </c>
      <c r="H100" s="291">
        <v>3.5</v>
      </c>
      <c r="I100" s="52" cm="1">
        <f t="array" ref="I100">IFERROR(
  VALUE($H100) *
  VALUE(
    _xlfn.XLOOKUP(
      TRIM($F100) &amp; "|" &amp; LEFT(SUBSTITUTE($G100,CHAR(160)," "),5) &amp; "|Full Rate",
      TRIM(SUBSTITUTE($Q$2:$Q$38,CHAR(160)," ")) &amp; "|" &amp;
      LEFT(SUBSTITUTE($R$2:$R$38,CHAR(160)," "),5) &amp; "|" &amp;
      TRIM(SUBSTITUTE($S$2:$S$38,CHAR(160)," ")),
      $T$2:$T$38
    )
  ),
"")</f>
        <v>682.5</v>
      </c>
      <c r="J100" s="52" cm="1">
        <f t="array" ref="J100">IFERROR(
  VALUE($H100) *
  VALUE(
    _xlfn.XLOOKUP(
      TRIM($F100) &amp; "|" &amp; LEFT(SUBSTITUTE($G100,CHAR(160)," "),5) &amp; "|Reduced Rate",
      TRIM(SUBSTITUTE($Q$2:$Q$38,CHAR(160)," ")) &amp; "|" &amp;
      LEFT(SUBSTITUTE($R$2:$R$38,CHAR(160)," "),5) &amp; "|" &amp;
      TRIM(SUBSTITUTE($S$2:$S$38,CHAR(160)," ")),
      $T$2:$T$38
    )
  ),
"")</f>
        <v>315</v>
      </c>
      <c r="K100" s="52" cm="1">
        <f t="array" ref="K100">IFERROR(
  VALUE($H100) *
  VALUE(
    _xlfn.XLOOKUP(
      TRIM($F100) &amp; "|" &amp; LEFT(SUBSTITUTE($G100,CHAR(160)," "),5) &amp; "|Ideas Rate",
      TRIM(SUBSTITUTE($Q$2:$Q$38,CHAR(160)," ")) &amp; "|" &amp;
      LEFT(SUBSTITUTE($R$2:$R$38,CHAR(160)," "),5) &amp; "|" &amp;
      TRIM(SUBSTITUTE($S$2:$S$38,CHAR(160)," ")),
      $T$2:$T$38
    )
  ),
"")</f>
        <v>157.5</v>
      </c>
    </row>
    <row r="101" spans="1:11" x14ac:dyDescent="0.2">
      <c r="A101" s="38">
        <v>45910</v>
      </c>
      <c r="B101" s="5" t="s">
        <v>169</v>
      </c>
      <c r="C101" s="20" t="s">
        <v>151</v>
      </c>
      <c r="D101" t="s">
        <v>190</v>
      </c>
      <c r="E101" t="s">
        <v>236</v>
      </c>
      <c r="F101" s="37" t="s">
        <v>156</v>
      </c>
      <c r="G101" t="s">
        <v>367</v>
      </c>
      <c r="H101" s="22">
        <v>1</v>
      </c>
      <c r="I101" s="52" cm="1">
        <f t="array" ref="I101">IFERROR(
  VALUE($H101) *
  VALUE(
    _xlfn.XLOOKUP(
      TRIM($F101) &amp; "|" &amp; LEFT(SUBSTITUTE($G101,CHAR(160)," "),5) &amp; "|Full Rate",
      TRIM(SUBSTITUTE($Q$2:$Q$38,CHAR(160)," ")) &amp; "|" &amp;
      LEFT(SUBSTITUTE($R$2:$R$38,CHAR(160)," "),5) &amp; "|" &amp;
      TRIM(SUBSTITUTE($S$2:$S$38,CHAR(160)," ")),
      $T$2:$T$38
    )
  ),
"")</f>
        <v>325</v>
      </c>
      <c r="J101" s="52" cm="1">
        <f t="array" ref="J101">IFERROR(
  VALUE($H101) *
  VALUE(
    _xlfn.XLOOKUP(
      TRIM($F101) &amp; "|" &amp; LEFT(SUBSTITUTE($G101,CHAR(160)," "),5) &amp; "|Reduced Rate",
      TRIM(SUBSTITUTE($Q$2:$Q$38,CHAR(160)," ")) &amp; "|" &amp;
      LEFT(SUBSTITUTE($R$2:$R$38,CHAR(160)," "),5) &amp; "|" &amp;
      TRIM(SUBSTITUTE($S$2:$S$38,CHAR(160)," ")),
      $T$2:$T$38
    )
  ),
"")</f>
        <v>175</v>
      </c>
      <c r="K101" s="52" cm="1">
        <f t="array" ref="K101">IFERROR(
  VALUE($H101) *
  VALUE(
    _xlfn.XLOOKUP(
      TRIM($F101) &amp; "|" &amp; LEFT(SUBSTITUTE($G101,CHAR(160)," "),5) &amp; "|Ideas Rate",
      TRIM(SUBSTITUTE($Q$2:$Q$38,CHAR(160)," ")) &amp; "|" &amp;
      LEFT(SUBSTITUTE($R$2:$R$38,CHAR(160)," "),5) &amp; "|" &amp;
      TRIM(SUBSTITUTE($S$2:$S$38,CHAR(160)," ")),
      $T$2:$T$38
    )
  ),
"")</f>
        <v>95</v>
      </c>
    </row>
    <row r="102" spans="1:11" x14ac:dyDescent="0.2">
      <c r="A102" s="38">
        <v>45911</v>
      </c>
      <c r="B102" s="5" t="s">
        <v>169</v>
      </c>
      <c r="C102" s="20" t="s">
        <v>151</v>
      </c>
      <c r="D102" t="s">
        <v>190</v>
      </c>
      <c r="E102" t="s">
        <v>237</v>
      </c>
      <c r="F102" s="37" t="s">
        <v>156</v>
      </c>
      <c r="G102" t="s">
        <v>367</v>
      </c>
      <c r="H102" s="22">
        <v>2.5</v>
      </c>
      <c r="I102" s="52" cm="1">
        <f t="array" ref="I102">IFERROR(
  VALUE($H102) *
  VALUE(
    _xlfn.XLOOKUP(
      TRIM($F102) &amp; "|" &amp; LEFT(SUBSTITUTE($G102,CHAR(160)," "),5) &amp; "|Full Rate",
      TRIM(SUBSTITUTE($Q$2:$Q$38,CHAR(160)," ")) &amp; "|" &amp;
      LEFT(SUBSTITUTE($R$2:$R$38,CHAR(160)," "),5) &amp; "|" &amp;
      TRIM(SUBSTITUTE($S$2:$S$38,CHAR(160)," ")),
      $T$2:$T$38
    )
  ),
"")</f>
        <v>812.5</v>
      </c>
      <c r="J102" s="52" cm="1">
        <f t="array" ref="J102">IFERROR(
  VALUE($H102) *
  VALUE(
    _xlfn.XLOOKUP(
      TRIM($F102) &amp; "|" &amp; LEFT(SUBSTITUTE($G102,CHAR(160)," "),5) &amp; "|Reduced Rate",
      TRIM(SUBSTITUTE($Q$2:$Q$38,CHAR(160)," ")) &amp; "|" &amp;
      LEFT(SUBSTITUTE($R$2:$R$38,CHAR(160)," "),5) &amp; "|" &amp;
      TRIM(SUBSTITUTE($S$2:$S$38,CHAR(160)," ")),
      $T$2:$T$38
    )
  ),
"")</f>
        <v>437.5</v>
      </c>
      <c r="K102" s="52" cm="1">
        <f t="array" ref="K102">IFERROR(
  VALUE($H102) *
  VALUE(
    _xlfn.XLOOKUP(
      TRIM($F102) &amp; "|" &amp; LEFT(SUBSTITUTE($G102,CHAR(160)," "),5) &amp; "|Ideas Rate",
      TRIM(SUBSTITUTE($Q$2:$Q$38,CHAR(160)," ")) &amp; "|" &amp;
      LEFT(SUBSTITUTE($R$2:$R$38,CHAR(160)," "),5) &amp; "|" &amp;
      TRIM(SUBSTITUTE($S$2:$S$38,CHAR(160)," ")),
      $T$2:$T$38
    )
  ),
"")</f>
        <v>237.5</v>
      </c>
    </row>
    <row r="103" spans="1:11" x14ac:dyDescent="0.2">
      <c r="A103" s="38">
        <v>45922</v>
      </c>
      <c r="B103" s="5" t="s">
        <v>169</v>
      </c>
      <c r="C103" s="20" t="s">
        <v>151</v>
      </c>
      <c r="D103" t="s">
        <v>29</v>
      </c>
      <c r="E103" t="s">
        <v>256</v>
      </c>
      <c r="F103" s="54" t="s">
        <v>156</v>
      </c>
      <c r="G103" t="s">
        <v>380</v>
      </c>
      <c r="H103" s="22">
        <v>1.5</v>
      </c>
      <c r="I103" s="52" cm="1">
        <f t="array" ref="I103">IFERROR(
  VALUE($H103) *
  VALUE(
    _xlfn.XLOOKUP(
      TRIM($F103) &amp; "|" &amp; LEFT(SUBSTITUTE($G103,CHAR(160)," "),5) &amp; "|Full Rate",
      TRIM(SUBSTITUTE($Q$2:$Q$38,CHAR(160)," ")) &amp; "|" &amp;
      LEFT(SUBSTITUTE($R$2:$R$38,CHAR(160)," "),5) &amp; "|" &amp;
      TRIM(SUBSTITUTE($S$2:$S$38,CHAR(160)," ")),
      $T$2:$T$38
    )
  ),
"")</f>
        <v>292.5</v>
      </c>
      <c r="J103" s="52" cm="1">
        <f t="array" ref="J103">IFERROR(
  VALUE($H103) *
  VALUE(
    _xlfn.XLOOKUP(
      TRIM($F103) &amp; "|" &amp; LEFT(SUBSTITUTE($G103,CHAR(160)," "),5) &amp; "|Reduced Rate",
      TRIM(SUBSTITUTE($Q$2:$Q$38,CHAR(160)," ")) &amp; "|" &amp;
      LEFT(SUBSTITUTE($R$2:$R$38,CHAR(160)," "),5) &amp; "|" &amp;
      TRIM(SUBSTITUTE($S$2:$S$38,CHAR(160)," ")),
      $T$2:$T$38
    )
  ),
"")</f>
        <v>135</v>
      </c>
      <c r="K103" s="52" cm="1">
        <f t="array" ref="K103">IFERROR(
  VALUE($H103) *
  VALUE(
    _xlfn.XLOOKUP(
      TRIM($F103) &amp; "|" &amp; LEFT(SUBSTITUTE($G103,CHAR(160)," "),5) &amp; "|Ideas Rate",
      TRIM(SUBSTITUTE($Q$2:$Q$38,CHAR(160)," ")) &amp; "|" &amp;
      LEFT(SUBSTITUTE($R$2:$R$38,CHAR(160)," "),5) &amp; "|" &amp;
      TRIM(SUBSTITUTE($S$2:$S$38,CHAR(160)," ")),
      $T$2:$T$38
    )
  ),
"")</f>
        <v>67.5</v>
      </c>
    </row>
    <row r="104" spans="1:11" x14ac:dyDescent="0.2">
      <c r="A104" s="38">
        <v>45911</v>
      </c>
      <c r="B104" s="5" t="s">
        <v>169</v>
      </c>
      <c r="C104" s="20" t="s">
        <v>151</v>
      </c>
      <c r="D104" t="s">
        <v>29</v>
      </c>
      <c r="E104" t="s">
        <v>272</v>
      </c>
      <c r="F104" s="54" t="s">
        <v>156</v>
      </c>
      <c r="G104" t="s">
        <v>367</v>
      </c>
      <c r="H104" s="22">
        <v>0.5</v>
      </c>
      <c r="I104" s="52" cm="1">
        <f t="array" ref="I104">IFERROR(
  VALUE($H104) *
  VALUE(
    _xlfn.XLOOKUP(
      TRIM($F104) &amp; "|" &amp; LEFT(SUBSTITUTE($G104,CHAR(160)," "),5) &amp; "|Full Rate",
      TRIM(SUBSTITUTE($Q$2:$Q$38,CHAR(160)," ")) &amp; "|" &amp;
      LEFT(SUBSTITUTE($R$2:$R$38,CHAR(160)," "),5) &amp; "|" &amp;
      TRIM(SUBSTITUTE($S$2:$S$38,CHAR(160)," ")),
      $T$2:$T$38
    )
  ),
"")</f>
        <v>162.5</v>
      </c>
      <c r="J104" s="52" cm="1">
        <f t="array" ref="J104">IFERROR(
  VALUE($H104) *
  VALUE(
    _xlfn.XLOOKUP(
      TRIM($F104) &amp; "|" &amp; LEFT(SUBSTITUTE($G104,CHAR(160)," "),5) &amp; "|Reduced Rate",
      TRIM(SUBSTITUTE($Q$2:$Q$38,CHAR(160)," ")) &amp; "|" &amp;
      LEFT(SUBSTITUTE($R$2:$R$38,CHAR(160)," "),5) &amp; "|" &amp;
      TRIM(SUBSTITUTE($S$2:$S$38,CHAR(160)," ")),
      $T$2:$T$38
    )
  ),
"")</f>
        <v>87.5</v>
      </c>
      <c r="K104" s="52" cm="1">
        <f t="array" ref="K104">IFERROR(
  VALUE($H104) *
  VALUE(
    _xlfn.XLOOKUP(
      TRIM($F104) &amp; "|" &amp; LEFT(SUBSTITUTE($G104,CHAR(160)," "),5) &amp; "|Ideas Rate",
      TRIM(SUBSTITUTE($Q$2:$Q$38,CHAR(160)," ")) &amp; "|" &amp;
      LEFT(SUBSTITUTE($R$2:$R$38,CHAR(160)," "),5) &amp; "|" &amp;
      TRIM(SUBSTITUTE($S$2:$S$38,CHAR(160)," ")),
      $T$2:$T$38
    )
  ),
"")</f>
        <v>47.5</v>
      </c>
    </row>
    <row r="105" spans="1:11" x14ac:dyDescent="0.2">
      <c r="A105" s="38">
        <v>45912</v>
      </c>
      <c r="B105" s="5" t="s">
        <v>169</v>
      </c>
      <c r="C105" s="20" t="s">
        <v>151</v>
      </c>
      <c r="D105" t="s">
        <v>29</v>
      </c>
      <c r="E105" t="s">
        <v>272</v>
      </c>
      <c r="F105" s="54" t="s">
        <v>156</v>
      </c>
      <c r="G105" t="s">
        <v>367</v>
      </c>
      <c r="H105" s="22">
        <v>1.5</v>
      </c>
      <c r="I105" s="52" cm="1">
        <f t="array" ref="I105">IFERROR(
  VALUE($H105) *
  VALUE(
    _xlfn.XLOOKUP(
      TRIM($F105) &amp; "|" &amp; LEFT(SUBSTITUTE($G105,CHAR(160)," "),5) &amp; "|Full Rate",
      TRIM(SUBSTITUTE($Q$2:$Q$38,CHAR(160)," ")) &amp; "|" &amp;
      LEFT(SUBSTITUTE($R$2:$R$38,CHAR(160)," "),5) &amp; "|" &amp;
      TRIM(SUBSTITUTE($S$2:$S$38,CHAR(160)," ")),
      $T$2:$T$38
    )
  ),
"")</f>
        <v>487.5</v>
      </c>
      <c r="J105" s="52" cm="1">
        <f t="array" ref="J105">IFERROR(
  VALUE($H105) *
  VALUE(
    _xlfn.XLOOKUP(
      TRIM($F105) &amp; "|" &amp; LEFT(SUBSTITUTE($G105,CHAR(160)," "),5) &amp; "|Reduced Rate",
      TRIM(SUBSTITUTE($Q$2:$Q$38,CHAR(160)," ")) &amp; "|" &amp;
      LEFT(SUBSTITUTE($R$2:$R$38,CHAR(160)," "),5) &amp; "|" &amp;
      TRIM(SUBSTITUTE($S$2:$S$38,CHAR(160)," ")),
      $T$2:$T$38
    )
  ),
"")</f>
        <v>262.5</v>
      </c>
      <c r="K105" s="52" cm="1">
        <f t="array" ref="K105">IFERROR(
  VALUE($H105) *
  VALUE(
    _xlfn.XLOOKUP(
      TRIM($F105) &amp; "|" &amp; LEFT(SUBSTITUTE($G105,CHAR(160)," "),5) &amp; "|Ideas Rate",
      TRIM(SUBSTITUTE($Q$2:$Q$38,CHAR(160)," ")) &amp; "|" &amp;
      LEFT(SUBSTITUTE($R$2:$R$38,CHAR(160)," "),5) &amp; "|" &amp;
      TRIM(SUBSTITUTE($S$2:$S$38,CHAR(160)," ")),
      $T$2:$T$38
    )
  ),
"")</f>
        <v>142.5</v>
      </c>
    </row>
    <row r="106" spans="1:11" x14ac:dyDescent="0.2">
      <c r="A106" s="38">
        <v>45924</v>
      </c>
      <c r="B106" s="5" t="s">
        <v>169</v>
      </c>
      <c r="C106" s="20" t="s">
        <v>151</v>
      </c>
      <c r="D106" t="s">
        <v>29</v>
      </c>
      <c r="E106" t="s">
        <v>295</v>
      </c>
      <c r="F106" s="54" t="s">
        <v>156</v>
      </c>
      <c r="G106" t="s">
        <v>367</v>
      </c>
      <c r="H106" s="22">
        <v>1</v>
      </c>
      <c r="I106" s="52" cm="1">
        <f t="array" ref="I106">IFERROR(
  VALUE($H106) *
  VALUE(
    _xlfn.XLOOKUP(
      TRIM($F106) &amp; "|" &amp; LEFT(SUBSTITUTE($G106,CHAR(160)," "),5) &amp; "|Full Rate",
      TRIM(SUBSTITUTE($Q$2:$Q$38,CHAR(160)," ")) &amp; "|" &amp;
      LEFT(SUBSTITUTE($R$2:$R$38,CHAR(160)," "),5) &amp; "|" &amp;
      TRIM(SUBSTITUTE($S$2:$S$38,CHAR(160)," ")),
      $T$2:$T$38
    )
  ),
"")</f>
        <v>325</v>
      </c>
      <c r="J106" s="52" cm="1">
        <f t="array" ref="J106">IFERROR(
  VALUE($H106) *
  VALUE(
    _xlfn.XLOOKUP(
      TRIM($F106) &amp; "|" &amp; LEFT(SUBSTITUTE($G106,CHAR(160)," "),5) &amp; "|Reduced Rate",
      TRIM(SUBSTITUTE($Q$2:$Q$38,CHAR(160)," ")) &amp; "|" &amp;
      LEFT(SUBSTITUTE($R$2:$R$38,CHAR(160)," "),5) &amp; "|" &amp;
      TRIM(SUBSTITUTE($S$2:$S$38,CHAR(160)," ")),
      $T$2:$T$38
    )
  ),
"")</f>
        <v>175</v>
      </c>
      <c r="K106" s="52" cm="1">
        <f t="array" ref="K106">IFERROR(
  VALUE($H106) *
  VALUE(
    _xlfn.XLOOKUP(
      TRIM($F106) &amp; "|" &amp; LEFT(SUBSTITUTE($G106,CHAR(160)," "),5) &amp; "|Ideas Rate",
      TRIM(SUBSTITUTE($Q$2:$Q$38,CHAR(160)," ")) &amp; "|" &amp;
      LEFT(SUBSTITUTE($R$2:$R$38,CHAR(160)," "),5) &amp; "|" &amp;
      TRIM(SUBSTITUTE($S$2:$S$38,CHAR(160)," ")),
      $T$2:$T$38
    )
  ),
"")</f>
        <v>95</v>
      </c>
    </row>
    <row r="107" spans="1:11" x14ac:dyDescent="0.2">
      <c r="A107" s="38">
        <v>45924</v>
      </c>
      <c r="B107" s="5" t="s">
        <v>169</v>
      </c>
      <c r="C107" s="20" t="s">
        <v>151</v>
      </c>
      <c r="D107" t="s">
        <v>178</v>
      </c>
      <c r="E107" t="s">
        <v>296</v>
      </c>
      <c r="F107" s="54" t="s">
        <v>156</v>
      </c>
      <c r="G107" t="s">
        <v>367</v>
      </c>
      <c r="H107" s="22">
        <v>1</v>
      </c>
      <c r="I107" s="52" cm="1">
        <f t="array" ref="I107">IFERROR(
  VALUE($H107) *
  VALUE(
    _xlfn.XLOOKUP(
      TRIM($F107) &amp; "|" &amp; LEFT(SUBSTITUTE($G107,CHAR(160)," "),5) &amp; "|Full Rate",
      TRIM(SUBSTITUTE($Q$2:$Q$38,CHAR(160)," ")) &amp; "|" &amp;
      LEFT(SUBSTITUTE($R$2:$R$38,CHAR(160)," "),5) &amp; "|" &amp;
      TRIM(SUBSTITUTE($S$2:$S$38,CHAR(160)," ")),
      $T$2:$T$38
    )
  ),
"")</f>
        <v>325</v>
      </c>
      <c r="J107" s="52" cm="1">
        <f t="array" ref="J107">IFERROR(
  VALUE($H107) *
  VALUE(
    _xlfn.XLOOKUP(
      TRIM($F107) &amp; "|" &amp; LEFT(SUBSTITUTE($G107,CHAR(160)," "),5) &amp; "|Reduced Rate",
      TRIM(SUBSTITUTE($Q$2:$Q$38,CHAR(160)," ")) &amp; "|" &amp;
      LEFT(SUBSTITUTE($R$2:$R$38,CHAR(160)," "),5) &amp; "|" &amp;
      TRIM(SUBSTITUTE($S$2:$S$38,CHAR(160)," ")),
      $T$2:$T$38
    )
  ),
"")</f>
        <v>175</v>
      </c>
      <c r="K107" s="52" cm="1">
        <f t="array" ref="K107">IFERROR(
  VALUE($H107) *
  VALUE(
    _xlfn.XLOOKUP(
      TRIM($F107) &amp; "|" &amp; LEFT(SUBSTITUTE($G107,CHAR(160)," "),5) &amp; "|Ideas Rate",
      TRIM(SUBSTITUTE($Q$2:$Q$38,CHAR(160)," ")) &amp; "|" &amp;
      LEFT(SUBSTITUTE($R$2:$R$38,CHAR(160)," "),5) &amp; "|" &amp;
      TRIM(SUBSTITUTE($S$2:$S$38,CHAR(160)," ")),
      $T$2:$T$38
    )
  ),
"")</f>
        <v>95</v>
      </c>
    </row>
    <row r="108" spans="1:11" x14ac:dyDescent="0.2">
      <c r="A108" s="38">
        <v>45924</v>
      </c>
      <c r="B108" s="5" t="s">
        <v>169</v>
      </c>
      <c r="C108" s="20" t="s">
        <v>151</v>
      </c>
      <c r="D108" t="s">
        <v>190</v>
      </c>
      <c r="E108" t="s">
        <v>311</v>
      </c>
      <c r="F108" s="54" t="s">
        <v>156</v>
      </c>
      <c r="G108" t="s">
        <v>380</v>
      </c>
      <c r="H108" s="22">
        <v>0.5</v>
      </c>
      <c r="I108" s="52" cm="1">
        <f t="array" ref="I108">IFERROR(
  VALUE($H108) *
  VALUE(
    _xlfn.XLOOKUP(
      TRIM($F108) &amp; "|" &amp; LEFT(SUBSTITUTE($G108,CHAR(160)," "),5) &amp; "|Full Rate",
      TRIM(SUBSTITUTE($Q$2:$Q$38,CHAR(160)," ")) &amp; "|" &amp;
      LEFT(SUBSTITUTE($R$2:$R$38,CHAR(160)," "),5) &amp; "|" &amp;
      TRIM(SUBSTITUTE($S$2:$S$38,CHAR(160)," ")),
      $T$2:$T$38
    )
  ),
"")</f>
        <v>97.5</v>
      </c>
      <c r="J108" s="52" cm="1">
        <f t="array" ref="J108">IFERROR(
  VALUE($H108) *
  VALUE(
    _xlfn.XLOOKUP(
      TRIM($F108) &amp; "|" &amp; LEFT(SUBSTITUTE($G108,CHAR(160)," "),5) &amp; "|Reduced Rate",
      TRIM(SUBSTITUTE($Q$2:$Q$38,CHAR(160)," ")) &amp; "|" &amp;
      LEFT(SUBSTITUTE($R$2:$R$38,CHAR(160)," "),5) &amp; "|" &amp;
      TRIM(SUBSTITUTE($S$2:$S$38,CHAR(160)," ")),
      $T$2:$T$38
    )
  ),
"")</f>
        <v>45</v>
      </c>
      <c r="K108" s="52" cm="1">
        <f t="array" ref="K108">IFERROR(
  VALUE($H108) *
  VALUE(
    _xlfn.XLOOKUP(
      TRIM($F108) &amp; "|" &amp; LEFT(SUBSTITUTE($G108,CHAR(160)," "),5) &amp; "|Ideas Rate",
      TRIM(SUBSTITUTE($Q$2:$Q$38,CHAR(160)," ")) &amp; "|" &amp;
      LEFT(SUBSTITUTE($R$2:$R$38,CHAR(160)," "),5) &amp; "|" &amp;
      TRIM(SUBSTITUTE($S$2:$S$38,CHAR(160)," ")),
      $T$2:$T$38
    )
  ),
"")</f>
        <v>22.5</v>
      </c>
    </row>
    <row r="109" spans="1:11" x14ac:dyDescent="0.2">
      <c r="A109" s="38">
        <v>45924</v>
      </c>
      <c r="B109" s="5" t="s">
        <v>169</v>
      </c>
      <c r="C109" s="20" t="s">
        <v>151</v>
      </c>
      <c r="D109" t="s">
        <v>178</v>
      </c>
      <c r="E109" t="s">
        <v>309</v>
      </c>
      <c r="F109" s="54" t="s">
        <v>156</v>
      </c>
      <c r="G109" t="s">
        <v>380</v>
      </c>
      <c r="H109" s="22">
        <v>1</v>
      </c>
      <c r="I109" s="52" cm="1">
        <f t="array" ref="I109">IFERROR(
  VALUE($H109) *
  VALUE(
    _xlfn.XLOOKUP(
      TRIM($F109) &amp; "|" &amp; LEFT(SUBSTITUTE($G109,CHAR(160)," "),5) &amp; "|Full Rate",
      TRIM(SUBSTITUTE($Q$2:$Q$38,CHAR(160)," ")) &amp; "|" &amp;
      LEFT(SUBSTITUTE($R$2:$R$38,CHAR(160)," "),5) &amp; "|" &amp;
      TRIM(SUBSTITUTE($S$2:$S$38,CHAR(160)," ")),
      $T$2:$T$38
    )
  ),
"")</f>
        <v>195</v>
      </c>
      <c r="J109" s="52" cm="1">
        <f t="array" ref="J109">IFERROR(
  VALUE($H109) *
  VALUE(
    _xlfn.XLOOKUP(
      TRIM($F109) &amp; "|" &amp; LEFT(SUBSTITUTE($G109,CHAR(160)," "),5) &amp; "|Reduced Rate",
      TRIM(SUBSTITUTE($Q$2:$Q$38,CHAR(160)," ")) &amp; "|" &amp;
      LEFT(SUBSTITUTE($R$2:$R$38,CHAR(160)," "),5) &amp; "|" &amp;
      TRIM(SUBSTITUTE($S$2:$S$38,CHAR(160)," ")),
      $T$2:$T$38
    )
  ),
"")</f>
        <v>90</v>
      </c>
      <c r="K109" s="52" cm="1">
        <f t="array" ref="K109">IFERROR(
  VALUE($H109) *
  VALUE(
    _xlfn.XLOOKUP(
      TRIM($F109) &amp; "|" &amp; LEFT(SUBSTITUTE($G109,CHAR(160)," "),5) &amp; "|Ideas Rate",
      TRIM(SUBSTITUTE($Q$2:$Q$38,CHAR(160)," ")) &amp; "|" &amp;
      LEFT(SUBSTITUTE($R$2:$R$38,CHAR(160)," "),5) &amp; "|" &amp;
      TRIM(SUBSTITUTE($S$2:$S$38,CHAR(160)," ")),
      $T$2:$T$38
    )
  ),
"")</f>
        <v>45</v>
      </c>
    </row>
    <row r="110" spans="1:11" x14ac:dyDescent="0.2">
      <c r="A110" s="38">
        <v>45924</v>
      </c>
      <c r="B110" s="5" t="s">
        <v>169</v>
      </c>
      <c r="C110" s="20" t="s">
        <v>151</v>
      </c>
      <c r="D110" t="s">
        <v>192</v>
      </c>
      <c r="E110" t="s">
        <v>310</v>
      </c>
      <c r="F110" s="54" t="s">
        <v>156</v>
      </c>
      <c r="G110" t="s">
        <v>367</v>
      </c>
      <c r="H110" s="22">
        <v>2</v>
      </c>
      <c r="I110" s="52" cm="1">
        <f t="array" ref="I110">IFERROR(
  VALUE($H110) *
  VALUE(
    _xlfn.XLOOKUP(
      TRIM($F110) &amp; "|" &amp; LEFT(SUBSTITUTE($G110,CHAR(160)," "),5) &amp; "|Full Rate",
      TRIM(SUBSTITUTE($Q$2:$Q$38,CHAR(160)," ")) &amp; "|" &amp;
      LEFT(SUBSTITUTE($R$2:$R$38,CHAR(160)," "),5) &amp; "|" &amp;
      TRIM(SUBSTITUTE($S$2:$S$38,CHAR(160)," ")),
      $T$2:$T$38
    )
  ),
"")</f>
        <v>650</v>
      </c>
      <c r="J110" s="52" cm="1">
        <f t="array" ref="J110">IFERROR(
  VALUE($H110) *
  VALUE(
    _xlfn.XLOOKUP(
      TRIM($F110) &amp; "|" &amp; LEFT(SUBSTITUTE($G110,CHAR(160)," "),5) &amp; "|Reduced Rate",
      TRIM(SUBSTITUTE($Q$2:$Q$38,CHAR(160)," ")) &amp; "|" &amp;
      LEFT(SUBSTITUTE($R$2:$R$38,CHAR(160)," "),5) &amp; "|" &amp;
      TRIM(SUBSTITUTE($S$2:$S$38,CHAR(160)," ")),
      $T$2:$T$38
    )
  ),
"")</f>
        <v>350</v>
      </c>
      <c r="K110" s="52" cm="1">
        <f t="array" ref="K110">IFERROR(
  VALUE($H110) *
  VALUE(
    _xlfn.XLOOKUP(
      TRIM($F110) &amp; "|" &amp; LEFT(SUBSTITUTE($G110,CHAR(160)," "),5) &amp; "|Ideas Rate",
      TRIM(SUBSTITUTE($Q$2:$Q$38,CHAR(160)," ")) &amp; "|" &amp;
      LEFT(SUBSTITUTE($R$2:$R$38,CHAR(160)," "),5) &amp; "|" &amp;
      TRIM(SUBSTITUTE($S$2:$S$38,CHAR(160)," ")),
      $T$2:$T$38
    )
  ),
"")</f>
        <v>190</v>
      </c>
    </row>
    <row r="111" spans="1:11" x14ac:dyDescent="0.2">
      <c r="A111" s="38">
        <v>45939</v>
      </c>
      <c r="B111" s="5" t="s">
        <v>336</v>
      </c>
      <c r="C111" s="20" t="s">
        <v>151</v>
      </c>
      <c r="D111" t="s">
        <v>29</v>
      </c>
      <c r="E111" t="s">
        <v>29</v>
      </c>
      <c r="F111" s="54" t="s">
        <v>156</v>
      </c>
      <c r="G111" t="s">
        <v>380</v>
      </c>
      <c r="H111" s="22">
        <v>1</v>
      </c>
      <c r="I111" s="52" cm="1">
        <f t="array" ref="I111">IFERROR(
  VALUE($H111) *
  VALUE(
    _xlfn.XLOOKUP(
      TRIM($F111) &amp; "|" &amp; LEFT(SUBSTITUTE($G111,CHAR(160)," "),5) &amp; "|Full Rate",
      TRIM(SUBSTITUTE($Q$2:$Q$38,CHAR(160)," ")) &amp; "|" &amp;
      LEFT(SUBSTITUTE($R$2:$R$38,CHAR(160)," "),5) &amp; "|" &amp;
      TRIM(SUBSTITUTE($S$2:$S$38,CHAR(160)," ")),
      $T$2:$T$38
    )
  ),
"")</f>
        <v>195</v>
      </c>
      <c r="J111" s="52" cm="1">
        <f t="array" ref="J111">IFERROR(
  VALUE($H111) *
  VALUE(
    _xlfn.XLOOKUP(
      TRIM($F111) &amp; "|" &amp; LEFT(SUBSTITUTE($G111,CHAR(160)," "),5) &amp; "|Reduced Rate",
      TRIM(SUBSTITUTE($Q$2:$Q$38,CHAR(160)," ")) &amp; "|" &amp;
      LEFT(SUBSTITUTE($R$2:$R$38,CHAR(160)," "),5) &amp; "|" &amp;
      TRIM(SUBSTITUTE($S$2:$S$38,CHAR(160)," ")),
      $T$2:$T$38
    )
  ),
"")</f>
        <v>90</v>
      </c>
      <c r="K111" s="52" cm="1">
        <f t="array" ref="K111">IFERROR(
  VALUE($H111) *
  VALUE(
    _xlfn.XLOOKUP(
      TRIM($F111) &amp; "|" &amp; LEFT(SUBSTITUTE($G111,CHAR(160)," "),5) &amp; "|Ideas Rate",
      TRIM(SUBSTITUTE($Q$2:$Q$38,CHAR(160)," ")) &amp; "|" &amp;
      LEFT(SUBSTITUTE($R$2:$R$38,CHAR(160)," "),5) &amp; "|" &amp;
      TRIM(SUBSTITUTE($S$2:$S$38,CHAR(160)," ")),
      $T$2:$T$38
    )
  ),
"")</f>
        <v>45</v>
      </c>
    </row>
    <row r="112" spans="1:11" x14ac:dyDescent="0.2">
      <c r="A112" s="38">
        <v>45939</v>
      </c>
      <c r="B112" s="5" t="s">
        <v>336</v>
      </c>
      <c r="C112" s="20" t="s">
        <v>151</v>
      </c>
      <c r="D112" t="s">
        <v>187</v>
      </c>
      <c r="E112" t="s">
        <v>337</v>
      </c>
      <c r="F112" s="54" t="s">
        <v>156</v>
      </c>
      <c r="G112" t="s">
        <v>367</v>
      </c>
      <c r="H112" s="22">
        <v>3.5</v>
      </c>
      <c r="I112" s="52" cm="1">
        <f t="array" ref="I112">IFERROR(
  VALUE($H112) *
  VALUE(
    _xlfn.XLOOKUP(
      TRIM($F112) &amp; "|" &amp; LEFT(SUBSTITUTE($G112,CHAR(160)," "),5) &amp; "|Full Rate",
      TRIM(SUBSTITUTE($Q$2:$Q$38,CHAR(160)," ")) &amp; "|" &amp;
      LEFT(SUBSTITUTE($R$2:$R$38,CHAR(160)," "),5) &amp; "|" &amp;
      TRIM(SUBSTITUTE($S$2:$S$38,CHAR(160)," ")),
      $T$2:$T$38
    )
  ),
"")</f>
        <v>1137.5</v>
      </c>
      <c r="J112" s="52" cm="1">
        <f t="array" ref="J112">IFERROR(
  VALUE($H112) *
  VALUE(
    _xlfn.XLOOKUP(
      TRIM($F112) &amp; "|" &amp; LEFT(SUBSTITUTE($G112,CHAR(160)," "),5) &amp; "|Reduced Rate",
      TRIM(SUBSTITUTE($Q$2:$Q$38,CHAR(160)," ")) &amp; "|" &amp;
      LEFT(SUBSTITUTE($R$2:$R$38,CHAR(160)," "),5) &amp; "|" &amp;
      TRIM(SUBSTITUTE($S$2:$S$38,CHAR(160)," ")),
      $T$2:$T$38
    )
  ),
"")</f>
        <v>612.5</v>
      </c>
      <c r="K112" s="52" cm="1">
        <f t="array" ref="K112">IFERROR(
  VALUE($H112) *
  VALUE(
    _xlfn.XLOOKUP(
      TRIM($F112) &amp; "|" &amp; LEFT(SUBSTITUTE($G112,CHAR(160)," "),5) &amp; "|Ideas Rate",
      TRIM(SUBSTITUTE($Q$2:$Q$38,CHAR(160)," ")) &amp; "|" &amp;
      LEFT(SUBSTITUTE($R$2:$R$38,CHAR(160)," "),5) &amp; "|" &amp;
      TRIM(SUBSTITUTE($S$2:$S$38,CHAR(160)," ")),
      $T$2:$T$38
    )
  ),
"")</f>
        <v>332.5</v>
      </c>
    </row>
    <row r="113" spans="1:16384" x14ac:dyDescent="0.2">
      <c r="A113" s="38">
        <v>45940</v>
      </c>
      <c r="B113" s="5" t="s">
        <v>336</v>
      </c>
      <c r="C113" s="20" t="s">
        <v>151</v>
      </c>
      <c r="D113" t="s">
        <v>187</v>
      </c>
      <c r="E113" t="s">
        <v>351</v>
      </c>
      <c r="F113" s="54" t="s">
        <v>156</v>
      </c>
      <c r="G113" t="s">
        <v>367</v>
      </c>
      <c r="H113" s="22">
        <v>1.5</v>
      </c>
      <c r="I113" s="52" cm="1">
        <f t="array" ref="I113">IFERROR(
  VALUE($H113) *
  VALUE(
    _xlfn.XLOOKUP(
      TRIM($F113) &amp; "|" &amp; LEFT(SUBSTITUTE($G113,CHAR(160)," "),5) &amp; "|Full Rate",
      TRIM(SUBSTITUTE($Q$2:$Q$38,CHAR(160)," ")) &amp; "|" &amp;
      LEFT(SUBSTITUTE($R$2:$R$38,CHAR(160)," "),5) &amp; "|" &amp;
      TRIM(SUBSTITUTE($S$2:$S$38,CHAR(160)," ")),
      $T$2:$T$38
    )
  ),
"")</f>
        <v>487.5</v>
      </c>
      <c r="J113" s="52" cm="1">
        <f t="array" ref="J113">IFERROR(
  VALUE($H113) *
  VALUE(
    _xlfn.XLOOKUP(
      TRIM($F113) &amp; "|" &amp; LEFT(SUBSTITUTE($G113,CHAR(160)," "),5) &amp; "|Reduced Rate",
      TRIM(SUBSTITUTE($Q$2:$Q$38,CHAR(160)," ")) &amp; "|" &amp;
      LEFT(SUBSTITUTE($R$2:$R$38,CHAR(160)," "),5) &amp; "|" &amp;
      TRIM(SUBSTITUTE($S$2:$S$38,CHAR(160)," ")),
      $T$2:$T$38
    )
  ),
"")</f>
        <v>262.5</v>
      </c>
      <c r="K113" s="52" cm="1">
        <f t="array" ref="K113">IFERROR(
  VALUE($H113) *
  VALUE(
    _xlfn.XLOOKUP(
      TRIM($F113) &amp; "|" &amp; LEFT(SUBSTITUTE($G113,CHAR(160)," "),5) &amp; "|Ideas Rate",
      TRIM(SUBSTITUTE($Q$2:$Q$38,CHAR(160)," ")) &amp; "|" &amp;
      LEFT(SUBSTITUTE($R$2:$R$38,CHAR(160)," "),5) &amp; "|" &amp;
      TRIM(SUBSTITUTE($S$2:$S$38,CHAR(160)," ")),
      $T$2:$T$38
    )
  ),
"")</f>
        <v>142.5</v>
      </c>
    </row>
    <row r="114" spans="1:16384" x14ac:dyDescent="0.2">
      <c r="A114" s="38">
        <v>45940</v>
      </c>
      <c r="B114" s="5" t="s">
        <v>336</v>
      </c>
      <c r="C114" s="20" t="s">
        <v>151</v>
      </c>
      <c r="D114" t="s">
        <v>190</v>
      </c>
      <c r="E114" t="s">
        <v>352</v>
      </c>
      <c r="F114" s="54" t="s">
        <v>156</v>
      </c>
      <c r="G114" t="s">
        <v>380</v>
      </c>
      <c r="H114" s="22">
        <v>1.5</v>
      </c>
      <c r="I114" s="52" cm="1">
        <f t="array" ref="I114">IFERROR(
  VALUE($H114) *
  VALUE(
    _xlfn.XLOOKUP(
      TRIM($F114) &amp; "|" &amp; LEFT(SUBSTITUTE($G114,CHAR(160)," "),5) &amp; "|Full Rate",
      TRIM(SUBSTITUTE($Q$2:$Q$38,CHAR(160)," ")) &amp; "|" &amp;
      LEFT(SUBSTITUTE($R$2:$R$38,CHAR(160)," "),5) &amp; "|" &amp;
      TRIM(SUBSTITUTE($S$2:$S$38,CHAR(160)," ")),
      $T$2:$T$38
    )
  ),
"")</f>
        <v>292.5</v>
      </c>
      <c r="J114" s="52" cm="1">
        <f t="array" ref="J114">IFERROR(
  VALUE($H114) *
  VALUE(
    _xlfn.XLOOKUP(
      TRIM($F114) &amp; "|" &amp; LEFT(SUBSTITUTE($G114,CHAR(160)," "),5) &amp; "|Reduced Rate",
      TRIM(SUBSTITUTE($Q$2:$Q$38,CHAR(160)," ")) &amp; "|" &amp;
      LEFT(SUBSTITUTE($R$2:$R$38,CHAR(160)," "),5) &amp; "|" &amp;
      TRIM(SUBSTITUTE($S$2:$S$38,CHAR(160)," ")),
      $T$2:$T$38
    )
  ),
"")</f>
        <v>135</v>
      </c>
      <c r="K114" s="52" cm="1">
        <f t="array" ref="K114">IFERROR(
  VALUE($H114) *
  VALUE(
    _xlfn.XLOOKUP(
      TRIM($F114) &amp; "|" &amp; LEFT(SUBSTITUTE($G114,CHAR(160)," "),5) &amp; "|Ideas Rate",
      TRIM(SUBSTITUTE($Q$2:$Q$38,CHAR(160)," ")) &amp; "|" &amp;
      LEFT(SUBSTITUTE($R$2:$R$38,CHAR(160)," "),5) &amp; "|" &amp;
      TRIM(SUBSTITUTE($S$2:$S$38,CHAR(160)," ")),
      $T$2:$T$38
    )
  ),
"")</f>
        <v>67.5</v>
      </c>
    </row>
    <row r="115" spans="1:16384" x14ac:dyDescent="0.2">
      <c r="A115" s="38">
        <v>45945</v>
      </c>
      <c r="B115" s="5" t="s">
        <v>336</v>
      </c>
      <c r="C115" s="20" t="s">
        <v>151</v>
      </c>
      <c r="D115" t="s">
        <v>187</v>
      </c>
      <c r="E115" t="s">
        <v>397</v>
      </c>
      <c r="F115" s="54" t="s">
        <v>156</v>
      </c>
      <c r="G115" t="s">
        <v>367</v>
      </c>
      <c r="H115" s="22">
        <v>4</v>
      </c>
      <c r="I115" s="52" cm="1">
        <f t="array" ref="I115">IFERROR(
  VALUE($H115) *
  VALUE(
    _xlfn.XLOOKUP(
      TRIM($F115) &amp; "|" &amp; LEFT(SUBSTITUTE($G115,CHAR(160)," "),5) &amp; "|Full Rate",
      TRIM(SUBSTITUTE($Q$2:$Q$38,CHAR(160)," ")) &amp; "|" &amp;
      LEFT(SUBSTITUTE($R$2:$R$38,CHAR(160)," "),5) &amp; "|" &amp;
      TRIM(SUBSTITUTE($S$2:$S$38,CHAR(160)," ")),
      $T$2:$T$38
    )
  ),
"")</f>
        <v>1300</v>
      </c>
      <c r="J115" s="52" cm="1">
        <f t="array" ref="J115">IFERROR(
  VALUE($H115) *
  VALUE(
    _xlfn.XLOOKUP(
      TRIM($F115) &amp; "|" &amp; LEFT(SUBSTITUTE($G115,CHAR(160)," "),5) &amp; "|Reduced Rate",
      TRIM(SUBSTITUTE($Q$2:$Q$38,CHAR(160)," ")) &amp; "|" &amp;
      LEFT(SUBSTITUTE($R$2:$R$38,CHAR(160)," "),5) &amp; "|" &amp;
      TRIM(SUBSTITUTE($S$2:$S$38,CHAR(160)," ")),
      $T$2:$T$38
    )
  ),
"")</f>
        <v>700</v>
      </c>
      <c r="K115" s="52" cm="1">
        <f t="array" ref="K115">IFERROR(
  VALUE($H115) *
  VALUE(
    _xlfn.XLOOKUP(
      TRIM($F115) &amp; "|" &amp; LEFT(SUBSTITUTE($G115,CHAR(160)," "),5) &amp; "|Ideas Rate",
      TRIM(SUBSTITUTE($Q$2:$Q$38,CHAR(160)," ")) &amp; "|" &amp;
      LEFT(SUBSTITUTE($R$2:$R$38,CHAR(160)," "),5) &amp; "|" &amp;
      TRIM(SUBSTITUTE($S$2:$S$38,CHAR(160)," ")),
      $T$2:$T$38
    )
  ),
"")</f>
        <v>380</v>
      </c>
    </row>
    <row r="116" spans="1:16384" x14ac:dyDescent="0.2">
      <c r="A116" s="38">
        <v>45946</v>
      </c>
      <c r="B116" s="5" t="s">
        <v>336</v>
      </c>
      <c r="C116" s="20" t="s">
        <v>151</v>
      </c>
      <c r="D116" t="s">
        <v>187</v>
      </c>
      <c r="E116" t="s">
        <v>397</v>
      </c>
      <c r="F116" s="54" t="s">
        <v>156</v>
      </c>
      <c r="G116" t="s">
        <v>367</v>
      </c>
      <c r="H116" s="22">
        <v>5.5</v>
      </c>
      <c r="I116" s="52" cm="1">
        <f t="array" ref="I116">IFERROR(
  VALUE($H116) *
  VALUE(
    _xlfn.XLOOKUP(
      TRIM($F116) &amp; "|" &amp; LEFT(SUBSTITUTE($G116,CHAR(160)," "),5) &amp; "|Full Rate",
      TRIM(SUBSTITUTE($Q$2:$Q$38,CHAR(160)," ")) &amp; "|" &amp;
      LEFT(SUBSTITUTE($R$2:$R$38,CHAR(160)," "),5) &amp; "|" &amp;
      TRIM(SUBSTITUTE($S$2:$S$38,CHAR(160)," ")),
      $T$2:$T$38
    )
  ),
"")</f>
        <v>1787.5</v>
      </c>
      <c r="J116" s="52" cm="1">
        <f t="array" ref="J116">IFERROR(
  VALUE($H116) *
  VALUE(
    _xlfn.XLOOKUP(
      TRIM($F116) &amp; "|" &amp; LEFT(SUBSTITUTE($G116,CHAR(160)," "),5) &amp; "|Reduced Rate",
      TRIM(SUBSTITUTE($Q$2:$Q$38,CHAR(160)," ")) &amp; "|" &amp;
      LEFT(SUBSTITUTE($R$2:$R$38,CHAR(160)," "),5) &amp; "|" &amp;
      TRIM(SUBSTITUTE($S$2:$S$38,CHAR(160)," ")),
      $T$2:$T$38
    )
  ),
"")</f>
        <v>962.5</v>
      </c>
      <c r="K116" s="52" cm="1">
        <f t="array" ref="K116">IFERROR(
  VALUE($H116) *
  VALUE(
    _xlfn.XLOOKUP(
      TRIM($F116) &amp; "|" &amp; LEFT(SUBSTITUTE($G116,CHAR(160)," "),5) &amp; "|Ideas Rate",
      TRIM(SUBSTITUTE($Q$2:$Q$38,CHAR(160)," ")) &amp; "|" &amp;
      LEFT(SUBSTITUTE($R$2:$R$38,CHAR(160)," "),5) &amp; "|" &amp;
      TRIM(SUBSTITUTE($S$2:$S$38,CHAR(160)," ")),
      $T$2:$T$38
    )
  ),
"")</f>
        <v>522.5</v>
      </c>
    </row>
    <row r="117" spans="1:16384" x14ac:dyDescent="0.2">
      <c r="A117" s="38">
        <v>45947</v>
      </c>
      <c r="B117" s="5" t="s">
        <v>336</v>
      </c>
      <c r="C117" s="20" t="s">
        <v>151</v>
      </c>
      <c r="D117" t="s">
        <v>187</v>
      </c>
      <c r="E117" t="s">
        <v>398</v>
      </c>
      <c r="F117" s="54" t="s">
        <v>156</v>
      </c>
      <c r="G117" t="s">
        <v>367</v>
      </c>
      <c r="H117" s="22">
        <v>6</v>
      </c>
      <c r="I117" s="52" cm="1">
        <f t="array" ref="I117">IFERROR(
  VALUE($H117) *
  VALUE(
    _xlfn.XLOOKUP(
      TRIM($F117) &amp; "|" &amp; LEFT(SUBSTITUTE($G117,CHAR(160)," "),5) &amp; "|Full Rate",
      TRIM(SUBSTITUTE($Q$2:$Q$38,CHAR(160)," ")) &amp; "|" &amp;
      LEFT(SUBSTITUTE($R$2:$R$38,CHAR(160)," "),5) &amp; "|" &amp;
      TRIM(SUBSTITUTE($S$2:$S$38,CHAR(160)," ")),
      $T$2:$T$38
    )
  ),
"")</f>
        <v>1950</v>
      </c>
      <c r="J117" s="52" cm="1">
        <f t="array" ref="J117">IFERROR(
  VALUE($H117) *
  VALUE(
    _xlfn.XLOOKUP(
      TRIM($F117) &amp; "|" &amp; LEFT(SUBSTITUTE($G117,CHAR(160)," "),5) &amp; "|Reduced Rate",
      TRIM(SUBSTITUTE($Q$2:$Q$38,CHAR(160)," ")) &amp; "|" &amp;
      LEFT(SUBSTITUTE($R$2:$R$38,CHAR(160)," "),5) &amp; "|" &amp;
      TRIM(SUBSTITUTE($S$2:$S$38,CHAR(160)," ")),
      $T$2:$T$38
    )
  ),
"")</f>
        <v>1050</v>
      </c>
      <c r="K117" s="52" cm="1">
        <f t="array" ref="K117">IFERROR(
  VALUE($H117) *
  VALUE(
    _xlfn.XLOOKUP(
      TRIM($F117) &amp; "|" &amp; LEFT(SUBSTITUTE($G117,CHAR(160)," "),5) &amp; "|Ideas Rate",
      TRIM(SUBSTITUTE($Q$2:$Q$38,CHAR(160)," ")) &amp; "|" &amp;
      LEFT(SUBSTITUTE($R$2:$R$38,CHAR(160)," "),5) &amp; "|" &amp;
      TRIM(SUBSTITUTE($S$2:$S$38,CHAR(160)," ")),
      $T$2:$T$38
    )
  ),
"")</f>
        <v>570</v>
      </c>
    </row>
    <row r="118" spans="1:16384" x14ac:dyDescent="0.2">
      <c r="A118" s="38">
        <v>45950</v>
      </c>
      <c r="B118" s="5" t="s">
        <v>336</v>
      </c>
      <c r="C118" s="20" t="s">
        <v>151</v>
      </c>
      <c r="D118" t="s">
        <v>187</v>
      </c>
      <c r="E118" t="s">
        <v>403</v>
      </c>
      <c r="F118" s="54" t="s">
        <v>156</v>
      </c>
      <c r="G118" t="s">
        <v>367</v>
      </c>
      <c r="H118" s="22">
        <v>5</v>
      </c>
      <c r="I118" s="52" cm="1">
        <f t="array" ref="I118">IFERROR(
  VALUE($H118) *
  VALUE(
    _xlfn.XLOOKUP(
      TRIM($F118) &amp; "|" &amp; LEFT(SUBSTITUTE($G118,CHAR(160)," "),5) &amp; "|Full Rate",
      TRIM(SUBSTITUTE($Q$2:$Q$38,CHAR(160)," ")) &amp; "|" &amp;
      LEFT(SUBSTITUTE($R$2:$R$38,CHAR(160)," "),5) &amp; "|" &amp;
      TRIM(SUBSTITUTE($S$2:$S$38,CHAR(160)," ")),
      $T$2:$T$38
    )
  ),
"")</f>
        <v>1625</v>
      </c>
      <c r="J118" s="52" cm="1">
        <f t="array" ref="J118">IFERROR(
  VALUE($H118) *
  VALUE(
    _xlfn.XLOOKUP(
      TRIM($F118) &amp; "|" &amp; LEFT(SUBSTITUTE($G118,CHAR(160)," "),5) &amp; "|Reduced Rate",
      TRIM(SUBSTITUTE($Q$2:$Q$38,CHAR(160)," ")) &amp; "|" &amp;
      LEFT(SUBSTITUTE($R$2:$R$38,CHAR(160)," "),5) &amp; "|" &amp;
      TRIM(SUBSTITUTE($S$2:$S$38,CHAR(160)," ")),
      $T$2:$T$38
    )
  ),
"")</f>
        <v>875</v>
      </c>
      <c r="K118" s="52" cm="1">
        <f t="array" ref="K118">IFERROR(
  VALUE($H118) *
  VALUE(
    _xlfn.XLOOKUP(
      TRIM($F118) &amp; "|" &amp; LEFT(SUBSTITUTE($G118,CHAR(160)," "),5) &amp; "|Ideas Rate",
      TRIM(SUBSTITUTE($Q$2:$Q$38,CHAR(160)," ")) &amp; "|" &amp;
      LEFT(SUBSTITUTE($R$2:$R$38,CHAR(160)," "),5) &amp; "|" &amp;
      TRIM(SUBSTITUTE($S$2:$S$38,CHAR(160)," ")),
      $T$2:$T$38
    )
  ),
"")</f>
        <v>475</v>
      </c>
    </row>
    <row r="119" spans="1:16384" x14ac:dyDescent="0.2">
      <c r="A119" s="38">
        <v>45951</v>
      </c>
      <c r="B119" s="5" t="s">
        <v>336</v>
      </c>
      <c r="C119" s="20" t="s">
        <v>151</v>
      </c>
      <c r="D119" t="s">
        <v>187</v>
      </c>
      <c r="E119" t="s">
        <v>404</v>
      </c>
      <c r="F119" s="54" t="s">
        <v>156</v>
      </c>
      <c r="G119" t="s">
        <v>367</v>
      </c>
      <c r="H119" s="22">
        <v>4.5</v>
      </c>
      <c r="I119" s="52" cm="1">
        <f t="array" ref="I119">IFERROR(
  VALUE($H119) *
  VALUE(
    _xlfn.XLOOKUP(
      TRIM($F119) &amp; "|" &amp; LEFT(SUBSTITUTE($G119,CHAR(160)," "),5) &amp; "|Full Rate",
      TRIM(SUBSTITUTE($Q$2:$Q$38,CHAR(160)," ")) &amp; "|" &amp;
      LEFT(SUBSTITUTE($R$2:$R$38,CHAR(160)," "),5) &amp; "|" &amp;
      TRIM(SUBSTITUTE($S$2:$S$38,CHAR(160)," ")),
      $T$2:$T$38
    )
  ),
"")</f>
        <v>1462.5</v>
      </c>
      <c r="J119" s="52" cm="1">
        <f t="array" ref="J119">IFERROR(
  VALUE($H119) *
  VALUE(
    _xlfn.XLOOKUP(
      TRIM($F119) &amp; "|" &amp; LEFT(SUBSTITUTE($G119,CHAR(160)," "),5) &amp; "|Reduced Rate",
      TRIM(SUBSTITUTE($Q$2:$Q$38,CHAR(160)," ")) &amp; "|" &amp;
      LEFT(SUBSTITUTE($R$2:$R$38,CHAR(160)," "),5) &amp; "|" &amp;
      TRIM(SUBSTITUTE($S$2:$S$38,CHAR(160)," ")),
      $T$2:$T$38
    )
  ),
"")</f>
        <v>787.5</v>
      </c>
      <c r="K119" s="52" cm="1">
        <f t="array" ref="K119">IFERROR(
  VALUE($H119) *
  VALUE(
    _xlfn.XLOOKUP(
      TRIM($F119) &amp; "|" &amp; LEFT(SUBSTITUTE($G119,CHAR(160)," "),5) &amp; "|Ideas Rate",
      TRIM(SUBSTITUTE($Q$2:$Q$38,CHAR(160)," ")) &amp; "|" &amp;
      LEFT(SUBSTITUTE($R$2:$R$38,CHAR(160)," "),5) &amp; "|" &amp;
      TRIM(SUBSTITUTE($S$2:$S$38,CHAR(160)," ")),
      $T$2:$T$38
    )
  ),
"")</f>
        <v>427.5</v>
      </c>
    </row>
    <row r="120" spans="1:16384" x14ac:dyDescent="0.2">
      <c r="A120" s="38">
        <v>45952</v>
      </c>
      <c r="B120" s="5" t="s">
        <v>336</v>
      </c>
      <c r="C120" s="20" t="s">
        <v>151</v>
      </c>
      <c r="D120" t="s">
        <v>187</v>
      </c>
      <c r="E120" t="s">
        <v>403</v>
      </c>
      <c r="F120" s="54" t="s">
        <v>156</v>
      </c>
      <c r="G120" t="s">
        <v>367</v>
      </c>
      <c r="H120" s="22">
        <v>3.5</v>
      </c>
      <c r="I120" s="52" cm="1">
        <f t="array" ref="I120">IFERROR(
  VALUE($H120) *
  VALUE(
    _xlfn.XLOOKUP(
      TRIM($F120) &amp; "|" &amp; LEFT(SUBSTITUTE($G120,CHAR(160)," "),5) &amp; "|Full Rate",
      TRIM(SUBSTITUTE($Q$2:$Q$38,CHAR(160)," ")) &amp; "|" &amp;
      LEFT(SUBSTITUTE($R$2:$R$38,CHAR(160)," "),5) &amp; "|" &amp;
      TRIM(SUBSTITUTE($S$2:$S$38,CHAR(160)," ")),
      $T$2:$T$38
    )
  ),
"")</f>
        <v>1137.5</v>
      </c>
      <c r="J120" s="52" cm="1">
        <f t="array" ref="J120">IFERROR(
  VALUE($H120) *
  VALUE(
    _xlfn.XLOOKUP(
      TRIM($F120) &amp; "|" &amp; LEFT(SUBSTITUTE($G120,CHAR(160)," "),5) &amp; "|Reduced Rate",
      TRIM(SUBSTITUTE($Q$2:$Q$38,CHAR(160)," ")) &amp; "|" &amp;
      LEFT(SUBSTITUTE($R$2:$R$38,CHAR(160)," "),5) &amp; "|" &amp;
      TRIM(SUBSTITUTE($S$2:$S$38,CHAR(160)," ")),
      $T$2:$T$38
    )
  ),
"")</f>
        <v>612.5</v>
      </c>
      <c r="K120" s="52" cm="1">
        <f t="array" ref="K120">IFERROR(
  VALUE($H120) *
  VALUE(
    _xlfn.XLOOKUP(
      TRIM($F120) &amp; "|" &amp; LEFT(SUBSTITUTE($G120,CHAR(160)," "),5) &amp; "|Ideas Rate",
      TRIM(SUBSTITUTE($Q$2:$Q$38,CHAR(160)," ")) &amp; "|" &amp;
      LEFT(SUBSTITUTE($R$2:$R$38,CHAR(160)," "),5) &amp; "|" &amp;
      TRIM(SUBSTITUTE($S$2:$S$38,CHAR(160)," ")),
      $T$2:$T$38
    )
  ),
"")</f>
        <v>332.5</v>
      </c>
    </row>
    <row r="121" spans="1:16384" x14ac:dyDescent="0.2">
      <c r="A121" s="38">
        <v>45953</v>
      </c>
      <c r="B121" s="5" t="s">
        <v>336</v>
      </c>
      <c r="C121" s="20" t="s">
        <v>151</v>
      </c>
      <c r="D121" t="s">
        <v>187</v>
      </c>
      <c r="E121" t="s">
        <v>403</v>
      </c>
      <c r="F121" s="54" t="s">
        <v>156</v>
      </c>
      <c r="G121" t="s">
        <v>367</v>
      </c>
      <c r="H121" s="22">
        <v>2</v>
      </c>
      <c r="I121" s="52" cm="1">
        <f t="array" ref="I121">IFERROR(
  VALUE($H121) *
  VALUE(
    _xlfn.XLOOKUP(
      TRIM($F121) &amp; "|" &amp; LEFT(SUBSTITUTE($G121,CHAR(160)," "),5) &amp; "|Full Rate",
      TRIM(SUBSTITUTE($Q$2:$Q$38,CHAR(160)," ")) &amp; "|" &amp;
      LEFT(SUBSTITUTE($R$2:$R$38,CHAR(160)," "),5) &amp; "|" &amp;
      TRIM(SUBSTITUTE($S$2:$S$38,CHAR(160)," ")),
      $T$2:$T$38
    )
  ),
"")</f>
        <v>650</v>
      </c>
      <c r="J121" s="52" cm="1">
        <f t="array" ref="J121">IFERROR(
  VALUE($H121) *
  VALUE(
    _xlfn.XLOOKUP(
      TRIM($F121) &amp; "|" &amp; LEFT(SUBSTITUTE($G121,CHAR(160)," "),5) &amp; "|Reduced Rate",
      TRIM(SUBSTITUTE($Q$2:$Q$38,CHAR(160)," ")) &amp; "|" &amp;
      LEFT(SUBSTITUTE($R$2:$R$38,CHAR(160)," "),5) &amp; "|" &amp;
      TRIM(SUBSTITUTE($S$2:$S$38,CHAR(160)," ")),
      $T$2:$T$38
    )
  ),
"")</f>
        <v>350</v>
      </c>
      <c r="K121" s="52" cm="1">
        <f t="array" ref="K121">IFERROR(
  VALUE($H121) *
  VALUE(
    _xlfn.XLOOKUP(
      TRIM($F121) &amp; "|" &amp; LEFT(SUBSTITUTE($G121,CHAR(160)," "),5) &amp; "|Ideas Rate",
      TRIM(SUBSTITUTE($Q$2:$Q$38,CHAR(160)," ")) &amp; "|" &amp;
      LEFT(SUBSTITUTE($R$2:$R$38,CHAR(160)," "),5) &amp; "|" &amp;
      TRIM(SUBSTITUTE($S$2:$S$38,CHAR(160)," ")),
      $T$2:$T$38
    )
  ),
"")</f>
        <v>190</v>
      </c>
    </row>
    <row r="122" spans="1:16384" x14ac:dyDescent="0.2">
      <c r="A122" s="38">
        <v>45957</v>
      </c>
      <c r="B122" s="5" t="s">
        <v>336</v>
      </c>
      <c r="C122" s="20" t="s">
        <v>151</v>
      </c>
      <c r="D122" t="s">
        <v>29</v>
      </c>
      <c r="E122" t="s">
        <v>406</v>
      </c>
      <c r="F122" s="54" t="s">
        <v>156</v>
      </c>
      <c r="G122" t="s">
        <v>380</v>
      </c>
      <c r="H122" s="22">
        <v>0.5</v>
      </c>
      <c r="I122" s="52" cm="1">
        <f t="array" ref="I122">IFERROR(
  VALUE($H122) *
  VALUE(
    _xlfn.XLOOKUP(
      TRIM($F122) &amp; "|" &amp; LEFT(SUBSTITUTE($G122,CHAR(160)," "),5) &amp; "|Full Rate",
      TRIM(SUBSTITUTE($Q$2:$Q$38,CHAR(160)," ")) &amp; "|" &amp;
      LEFT(SUBSTITUTE($R$2:$R$38,CHAR(160)," "),5) &amp; "|" &amp;
      TRIM(SUBSTITUTE($S$2:$S$38,CHAR(160)," ")),
      $T$2:$T$38
    )
  ),
"")</f>
        <v>97.5</v>
      </c>
      <c r="J122" s="52" cm="1">
        <f t="array" ref="J122">IFERROR(
  VALUE($H122) *
  VALUE(
    _xlfn.XLOOKUP(
      TRIM($F122) &amp; "|" &amp; LEFT(SUBSTITUTE($G122,CHAR(160)," "),5) &amp; "|Reduced Rate",
      TRIM(SUBSTITUTE($Q$2:$Q$38,CHAR(160)," ")) &amp; "|" &amp;
      LEFT(SUBSTITUTE($R$2:$R$38,CHAR(160)," "),5) &amp; "|" &amp;
      TRIM(SUBSTITUTE($S$2:$S$38,CHAR(160)," ")),
      $T$2:$T$38
    )
  ),
"")</f>
        <v>45</v>
      </c>
      <c r="K122" s="52" cm="1">
        <f t="array" ref="K122">IFERROR(
  VALUE($H122) *
  VALUE(
    _xlfn.XLOOKUP(
      TRIM($F122) &amp; "|" &amp; LEFT(SUBSTITUTE($G122,CHAR(160)," "),5) &amp; "|Ideas Rate",
      TRIM(SUBSTITUTE($Q$2:$Q$38,CHAR(160)," ")) &amp; "|" &amp;
      LEFT(SUBSTITUTE($R$2:$R$38,CHAR(160)," "),5) &amp; "|" &amp;
      TRIM(SUBSTITUTE($S$2:$S$38,CHAR(160)," ")),
      $T$2:$T$38
    )
  ),
"")</f>
        <v>22.5</v>
      </c>
    </row>
    <row r="123" spans="1:16384" x14ac:dyDescent="0.2">
      <c r="A123" s="38">
        <v>45957</v>
      </c>
      <c r="B123" s="5" t="s">
        <v>336</v>
      </c>
      <c r="C123" s="20" t="s">
        <v>151</v>
      </c>
      <c r="D123" t="s">
        <v>29</v>
      </c>
      <c r="E123" t="s">
        <v>407</v>
      </c>
      <c r="F123" s="54" t="s">
        <v>156</v>
      </c>
      <c r="G123" t="s">
        <v>367</v>
      </c>
      <c r="H123" s="22">
        <v>0.5</v>
      </c>
      <c r="I123" s="52" cm="1">
        <f t="array" ref="I123">IFERROR(
  VALUE($H123) *
  VALUE(
    _xlfn.XLOOKUP(
      TRIM($F123) &amp; "|" &amp; LEFT(SUBSTITUTE($G123,CHAR(160)," "),5) &amp; "|Full Rate",
      TRIM(SUBSTITUTE($Q$2:$Q$38,CHAR(160)," ")) &amp; "|" &amp;
      LEFT(SUBSTITUTE($R$2:$R$38,CHAR(160)," "),5) &amp; "|" &amp;
      TRIM(SUBSTITUTE($S$2:$S$38,CHAR(160)," ")),
      $T$2:$T$38
    )
  ),
"")</f>
        <v>162.5</v>
      </c>
      <c r="J123" s="52" cm="1">
        <f t="array" ref="J123">IFERROR(
  VALUE($H123) *
  VALUE(
    _xlfn.XLOOKUP(
      TRIM($F123) &amp; "|" &amp; LEFT(SUBSTITUTE($G123,CHAR(160)," "),5) &amp; "|Reduced Rate",
      TRIM(SUBSTITUTE($Q$2:$Q$38,CHAR(160)," ")) &amp; "|" &amp;
      LEFT(SUBSTITUTE($R$2:$R$38,CHAR(160)," "),5) &amp; "|" &amp;
      TRIM(SUBSTITUTE($S$2:$S$38,CHAR(160)," ")),
      $T$2:$T$38
    )
  ),
"")</f>
        <v>87.5</v>
      </c>
      <c r="K123" s="52" cm="1">
        <f t="array" ref="K123">IFERROR(
  VALUE($H123) *
  VALUE(
    _xlfn.XLOOKUP(
      TRIM($F123) &amp; "|" &amp; LEFT(SUBSTITUTE($G123,CHAR(160)," "),5) &amp; "|Ideas Rate",
      TRIM(SUBSTITUTE($Q$2:$Q$38,CHAR(160)," ")) &amp; "|" &amp;
      LEFT(SUBSTITUTE($R$2:$R$38,CHAR(160)," "),5) &amp; "|" &amp;
      TRIM(SUBSTITUTE($S$2:$S$38,CHAR(160)," ")),
      $T$2:$T$38
    )
  ),
"")</f>
        <v>47.5</v>
      </c>
    </row>
    <row r="124" spans="1:16384" x14ac:dyDescent="0.2">
      <c r="A124" s="38">
        <v>45961</v>
      </c>
      <c r="B124" s="5" t="s">
        <v>336</v>
      </c>
      <c r="C124" s="20" t="s">
        <v>151</v>
      </c>
      <c r="E124" t="s">
        <v>451</v>
      </c>
      <c r="F124"/>
      <c r="H124"/>
      <c r="I124" s="32">
        <v>2147.7399999999998</v>
      </c>
      <c r="J124"/>
      <c r="K124"/>
      <c r="BZ124" t="s">
        <v>451</v>
      </c>
      <c r="CA124" t="s">
        <v>451</v>
      </c>
      <c r="CB124" t="s">
        <v>451</v>
      </c>
      <c r="CC124" t="s">
        <v>451</v>
      </c>
      <c r="CD124" t="s">
        <v>451</v>
      </c>
      <c r="CE124" t="s">
        <v>451</v>
      </c>
      <c r="CF124" t="s">
        <v>451</v>
      </c>
      <c r="CG124" t="s">
        <v>451</v>
      </c>
      <c r="CH124" t="s">
        <v>451</v>
      </c>
      <c r="CI124" t="s">
        <v>451</v>
      </c>
      <c r="CJ124" t="s">
        <v>451</v>
      </c>
      <c r="CK124" t="s">
        <v>451</v>
      </c>
      <c r="CL124" t="s">
        <v>451</v>
      </c>
      <c r="CM124" t="s">
        <v>451</v>
      </c>
      <c r="CN124" t="s">
        <v>451</v>
      </c>
      <c r="CO124" t="s">
        <v>451</v>
      </c>
      <c r="CP124" t="s">
        <v>451</v>
      </c>
      <c r="CQ124" t="s">
        <v>451</v>
      </c>
      <c r="CR124" t="s">
        <v>451</v>
      </c>
      <c r="CS124" t="s">
        <v>451</v>
      </c>
      <c r="CT124" t="s">
        <v>451</v>
      </c>
      <c r="CU124" t="s">
        <v>451</v>
      </c>
      <c r="CV124" t="s">
        <v>451</v>
      </c>
      <c r="CW124" t="s">
        <v>451</v>
      </c>
      <c r="CX124" t="s">
        <v>451</v>
      </c>
      <c r="CY124" t="s">
        <v>451</v>
      </c>
      <c r="CZ124" t="s">
        <v>451</v>
      </c>
      <c r="DA124" t="s">
        <v>451</v>
      </c>
      <c r="DB124" t="s">
        <v>451</v>
      </c>
      <c r="DC124" t="s">
        <v>451</v>
      </c>
      <c r="DD124" t="s">
        <v>451</v>
      </c>
      <c r="DE124" t="s">
        <v>451</v>
      </c>
      <c r="DF124" t="s">
        <v>451</v>
      </c>
      <c r="DG124" t="s">
        <v>451</v>
      </c>
      <c r="DH124" t="s">
        <v>451</v>
      </c>
      <c r="DI124" t="s">
        <v>451</v>
      </c>
      <c r="DJ124" t="s">
        <v>451</v>
      </c>
      <c r="DK124" t="s">
        <v>451</v>
      </c>
      <c r="DL124" t="s">
        <v>451</v>
      </c>
      <c r="DM124" t="s">
        <v>451</v>
      </c>
      <c r="DN124" t="s">
        <v>451</v>
      </c>
      <c r="DO124" t="s">
        <v>451</v>
      </c>
      <c r="DP124" t="s">
        <v>451</v>
      </c>
      <c r="DQ124" t="s">
        <v>451</v>
      </c>
      <c r="DR124" t="s">
        <v>451</v>
      </c>
      <c r="DS124" t="s">
        <v>451</v>
      </c>
      <c r="DT124" t="s">
        <v>451</v>
      </c>
      <c r="DU124" t="s">
        <v>451</v>
      </c>
      <c r="DV124" t="s">
        <v>451</v>
      </c>
      <c r="DW124" t="s">
        <v>451</v>
      </c>
      <c r="DX124" t="s">
        <v>451</v>
      </c>
      <c r="DY124" t="s">
        <v>451</v>
      </c>
      <c r="DZ124" t="s">
        <v>451</v>
      </c>
      <c r="EA124" t="s">
        <v>451</v>
      </c>
      <c r="EB124" t="s">
        <v>451</v>
      </c>
      <c r="EC124" t="s">
        <v>451</v>
      </c>
      <c r="ED124" t="s">
        <v>451</v>
      </c>
      <c r="EE124" t="s">
        <v>451</v>
      </c>
      <c r="EF124" t="s">
        <v>451</v>
      </c>
      <c r="EG124" t="s">
        <v>451</v>
      </c>
      <c r="EH124" t="s">
        <v>451</v>
      </c>
      <c r="EI124" t="s">
        <v>451</v>
      </c>
      <c r="EJ124" t="s">
        <v>451</v>
      </c>
      <c r="EK124" t="s">
        <v>451</v>
      </c>
      <c r="EL124" t="s">
        <v>451</v>
      </c>
      <c r="EM124" t="s">
        <v>451</v>
      </c>
      <c r="EN124" t="s">
        <v>451</v>
      </c>
      <c r="EO124" t="s">
        <v>451</v>
      </c>
      <c r="EP124" t="s">
        <v>451</v>
      </c>
      <c r="EQ124" t="s">
        <v>451</v>
      </c>
      <c r="ER124" t="s">
        <v>451</v>
      </c>
      <c r="ES124" t="s">
        <v>451</v>
      </c>
      <c r="ET124" t="s">
        <v>451</v>
      </c>
      <c r="EU124" t="s">
        <v>451</v>
      </c>
      <c r="EV124" t="s">
        <v>451</v>
      </c>
      <c r="EW124" t="s">
        <v>451</v>
      </c>
      <c r="EX124" t="s">
        <v>451</v>
      </c>
      <c r="EY124" t="s">
        <v>451</v>
      </c>
      <c r="EZ124" t="s">
        <v>451</v>
      </c>
      <c r="FA124" t="s">
        <v>451</v>
      </c>
      <c r="FB124" t="s">
        <v>451</v>
      </c>
      <c r="FC124" t="s">
        <v>451</v>
      </c>
      <c r="FD124" t="s">
        <v>451</v>
      </c>
      <c r="FE124" t="s">
        <v>451</v>
      </c>
      <c r="FF124" t="s">
        <v>451</v>
      </c>
      <c r="FG124" t="s">
        <v>451</v>
      </c>
      <c r="FH124" t="s">
        <v>451</v>
      </c>
      <c r="FI124" t="s">
        <v>451</v>
      </c>
      <c r="FJ124" t="s">
        <v>451</v>
      </c>
      <c r="FK124" t="s">
        <v>451</v>
      </c>
      <c r="FL124" t="s">
        <v>451</v>
      </c>
      <c r="FM124" t="s">
        <v>451</v>
      </c>
      <c r="FN124" t="s">
        <v>451</v>
      </c>
      <c r="FO124" t="s">
        <v>451</v>
      </c>
      <c r="FP124" t="s">
        <v>451</v>
      </c>
      <c r="FQ124" t="s">
        <v>451</v>
      </c>
      <c r="FR124" t="s">
        <v>451</v>
      </c>
      <c r="FS124" t="s">
        <v>451</v>
      </c>
      <c r="FT124" t="s">
        <v>451</v>
      </c>
      <c r="FU124" t="s">
        <v>451</v>
      </c>
      <c r="FV124" t="s">
        <v>451</v>
      </c>
      <c r="FW124" t="s">
        <v>451</v>
      </c>
      <c r="FX124" t="s">
        <v>451</v>
      </c>
      <c r="FY124" t="s">
        <v>451</v>
      </c>
      <c r="FZ124" t="s">
        <v>451</v>
      </c>
      <c r="GA124" t="s">
        <v>451</v>
      </c>
      <c r="GB124" t="s">
        <v>451</v>
      </c>
      <c r="GC124" t="s">
        <v>451</v>
      </c>
      <c r="GD124" t="s">
        <v>451</v>
      </c>
      <c r="GE124" t="s">
        <v>451</v>
      </c>
      <c r="GF124" t="s">
        <v>451</v>
      </c>
      <c r="GG124" t="s">
        <v>451</v>
      </c>
      <c r="GH124" t="s">
        <v>451</v>
      </c>
      <c r="GI124" t="s">
        <v>451</v>
      </c>
      <c r="GJ124" t="s">
        <v>451</v>
      </c>
      <c r="GK124" t="s">
        <v>451</v>
      </c>
      <c r="GL124" t="s">
        <v>451</v>
      </c>
      <c r="GM124" t="s">
        <v>451</v>
      </c>
      <c r="GN124" t="s">
        <v>451</v>
      </c>
      <c r="GO124" t="s">
        <v>451</v>
      </c>
      <c r="GP124" t="s">
        <v>451</v>
      </c>
      <c r="GQ124" t="s">
        <v>451</v>
      </c>
      <c r="GR124" t="s">
        <v>451</v>
      </c>
      <c r="GS124" t="s">
        <v>451</v>
      </c>
      <c r="GT124" t="s">
        <v>451</v>
      </c>
      <c r="GU124" t="s">
        <v>451</v>
      </c>
      <c r="GV124" t="s">
        <v>451</v>
      </c>
      <c r="GW124" t="s">
        <v>451</v>
      </c>
      <c r="GX124" t="s">
        <v>451</v>
      </c>
      <c r="GY124" t="s">
        <v>451</v>
      </c>
      <c r="GZ124" t="s">
        <v>451</v>
      </c>
      <c r="HA124" t="s">
        <v>451</v>
      </c>
      <c r="HB124" t="s">
        <v>451</v>
      </c>
      <c r="HC124" t="s">
        <v>451</v>
      </c>
      <c r="HD124" t="s">
        <v>451</v>
      </c>
      <c r="HE124" t="s">
        <v>451</v>
      </c>
      <c r="HF124" t="s">
        <v>451</v>
      </c>
      <c r="HG124" t="s">
        <v>451</v>
      </c>
      <c r="HH124" t="s">
        <v>451</v>
      </c>
      <c r="HI124" t="s">
        <v>451</v>
      </c>
      <c r="HJ124" t="s">
        <v>451</v>
      </c>
      <c r="HK124" t="s">
        <v>451</v>
      </c>
      <c r="HL124" t="s">
        <v>451</v>
      </c>
      <c r="HM124" t="s">
        <v>451</v>
      </c>
      <c r="HN124" t="s">
        <v>451</v>
      </c>
      <c r="HO124" t="s">
        <v>451</v>
      </c>
      <c r="HP124" t="s">
        <v>451</v>
      </c>
      <c r="HQ124" t="s">
        <v>451</v>
      </c>
      <c r="HR124" t="s">
        <v>451</v>
      </c>
      <c r="HS124" t="s">
        <v>451</v>
      </c>
      <c r="HT124" t="s">
        <v>451</v>
      </c>
      <c r="HU124" t="s">
        <v>451</v>
      </c>
      <c r="HV124" t="s">
        <v>451</v>
      </c>
      <c r="HW124" t="s">
        <v>451</v>
      </c>
      <c r="HX124" t="s">
        <v>451</v>
      </c>
      <c r="HY124" t="s">
        <v>451</v>
      </c>
      <c r="HZ124" t="s">
        <v>451</v>
      </c>
      <c r="IA124" t="s">
        <v>451</v>
      </c>
      <c r="IB124" t="s">
        <v>451</v>
      </c>
      <c r="IC124" t="s">
        <v>451</v>
      </c>
      <c r="ID124" t="s">
        <v>451</v>
      </c>
      <c r="IE124" t="s">
        <v>451</v>
      </c>
      <c r="IF124" t="s">
        <v>451</v>
      </c>
      <c r="IG124" t="s">
        <v>451</v>
      </c>
      <c r="IH124" t="s">
        <v>451</v>
      </c>
      <c r="II124" t="s">
        <v>451</v>
      </c>
      <c r="IJ124" t="s">
        <v>451</v>
      </c>
      <c r="IK124" t="s">
        <v>451</v>
      </c>
      <c r="IL124" t="s">
        <v>451</v>
      </c>
      <c r="IM124" t="s">
        <v>451</v>
      </c>
      <c r="IN124" t="s">
        <v>451</v>
      </c>
      <c r="IO124" t="s">
        <v>451</v>
      </c>
      <c r="IP124" t="s">
        <v>451</v>
      </c>
      <c r="IQ124" t="s">
        <v>451</v>
      </c>
      <c r="IR124" t="s">
        <v>451</v>
      </c>
      <c r="IS124" t="s">
        <v>451</v>
      </c>
      <c r="IT124" t="s">
        <v>451</v>
      </c>
      <c r="IU124" t="s">
        <v>451</v>
      </c>
      <c r="IV124" t="s">
        <v>451</v>
      </c>
      <c r="IW124" t="s">
        <v>451</v>
      </c>
      <c r="IX124" t="s">
        <v>451</v>
      </c>
      <c r="IY124" t="s">
        <v>451</v>
      </c>
      <c r="IZ124" t="s">
        <v>451</v>
      </c>
      <c r="JA124" t="s">
        <v>451</v>
      </c>
      <c r="JB124" t="s">
        <v>451</v>
      </c>
      <c r="JC124" t="s">
        <v>451</v>
      </c>
      <c r="JD124" t="s">
        <v>451</v>
      </c>
      <c r="JE124" t="s">
        <v>451</v>
      </c>
      <c r="JF124" t="s">
        <v>451</v>
      </c>
      <c r="JG124" t="s">
        <v>451</v>
      </c>
      <c r="JH124" t="s">
        <v>451</v>
      </c>
      <c r="JI124" t="s">
        <v>451</v>
      </c>
      <c r="JJ124" t="s">
        <v>451</v>
      </c>
      <c r="JK124" t="s">
        <v>451</v>
      </c>
      <c r="JL124" t="s">
        <v>451</v>
      </c>
      <c r="JM124" t="s">
        <v>451</v>
      </c>
      <c r="JN124" t="s">
        <v>451</v>
      </c>
      <c r="JO124" t="s">
        <v>451</v>
      </c>
      <c r="JP124" t="s">
        <v>451</v>
      </c>
      <c r="JQ124" t="s">
        <v>451</v>
      </c>
      <c r="JR124" t="s">
        <v>451</v>
      </c>
      <c r="JS124" t="s">
        <v>451</v>
      </c>
      <c r="JT124" t="s">
        <v>451</v>
      </c>
      <c r="JU124" t="s">
        <v>451</v>
      </c>
      <c r="JV124" t="s">
        <v>451</v>
      </c>
      <c r="JW124" t="s">
        <v>451</v>
      </c>
      <c r="JX124" t="s">
        <v>451</v>
      </c>
      <c r="JY124" t="s">
        <v>451</v>
      </c>
      <c r="JZ124" t="s">
        <v>451</v>
      </c>
      <c r="KA124" t="s">
        <v>451</v>
      </c>
      <c r="KB124" t="s">
        <v>451</v>
      </c>
      <c r="KC124" t="s">
        <v>451</v>
      </c>
      <c r="KD124" t="s">
        <v>451</v>
      </c>
      <c r="KE124" t="s">
        <v>451</v>
      </c>
      <c r="KF124" t="s">
        <v>451</v>
      </c>
      <c r="KG124" t="s">
        <v>451</v>
      </c>
      <c r="KH124" t="s">
        <v>451</v>
      </c>
      <c r="KI124" t="s">
        <v>451</v>
      </c>
      <c r="KJ124" t="s">
        <v>451</v>
      </c>
      <c r="KK124" t="s">
        <v>451</v>
      </c>
      <c r="KL124" t="s">
        <v>451</v>
      </c>
      <c r="KM124" t="s">
        <v>451</v>
      </c>
      <c r="KN124" t="s">
        <v>451</v>
      </c>
      <c r="KO124" t="s">
        <v>451</v>
      </c>
      <c r="KP124" t="s">
        <v>451</v>
      </c>
      <c r="KQ124" t="s">
        <v>451</v>
      </c>
      <c r="KR124" t="s">
        <v>451</v>
      </c>
      <c r="KS124" t="s">
        <v>451</v>
      </c>
      <c r="KT124" t="s">
        <v>451</v>
      </c>
      <c r="KU124" t="s">
        <v>451</v>
      </c>
      <c r="KV124" t="s">
        <v>451</v>
      </c>
      <c r="KW124" t="s">
        <v>451</v>
      </c>
      <c r="KX124" t="s">
        <v>451</v>
      </c>
      <c r="KY124" t="s">
        <v>451</v>
      </c>
      <c r="KZ124" t="s">
        <v>451</v>
      </c>
      <c r="LA124" t="s">
        <v>451</v>
      </c>
      <c r="LB124" t="s">
        <v>451</v>
      </c>
      <c r="LC124" t="s">
        <v>451</v>
      </c>
      <c r="LD124" t="s">
        <v>451</v>
      </c>
      <c r="LE124" t="s">
        <v>451</v>
      </c>
      <c r="LF124" t="s">
        <v>451</v>
      </c>
      <c r="LG124" t="s">
        <v>451</v>
      </c>
      <c r="LH124" t="s">
        <v>451</v>
      </c>
      <c r="LI124" t="s">
        <v>451</v>
      </c>
      <c r="LJ124" t="s">
        <v>451</v>
      </c>
      <c r="LK124" t="s">
        <v>451</v>
      </c>
      <c r="LL124" t="s">
        <v>451</v>
      </c>
      <c r="LM124" t="s">
        <v>451</v>
      </c>
      <c r="LN124" t="s">
        <v>451</v>
      </c>
      <c r="LO124" t="s">
        <v>451</v>
      </c>
      <c r="LP124" t="s">
        <v>451</v>
      </c>
      <c r="LQ124" t="s">
        <v>451</v>
      </c>
      <c r="LR124" t="s">
        <v>451</v>
      </c>
      <c r="LS124" t="s">
        <v>451</v>
      </c>
      <c r="LT124" t="s">
        <v>451</v>
      </c>
      <c r="LU124" t="s">
        <v>451</v>
      </c>
      <c r="LV124" t="s">
        <v>451</v>
      </c>
      <c r="LW124" t="s">
        <v>451</v>
      </c>
      <c r="LX124" t="s">
        <v>451</v>
      </c>
      <c r="LY124" t="s">
        <v>451</v>
      </c>
      <c r="LZ124" t="s">
        <v>451</v>
      </c>
      <c r="MA124" t="s">
        <v>451</v>
      </c>
      <c r="MB124" t="s">
        <v>451</v>
      </c>
      <c r="MC124" t="s">
        <v>451</v>
      </c>
      <c r="MD124" t="s">
        <v>451</v>
      </c>
      <c r="ME124" t="s">
        <v>451</v>
      </c>
      <c r="MF124" t="s">
        <v>451</v>
      </c>
      <c r="MG124" t="s">
        <v>451</v>
      </c>
      <c r="MH124" t="s">
        <v>451</v>
      </c>
      <c r="MI124" t="s">
        <v>451</v>
      </c>
      <c r="MJ124" t="s">
        <v>451</v>
      </c>
      <c r="MK124" t="s">
        <v>451</v>
      </c>
      <c r="ML124" t="s">
        <v>451</v>
      </c>
      <c r="MM124" t="s">
        <v>451</v>
      </c>
      <c r="MN124" t="s">
        <v>451</v>
      </c>
      <c r="MO124" t="s">
        <v>451</v>
      </c>
      <c r="MP124" t="s">
        <v>451</v>
      </c>
      <c r="MQ124" t="s">
        <v>451</v>
      </c>
      <c r="MR124" t="s">
        <v>451</v>
      </c>
      <c r="MS124" t="s">
        <v>451</v>
      </c>
      <c r="MT124" t="s">
        <v>451</v>
      </c>
      <c r="MU124" t="s">
        <v>451</v>
      </c>
      <c r="MV124" t="s">
        <v>451</v>
      </c>
      <c r="MW124" t="s">
        <v>451</v>
      </c>
      <c r="MX124" t="s">
        <v>451</v>
      </c>
      <c r="MY124" t="s">
        <v>451</v>
      </c>
      <c r="MZ124" t="s">
        <v>451</v>
      </c>
      <c r="NA124" t="s">
        <v>451</v>
      </c>
      <c r="NB124" t="s">
        <v>451</v>
      </c>
      <c r="NC124" t="s">
        <v>451</v>
      </c>
      <c r="ND124" t="s">
        <v>451</v>
      </c>
      <c r="NE124" t="s">
        <v>451</v>
      </c>
      <c r="NF124" t="s">
        <v>451</v>
      </c>
      <c r="NG124" t="s">
        <v>451</v>
      </c>
      <c r="NH124" t="s">
        <v>451</v>
      </c>
      <c r="NI124" t="s">
        <v>451</v>
      </c>
      <c r="NJ124" t="s">
        <v>451</v>
      </c>
      <c r="NK124" t="s">
        <v>451</v>
      </c>
      <c r="NL124" t="s">
        <v>451</v>
      </c>
      <c r="NM124" t="s">
        <v>451</v>
      </c>
      <c r="NN124" t="s">
        <v>451</v>
      </c>
      <c r="NO124" t="s">
        <v>451</v>
      </c>
      <c r="NP124" t="s">
        <v>451</v>
      </c>
      <c r="NQ124" t="s">
        <v>451</v>
      </c>
      <c r="NR124" t="s">
        <v>451</v>
      </c>
      <c r="NS124" t="s">
        <v>451</v>
      </c>
      <c r="NT124" t="s">
        <v>451</v>
      </c>
      <c r="NU124" t="s">
        <v>451</v>
      </c>
      <c r="NV124" t="s">
        <v>451</v>
      </c>
      <c r="NW124" t="s">
        <v>451</v>
      </c>
      <c r="NX124" t="s">
        <v>451</v>
      </c>
      <c r="NY124" t="s">
        <v>451</v>
      </c>
      <c r="NZ124" t="s">
        <v>451</v>
      </c>
      <c r="OA124" t="s">
        <v>451</v>
      </c>
      <c r="OB124" t="s">
        <v>451</v>
      </c>
      <c r="OC124" t="s">
        <v>451</v>
      </c>
      <c r="OD124" t="s">
        <v>451</v>
      </c>
      <c r="OE124" t="s">
        <v>451</v>
      </c>
      <c r="OF124" t="s">
        <v>451</v>
      </c>
      <c r="OG124" t="s">
        <v>451</v>
      </c>
      <c r="OH124" t="s">
        <v>451</v>
      </c>
      <c r="OI124" t="s">
        <v>451</v>
      </c>
      <c r="OJ124" t="s">
        <v>451</v>
      </c>
      <c r="OK124" t="s">
        <v>451</v>
      </c>
      <c r="OL124" t="s">
        <v>451</v>
      </c>
      <c r="OM124" t="s">
        <v>451</v>
      </c>
      <c r="ON124" t="s">
        <v>451</v>
      </c>
      <c r="OO124" t="s">
        <v>451</v>
      </c>
      <c r="OP124" t="s">
        <v>451</v>
      </c>
      <c r="OQ124" t="s">
        <v>451</v>
      </c>
      <c r="OR124" t="s">
        <v>451</v>
      </c>
      <c r="OS124" t="s">
        <v>451</v>
      </c>
      <c r="OT124" t="s">
        <v>451</v>
      </c>
      <c r="OU124" t="s">
        <v>451</v>
      </c>
      <c r="OV124" t="s">
        <v>451</v>
      </c>
      <c r="OW124" t="s">
        <v>451</v>
      </c>
      <c r="OX124" t="s">
        <v>451</v>
      </c>
      <c r="OY124" t="s">
        <v>451</v>
      </c>
      <c r="OZ124" t="s">
        <v>451</v>
      </c>
      <c r="PA124" t="s">
        <v>451</v>
      </c>
      <c r="PB124" t="s">
        <v>451</v>
      </c>
      <c r="PC124" t="s">
        <v>451</v>
      </c>
      <c r="PD124" t="s">
        <v>451</v>
      </c>
      <c r="PE124" t="s">
        <v>451</v>
      </c>
      <c r="PF124" t="s">
        <v>451</v>
      </c>
      <c r="PG124" t="s">
        <v>451</v>
      </c>
      <c r="PH124" t="s">
        <v>451</v>
      </c>
      <c r="PI124" t="s">
        <v>451</v>
      </c>
      <c r="PJ124" t="s">
        <v>451</v>
      </c>
      <c r="PK124" t="s">
        <v>451</v>
      </c>
      <c r="PL124" t="s">
        <v>451</v>
      </c>
      <c r="PM124" t="s">
        <v>451</v>
      </c>
      <c r="PN124" t="s">
        <v>451</v>
      </c>
      <c r="PO124" t="s">
        <v>451</v>
      </c>
      <c r="PP124" t="s">
        <v>451</v>
      </c>
      <c r="PQ124" t="s">
        <v>451</v>
      </c>
      <c r="PR124" t="s">
        <v>451</v>
      </c>
      <c r="PS124" t="s">
        <v>451</v>
      </c>
      <c r="PT124" t="s">
        <v>451</v>
      </c>
      <c r="PU124" t="s">
        <v>451</v>
      </c>
      <c r="PV124" t="s">
        <v>451</v>
      </c>
      <c r="PW124" t="s">
        <v>451</v>
      </c>
      <c r="PX124" t="s">
        <v>451</v>
      </c>
      <c r="PY124" t="s">
        <v>451</v>
      </c>
      <c r="PZ124" t="s">
        <v>451</v>
      </c>
      <c r="QA124" t="s">
        <v>451</v>
      </c>
      <c r="QB124" t="s">
        <v>451</v>
      </c>
      <c r="QC124" t="s">
        <v>451</v>
      </c>
      <c r="QD124" t="s">
        <v>451</v>
      </c>
      <c r="QE124" t="s">
        <v>451</v>
      </c>
      <c r="QF124" t="s">
        <v>451</v>
      </c>
      <c r="QG124" t="s">
        <v>451</v>
      </c>
      <c r="QH124" t="s">
        <v>451</v>
      </c>
      <c r="QI124" t="s">
        <v>451</v>
      </c>
      <c r="QJ124" t="s">
        <v>451</v>
      </c>
      <c r="QK124" t="s">
        <v>451</v>
      </c>
      <c r="QL124" t="s">
        <v>451</v>
      </c>
      <c r="QM124" t="s">
        <v>451</v>
      </c>
      <c r="QN124" t="s">
        <v>451</v>
      </c>
      <c r="QO124" t="s">
        <v>451</v>
      </c>
      <c r="QP124" t="s">
        <v>451</v>
      </c>
      <c r="QQ124" t="s">
        <v>451</v>
      </c>
      <c r="QR124" t="s">
        <v>451</v>
      </c>
      <c r="QS124" t="s">
        <v>451</v>
      </c>
      <c r="QT124" t="s">
        <v>451</v>
      </c>
      <c r="QU124" t="s">
        <v>451</v>
      </c>
      <c r="QV124" t="s">
        <v>451</v>
      </c>
      <c r="QW124" t="s">
        <v>451</v>
      </c>
      <c r="QX124" t="s">
        <v>451</v>
      </c>
      <c r="QY124" t="s">
        <v>451</v>
      </c>
      <c r="QZ124" t="s">
        <v>451</v>
      </c>
      <c r="RA124" t="s">
        <v>451</v>
      </c>
      <c r="RB124" t="s">
        <v>451</v>
      </c>
      <c r="RC124" t="s">
        <v>451</v>
      </c>
      <c r="RD124" t="s">
        <v>451</v>
      </c>
      <c r="RE124" t="s">
        <v>451</v>
      </c>
      <c r="RF124" t="s">
        <v>451</v>
      </c>
      <c r="RG124" t="s">
        <v>451</v>
      </c>
      <c r="RH124" t="s">
        <v>451</v>
      </c>
      <c r="RI124" t="s">
        <v>451</v>
      </c>
      <c r="RJ124" t="s">
        <v>451</v>
      </c>
      <c r="RK124" t="s">
        <v>451</v>
      </c>
      <c r="RL124" t="s">
        <v>451</v>
      </c>
      <c r="RM124" t="s">
        <v>451</v>
      </c>
      <c r="RN124" t="s">
        <v>451</v>
      </c>
      <c r="RO124" t="s">
        <v>451</v>
      </c>
      <c r="RP124" t="s">
        <v>451</v>
      </c>
      <c r="RQ124" t="s">
        <v>451</v>
      </c>
      <c r="RR124" t="s">
        <v>451</v>
      </c>
      <c r="RS124" t="s">
        <v>451</v>
      </c>
      <c r="RT124" t="s">
        <v>451</v>
      </c>
      <c r="RU124" t="s">
        <v>451</v>
      </c>
      <c r="RV124" t="s">
        <v>451</v>
      </c>
      <c r="RW124" t="s">
        <v>451</v>
      </c>
      <c r="RX124" t="s">
        <v>451</v>
      </c>
      <c r="RY124" t="s">
        <v>451</v>
      </c>
      <c r="RZ124" t="s">
        <v>451</v>
      </c>
      <c r="SA124" t="s">
        <v>451</v>
      </c>
      <c r="SB124" t="s">
        <v>451</v>
      </c>
      <c r="SC124" t="s">
        <v>451</v>
      </c>
      <c r="SD124" t="s">
        <v>451</v>
      </c>
      <c r="SE124" t="s">
        <v>451</v>
      </c>
      <c r="SF124" t="s">
        <v>451</v>
      </c>
      <c r="SG124" t="s">
        <v>451</v>
      </c>
      <c r="SH124" t="s">
        <v>451</v>
      </c>
      <c r="SI124" t="s">
        <v>451</v>
      </c>
      <c r="SJ124" t="s">
        <v>451</v>
      </c>
      <c r="SK124" t="s">
        <v>451</v>
      </c>
      <c r="SL124" t="s">
        <v>451</v>
      </c>
      <c r="SM124" t="s">
        <v>451</v>
      </c>
      <c r="SN124" t="s">
        <v>451</v>
      </c>
      <c r="SO124" t="s">
        <v>451</v>
      </c>
      <c r="SP124" t="s">
        <v>451</v>
      </c>
      <c r="SQ124" t="s">
        <v>451</v>
      </c>
      <c r="SR124" t="s">
        <v>451</v>
      </c>
      <c r="SS124" t="s">
        <v>451</v>
      </c>
      <c r="ST124" t="s">
        <v>451</v>
      </c>
      <c r="SU124" t="s">
        <v>451</v>
      </c>
      <c r="SV124" t="s">
        <v>451</v>
      </c>
      <c r="SW124" t="s">
        <v>451</v>
      </c>
      <c r="SX124" t="s">
        <v>451</v>
      </c>
      <c r="SY124" t="s">
        <v>451</v>
      </c>
      <c r="SZ124" t="s">
        <v>451</v>
      </c>
      <c r="TA124" t="s">
        <v>451</v>
      </c>
      <c r="TB124" t="s">
        <v>451</v>
      </c>
      <c r="TC124" t="s">
        <v>451</v>
      </c>
      <c r="TD124" t="s">
        <v>451</v>
      </c>
      <c r="TE124" t="s">
        <v>451</v>
      </c>
      <c r="TF124" t="s">
        <v>451</v>
      </c>
      <c r="TG124" t="s">
        <v>451</v>
      </c>
      <c r="TH124" t="s">
        <v>451</v>
      </c>
      <c r="TI124" t="s">
        <v>451</v>
      </c>
      <c r="TJ124" t="s">
        <v>451</v>
      </c>
      <c r="TK124" t="s">
        <v>451</v>
      </c>
      <c r="TL124" t="s">
        <v>451</v>
      </c>
      <c r="TM124" t="s">
        <v>451</v>
      </c>
      <c r="TN124" t="s">
        <v>451</v>
      </c>
      <c r="TO124" t="s">
        <v>451</v>
      </c>
      <c r="TP124" t="s">
        <v>451</v>
      </c>
      <c r="TQ124" t="s">
        <v>451</v>
      </c>
      <c r="TR124" t="s">
        <v>451</v>
      </c>
      <c r="TS124" t="s">
        <v>451</v>
      </c>
      <c r="TT124" t="s">
        <v>451</v>
      </c>
      <c r="TU124" t="s">
        <v>451</v>
      </c>
      <c r="TV124" t="s">
        <v>451</v>
      </c>
      <c r="TW124" t="s">
        <v>451</v>
      </c>
      <c r="TX124" t="s">
        <v>451</v>
      </c>
      <c r="TY124" t="s">
        <v>451</v>
      </c>
      <c r="TZ124" t="s">
        <v>451</v>
      </c>
      <c r="UA124" t="s">
        <v>451</v>
      </c>
      <c r="UB124" t="s">
        <v>451</v>
      </c>
      <c r="UC124" t="s">
        <v>451</v>
      </c>
      <c r="UD124" t="s">
        <v>451</v>
      </c>
      <c r="UE124" t="s">
        <v>451</v>
      </c>
      <c r="UF124" t="s">
        <v>451</v>
      </c>
      <c r="UG124" t="s">
        <v>451</v>
      </c>
      <c r="UH124" t="s">
        <v>451</v>
      </c>
      <c r="UI124" t="s">
        <v>451</v>
      </c>
      <c r="UJ124" t="s">
        <v>451</v>
      </c>
      <c r="UK124" t="s">
        <v>451</v>
      </c>
      <c r="UL124" t="s">
        <v>451</v>
      </c>
      <c r="UM124" t="s">
        <v>451</v>
      </c>
      <c r="UN124" t="s">
        <v>451</v>
      </c>
      <c r="UO124" t="s">
        <v>451</v>
      </c>
      <c r="UP124" t="s">
        <v>451</v>
      </c>
      <c r="UQ124" t="s">
        <v>451</v>
      </c>
      <c r="UR124" t="s">
        <v>451</v>
      </c>
      <c r="US124" t="s">
        <v>451</v>
      </c>
      <c r="UT124" t="s">
        <v>451</v>
      </c>
      <c r="UU124" t="s">
        <v>451</v>
      </c>
      <c r="UV124" t="s">
        <v>451</v>
      </c>
      <c r="UW124" t="s">
        <v>451</v>
      </c>
      <c r="UX124" t="s">
        <v>451</v>
      </c>
      <c r="UY124" t="s">
        <v>451</v>
      </c>
      <c r="UZ124" t="s">
        <v>451</v>
      </c>
      <c r="VA124" t="s">
        <v>451</v>
      </c>
      <c r="VB124" t="s">
        <v>451</v>
      </c>
      <c r="VC124" t="s">
        <v>451</v>
      </c>
      <c r="VD124" t="s">
        <v>451</v>
      </c>
      <c r="VE124" t="s">
        <v>451</v>
      </c>
      <c r="VF124" t="s">
        <v>451</v>
      </c>
      <c r="VG124" t="s">
        <v>451</v>
      </c>
      <c r="VH124" t="s">
        <v>451</v>
      </c>
      <c r="VI124" t="s">
        <v>451</v>
      </c>
      <c r="VJ124" t="s">
        <v>451</v>
      </c>
      <c r="VK124" t="s">
        <v>451</v>
      </c>
      <c r="VL124" t="s">
        <v>451</v>
      </c>
      <c r="VM124" t="s">
        <v>451</v>
      </c>
      <c r="VN124" t="s">
        <v>451</v>
      </c>
      <c r="VO124" t="s">
        <v>451</v>
      </c>
      <c r="VP124" t="s">
        <v>451</v>
      </c>
      <c r="VQ124" t="s">
        <v>451</v>
      </c>
      <c r="VR124" t="s">
        <v>451</v>
      </c>
      <c r="VS124" t="s">
        <v>451</v>
      </c>
      <c r="VT124" t="s">
        <v>451</v>
      </c>
      <c r="VU124" t="s">
        <v>451</v>
      </c>
      <c r="VV124" t="s">
        <v>451</v>
      </c>
      <c r="VW124" t="s">
        <v>451</v>
      </c>
      <c r="VX124" t="s">
        <v>451</v>
      </c>
      <c r="VY124" t="s">
        <v>451</v>
      </c>
      <c r="VZ124" t="s">
        <v>451</v>
      </c>
      <c r="WA124" t="s">
        <v>451</v>
      </c>
      <c r="WB124" t="s">
        <v>451</v>
      </c>
      <c r="WC124" t="s">
        <v>451</v>
      </c>
      <c r="WD124" t="s">
        <v>451</v>
      </c>
      <c r="WE124" t="s">
        <v>451</v>
      </c>
      <c r="WF124" t="s">
        <v>451</v>
      </c>
      <c r="WG124" t="s">
        <v>451</v>
      </c>
      <c r="WH124" t="s">
        <v>451</v>
      </c>
      <c r="WI124" t="s">
        <v>451</v>
      </c>
      <c r="WJ124" t="s">
        <v>451</v>
      </c>
      <c r="WK124" t="s">
        <v>451</v>
      </c>
      <c r="WL124" t="s">
        <v>451</v>
      </c>
      <c r="WM124" t="s">
        <v>451</v>
      </c>
      <c r="WN124" t="s">
        <v>451</v>
      </c>
      <c r="WO124" t="s">
        <v>451</v>
      </c>
      <c r="WP124" t="s">
        <v>451</v>
      </c>
      <c r="WQ124" t="s">
        <v>451</v>
      </c>
      <c r="WR124" t="s">
        <v>451</v>
      </c>
      <c r="WS124" t="s">
        <v>451</v>
      </c>
      <c r="WT124" t="s">
        <v>451</v>
      </c>
      <c r="WU124" t="s">
        <v>451</v>
      </c>
      <c r="WV124" t="s">
        <v>451</v>
      </c>
      <c r="WW124" t="s">
        <v>451</v>
      </c>
      <c r="WX124" t="s">
        <v>451</v>
      </c>
      <c r="WY124" t="s">
        <v>451</v>
      </c>
      <c r="WZ124" t="s">
        <v>451</v>
      </c>
      <c r="XA124" t="s">
        <v>451</v>
      </c>
      <c r="XB124" t="s">
        <v>451</v>
      </c>
      <c r="XC124" t="s">
        <v>451</v>
      </c>
      <c r="XD124" t="s">
        <v>451</v>
      </c>
      <c r="XE124" t="s">
        <v>451</v>
      </c>
      <c r="XF124" t="s">
        <v>451</v>
      </c>
      <c r="XG124" t="s">
        <v>451</v>
      </c>
      <c r="XH124" t="s">
        <v>451</v>
      </c>
      <c r="XI124" t="s">
        <v>451</v>
      </c>
      <c r="XJ124" t="s">
        <v>451</v>
      </c>
      <c r="XK124" t="s">
        <v>451</v>
      </c>
      <c r="XL124" t="s">
        <v>451</v>
      </c>
      <c r="XM124" t="s">
        <v>451</v>
      </c>
      <c r="XN124" t="s">
        <v>451</v>
      </c>
      <c r="XO124" t="s">
        <v>451</v>
      </c>
      <c r="XP124" t="s">
        <v>451</v>
      </c>
      <c r="XQ124" t="s">
        <v>451</v>
      </c>
      <c r="XR124" t="s">
        <v>451</v>
      </c>
      <c r="XS124" t="s">
        <v>451</v>
      </c>
      <c r="XT124" t="s">
        <v>451</v>
      </c>
      <c r="XU124" t="s">
        <v>451</v>
      </c>
      <c r="XV124" t="s">
        <v>451</v>
      </c>
      <c r="XW124" t="s">
        <v>451</v>
      </c>
      <c r="XX124" t="s">
        <v>451</v>
      </c>
      <c r="XY124" t="s">
        <v>451</v>
      </c>
      <c r="XZ124" t="s">
        <v>451</v>
      </c>
      <c r="YA124" t="s">
        <v>451</v>
      </c>
      <c r="YB124" t="s">
        <v>451</v>
      </c>
      <c r="YC124" t="s">
        <v>451</v>
      </c>
      <c r="YD124" t="s">
        <v>451</v>
      </c>
      <c r="YE124" t="s">
        <v>451</v>
      </c>
      <c r="YF124" t="s">
        <v>451</v>
      </c>
      <c r="YG124" t="s">
        <v>451</v>
      </c>
      <c r="YH124" t="s">
        <v>451</v>
      </c>
      <c r="YI124" t="s">
        <v>451</v>
      </c>
      <c r="YJ124" t="s">
        <v>451</v>
      </c>
      <c r="YK124" t="s">
        <v>451</v>
      </c>
      <c r="YL124" t="s">
        <v>451</v>
      </c>
      <c r="YM124" t="s">
        <v>451</v>
      </c>
      <c r="YN124" t="s">
        <v>451</v>
      </c>
      <c r="YO124" t="s">
        <v>451</v>
      </c>
      <c r="YP124" t="s">
        <v>451</v>
      </c>
      <c r="YQ124" t="s">
        <v>451</v>
      </c>
      <c r="YR124" t="s">
        <v>451</v>
      </c>
      <c r="YS124" t="s">
        <v>451</v>
      </c>
      <c r="YT124" t="s">
        <v>451</v>
      </c>
      <c r="YU124" t="s">
        <v>451</v>
      </c>
      <c r="YV124" t="s">
        <v>451</v>
      </c>
      <c r="YW124" t="s">
        <v>451</v>
      </c>
      <c r="YX124" t="s">
        <v>451</v>
      </c>
      <c r="YY124" t="s">
        <v>451</v>
      </c>
      <c r="YZ124" t="s">
        <v>451</v>
      </c>
      <c r="ZA124" t="s">
        <v>451</v>
      </c>
      <c r="ZB124" t="s">
        <v>451</v>
      </c>
      <c r="ZC124" t="s">
        <v>451</v>
      </c>
      <c r="ZD124" t="s">
        <v>451</v>
      </c>
      <c r="ZE124" t="s">
        <v>451</v>
      </c>
      <c r="ZF124" t="s">
        <v>451</v>
      </c>
      <c r="ZG124" t="s">
        <v>451</v>
      </c>
      <c r="ZH124" t="s">
        <v>451</v>
      </c>
      <c r="ZI124" t="s">
        <v>451</v>
      </c>
      <c r="ZJ124" t="s">
        <v>451</v>
      </c>
      <c r="ZK124" t="s">
        <v>451</v>
      </c>
      <c r="ZL124" t="s">
        <v>451</v>
      </c>
      <c r="ZM124" t="s">
        <v>451</v>
      </c>
      <c r="ZN124" t="s">
        <v>451</v>
      </c>
      <c r="ZO124" t="s">
        <v>451</v>
      </c>
      <c r="ZP124" t="s">
        <v>451</v>
      </c>
      <c r="ZQ124" t="s">
        <v>451</v>
      </c>
      <c r="ZR124" t="s">
        <v>451</v>
      </c>
      <c r="ZS124" t="s">
        <v>451</v>
      </c>
      <c r="ZT124" t="s">
        <v>451</v>
      </c>
      <c r="ZU124" t="s">
        <v>451</v>
      </c>
      <c r="ZV124" t="s">
        <v>451</v>
      </c>
      <c r="ZW124" t="s">
        <v>451</v>
      </c>
      <c r="ZX124" t="s">
        <v>451</v>
      </c>
      <c r="ZY124" t="s">
        <v>451</v>
      </c>
      <c r="ZZ124" t="s">
        <v>451</v>
      </c>
      <c r="AAA124" t="s">
        <v>451</v>
      </c>
      <c r="AAB124" t="s">
        <v>451</v>
      </c>
      <c r="AAC124" t="s">
        <v>451</v>
      </c>
      <c r="AAD124" t="s">
        <v>451</v>
      </c>
      <c r="AAE124" t="s">
        <v>451</v>
      </c>
      <c r="AAF124" t="s">
        <v>451</v>
      </c>
      <c r="AAG124" t="s">
        <v>451</v>
      </c>
      <c r="AAH124" t="s">
        <v>451</v>
      </c>
      <c r="AAI124" t="s">
        <v>451</v>
      </c>
      <c r="AAJ124" t="s">
        <v>451</v>
      </c>
      <c r="AAK124" t="s">
        <v>451</v>
      </c>
      <c r="AAL124" t="s">
        <v>451</v>
      </c>
      <c r="AAM124" t="s">
        <v>451</v>
      </c>
      <c r="AAN124" t="s">
        <v>451</v>
      </c>
      <c r="AAO124" t="s">
        <v>451</v>
      </c>
      <c r="AAP124" t="s">
        <v>451</v>
      </c>
      <c r="AAQ124" t="s">
        <v>451</v>
      </c>
      <c r="AAR124" t="s">
        <v>451</v>
      </c>
      <c r="AAS124" t="s">
        <v>451</v>
      </c>
      <c r="AAT124" t="s">
        <v>451</v>
      </c>
      <c r="AAU124" t="s">
        <v>451</v>
      </c>
      <c r="AAV124" t="s">
        <v>451</v>
      </c>
      <c r="AAW124" t="s">
        <v>451</v>
      </c>
      <c r="AAX124" t="s">
        <v>451</v>
      </c>
      <c r="AAY124" t="s">
        <v>451</v>
      </c>
      <c r="AAZ124" t="s">
        <v>451</v>
      </c>
      <c r="ABA124" t="s">
        <v>451</v>
      </c>
      <c r="ABB124" t="s">
        <v>451</v>
      </c>
      <c r="ABC124" t="s">
        <v>451</v>
      </c>
      <c r="ABD124" t="s">
        <v>451</v>
      </c>
      <c r="ABE124" t="s">
        <v>451</v>
      </c>
      <c r="ABF124" t="s">
        <v>451</v>
      </c>
      <c r="ABG124" t="s">
        <v>451</v>
      </c>
      <c r="ABH124" t="s">
        <v>451</v>
      </c>
      <c r="ABI124" t="s">
        <v>451</v>
      </c>
      <c r="ABJ124" t="s">
        <v>451</v>
      </c>
      <c r="ABK124" t="s">
        <v>451</v>
      </c>
      <c r="ABL124" t="s">
        <v>451</v>
      </c>
      <c r="ABM124" t="s">
        <v>451</v>
      </c>
      <c r="ABN124" t="s">
        <v>451</v>
      </c>
      <c r="ABO124" t="s">
        <v>451</v>
      </c>
      <c r="ABP124" t="s">
        <v>451</v>
      </c>
      <c r="ABQ124" t="s">
        <v>451</v>
      </c>
      <c r="ABR124" t="s">
        <v>451</v>
      </c>
      <c r="ABS124" t="s">
        <v>451</v>
      </c>
      <c r="ABT124" t="s">
        <v>451</v>
      </c>
      <c r="ABU124" t="s">
        <v>451</v>
      </c>
      <c r="ABV124" t="s">
        <v>451</v>
      </c>
      <c r="ABW124" t="s">
        <v>451</v>
      </c>
      <c r="ABX124" t="s">
        <v>451</v>
      </c>
      <c r="ABY124" t="s">
        <v>451</v>
      </c>
      <c r="ABZ124" t="s">
        <v>451</v>
      </c>
      <c r="ACA124" t="s">
        <v>451</v>
      </c>
      <c r="ACB124" t="s">
        <v>451</v>
      </c>
      <c r="ACC124" t="s">
        <v>451</v>
      </c>
      <c r="ACD124" t="s">
        <v>451</v>
      </c>
      <c r="ACE124" t="s">
        <v>451</v>
      </c>
      <c r="ACF124" t="s">
        <v>451</v>
      </c>
      <c r="ACG124" t="s">
        <v>451</v>
      </c>
      <c r="ACH124" t="s">
        <v>451</v>
      </c>
      <c r="ACI124" t="s">
        <v>451</v>
      </c>
      <c r="ACJ124" t="s">
        <v>451</v>
      </c>
      <c r="ACK124" t="s">
        <v>451</v>
      </c>
      <c r="ACL124" t="s">
        <v>451</v>
      </c>
      <c r="ACM124" t="s">
        <v>451</v>
      </c>
      <c r="ACN124" t="s">
        <v>451</v>
      </c>
      <c r="ACO124" t="s">
        <v>451</v>
      </c>
      <c r="ACP124" t="s">
        <v>451</v>
      </c>
      <c r="ACQ124" t="s">
        <v>451</v>
      </c>
      <c r="ACR124" t="s">
        <v>451</v>
      </c>
      <c r="ACS124" t="s">
        <v>451</v>
      </c>
      <c r="ACT124" t="s">
        <v>451</v>
      </c>
      <c r="ACU124" t="s">
        <v>451</v>
      </c>
      <c r="ACV124" t="s">
        <v>451</v>
      </c>
      <c r="ACW124" t="s">
        <v>451</v>
      </c>
      <c r="ACX124" t="s">
        <v>451</v>
      </c>
      <c r="ACY124" t="s">
        <v>451</v>
      </c>
      <c r="ACZ124" t="s">
        <v>451</v>
      </c>
      <c r="ADA124" t="s">
        <v>451</v>
      </c>
      <c r="ADB124" t="s">
        <v>451</v>
      </c>
      <c r="ADC124" t="s">
        <v>451</v>
      </c>
      <c r="ADD124" t="s">
        <v>451</v>
      </c>
      <c r="ADE124" t="s">
        <v>451</v>
      </c>
      <c r="ADF124" t="s">
        <v>451</v>
      </c>
      <c r="ADG124" t="s">
        <v>451</v>
      </c>
      <c r="ADH124" t="s">
        <v>451</v>
      </c>
      <c r="ADI124" t="s">
        <v>451</v>
      </c>
      <c r="ADJ124" t="s">
        <v>451</v>
      </c>
      <c r="ADK124" t="s">
        <v>451</v>
      </c>
      <c r="ADL124" t="s">
        <v>451</v>
      </c>
      <c r="ADM124" t="s">
        <v>451</v>
      </c>
      <c r="ADN124" t="s">
        <v>451</v>
      </c>
      <c r="ADO124" t="s">
        <v>451</v>
      </c>
      <c r="ADP124" t="s">
        <v>451</v>
      </c>
      <c r="ADQ124" t="s">
        <v>451</v>
      </c>
      <c r="ADR124" t="s">
        <v>451</v>
      </c>
      <c r="ADS124" t="s">
        <v>451</v>
      </c>
      <c r="ADT124" t="s">
        <v>451</v>
      </c>
      <c r="ADU124" t="s">
        <v>451</v>
      </c>
      <c r="ADV124" t="s">
        <v>451</v>
      </c>
      <c r="ADW124" t="s">
        <v>451</v>
      </c>
      <c r="ADX124" t="s">
        <v>451</v>
      </c>
      <c r="ADY124" t="s">
        <v>451</v>
      </c>
      <c r="ADZ124" t="s">
        <v>451</v>
      </c>
      <c r="AEA124" t="s">
        <v>451</v>
      </c>
      <c r="AEB124" t="s">
        <v>451</v>
      </c>
      <c r="AEC124" t="s">
        <v>451</v>
      </c>
      <c r="AED124" t="s">
        <v>451</v>
      </c>
      <c r="AEE124" t="s">
        <v>451</v>
      </c>
      <c r="AEF124" t="s">
        <v>451</v>
      </c>
      <c r="AEG124" t="s">
        <v>451</v>
      </c>
      <c r="AEH124" t="s">
        <v>451</v>
      </c>
      <c r="AEI124" t="s">
        <v>451</v>
      </c>
      <c r="AEJ124" t="s">
        <v>451</v>
      </c>
      <c r="AEK124" t="s">
        <v>451</v>
      </c>
      <c r="AEL124" t="s">
        <v>451</v>
      </c>
      <c r="AEM124" t="s">
        <v>451</v>
      </c>
      <c r="AEN124" t="s">
        <v>451</v>
      </c>
      <c r="AEO124" t="s">
        <v>451</v>
      </c>
      <c r="AEP124" t="s">
        <v>451</v>
      </c>
      <c r="AEQ124" t="s">
        <v>451</v>
      </c>
      <c r="AER124" t="s">
        <v>451</v>
      </c>
      <c r="AES124" t="s">
        <v>451</v>
      </c>
      <c r="AET124" t="s">
        <v>451</v>
      </c>
      <c r="AEU124" t="s">
        <v>451</v>
      </c>
      <c r="AEV124" t="s">
        <v>451</v>
      </c>
      <c r="AEW124" t="s">
        <v>451</v>
      </c>
      <c r="AEX124" t="s">
        <v>451</v>
      </c>
      <c r="AEY124" t="s">
        <v>451</v>
      </c>
      <c r="AEZ124" t="s">
        <v>451</v>
      </c>
      <c r="AFA124" t="s">
        <v>451</v>
      </c>
      <c r="AFB124" t="s">
        <v>451</v>
      </c>
      <c r="AFC124" t="s">
        <v>451</v>
      </c>
      <c r="AFD124" t="s">
        <v>451</v>
      </c>
      <c r="AFE124" t="s">
        <v>451</v>
      </c>
      <c r="AFF124" t="s">
        <v>451</v>
      </c>
      <c r="AFG124" t="s">
        <v>451</v>
      </c>
      <c r="AFH124" t="s">
        <v>451</v>
      </c>
      <c r="AFI124" t="s">
        <v>451</v>
      </c>
      <c r="AFJ124" t="s">
        <v>451</v>
      </c>
      <c r="AFK124" t="s">
        <v>451</v>
      </c>
      <c r="AFL124" t="s">
        <v>451</v>
      </c>
      <c r="AFM124" t="s">
        <v>451</v>
      </c>
      <c r="AFN124" t="s">
        <v>451</v>
      </c>
      <c r="AFO124" t="s">
        <v>451</v>
      </c>
      <c r="AFP124" t="s">
        <v>451</v>
      </c>
      <c r="AFQ124" t="s">
        <v>451</v>
      </c>
      <c r="AFR124" t="s">
        <v>451</v>
      </c>
      <c r="AFS124" t="s">
        <v>451</v>
      </c>
      <c r="AFT124" t="s">
        <v>451</v>
      </c>
      <c r="AFU124" t="s">
        <v>451</v>
      </c>
      <c r="AFV124" t="s">
        <v>451</v>
      </c>
      <c r="AFW124" t="s">
        <v>451</v>
      </c>
      <c r="AFX124" t="s">
        <v>451</v>
      </c>
      <c r="AFY124" t="s">
        <v>451</v>
      </c>
      <c r="AFZ124" t="s">
        <v>451</v>
      </c>
      <c r="AGA124" t="s">
        <v>451</v>
      </c>
      <c r="AGB124" t="s">
        <v>451</v>
      </c>
      <c r="AGC124" t="s">
        <v>451</v>
      </c>
      <c r="AGD124" t="s">
        <v>451</v>
      </c>
      <c r="AGE124" t="s">
        <v>451</v>
      </c>
      <c r="AGF124" t="s">
        <v>451</v>
      </c>
      <c r="AGG124" t="s">
        <v>451</v>
      </c>
      <c r="AGH124" t="s">
        <v>451</v>
      </c>
      <c r="AGI124" t="s">
        <v>451</v>
      </c>
      <c r="AGJ124" t="s">
        <v>451</v>
      </c>
      <c r="AGK124" t="s">
        <v>451</v>
      </c>
      <c r="AGL124" t="s">
        <v>451</v>
      </c>
      <c r="AGM124" t="s">
        <v>451</v>
      </c>
      <c r="AGN124" t="s">
        <v>451</v>
      </c>
      <c r="AGO124" t="s">
        <v>451</v>
      </c>
      <c r="AGP124" t="s">
        <v>451</v>
      </c>
      <c r="AGQ124" t="s">
        <v>451</v>
      </c>
      <c r="AGR124" t="s">
        <v>451</v>
      </c>
      <c r="AGS124" t="s">
        <v>451</v>
      </c>
      <c r="AGT124" t="s">
        <v>451</v>
      </c>
      <c r="AGU124" t="s">
        <v>451</v>
      </c>
      <c r="AGV124" t="s">
        <v>451</v>
      </c>
      <c r="AGW124" t="s">
        <v>451</v>
      </c>
      <c r="AGX124" t="s">
        <v>451</v>
      </c>
      <c r="AGY124" t="s">
        <v>451</v>
      </c>
      <c r="AGZ124" t="s">
        <v>451</v>
      </c>
      <c r="AHA124" t="s">
        <v>451</v>
      </c>
      <c r="AHB124" t="s">
        <v>451</v>
      </c>
      <c r="AHC124" t="s">
        <v>451</v>
      </c>
      <c r="AHD124" t="s">
        <v>451</v>
      </c>
      <c r="AHE124" t="s">
        <v>451</v>
      </c>
      <c r="AHF124" t="s">
        <v>451</v>
      </c>
      <c r="AHG124" t="s">
        <v>451</v>
      </c>
      <c r="AHH124" t="s">
        <v>451</v>
      </c>
      <c r="AHI124" t="s">
        <v>451</v>
      </c>
      <c r="AHJ124" t="s">
        <v>451</v>
      </c>
      <c r="AHK124" t="s">
        <v>451</v>
      </c>
      <c r="AHL124" t="s">
        <v>451</v>
      </c>
      <c r="AHM124" t="s">
        <v>451</v>
      </c>
      <c r="AHN124" t="s">
        <v>451</v>
      </c>
      <c r="AHO124" t="s">
        <v>451</v>
      </c>
      <c r="AHP124" t="s">
        <v>451</v>
      </c>
      <c r="AHQ124" t="s">
        <v>451</v>
      </c>
      <c r="AHR124" t="s">
        <v>451</v>
      </c>
      <c r="AHS124" t="s">
        <v>451</v>
      </c>
      <c r="AHT124" t="s">
        <v>451</v>
      </c>
      <c r="AHU124" t="s">
        <v>451</v>
      </c>
      <c r="AHV124" t="s">
        <v>451</v>
      </c>
      <c r="AHW124" t="s">
        <v>451</v>
      </c>
      <c r="AHX124" t="s">
        <v>451</v>
      </c>
      <c r="AHY124" t="s">
        <v>451</v>
      </c>
      <c r="AHZ124" t="s">
        <v>451</v>
      </c>
      <c r="AIA124" t="s">
        <v>451</v>
      </c>
      <c r="AIB124" t="s">
        <v>451</v>
      </c>
      <c r="AIC124" t="s">
        <v>451</v>
      </c>
      <c r="AID124" t="s">
        <v>451</v>
      </c>
      <c r="AIE124" t="s">
        <v>451</v>
      </c>
      <c r="AIF124" t="s">
        <v>451</v>
      </c>
      <c r="AIG124" t="s">
        <v>451</v>
      </c>
      <c r="AIH124" t="s">
        <v>451</v>
      </c>
      <c r="AII124" t="s">
        <v>451</v>
      </c>
      <c r="AIJ124" t="s">
        <v>451</v>
      </c>
      <c r="AIK124" t="s">
        <v>451</v>
      </c>
      <c r="AIL124" t="s">
        <v>451</v>
      </c>
      <c r="AIM124" t="s">
        <v>451</v>
      </c>
      <c r="AIN124" t="s">
        <v>451</v>
      </c>
      <c r="AIO124" t="s">
        <v>451</v>
      </c>
      <c r="AIP124" t="s">
        <v>451</v>
      </c>
      <c r="AIQ124" t="s">
        <v>451</v>
      </c>
      <c r="AIR124" t="s">
        <v>451</v>
      </c>
      <c r="AIS124" t="s">
        <v>451</v>
      </c>
      <c r="AIT124" t="s">
        <v>451</v>
      </c>
      <c r="AIU124" t="s">
        <v>451</v>
      </c>
      <c r="AIV124" t="s">
        <v>451</v>
      </c>
      <c r="AIW124" t="s">
        <v>451</v>
      </c>
      <c r="AIX124" t="s">
        <v>451</v>
      </c>
      <c r="AIY124" t="s">
        <v>451</v>
      </c>
      <c r="AIZ124" t="s">
        <v>451</v>
      </c>
      <c r="AJA124" t="s">
        <v>451</v>
      </c>
      <c r="AJB124" t="s">
        <v>451</v>
      </c>
      <c r="AJC124" t="s">
        <v>451</v>
      </c>
      <c r="AJD124" t="s">
        <v>451</v>
      </c>
      <c r="AJE124" t="s">
        <v>451</v>
      </c>
      <c r="AJF124" t="s">
        <v>451</v>
      </c>
      <c r="AJG124" t="s">
        <v>451</v>
      </c>
      <c r="AJH124" t="s">
        <v>451</v>
      </c>
      <c r="AJI124" t="s">
        <v>451</v>
      </c>
      <c r="AJJ124" t="s">
        <v>451</v>
      </c>
      <c r="AJK124" t="s">
        <v>451</v>
      </c>
      <c r="AJL124" t="s">
        <v>451</v>
      </c>
      <c r="AJM124" t="s">
        <v>451</v>
      </c>
      <c r="AJN124" t="s">
        <v>451</v>
      </c>
      <c r="AJO124" t="s">
        <v>451</v>
      </c>
      <c r="AJP124" t="s">
        <v>451</v>
      </c>
      <c r="AJQ124" t="s">
        <v>451</v>
      </c>
      <c r="AJR124" t="s">
        <v>451</v>
      </c>
      <c r="AJS124" t="s">
        <v>451</v>
      </c>
      <c r="AJT124" t="s">
        <v>451</v>
      </c>
      <c r="AJU124" t="s">
        <v>451</v>
      </c>
      <c r="AJV124" t="s">
        <v>451</v>
      </c>
      <c r="AJW124" t="s">
        <v>451</v>
      </c>
      <c r="AJX124" t="s">
        <v>451</v>
      </c>
      <c r="AJY124" t="s">
        <v>451</v>
      </c>
      <c r="AJZ124" t="s">
        <v>451</v>
      </c>
      <c r="AKA124" t="s">
        <v>451</v>
      </c>
      <c r="AKB124" t="s">
        <v>451</v>
      </c>
      <c r="AKC124" t="s">
        <v>451</v>
      </c>
      <c r="AKD124" t="s">
        <v>451</v>
      </c>
      <c r="AKE124" t="s">
        <v>451</v>
      </c>
      <c r="AKF124" t="s">
        <v>451</v>
      </c>
      <c r="AKG124" t="s">
        <v>451</v>
      </c>
      <c r="AKH124" t="s">
        <v>451</v>
      </c>
      <c r="AKI124" t="s">
        <v>451</v>
      </c>
      <c r="AKJ124" t="s">
        <v>451</v>
      </c>
      <c r="AKK124" t="s">
        <v>451</v>
      </c>
      <c r="AKL124" t="s">
        <v>451</v>
      </c>
      <c r="AKM124" t="s">
        <v>451</v>
      </c>
      <c r="AKN124" t="s">
        <v>451</v>
      </c>
      <c r="AKO124" t="s">
        <v>451</v>
      </c>
      <c r="AKP124" t="s">
        <v>451</v>
      </c>
      <c r="AKQ124" t="s">
        <v>451</v>
      </c>
      <c r="AKR124" t="s">
        <v>451</v>
      </c>
      <c r="AKS124" t="s">
        <v>451</v>
      </c>
      <c r="AKT124" t="s">
        <v>451</v>
      </c>
      <c r="AKU124" t="s">
        <v>451</v>
      </c>
      <c r="AKV124" t="s">
        <v>451</v>
      </c>
      <c r="AKW124" t="s">
        <v>451</v>
      </c>
      <c r="AKX124" t="s">
        <v>451</v>
      </c>
      <c r="AKY124" t="s">
        <v>451</v>
      </c>
      <c r="AKZ124" t="s">
        <v>451</v>
      </c>
      <c r="ALA124" t="s">
        <v>451</v>
      </c>
      <c r="ALB124" t="s">
        <v>451</v>
      </c>
      <c r="ALC124" t="s">
        <v>451</v>
      </c>
      <c r="ALD124" t="s">
        <v>451</v>
      </c>
      <c r="ALE124" t="s">
        <v>451</v>
      </c>
      <c r="ALF124" t="s">
        <v>451</v>
      </c>
      <c r="ALG124" t="s">
        <v>451</v>
      </c>
      <c r="ALH124" t="s">
        <v>451</v>
      </c>
      <c r="ALI124" t="s">
        <v>451</v>
      </c>
      <c r="ALJ124" t="s">
        <v>451</v>
      </c>
      <c r="ALK124" t="s">
        <v>451</v>
      </c>
      <c r="ALL124" t="s">
        <v>451</v>
      </c>
      <c r="ALM124" t="s">
        <v>451</v>
      </c>
      <c r="ALN124" t="s">
        <v>451</v>
      </c>
      <c r="ALO124" t="s">
        <v>451</v>
      </c>
      <c r="ALP124" t="s">
        <v>451</v>
      </c>
      <c r="ALQ124" t="s">
        <v>451</v>
      </c>
      <c r="ALR124" t="s">
        <v>451</v>
      </c>
      <c r="ALS124" t="s">
        <v>451</v>
      </c>
      <c r="ALT124" t="s">
        <v>451</v>
      </c>
      <c r="ALU124" t="s">
        <v>451</v>
      </c>
      <c r="ALV124" t="s">
        <v>451</v>
      </c>
      <c r="ALW124" t="s">
        <v>451</v>
      </c>
      <c r="ALX124" t="s">
        <v>451</v>
      </c>
      <c r="ALY124" t="s">
        <v>451</v>
      </c>
      <c r="ALZ124" t="s">
        <v>451</v>
      </c>
      <c r="AMA124" t="s">
        <v>451</v>
      </c>
      <c r="AMB124" t="s">
        <v>451</v>
      </c>
      <c r="AMC124" t="s">
        <v>451</v>
      </c>
      <c r="AMD124" t="s">
        <v>451</v>
      </c>
      <c r="AME124" t="s">
        <v>451</v>
      </c>
      <c r="AMF124" t="s">
        <v>451</v>
      </c>
      <c r="AMG124" t="s">
        <v>451</v>
      </c>
      <c r="AMH124" t="s">
        <v>451</v>
      </c>
      <c r="AMI124" t="s">
        <v>451</v>
      </c>
      <c r="AMJ124" t="s">
        <v>451</v>
      </c>
      <c r="AMK124" t="s">
        <v>451</v>
      </c>
      <c r="AML124" t="s">
        <v>451</v>
      </c>
      <c r="AMM124" t="s">
        <v>451</v>
      </c>
      <c r="AMN124" t="s">
        <v>451</v>
      </c>
      <c r="AMO124" t="s">
        <v>451</v>
      </c>
      <c r="AMP124" t="s">
        <v>451</v>
      </c>
      <c r="AMQ124" t="s">
        <v>451</v>
      </c>
      <c r="AMR124" t="s">
        <v>451</v>
      </c>
      <c r="AMS124" t="s">
        <v>451</v>
      </c>
      <c r="AMT124" t="s">
        <v>451</v>
      </c>
      <c r="AMU124" t="s">
        <v>451</v>
      </c>
      <c r="AMV124" t="s">
        <v>451</v>
      </c>
      <c r="AMW124" t="s">
        <v>451</v>
      </c>
      <c r="AMX124" t="s">
        <v>451</v>
      </c>
      <c r="AMY124" t="s">
        <v>451</v>
      </c>
      <c r="AMZ124" t="s">
        <v>451</v>
      </c>
      <c r="ANA124" t="s">
        <v>451</v>
      </c>
      <c r="ANB124" t="s">
        <v>451</v>
      </c>
      <c r="ANC124" t="s">
        <v>451</v>
      </c>
      <c r="AND124" t="s">
        <v>451</v>
      </c>
      <c r="ANE124" t="s">
        <v>451</v>
      </c>
      <c r="ANF124" t="s">
        <v>451</v>
      </c>
      <c r="ANG124" t="s">
        <v>451</v>
      </c>
      <c r="ANH124" t="s">
        <v>451</v>
      </c>
      <c r="ANI124" t="s">
        <v>451</v>
      </c>
      <c r="ANJ124" t="s">
        <v>451</v>
      </c>
      <c r="ANK124" t="s">
        <v>451</v>
      </c>
      <c r="ANL124" t="s">
        <v>451</v>
      </c>
      <c r="ANM124" t="s">
        <v>451</v>
      </c>
      <c r="ANN124" t="s">
        <v>451</v>
      </c>
      <c r="ANO124" t="s">
        <v>451</v>
      </c>
      <c r="ANP124" t="s">
        <v>451</v>
      </c>
      <c r="ANQ124" t="s">
        <v>451</v>
      </c>
      <c r="ANR124" t="s">
        <v>451</v>
      </c>
      <c r="ANS124" t="s">
        <v>451</v>
      </c>
      <c r="ANT124" t="s">
        <v>451</v>
      </c>
      <c r="ANU124" t="s">
        <v>451</v>
      </c>
      <c r="ANV124" t="s">
        <v>451</v>
      </c>
      <c r="ANW124" t="s">
        <v>451</v>
      </c>
      <c r="ANX124" t="s">
        <v>451</v>
      </c>
      <c r="ANY124" t="s">
        <v>451</v>
      </c>
      <c r="ANZ124" t="s">
        <v>451</v>
      </c>
      <c r="AOA124" t="s">
        <v>451</v>
      </c>
      <c r="AOB124" t="s">
        <v>451</v>
      </c>
      <c r="AOC124" t="s">
        <v>451</v>
      </c>
      <c r="AOD124" t="s">
        <v>451</v>
      </c>
      <c r="AOE124" t="s">
        <v>451</v>
      </c>
      <c r="AOF124" t="s">
        <v>451</v>
      </c>
      <c r="AOG124" t="s">
        <v>451</v>
      </c>
      <c r="AOH124" t="s">
        <v>451</v>
      </c>
      <c r="AOI124" t="s">
        <v>451</v>
      </c>
      <c r="AOJ124" t="s">
        <v>451</v>
      </c>
      <c r="AOK124" t="s">
        <v>451</v>
      </c>
      <c r="AOL124" t="s">
        <v>451</v>
      </c>
      <c r="AOM124" t="s">
        <v>451</v>
      </c>
      <c r="AON124" t="s">
        <v>451</v>
      </c>
      <c r="AOO124" t="s">
        <v>451</v>
      </c>
      <c r="AOP124" t="s">
        <v>451</v>
      </c>
      <c r="AOQ124" t="s">
        <v>451</v>
      </c>
      <c r="AOR124" t="s">
        <v>451</v>
      </c>
      <c r="AOS124" t="s">
        <v>451</v>
      </c>
      <c r="AOT124" t="s">
        <v>451</v>
      </c>
      <c r="AOU124" t="s">
        <v>451</v>
      </c>
      <c r="AOV124" t="s">
        <v>451</v>
      </c>
      <c r="AOW124" t="s">
        <v>451</v>
      </c>
      <c r="AOX124" t="s">
        <v>451</v>
      </c>
      <c r="AOY124" t="s">
        <v>451</v>
      </c>
      <c r="AOZ124" t="s">
        <v>451</v>
      </c>
      <c r="APA124" t="s">
        <v>451</v>
      </c>
      <c r="APB124" t="s">
        <v>451</v>
      </c>
      <c r="APC124" t="s">
        <v>451</v>
      </c>
      <c r="APD124" t="s">
        <v>451</v>
      </c>
      <c r="APE124" t="s">
        <v>451</v>
      </c>
      <c r="APF124" t="s">
        <v>451</v>
      </c>
      <c r="APG124" t="s">
        <v>451</v>
      </c>
      <c r="APH124" t="s">
        <v>451</v>
      </c>
      <c r="API124" t="s">
        <v>451</v>
      </c>
      <c r="APJ124" t="s">
        <v>451</v>
      </c>
      <c r="APK124" t="s">
        <v>451</v>
      </c>
      <c r="APL124" t="s">
        <v>451</v>
      </c>
      <c r="APM124" t="s">
        <v>451</v>
      </c>
      <c r="APN124" t="s">
        <v>451</v>
      </c>
      <c r="APO124" t="s">
        <v>451</v>
      </c>
      <c r="APP124" t="s">
        <v>451</v>
      </c>
      <c r="APQ124" t="s">
        <v>451</v>
      </c>
      <c r="APR124" t="s">
        <v>451</v>
      </c>
      <c r="APS124" t="s">
        <v>451</v>
      </c>
      <c r="APT124" t="s">
        <v>451</v>
      </c>
      <c r="APU124" t="s">
        <v>451</v>
      </c>
      <c r="APV124" t="s">
        <v>451</v>
      </c>
      <c r="APW124" t="s">
        <v>451</v>
      </c>
      <c r="APX124" t="s">
        <v>451</v>
      </c>
      <c r="APY124" t="s">
        <v>451</v>
      </c>
      <c r="APZ124" t="s">
        <v>451</v>
      </c>
      <c r="AQA124" t="s">
        <v>451</v>
      </c>
      <c r="AQB124" t="s">
        <v>451</v>
      </c>
      <c r="AQC124" t="s">
        <v>451</v>
      </c>
      <c r="AQD124" t="s">
        <v>451</v>
      </c>
      <c r="AQE124" t="s">
        <v>451</v>
      </c>
      <c r="AQF124" t="s">
        <v>451</v>
      </c>
      <c r="AQG124" t="s">
        <v>451</v>
      </c>
      <c r="AQH124" t="s">
        <v>451</v>
      </c>
      <c r="AQI124" t="s">
        <v>451</v>
      </c>
      <c r="AQJ124" t="s">
        <v>451</v>
      </c>
      <c r="AQK124" t="s">
        <v>451</v>
      </c>
      <c r="AQL124" t="s">
        <v>451</v>
      </c>
      <c r="AQM124" t="s">
        <v>451</v>
      </c>
      <c r="AQN124" t="s">
        <v>451</v>
      </c>
      <c r="AQO124" t="s">
        <v>451</v>
      </c>
      <c r="AQP124" t="s">
        <v>451</v>
      </c>
      <c r="AQQ124" t="s">
        <v>451</v>
      </c>
      <c r="AQR124" t="s">
        <v>451</v>
      </c>
      <c r="AQS124" t="s">
        <v>451</v>
      </c>
      <c r="AQT124" t="s">
        <v>451</v>
      </c>
      <c r="AQU124" t="s">
        <v>451</v>
      </c>
      <c r="AQV124" t="s">
        <v>451</v>
      </c>
      <c r="AQW124" t="s">
        <v>451</v>
      </c>
      <c r="AQX124" t="s">
        <v>451</v>
      </c>
      <c r="AQY124" t="s">
        <v>451</v>
      </c>
      <c r="AQZ124" t="s">
        <v>451</v>
      </c>
      <c r="ARA124" t="s">
        <v>451</v>
      </c>
      <c r="ARB124" t="s">
        <v>451</v>
      </c>
      <c r="ARC124" t="s">
        <v>451</v>
      </c>
      <c r="ARD124" t="s">
        <v>451</v>
      </c>
      <c r="ARE124" t="s">
        <v>451</v>
      </c>
      <c r="ARF124" t="s">
        <v>451</v>
      </c>
      <c r="ARG124" t="s">
        <v>451</v>
      </c>
      <c r="ARH124" t="s">
        <v>451</v>
      </c>
      <c r="ARI124" t="s">
        <v>451</v>
      </c>
      <c r="ARJ124" t="s">
        <v>451</v>
      </c>
      <c r="ARK124" t="s">
        <v>451</v>
      </c>
      <c r="ARL124" t="s">
        <v>451</v>
      </c>
      <c r="ARM124" t="s">
        <v>451</v>
      </c>
      <c r="ARN124" t="s">
        <v>451</v>
      </c>
      <c r="ARO124" t="s">
        <v>451</v>
      </c>
      <c r="ARP124" t="s">
        <v>451</v>
      </c>
      <c r="ARQ124" t="s">
        <v>451</v>
      </c>
      <c r="ARR124" t="s">
        <v>451</v>
      </c>
      <c r="ARS124" t="s">
        <v>451</v>
      </c>
      <c r="ART124" t="s">
        <v>451</v>
      </c>
      <c r="ARU124" t="s">
        <v>451</v>
      </c>
      <c r="ARV124" t="s">
        <v>451</v>
      </c>
      <c r="ARW124" t="s">
        <v>451</v>
      </c>
      <c r="ARX124" t="s">
        <v>451</v>
      </c>
      <c r="ARY124" t="s">
        <v>451</v>
      </c>
      <c r="ARZ124" t="s">
        <v>451</v>
      </c>
      <c r="ASA124" t="s">
        <v>451</v>
      </c>
      <c r="ASB124" t="s">
        <v>451</v>
      </c>
      <c r="ASC124" t="s">
        <v>451</v>
      </c>
      <c r="ASD124" t="s">
        <v>451</v>
      </c>
      <c r="ASE124" t="s">
        <v>451</v>
      </c>
      <c r="ASF124" t="s">
        <v>451</v>
      </c>
      <c r="ASG124" t="s">
        <v>451</v>
      </c>
      <c r="ASH124" t="s">
        <v>451</v>
      </c>
      <c r="ASI124" t="s">
        <v>451</v>
      </c>
      <c r="ASJ124" t="s">
        <v>451</v>
      </c>
      <c r="ASK124" t="s">
        <v>451</v>
      </c>
      <c r="ASL124" t="s">
        <v>451</v>
      </c>
      <c r="ASM124" t="s">
        <v>451</v>
      </c>
      <c r="ASN124" t="s">
        <v>451</v>
      </c>
      <c r="ASO124" t="s">
        <v>451</v>
      </c>
      <c r="ASP124" t="s">
        <v>451</v>
      </c>
      <c r="ASQ124" t="s">
        <v>451</v>
      </c>
      <c r="ASR124" t="s">
        <v>451</v>
      </c>
      <c r="ASS124" t="s">
        <v>451</v>
      </c>
      <c r="AST124" t="s">
        <v>451</v>
      </c>
      <c r="ASU124" t="s">
        <v>451</v>
      </c>
      <c r="ASV124" t="s">
        <v>451</v>
      </c>
      <c r="ASW124" t="s">
        <v>451</v>
      </c>
      <c r="ASX124" t="s">
        <v>451</v>
      </c>
      <c r="ASY124" t="s">
        <v>451</v>
      </c>
      <c r="ASZ124" t="s">
        <v>451</v>
      </c>
      <c r="ATA124" t="s">
        <v>451</v>
      </c>
      <c r="ATB124" t="s">
        <v>451</v>
      </c>
      <c r="ATC124" t="s">
        <v>451</v>
      </c>
      <c r="ATD124" t="s">
        <v>451</v>
      </c>
      <c r="ATE124" t="s">
        <v>451</v>
      </c>
      <c r="ATF124" t="s">
        <v>451</v>
      </c>
      <c r="ATG124" t="s">
        <v>451</v>
      </c>
      <c r="ATH124" t="s">
        <v>451</v>
      </c>
      <c r="ATI124" t="s">
        <v>451</v>
      </c>
      <c r="ATJ124" t="s">
        <v>451</v>
      </c>
      <c r="ATK124" t="s">
        <v>451</v>
      </c>
      <c r="ATL124" t="s">
        <v>451</v>
      </c>
      <c r="ATM124" t="s">
        <v>451</v>
      </c>
      <c r="ATN124" t="s">
        <v>451</v>
      </c>
      <c r="ATO124" t="s">
        <v>451</v>
      </c>
      <c r="ATP124" t="s">
        <v>451</v>
      </c>
      <c r="ATQ124" t="s">
        <v>451</v>
      </c>
      <c r="ATR124" t="s">
        <v>451</v>
      </c>
      <c r="ATS124" t="s">
        <v>451</v>
      </c>
      <c r="ATT124" t="s">
        <v>451</v>
      </c>
      <c r="ATU124" t="s">
        <v>451</v>
      </c>
      <c r="ATV124" t="s">
        <v>451</v>
      </c>
      <c r="ATW124" t="s">
        <v>451</v>
      </c>
      <c r="ATX124" t="s">
        <v>451</v>
      </c>
      <c r="ATY124" t="s">
        <v>451</v>
      </c>
      <c r="ATZ124" t="s">
        <v>451</v>
      </c>
      <c r="AUA124" t="s">
        <v>451</v>
      </c>
      <c r="AUB124" t="s">
        <v>451</v>
      </c>
      <c r="AUC124" t="s">
        <v>451</v>
      </c>
      <c r="AUD124" t="s">
        <v>451</v>
      </c>
      <c r="AUE124" t="s">
        <v>451</v>
      </c>
      <c r="AUF124" t="s">
        <v>451</v>
      </c>
      <c r="AUG124" t="s">
        <v>451</v>
      </c>
      <c r="AUH124" t="s">
        <v>451</v>
      </c>
      <c r="AUI124" t="s">
        <v>451</v>
      </c>
      <c r="AUJ124" t="s">
        <v>451</v>
      </c>
      <c r="AUK124" t="s">
        <v>451</v>
      </c>
      <c r="AUL124" t="s">
        <v>451</v>
      </c>
      <c r="AUM124" t="s">
        <v>451</v>
      </c>
      <c r="AUN124" t="s">
        <v>451</v>
      </c>
      <c r="AUO124" t="s">
        <v>451</v>
      </c>
      <c r="AUP124" t="s">
        <v>451</v>
      </c>
      <c r="AUQ124" t="s">
        <v>451</v>
      </c>
      <c r="AUR124" t="s">
        <v>451</v>
      </c>
      <c r="AUS124" t="s">
        <v>451</v>
      </c>
      <c r="AUT124" t="s">
        <v>451</v>
      </c>
      <c r="AUU124" t="s">
        <v>451</v>
      </c>
      <c r="AUV124" t="s">
        <v>451</v>
      </c>
      <c r="AUW124" t="s">
        <v>451</v>
      </c>
      <c r="AUX124" t="s">
        <v>451</v>
      </c>
      <c r="AUY124" t="s">
        <v>451</v>
      </c>
      <c r="AUZ124" t="s">
        <v>451</v>
      </c>
      <c r="AVA124" t="s">
        <v>451</v>
      </c>
      <c r="AVB124" t="s">
        <v>451</v>
      </c>
      <c r="AVC124" t="s">
        <v>451</v>
      </c>
      <c r="AVD124" t="s">
        <v>451</v>
      </c>
      <c r="AVE124" t="s">
        <v>451</v>
      </c>
      <c r="AVF124" t="s">
        <v>451</v>
      </c>
      <c r="AVG124" t="s">
        <v>451</v>
      </c>
      <c r="AVH124" t="s">
        <v>451</v>
      </c>
      <c r="AVI124" t="s">
        <v>451</v>
      </c>
      <c r="AVJ124" t="s">
        <v>451</v>
      </c>
      <c r="AVK124" t="s">
        <v>451</v>
      </c>
      <c r="AVL124" t="s">
        <v>451</v>
      </c>
      <c r="AVM124" t="s">
        <v>451</v>
      </c>
      <c r="AVN124" t="s">
        <v>451</v>
      </c>
      <c r="AVO124" t="s">
        <v>451</v>
      </c>
      <c r="AVP124" t="s">
        <v>451</v>
      </c>
      <c r="AVQ124" t="s">
        <v>451</v>
      </c>
      <c r="AVR124" t="s">
        <v>451</v>
      </c>
      <c r="AVS124" t="s">
        <v>451</v>
      </c>
      <c r="AVT124" t="s">
        <v>451</v>
      </c>
      <c r="AVU124" t="s">
        <v>451</v>
      </c>
      <c r="AVV124" t="s">
        <v>451</v>
      </c>
      <c r="AVW124" t="s">
        <v>451</v>
      </c>
      <c r="AVX124" t="s">
        <v>451</v>
      </c>
      <c r="AVY124" t="s">
        <v>451</v>
      </c>
      <c r="AVZ124" t="s">
        <v>451</v>
      </c>
      <c r="AWA124" t="s">
        <v>451</v>
      </c>
      <c r="AWB124" t="s">
        <v>451</v>
      </c>
      <c r="AWC124" t="s">
        <v>451</v>
      </c>
      <c r="AWD124" t="s">
        <v>451</v>
      </c>
      <c r="AWE124" t="s">
        <v>451</v>
      </c>
      <c r="AWF124" t="s">
        <v>451</v>
      </c>
      <c r="AWG124" t="s">
        <v>451</v>
      </c>
      <c r="AWH124" t="s">
        <v>451</v>
      </c>
      <c r="AWI124" t="s">
        <v>451</v>
      </c>
      <c r="AWJ124" t="s">
        <v>451</v>
      </c>
      <c r="AWK124" t="s">
        <v>451</v>
      </c>
      <c r="AWL124" t="s">
        <v>451</v>
      </c>
      <c r="AWM124" t="s">
        <v>451</v>
      </c>
      <c r="AWN124" t="s">
        <v>451</v>
      </c>
      <c r="AWO124" t="s">
        <v>451</v>
      </c>
      <c r="AWP124" t="s">
        <v>451</v>
      </c>
      <c r="AWQ124" t="s">
        <v>451</v>
      </c>
      <c r="AWR124" t="s">
        <v>451</v>
      </c>
      <c r="AWS124" t="s">
        <v>451</v>
      </c>
      <c r="AWT124" t="s">
        <v>451</v>
      </c>
      <c r="AWU124" t="s">
        <v>451</v>
      </c>
      <c r="AWV124" t="s">
        <v>451</v>
      </c>
      <c r="AWW124" t="s">
        <v>451</v>
      </c>
      <c r="AWX124" t="s">
        <v>451</v>
      </c>
      <c r="AWY124" t="s">
        <v>451</v>
      </c>
      <c r="AWZ124" t="s">
        <v>451</v>
      </c>
      <c r="AXA124" t="s">
        <v>451</v>
      </c>
      <c r="AXB124" t="s">
        <v>451</v>
      </c>
      <c r="AXC124" t="s">
        <v>451</v>
      </c>
      <c r="AXD124" t="s">
        <v>451</v>
      </c>
      <c r="AXE124" t="s">
        <v>451</v>
      </c>
      <c r="AXF124" t="s">
        <v>451</v>
      </c>
      <c r="AXG124" t="s">
        <v>451</v>
      </c>
      <c r="AXH124" t="s">
        <v>451</v>
      </c>
      <c r="AXI124" t="s">
        <v>451</v>
      </c>
      <c r="AXJ124" t="s">
        <v>451</v>
      </c>
      <c r="AXK124" t="s">
        <v>451</v>
      </c>
      <c r="AXL124" t="s">
        <v>451</v>
      </c>
      <c r="AXM124" t="s">
        <v>451</v>
      </c>
      <c r="AXN124" t="s">
        <v>451</v>
      </c>
      <c r="AXO124" t="s">
        <v>451</v>
      </c>
      <c r="AXP124" t="s">
        <v>451</v>
      </c>
      <c r="AXQ124" t="s">
        <v>451</v>
      </c>
      <c r="AXR124" t="s">
        <v>451</v>
      </c>
      <c r="AXS124" t="s">
        <v>451</v>
      </c>
      <c r="AXT124" t="s">
        <v>451</v>
      </c>
      <c r="AXU124" t="s">
        <v>451</v>
      </c>
      <c r="AXV124" t="s">
        <v>451</v>
      </c>
      <c r="AXW124" t="s">
        <v>451</v>
      </c>
      <c r="AXX124" t="s">
        <v>451</v>
      </c>
      <c r="AXY124" t="s">
        <v>451</v>
      </c>
      <c r="AXZ124" t="s">
        <v>451</v>
      </c>
      <c r="AYA124" t="s">
        <v>451</v>
      </c>
      <c r="AYB124" t="s">
        <v>451</v>
      </c>
      <c r="AYC124" t="s">
        <v>451</v>
      </c>
      <c r="AYD124" t="s">
        <v>451</v>
      </c>
      <c r="AYE124" t="s">
        <v>451</v>
      </c>
      <c r="AYF124" t="s">
        <v>451</v>
      </c>
      <c r="AYG124" t="s">
        <v>451</v>
      </c>
      <c r="AYH124" t="s">
        <v>451</v>
      </c>
      <c r="AYI124" t="s">
        <v>451</v>
      </c>
      <c r="AYJ124" t="s">
        <v>451</v>
      </c>
      <c r="AYK124" t="s">
        <v>451</v>
      </c>
      <c r="AYL124" t="s">
        <v>451</v>
      </c>
      <c r="AYM124" t="s">
        <v>451</v>
      </c>
      <c r="AYN124" t="s">
        <v>451</v>
      </c>
      <c r="AYO124" t="s">
        <v>451</v>
      </c>
      <c r="AYP124" t="s">
        <v>451</v>
      </c>
      <c r="AYQ124" t="s">
        <v>451</v>
      </c>
      <c r="AYR124" t="s">
        <v>451</v>
      </c>
      <c r="AYS124" t="s">
        <v>451</v>
      </c>
      <c r="AYT124" t="s">
        <v>451</v>
      </c>
      <c r="AYU124" t="s">
        <v>451</v>
      </c>
      <c r="AYV124" t="s">
        <v>451</v>
      </c>
      <c r="AYW124" t="s">
        <v>451</v>
      </c>
      <c r="AYX124" t="s">
        <v>451</v>
      </c>
      <c r="AYY124" t="s">
        <v>451</v>
      </c>
      <c r="AYZ124" t="s">
        <v>451</v>
      </c>
      <c r="AZA124" t="s">
        <v>451</v>
      </c>
      <c r="AZB124" t="s">
        <v>451</v>
      </c>
      <c r="AZC124" t="s">
        <v>451</v>
      </c>
      <c r="AZD124" t="s">
        <v>451</v>
      </c>
      <c r="AZE124" t="s">
        <v>451</v>
      </c>
      <c r="AZF124" t="s">
        <v>451</v>
      </c>
      <c r="AZG124" t="s">
        <v>451</v>
      </c>
      <c r="AZH124" t="s">
        <v>451</v>
      </c>
      <c r="AZI124" t="s">
        <v>451</v>
      </c>
      <c r="AZJ124" t="s">
        <v>451</v>
      </c>
      <c r="AZK124" t="s">
        <v>451</v>
      </c>
      <c r="AZL124" t="s">
        <v>451</v>
      </c>
      <c r="AZM124" t="s">
        <v>451</v>
      </c>
      <c r="AZN124" t="s">
        <v>451</v>
      </c>
      <c r="AZO124" t="s">
        <v>451</v>
      </c>
      <c r="AZP124" t="s">
        <v>451</v>
      </c>
      <c r="AZQ124" t="s">
        <v>451</v>
      </c>
      <c r="AZR124" t="s">
        <v>451</v>
      </c>
      <c r="AZS124" t="s">
        <v>451</v>
      </c>
      <c r="AZT124" t="s">
        <v>451</v>
      </c>
      <c r="AZU124" t="s">
        <v>451</v>
      </c>
      <c r="AZV124" t="s">
        <v>451</v>
      </c>
      <c r="AZW124" t="s">
        <v>451</v>
      </c>
      <c r="AZX124" t="s">
        <v>451</v>
      </c>
      <c r="AZY124" t="s">
        <v>451</v>
      </c>
      <c r="AZZ124" t="s">
        <v>451</v>
      </c>
      <c r="BAA124" t="s">
        <v>451</v>
      </c>
      <c r="BAB124" t="s">
        <v>451</v>
      </c>
      <c r="BAC124" t="s">
        <v>451</v>
      </c>
      <c r="BAD124" t="s">
        <v>451</v>
      </c>
      <c r="BAE124" t="s">
        <v>451</v>
      </c>
      <c r="BAF124" t="s">
        <v>451</v>
      </c>
      <c r="BAG124" t="s">
        <v>451</v>
      </c>
      <c r="BAH124" t="s">
        <v>451</v>
      </c>
      <c r="BAI124" t="s">
        <v>451</v>
      </c>
      <c r="BAJ124" t="s">
        <v>451</v>
      </c>
      <c r="BAK124" t="s">
        <v>451</v>
      </c>
      <c r="BAL124" t="s">
        <v>451</v>
      </c>
      <c r="BAM124" t="s">
        <v>451</v>
      </c>
      <c r="BAN124" t="s">
        <v>451</v>
      </c>
      <c r="BAO124" t="s">
        <v>451</v>
      </c>
      <c r="BAP124" t="s">
        <v>451</v>
      </c>
      <c r="BAQ124" t="s">
        <v>451</v>
      </c>
      <c r="BAR124" t="s">
        <v>451</v>
      </c>
      <c r="BAS124" t="s">
        <v>451</v>
      </c>
      <c r="BAT124" t="s">
        <v>451</v>
      </c>
      <c r="BAU124" t="s">
        <v>451</v>
      </c>
      <c r="BAV124" t="s">
        <v>451</v>
      </c>
      <c r="BAW124" t="s">
        <v>451</v>
      </c>
      <c r="BAX124" t="s">
        <v>451</v>
      </c>
      <c r="BAY124" t="s">
        <v>451</v>
      </c>
      <c r="BAZ124" t="s">
        <v>451</v>
      </c>
      <c r="BBA124" t="s">
        <v>451</v>
      </c>
      <c r="BBB124" t="s">
        <v>451</v>
      </c>
      <c r="BBC124" t="s">
        <v>451</v>
      </c>
      <c r="BBD124" t="s">
        <v>451</v>
      </c>
      <c r="BBE124" t="s">
        <v>451</v>
      </c>
      <c r="BBF124" t="s">
        <v>451</v>
      </c>
      <c r="BBG124" t="s">
        <v>451</v>
      </c>
      <c r="BBH124" t="s">
        <v>451</v>
      </c>
      <c r="BBI124" t="s">
        <v>451</v>
      </c>
      <c r="BBJ124" t="s">
        <v>451</v>
      </c>
      <c r="BBK124" t="s">
        <v>451</v>
      </c>
      <c r="BBL124" t="s">
        <v>451</v>
      </c>
      <c r="BBM124" t="s">
        <v>451</v>
      </c>
      <c r="BBN124" t="s">
        <v>451</v>
      </c>
      <c r="BBO124" t="s">
        <v>451</v>
      </c>
      <c r="BBP124" t="s">
        <v>451</v>
      </c>
      <c r="BBQ124" t="s">
        <v>451</v>
      </c>
      <c r="BBR124" t="s">
        <v>451</v>
      </c>
      <c r="BBS124" t="s">
        <v>451</v>
      </c>
      <c r="BBT124" t="s">
        <v>451</v>
      </c>
      <c r="BBU124" t="s">
        <v>451</v>
      </c>
      <c r="BBV124" t="s">
        <v>451</v>
      </c>
      <c r="BBW124" t="s">
        <v>451</v>
      </c>
      <c r="BBX124" t="s">
        <v>451</v>
      </c>
      <c r="BBY124" t="s">
        <v>451</v>
      </c>
      <c r="BBZ124" t="s">
        <v>451</v>
      </c>
      <c r="BCA124" t="s">
        <v>451</v>
      </c>
      <c r="BCB124" t="s">
        <v>451</v>
      </c>
      <c r="BCC124" t="s">
        <v>451</v>
      </c>
      <c r="BCD124" t="s">
        <v>451</v>
      </c>
      <c r="BCE124" t="s">
        <v>451</v>
      </c>
      <c r="BCF124" t="s">
        <v>451</v>
      </c>
      <c r="BCG124" t="s">
        <v>451</v>
      </c>
      <c r="BCH124" t="s">
        <v>451</v>
      </c>
      <c r="BCI124" t="s">
        <v>451</v>
      </c>
      <c r="BCJ124" t="s">
        <v>451</v>
      </c>
      <c r="BCK124" t="s">
        <v>451</v>
      </c>
      <c r="BCL124" t="s">
        <v>451</v>
      </c>
      <c r="BCM124" t="s">
        <v>451</v>
      </c>
      <c r="BCN124" t="s">
        <v>451</v>
      </c>
      <c r="BCO124" t="s">
        <v>451</v>
      </c>
      <c r="BCP124" t="s">
        <v>451</v>
      </c>
      <c r="BCQ124" t="s">
        <v>451</v>
      </c>
      <c r="BCR124" t="s">
        <v>451</v>
      </c>
      <c r="BCS124" t="s">
        <v>451</v>
      </c>
      <c r="BCT124" t="s">
        <v>451</v>
      </c>
      <c r="BCU124" t="s">
        <v>451</v>
      </c>
      <c r="BCV124" t="s">
        <v>451</v>
      </c>
      <c r="BCW124" t="s">
        <v>451</v>
      </c>
      <c r="BCX124" t="s">
        <v>451</v>
      </c>
      <c r="BCY124" t="s">
        <v>451</v>
      </c>
      <c r="BCZ124" t="s">
        <v>451</v>
      </c>
      <c r="BDA124" t="s">
        <v>451</v>
      </c>
      <c r="BDB124" t="s">
        <v>451</v>
      </c>
      <c r="BDC124" t="s">
        <v>451</v>
      </c>
      <c r="BDD124" t="s">
        <v>451</v>
      </c>
      <c r="BDE124" t="s">
        <v>451</v>
      </c>
      <c r="BDF124" t="s">
        <v>451</v>
      </c>
      <c r="BDG124" t="s">
        <v>451</v>
      </c>
      <c r="BDH124" t="s">
        <v>451</v>
      </c>
      <c r="BDI124" t="s">
        <v>451</v>
      </c>
      <c r="BDJ124" t="s">
        <v>451</v>
      </c>
      <c r="BDK124" t="s">
        <v>451</v>
      </c>
      <c r="BDL124" t="s">
        <v>451</v>
      </c>
      <c r="BDM124" t="s">
        <v>451</v>
      </c>
      <c r="BDN124" t="s">
        <v>451</v>
      </c>
      <c r="BDO124" t="s">
        <v>451</v>
      </c>
      <c r="BDP124" t="s">
        <v>451</v>
      </c>
      <c r="BDQ124" t="s">
        <v>451</v>
      </c>
      <c r="BDR124" t="s">
        <v>451</v>
      </c>
      <c r="BDS124" t="s">
        <v>451</v>
      </c>
      <c r="BDT124" t="s">
        <v>451</v>
      </c>
      <c r="BDU124" t="s">
        <v>451</v>
      </c>
      <c r="BDV124" t="s">
        <v>451</v>
      </c>
      <c r="BDW124" t="s">
        <v>451</v>
      </c>
      <c r="BDX124" t="s">
        <v>451</v>
      </c>
      <c r="BDY124" t="s">
        <v>451</v>
      </c>
      <c r="BDZ124" t="s">
        <v>451</v>
      </c>
      <c r="BEA124" t="s">
        <v>451</v>
      </c>
      <c r="BEB124" t="s">
        <v>451</v>
      </c>
      <c r="BEC124" t="s">
        <v>451</v>
      </c>
      <c r="BED124" t="s">
        <v>451</v>
      </c>
      <c r="BEE124" t="s">
        <v>451</v>
      </c>
      <c r="BEF124" t="s">
        <v>451</v>
      </c>
      <c r="BEG124" t="s">
        <v>451</v>
      </c>
      <c r="BEH124" t="s">
        <v>451</v>
      </c>
      <c r="BEI124" t="s">
        <v>451</v>
      </c>
      <c r="BEJ124" t="s">
        <v>451</v>
      </c>
      <c r="BEK124" t="s">
        <v>451</v>
      </c>
      <c r="BEL124" t="s">
        <v>451</v>
      </c>
      <c r="BEM124" t="s">
        <v>451</v>
      </c>
      <c r="BEN124" t="s">
        <v>451</v>
      </c>
      <c r="BEO124" t="s">
        <v>451</v>
      </c>
      <c r="BEP124" t="s">
        <v>451</v>
      </c>
      <c r="BEQ124" t="s">
        <v>451</v>
      </c>
      <c r="BER124" t="s">
        <v>451</v>
      </c>
      <c r="BES124" t="s">
        <v>451</v>
      </c>
      <c r="BET124" t="s">
        <v>451</v>
      </c>
      <c r="BEU124" t="s">
        <v>451</v>
      </c>
      <c r="BEV124" t="s">
        <v>451</v>
      </c>
      <c r="BEW124" t="s">
        <v>451</v>
      </c>
      <c r="BEX124" t="s">
        <v>451</v>
      </c>
      <c r="BEY124" t="s">
        <v>451</v>
      </c>
      <c r="BEZ124" t="s">
        <v>451</v>
      </c>
      <c r="BFA124" t="s">
        <v>451</v>
      </c>
      <c r="BFB124" t="s">
        <v>451</v>
      </c>
      <c r="BFC124" t="s">
        <v>451</v>
      </c>
      <c r="BFD124" t="s">
        <v>451</v>
      </c>
      <c r="BFE124" t="s">
        <v>451</v>
      </c>
      <c r="BFF124" t="s">
        <v>451</v>
      </c>
      <c r="BFG124" t="s">
        <v>451</v>
      </c>
      <c r="BFH124" t="s">
        <v>451</v>
      </c>
      <c r="BFI124" t="s">
        <v>451</v>
      </c>
      <c r="BFJ124" t="s">
        <v>451</v>
      </c>
      <c r="BFK124" t="s">
        <v>451</v>
      </c>
      <c r="BFL124" t="s">
        <v>451</v>
      </c>
      <c r="BFM124" t="s">
        <v>451</v>
      </c>
      <c r="BFN124" t="s">
        <v>451</v>
      </c>
      <c r="BFO124" t="s">
        <v>451</v>
      </c>
      <c r="BFP124" t="s">
        <v>451</v>
      </c>
      <c r="BFQ124" t="s">
        <v>451</v>
      </c>
      <c r="BFR124" t="s">
        <v>451</v>
      </c>
      <c r="BFS124" t="s">
        <v>451</v>
      </c>
      <c r="BFT124" t="s">
        <v>451</v>
      </c>
      <c r="BFU124" t="s">
        <v>451</v>
      </c>
      <c r="BFV124" t="s">
        <v>451</v>
      </c>
      <c r="BFW124" t="s">
        <v>451</v>
      </c>
      <c r="BFX124" t="s">
        <v>451</v>
      </c>
      <c r="BFY124" t="s">
        <v>451</v>
      </c>
      <c r="BFZ124" t="s">
        <v>451</v>
      </c>
      <c r="BGA124" t="s">
        <v>451</v>
      </c>
      <c r="BGB124" t="s">
        <v>451</v>
      </c>
      <c r="BGC124" t="s">
        <v>451</v>
      </c>
      <c r="BGD124" t="s">
        <v>451</v>
      </c>
      <c r="BGE124" t="s">
        <v>451</v>
      </c>
      <c r="BGF124" t="s">
        <v>451</v>
      </c>
      <c r="BGG124" t="s">
        <v>451</v>
      </c>
      <c r="BGH124" t="s">
        <v>451</v>
      </c>
      <c r="BGI124" t="s">
        <v>451</v>
      </c>
      <c r="BGJ124" t="s">
        <v>451</v>
      </c>
      <c r="BGK124" t="s">
        <v>451</v>
      </c>
      <c r="BGL124" t="s">
        <v>451</v>
      </c>
      <c r="BGM124" t="s">
        <v>451</v>
      </c>
      <c r="BGN124" t="s">
        <v>451</v>
      </c>
      <c r="BGO124" t="s">
        <v>451</v>
      </c>
      <c r="BGP124" t="s">
        <v>451</v>
      </c>
      <c r="BGQ124" t="s">
        <v>451</v>
      </c>
      <c r="BGR124" t="s">
        <v>451</v>
      </c>
      <c r="BGS124" t="s">
        <v>451</v>
      </c>
      <c r="BGT124" t="s">
        <v>451</v>
      </c>
      <c r="BGU124" t="s">
        <v>451</v>
      </c>
      <c r="BGV124" t="s">
        <v>451</v>
      </c>
      <c r="BGW124" t="s">
        <v>451</v>
      </c>
      <c r="BGX124" t="s">
        <v>451</v>
      </c>
      <c r="BGY124" t="s">
        <v>451</v>
      </c>
      <c r="BGZ124" t="s">
        <v>451</v>
      </c>
      <c r="BHA124" t="s">
        <v>451</v>
      </c>
      <c r="BHB124" t="s">
        <v>451</v>
      </c>
      <c r="BHC124" t="s">
        <v>451</v>
      </c>
      <c r="BHD124" t="s">
        <v>451</v>
      </c>
      <c r="BHE124" t="s">
        <v>451</v>
      </c>
      <c r="BHF124" t="s">
        <v>451</v>
      </c>
      <c r="BHG124" t="s">
        <v>451</v>
      </c>
      <c r="BHH124" t="s">
        <v>451</v>
      </c>
      <c r="BHI124" t="s">
        <v>451</v>
      </c>
      <c r="BHJ124" t="s">
        <v>451</v>
      </c>
      <c r="BHK124" t="s">
        <v>451</v>
      </c>
      <c r="BHL124" t="s">
        <v>451</v>
      </c>
      <c r="BHM124" t="s">
        <v>451</v>
      </c>
      <c r="BHN124" t="s">
        <v>451</v>
      </c>
      <c r="BHO124" t="s">
        <v>451</v>
      </c>
      <c r="BHP124" t="s">
        <v>451</v>
      </c>
      <c r="BHQ124" t="s">
        <v>451</v>
      </c>
      <c r="BHR124" t="s">
        <v>451</v>
      </c>
      <c r="BHS124" t="s">
        <v>451</v>
      </c>
      <c r="BHT124" t="s">
        <v>451</v>
      </c>
      <c r="BHU124" t="s">
        <v>451</v>
      </c>
      <c r="BHV124" t="s">
        <v>451</v>
      </c>
      <c r="BHW124" t="s">
        <v>451</v>
      </c>
      <c r="BHX124" t="s">
        <v>451</v>
      </c>
      <c r="BHY124" t="s">
        <v>451</v>
      </c>
      <c r="BHZ124" t="s">
        <v>451</v>
      </c>
      <c r="BIA124" t="s">
        <v>451</v>
      </c>
      <c r="BIB124" t="s">
        <v>451</v>
      </c>
      <c r="BIC124" t="s">
        <v>451</v>
      </c>
      <c r="BID124" t="s">
        <v>451</v>
      </c>
      <c r="BIE124" t="s">
        <v>451</v>
      </c>
      <c r="BIF124" t="s">
        <v>451</v>
      </c>
      <c r="BIG124" t="s">
        <v>451</v>
      </c>
      <c r="BIH124" t="s">
        <v>451</v>
      </c>
      <c r="BII124" t="s">
        <v>451</v>
      </c>
      <c r="BIJ124" t="s">
        <v>451</v>
      </c>
      <c r="BIK124" t="s">
        <v>451</v>
      </c>
      <c r="BIL124" t="s">
        <v>451</v>
      </c>
      <c r="BIM124" t="s">
        <v>451</v>
      </c>
      <c r="BIN124" t="s">
        <v>451</v>
      </c>
      <c r="BIO124" t="s">
        <v>451</v>
      </c>
      <c r="BIP124" t="s">
        <v>451</v>
      </c>
      <c r="BIQ124" t="s">
        <v>451</v>
      </c>
      <c r="BIR124" t="s">
        <v>451</v>
      </c>
      <c r="BIS124" t="s">
        <v>451</v>
      </c>
      <c r="BIT124" t="s">
        <v>451</v>
      </c>
      <c r="BIU124" t="s">
        <v>451</v>
      </c>
      <c r="BIV124" t="s">
        <v>451</v>
      </c>
      <c r="BIW124" t="s">
        <v>451</v>
      </c>
      <c r="BIX124" t="s">
        <v>451</v>
      </c>
      <c r="BIY124" t="s">
        <v>451</v>
      </c>
      <c r="BIZ124" t="s">
        <v>451</v>
      </c>
      <c r="BJA124" t="s">
        <v>451</v>
      </c>
      <c r="BJB124" t="s">
        <v>451</v>
      </c>
      <c r="BJC124" t="s">
        <v>451</v>
      </c>
      <c r="BJD124" t="s">
        <v>451</v>
      </c>
      <c r="BJE124" t="s">
        <v>451</v>
      </c>
      <c r="BJF124" t="s">
        <v>451</v>
      </c>
      <c r="BJG124" t="s">
        <v>451</v>
      </c>
      <c r="BJH124" t="s">
        <v>451</v>
      </c>
      <c r="BJI124" t="s">
        <v>451</v>
      </c>
      <c r="BJJ124" t="s">
        <v>451</v>
      </c>
      <c r="BJK124" t="s">
        <v>451</v>
      </c>
      <c r="BJL124" t="s">
        <v>451</v>
      </c>
      <c r="BJM124" t="s">
        <v>451</v>
      </c>
      <c r="BJN124" t="s">
        <v>451</v>
      </c>
      <c r="BJO124" t="s">
        <v>451</v>
      </c>
      <c r="BJP124" t="s">
        <v>451</v>
      </c>
      <c r="BJQ124" t="s">
        <v>451</v>
      </c>
      <c r="BJR124" t="s">
        <v>451</v>
      </c>
      <c r="BJS124" t="s">
        <v>451</v>
      </c>
      <c r="BJT124" t="s">
        <v>451</v>
      </c>
      <c r="BJU124" t="s">
        <v>451</v>
      </c>
      <c r="BJV124" t="s">
        <v>451</v>
      </c>
      <c r="BJW124" t="s">
        <v>451</v>
      </c>
      <c r="BJX124" t="s">
        <v>451</v>
      </c>
      <c r="BJY124" t="s">
        <v>451</v>
      </c>
      <c r="BJZ124" t="s">
        <v>451</v>
      </c>
      <c r="BKA124" t="s">
        <v>451</v>
      </c>
      <c r="BKB124" t="s">
        <v>451</v>
      </c>
      <c r="BKC124" t="s">
        <v>451</v>
      </c>
      <c r="BKD124" t="s">
        <v>451</v>
      </c>
      <c r="BKE124" t="s">
        <v>451</v>
      </c>
      <c r="BKF124" t="s">
        <v>451</v>
      </c>
      <c r="BKG124" t="s">
        <v>451</v>
      </c>
      <c r="BKH124" t="s">
        <v>451</v>
      </c>
      <c r="BKI124" t="s">
        <v>451</v>
      </c>
      <c r="BKJ124" t="s">
        <v>451</v>
      </c>
      <c r="BKK124" t="s">
        <v>451</v>
      </c>
      <c r="BKL124" t="s">
        <v>451</v>
      </c>
      <c r="BKM124" t="s">
        <v>451</v>
      </c>
      <c r="BKN124" t="s">
        <v>451</v>
      </c>
      <c r="BKO124" t="s">
        <v>451</v>
      </c>
      <c r="BKP124" t="s">
        <v>451</v>
      </c>
      <c r="BKQ124" t="s">
        <v>451</v>
      </c>
      <c r="BKR124" t="s">
        <v>451</v>
      </c>
      <c r="BKS124" t="s">
        <v>451</v>
      </c>
      <c r="BKT124" t="s">
        <v>451</v>
      </c>
      <c r="BKU124" t="s">
        <v>451</v>
      </c>
      <c r="BKV124" t="s">
        <v>451</v>
      </c>
      <c r="BKW124" t="s">
        <v>451</v>
      </c>
      <c r="BKX124" t="s">
        <v>451</v>
      </c>
      <c r="BKY124" t="s">
        <v>451</v>
      </c>
      <c r="BKZ124" t="s">
        <v>451</v>
      </c>
      <c r="BLA124" t="s">
        <v>451</v>
      </c>
      <c r="BLB124" t="s">
        <v>451</v>
      </c>
      <c r="BLC124" t="s">
        <v>451</v>
      </c>
      <c r="BLD124" t="s">
        <v>451</v>
      </c>
      <c r="BLE124" t="s">
        <v>451</v>
      </c>
      <c r="BLF124" t="s">
        <v>451</v>
      </c>
      <c r="BLG124" t="s">
        <v>451</v>
      </c>
      <c r="BLH124" t="s">
        <v>451</v>
      </c>
      <c r="BLI124" t="s">
        <v>451</v>
      </c>
      <c r="BLJ124" t="s">
        <v>451</v>
      </c>
      <c r="BLK124" t="s">
        <v>451</v>
      </c>
      <c r="BLL124" t="s">
        <v>451</v>
      </c>
      <c r="BLM124" t="s">
        <v>451</v>
      </c>
      <c r="BLN124" t="s">
        <v>451</v>
      </c>
      <c r="BLO124" t="s">
        <v>451</v>
      </c>
      <c r="BLP124" t="s">
        <v>451</v>
      </c>
      <c r="BLQ124" t="s">
        <v>451</v>
      </c>
      <c r="BLR124" t="s">
        <v>451</v>
      </c>
      <c r="BLS124" t="s">
        <v>451</v>
      </c>
      <c r="BLT124" t="s">
        <v>451</v>
      </c>
      <c r="BLU124" t="s">
        <v>451</v>
      </c>
      <c r="BLV124" t="s">
        <v>451</v>
      </c>
      <c r="BLW124" t="s">
        <v>451</v>
      </c>
      <c r="BLX124" t="s">
        <v>451</v>
      </c>
      <c r="BLY124" t="s">
        <v>451</v>
      </c>
      <c r="BLZ124" t="s">
        <v>451</v>
      </c>
      <c r="BMA124" t="s">
        <v>451</v>
      </c>
      <c r="BMB124" t="s">
        <v>451</v>
      </c>
      <c r="BMC124" t="s">
        <v>451</v>
      </c>
      <c r="BMD124" t="s">
        <v>451</v>
      </c>
      <c r="BME124" t="s">
        <v>451</v>
      </c>
      <c r="BMF124" t="s">
        <v>451</v>
      </c>
      <c r="BMG124" t="s">
        <v>451</v>
      </c>
      <c r="BMH124" t="s">
        <v>451</v>
      </c>
      <c r="BMI124" t="s">
        <v>451</v>
      </c>
      <c r="BMJ124" t="s">
        <v>451</v>
      </c>
      <c r="BMK124" t="s">
        <v>451</v>
      </c>
      <c r="BML124" t="s">
        <v>451</v>
      </c>
      <c r="BMM124" t="s">
        <v>451</v>
      </c>
      <c r="BMN124" t="s">
        <v>451</v>
      </c>
      <c r="BMO124" t="s">
        <v>451</v>
      </c>
      <c r="BMP124" t="s">
        <v>451</v>
      </c>
      <c r="BMQ124" t="s">
        <v>451</v>
      </c>
      <c r="BMR124" t="s">
        <v>451</v>
      </c>
      <c r="BMS124" t="s">
        <v>451</v>
      </c>
      <c r="BMT124" t="s">
        <v>451</v>
      </c>
      <c r="BMU124" t="s">
        <v>451</v>
      </c>
      <c r="BMV124" t="s">
        <v>451</v>
      </c>
      <c r="BMW124" t="s">
        <v>451</v>
      </c>
      <c r="BMX124" t="s">
        <v>451</v>
      </c>
      <c r="BMY124" t="s">
        <v>451</v>
      </c>
      <c r="BMZ124" t="s">
        <v>451</v>
      </c>
      <c r="BNA124" t="s">
        <v>451</v>
      </c>
      <c r="BNB124" t="s">
        <v>451</v>
      </c>
      <c r="BNC124" t="s">
        <v>451</v>
      </c>
      <c r="BND124" t="s">
        <v>451</v>
      </c>
      <c r="BNE124" t="s">
        <v>451</v>
      </c>
      <c r="BNF124" t="s">
        <v>451</v>
      </c>
      <c r="BNG124" t="s">
        <v>451</v>
      </c>
      <c r="BNH124" t="s">
        <v>451</v>
      </c>
      <c r="BNI124" t="s">
        <v>451</v>
      </c>
      <c r="BNJ124" t="s">
        <v>451</v>
      </c>
      <c r="BNK124" t="s">
        <v>451</v>
      </c>
      <c r="BNL124" t="s">
        <v>451</v>
      </c>
      <c r="BNM124" t="s">
        <v>451</v>
      </c>
      <c r="BNN124" t="s">
        <v>451</v>
      </c>
      <c r="BNO124" t="s">
        <v>451</v>
      </c>
      <c r="BNP124" t="s">
        <v>451</v>
      </c>
      <c r="BNQ124" t="s">
        <v>451</v>
      </c>
      <c r="BNR124" t="s">
        <v>451</v>
      </c>
      <c r="BNS124" t="s">
        <v>451</v>
      </c>
      <c r="BNT124" t="s">
        <v>451</v>
      </c>
      <c r="BNU124" t="s">
        <v>451</v>
      </c>
      <c r="BNV124" t="s">
        <v>451</v>
      </c>
      <c r="BNW124" t="s">
        <v>451</v>
      </c>
      <c r="BNX124" t="s">
        <v>451</v>
      </c>
      <c r="BNY124" t="s">
        <v>451</v>
      </c>
      <c r="BNZ124" t="s">
        <v>451</v>
      </c>
      <c r="BOA124" t="s">
        <v>451</v>
      </c>
      <c r="BOB124" t="s">
        <v>451</v>
      </c>
      <c r="BOC124" t="s">
        <v>451</v>
      </c>
      <c r="BOD124" t="s">
        <v>451</v>
      </c>
      <c r="BOE124" t="s">
        <v>451</v>
      </c>
      <c r="BOF124" t="s">
        <v>451</v>
      </c>
      <c r="BOG124" t="s">
        <v>451</v>
      </c>
      <c r="BOH124" t="s">
        <v>451</v>
      </c>
      <c r="BOI124" t="s">
        <v>451</v>
      </c>
      <c r="BOJ124" t="s">
        <v>451</v>
      </c>
      <c r="BOK124" t="s">
        <v>451</v>
      </c>
      <c r="BOL124" t="s">
        <v>451</v>
      </c>
      <c r="BOM124" t="s">
        <v>451</v>
      </c>
      <c r="BON124" t="s">
        <v>451</v>
      </c>
      <c r="BOO124" t="s">
        <v>451</v>
      </c>
      <c r="BOP124" t="s">
        <v>451</v>
      </c>
      <c r="BOQ124" t="s">
        <v>451</v>
      </c>
      <c r="BOR124" t="s">
        <v>451</v>
      </c>
      <c r="BOS124" t="s">
        <v>451</v>
      </c>
      <c r="BOT124" t="s">
        <v>451</v>
      </c>
      <c r="BOU124" t="s">
        <v>451</v>
      </c>
      <c r="BOV124" t="s">
        <v>451</v>
      </c>
      <c r="BOW124" t="s">
        <v>451</v>
      </c>
      <c r="BOX124" t="s">
        <v>451</v>
      </c>
      <c r="BOY124" t="s">
        <v>451</v>
      </c>
      <c r="BOZ124" t="s">
        <v>451</v>
      </c>
      <c r="BPA124" t="s">
        <v>451</v>
      </c>
      <c r="BPB124" t="s">
        <v>451</v>
      </c>
      <c r="BPC124" t="s">
        <v>451</v>
      </c>
      <c r="BPD124" t="s">
        <v>451</v>
      </c>
      <c r="BPE124" t="s">
        <v>451</v>
      </c>
      <c r="BPF124" t="s">
        <v>451</v>
      </c>
      <c r="BPG124" t="s">
        <v>451</v>
      </c>
      <c r="BPH124" t="s">
        <v>451</v>
      </c>
      <c r="BPI124" t="s">
        <v>451</v>
      </c>
      <c r="BPJ124" t="s">
        <v>451</v>
      </c>
      <c r="BPK124" t="s">
        <v>451</v>
      </c>
      <c r="BPL124" t="s">
        <v>451</v>
      </c>
      <c r="BPM124" t="s">
        <v>451</v>
      </c>
      <c r="BPN124" t="s">
        <v>451</v>
      </c>
      <c r="BPO124" t="s">
        <v>451</v>
      </c>
      <c r="BPP124" t="s">
        <v>451</v>
      </c>
      <c r="BPQ124" t="s">
        <v>451</v>
      </c>
      <c r="BPR124" t="s">
        <v>451</v>
      </c>
      <c r="BPS124" t="s">
        <v>451</v>
      </c>
      <c r="BPT124" t="s">
        <v>451</v>
      </c>
      <c r="BPU124" t="s">
        <v>451</v>
      </c>
      <c r="BPV124" t="s">
        <v>451</v>
      </c>
      <c r="BPW124" t="s">
        <v>451</v>
      </c>
      <c r="BPX124" t="s">
        <v>451</v>
      </c>
      <c r="BPY124" t="s">
        <v>451</v>
      </c>
      <c r="BPZ124" t="s">
        <v>451</v>
      </c>
      <c r="BQA124" t="s">
        <v>451</v>
      </c>
      <c r="BQB124" t="s">
        <v>451</v>
      </c>
      <c r="BQC124" t="s">
        <v>451</v>
      </c>
      <c r="BQD124" t="s">
        <v>451</v>
      </c>
      <c r="BQE124" t="s">
        <v>451</v>
      </c>
      <c r="BQF124" t="s">
        <v>451</v>
      </c>
      <c r="BQG124" t="s">
        <v>451</v>
      </c>
      <c r="BQH124" t="s">
        <v>451</v>
      </c>
      <c r="BQI124" t="s">
        <v>451</v>
      </c>
      <c r="BQJ124" t="s">
        <v>451</v>
      </c>
      <c r="BQK124" t="s">
        <v>451</v>
      </c>
      <c r="BQL124" t="s">
        <v>451</v>
      </c>
      <c r="BQM124" t="s">
        <v>451</v>
      </c>
      <c r="BQN124" t="s">
        <v>451</v>
      </c>
      <c r="BQO124" t="s">
        <v>451</v>
      </c>
      <c r="BQP124" t="s">
        <v>451</v>
      </c>
      <c r="BQQ124" t="s">
        <v>451</v>
      </c>
      <c r="BQR124" t="s">
        <v>451</v>
      </c>
      <c r="BQS124" t="s">
        <v>451</v>
      </c>
      <c r="BQT124" t="s">
        <v>451</v>
      </c>
      <c r="BQU124" t="s">
        <v>451</v>
      </c>
      <c r="BQV124" t="s">
        <v>451</v>
      </c>
      <c r="BQW124" t="s">
        <v>451</v>
      </c>
      <c r="BQX124" t="s">
        <v>451</v>
      </c>
      <c r="BQY124" t="s">
        <v>451</v>
      </c>
      <c r="BQZ124" t="s">
        <v>451</v>
      </c>
      <c r="BRA124" t="s">
        <v>451</v>
      </c>
      <c r="BRB124" t="s">
        <v>451</v>
      </c>
      <c r="BRC124" t="s">
        <v>451</v>
      </c>
      <c r="BRD124" t="s">
        <v>451</v>
      </c>
      <c r="BRE124" t="s">
        <v>451</v>
      </c>
      <c r="BRF124" t="s">
        <v>451</v>
      </c>
      <c r="BRG124" t="s">
        <v>451</v>
      </c>
      <c r="BRH124" t="s">
        <v>451</v>
      </c>
      <c r="BRI124" t="s">
        <v>451</v>
      </c>
      <c r="BRJ124" t="s">
        <v>451</v>
      </c>
      <c r="BRK124" t="s">
        <v>451</v>
      </c>
      <c r="BRL124" t="s">
        <v>451</v>
      </c>
      <c r="BRM124" t="s">
        <v>451</v>
      </c>
      <c r="BRN124" t="s">
        <v>451</v>
      </c>
      <c r="BRO124" t="s">
        <v>451</v>
      </c>
      <c r="BRP124" t="s">
        <v>451</v>
      </c>
      <c r="BRQ124" t="s">
        <v>451</v>
      </c>
      <c r="BRR124" t="s">
        <v>451</v>
      </c>
      <c r="BRS124" t="s">
        <v>451</v>
      </c>
      <c r="BRT124" t="s">
        <v>451</v>
      </c>
      <c r="BRU124" t="s">
        <v>451</v>
      </c>
      <c r="BRV124" t="s">
        <v>451</v>
      </c>
      <c r="BRW124" t="s">
        <v>451</v>
      </c>
      <c r="BRX124" t="s">
        <v>451</v>
      </c>
      <c r="BRY124" t="s">
        <v>451</v>
      </c>
      <c r="BRZ124" t="s">
        <v>451</v>
      </c>
      <c r="BSA124" t="s">
        <v>451</v>
      </c>
      <c r="BSB124" t="s">
        <v>451</v>
      </c>
      <c r="BSC124" t="s">
        <v>451</v>
      </c>
      <c r="BSD124" t="s">
        <v>451</v>
      </c>
      <c r="BSE124" t="s">
        <v>451</v>
      </c>
      <c r="BSF124" t="s">
        <v>451</v>
      </c>
      <c r="BSG124" t="s">
        <v>451</v>
      </c>
      <c r="BSH124" t="s">
        <v>451</v>
      </c>
      <c r="BSI124" t="s">
        <v>451</v>
      </c>
      <c r="BSJ124" t="s">
        <v>451</v>
      </c>
      <c r="BSK124" t="s">
        <v>451</v>
      </c>
      <c r="BSL124" t="s">
        <v>451</v>
      </c>
      <c r="BSM124" t="s">
        <v>451</v>
      </c>
      <c r="BSN124" t="s">
        <v>451</v>
      </c>
      <c r="BSO124" t="s">
        <v>451</v>
      </c>
      <c r="BSP124" t="s">
        <v>451</v>
      </c>
      <c r="BSQ124" t="s">
        <v>451</v>
      </c>
      <c r="BSR124" t="s">
        <v>451</v>
      </c>
      <c r="BSS124" t="s">
        <v>451</v>
      </c>
      <c r="BST124" t="s">
        <v>451</v>
      </c>
      <c r="BSU124" t="s">
        <v>451</v>
      </c>
      <c r="BSV124" t="s">
        <v>451</v>
      </c>
      <c r="BSW124" t="s">
        <v>451</v>
      </c>
      <c r="BSX124" t="s">
        <v>451</v>
      </c>
      <c r="BSY124" t="s">
        <v>451</v>
      </c>
      <c r="BSZ124" t="s">
        <v>451</v>
      </c>
      <c r="BTA124" t="s">
        <v>451</v>
      </c>
      <c r="BTB124" t="s">
        <v>451</v>
      </c>
      <c r="BTC124" t="s">
        <v>451</v>
      </c>
      <c r="BTD124" t="s">
        <v>451</v>
      </c>
      <c r="BTE124" t="s">
        <v>451</v>
      </c>
      <c r="BTF124" t="s">
        <v>451</v>
      </c>
      <c r="BTG124" t="s">
        <v>451</v>
      </c>
      <c r="BTH124" t="s">
        <v>451</v>
      </c>
      <c r="BTI124" t="s">
        <v>451</v>
      </c>
      <c r="BTJ124" t="s">
        <v>451</v>
      </c>
      <c r="BTK124" t="s">
        <v>451</v>
      </c>
      <c r="BTL124" t="s">
        <v>451</v>
      </c>
      <c r="BTM124" t="s">
        <v>451</v>
      </c>
      <c r="BTN124" t="s">
        <v>451</v>
      </c>
      <c r="BTO124" t="s">
        <v>451</v>
      </c>
      <c r="BTP124" t="s">
        <v>451</v>
      </c>
      <c r="BTQ124" t="s">
        <v>451</v>
      </c>
      <c r="BTR124" t="s">
        <v>451</v>
      </c>
      <c r="BTS124" t="s">
        <v>451</v>
      </c>
      <c r="BTT124" t="s">
        <v>451</v>
      </c>
      <c r="BTU124" t="s">
        <v>451</v>
      </c>
      <c r="BTV124" t="s">
        <v>451</v>
      </c>
      <c r="BTW124" t="s">
        <v>451</v>
      </c>
      <c r="BTX124" t="s">
        <v>451</v>
      </c>
      <c r="BTY124" t="s">
        <v>451</v>
      </c>
      <c r="BTZ124" t="s">
        <v>451</v>
      </c>
      <c r="BUA124" t="s">
        <v>451</v>
      </c>
      <c r="BUB124" t="s">
        <v>451</v>
      </c>
      <c r="BUC124" t="s">
        <v>451</v>
      </c>
      <c r="BUD124" t="s">
        <v>451</v>
      </c>
      <c r="BUE124" t="s">
        <v>451</v>
      </c>
      <c r="BUF124" t="s">
        <v>451</v>
      </c>
      <c r="BUG124" t="s">
        <v>451</v>
      </c>
      <c r="BUH124" t="s">
        <v>451</v>
      </c>
      <c r="BUI124" t="s">
        <v>451</v>
      </c>
      <c r="BUJ124" t="s">
        <v>451</v>
      </c>
      <c r="BUK124" t="s">
        <v>451</v>
      </c>
      <c r="BUL124" t="s">
        <v>451</v>
      </c>
      <c r="BUM124" t="s">
        <v>451</v>
      </c>
      <c r="BUN124" t="s">
        <v>451</v>
      </c>
      <c r="BUO124" t="s">
        <v>451</v>
      </c>
      <c r="BUP124" t="s">
        <v>451</v>
      </c>
      <c r="BUQ124" t="s">
        <v>451</v>
      </c>
      <c r="BUR124" t="s">
        <v>451</v>
      </c>
      <c r="BUS124" t="s">
        <v>451</v>
      </c>
      <c r="BUT124" t="s">
        <v>451</v>
      </c>
      <c r="BUU124" t="s">
        <v>451</v>
      </c>
      <c r="BUV124" t="s">
        <v>451</v>
      </c>
      <c r="BUW124" t="s">
        <v>451</v>
      </c>
      <c r="BUX124" t="s">
        <v>451</v>
      </c>
      <c r="BUY124" t="s">
        <v>451</v>
      </c>
      <c r="BUZ124" t="s">
        <v>451</v>
      </c>
      <c r="BVA124" t="s">
        <v>451</v>
      </c>
      <c r="BVB124" t="s">
        <v>451</v>
      </c>
      <c r="BVC124" t="s">
        <v>451</v>
      </c>
      <c r="BVD124" t="s">
        <v>451</v>
      </c>
      <c r="BVE124" t="s">
        <v>451</v>
      </c>
      <c r="BVF124" t="s">
        <v>451</v>
      </c>
      <c r="BVG124" t="s">
        <v>451</v>
      </c>
      <c r="BVH124" t="s">
        <v>451</v>
      </c>
      <c r="BVI124" t="s">
        <v>451</v>
      </c>
      <c r="BVJ124" t="s">
        <v>451</v>
      </c>
      <c r="BVK124" t="s">
        <v>451</v>
      </c>
      <c r="BVL124" t="s">
        <v>451</v>
      </c>
      <c r="BVM124" t="s">
        <v>451</v>
      </c>
      <c r="BVN124" t="s">
        <v>451</v>
      </c>
      <c r="BVO124" t="s">
        <v>451</v>
      </c>
      <c r="BVP124" t="s">
        <v>451</v>
      </c>
      <c r="BVQ124" t="s">
        <v>451</v>
      </c>
      <c r="BVR124" t="s">
        <v>451</v>
      </c>
      <c r="BVS124" t="s">
        <v>451</v>
      </c>
      <c r="BVT124" t="s">
        <v>451</v>
      </c>
      <c r="BVU124" t="s">
        <v>451</v>
      </c>
      <c r="BVV124" t="s">
        <v>451</v>
      </c>
      <c r="BVW124" t="s">
        <v>451</v>
      </c>
      <c r="BVX124" t="s">
        <v>451</v>
      </c>
      <c r="BVY124" t="s">
        <v>451</v>
      </c>
      <c r="BVZ124" t="s">
        <v>451</v>
      </c>
      <c r="BWA124" t="s">
        <v>451</v>
      </c>
      <c r="BWB124" t="s">
        <v>451</v>
      </c>
      <c r="BWC124" t="s">
        <v>451</v>
      </c>
      <c r="BWD124" t="s">
        <v>451</v>
      </c>
      <c r="BWE124" t="s">
        <v>451</v>
      </c>
      <c r="BWF124" t="s">
        <v>451</v>
      </c>
      <c r="BWG124" t="s">
        <v>451</v>
      </c>
      <c r="BWH124" t="s">
        <v>451</v>
      </c>
      <c r="BWI124" t="s">
        <v>451</v>
      </c>
      <c r="BWJ124" t="s">
        <v>451</v>
      </c>
      <c r="BWK124" t="s">
        <v>451</v>
      </c>
      <c r="BWL124" t="s">
        <v>451</v>
      </c>
      <c r="BWM124" t="s">
        <v>451</v>
      </c>
      <c r="BWN124" t="s">
        <v>451</v>
      </c>
      <c r="BWO124" t="s">
        <v>451</v>
      </c>
      <c r="BWP124" t="s">
        <v>451</v>
      </c>
      <c r="BWQ124" t="s">
        <v>451</v>
      </c>
      <c r="BWR124" t="s">
        <v>451</v>
      </c>
      <c r="BWS124" t="s">
        <v>451</v>
      </c>
      <c r="BWT124" t="s">
        <v>451</v>
      </c>
      <c r="BWU124" t="s">
        <v>451</v>
      </c>
      <c r="BWV124" t="s">
        <v>451</v>
      </c>
      <c r="BWW124" t="s">
        <v>451</v>
      </c>
      <c r="BWX124" t="s">
        <v>451</v>
      </c>
      <c r="BWY124" t="s">
        <v>451</v>
      </c>
      <c r="BWZ124" t="s">
        <v>451</v>
      </c>
      <c r="BXA124" t="s">
        <v>451</v>
      </c>
      <c r="BXB124" t="s">
        <v>451</v>
      </c>
      <c r="BXC124" t="s">
        <v>451</v>
      </c>
      <c r="BXD124" t="s">
        <v>451</v>
      </c>
      <c r="BXE124" t="s">
        <v>451</v>
      </c>
      <c r="BXF124" t="s">
        <v>451</v>
      </c>
      <c r="BXG124" t="s">
        <v>451</v>
      </c>
      <c r="BXH124" t="s">
        <v>451</v>
      </c>
      <c r="BXI124" t="s">
        <v>451</v>
      </c>
      <c r="BXJ124" t="s">
        <v>451</v>
      </c>
      <c r="BXK124" t="s">
        <v>451</v>
      </c>
      <c r="BXL124" t="s">
        <v>451</v>
      </c>
      <c r="BXM124" t="s">
        <v>451</v>
      </c>
      <c r="BXN124" t="s">
        <v>451</v>
      </c>
      <c r="BXO124" t="s">
        <v>451</v>
      </c>
      <c r="BXP124" t="s">
        <v>451</v>
      </c>
      <c r="BXQ124" t="s">
        <v>451</v>
      </c>
      <c r="BXR124" t="s">
        <v>451</v>
      </c>
      <c r="BXS124" t="s">
        <v>451</v>
      </c>
      <c r="BXT124" t="s">
        <v>451</v>
      </c>
      <c r="BXU124" t="s">
        <v>451</v>
      </c>
      <c r="BXV124" t="s">
        <v>451</v>
      </c>
      <c r="BXW124" t="s">
        <v>451</v>
      </c>
      <c r="BXX124" t="s">
        <v>451</v>
      </c>
      <c r="BXY124" t="s">
        <v>451</v>
      </c>
      <c r="BXZ124" t="s">
        <v>451</v>
      </c>
      <c r="BYA124" t="s">
        <v>451</v>
      </c>
      <c r="BYB124" t="s">
        <v>451</v>
      </c>
      <c r="BYC124" t="s">
        <v>451</v>
      </c>
      <c r="BYD124" t="s">
        <v>451</v>
      </c>
      <c r="BYE124" t="s">
        <v>451</v>
      </c>
      <c r="BYF124" t="s">
        <v>451</v>
      </c>
      <c r="BYG124" t="s">
        <v>451</v>
      </c>
      <c r="BYH124" t="s">
        <v>451</v>
      </c>
      <c r="BYI124" t="s">
        <v>451</v>
      </c>
      <c r="BYJ124" t="s">
        <v>451</v>
      </c>
      <c r="BYK124" t="s">
        <v>451</v>
      </c>
      <c r="BYL124" t="s">
        <v>451</v>
      </c>
      <c r="BYM124" t="s">
        <v>451</v>
      </c>
      <c r="BYN124" t="s">
        <v>451</v>
      </c>
      <c r="BYO124" t="s">
        <v>451</v>
      </c>
      <c r="BYP124" t="s">
        <v>451</v>
      </c>
      <c r="BYQ124" t="s">
        <v>451</v>
      </c>
      <c r="BYR124" t="s">
        <v>451</v>
      </c>
      <c r="BYS124" t="s">
        <v>451</v>
      </c>
      <c r="BYT124" t="s">
        <v>451</v>
      </c>
      <c r="BYU124" t="s">
        <v>451</v>
      </c>
      <c r="BYV124" t="s">
        <v>451</v>
      </c>
      <c r="BYW124" t="s">
        <v>451</v>
      </c>
      <c r="BYX124" t="s">
        <v>451</v>
      </c>
      <c r="BYY124" t="s">
        <v>451</v>
      </c>
      <c r="BYZ124" t="s">
        <v>451</v>
      </c>
      <c r="BZA124" t="s">
        <v>451</v>
      </c>
      <c r="BZB124" t="s">
        <v>451</v>
      </c>
      <c r="BZC124" t="s">
        <v>451</v>
      </c>
      <c r="BZD124" t="s">
        <v>451</v>
      </c>
      <c r="BZE124" t="s">
        <v>451</v>
      </c>
      <c r="BZF124" t="s">
        <v>451</v>
      </c>
      <c r="BZG124" t="s">
        <v>451</v>
      </c>
      <c r="BZH124" t="s">
        <v>451</v>
      </c>
      <c r="BZI124" t="s">
        <v>451</v>
      </c>
      <c r="BZJ124" t="s">
        <v>451</v>
      </c>
      <c r="BZK124" t="s">
        <v>451</v>
      </c>
      <c r="BZL124" t="s">
        <v>451</v>
      </c>
      <c r="BZM124" t="s">
        <v>451</v>
      </c>
      <c r="BZN124" t="s">
        <v>451</v>
      </c>
      <c r="BZO124" t="s">
        <v>451</v>
      </c>
      <c r="BZP124" t="s">
        <v>451</v>
      </c>
      <c r="BZQ124" t="s">
        <v>451</v>
      </c>
      <c r="BZR124" t="s">
        <v>451</v>
      </c>
      <c r="BZS124" t="s">
        <v>451</v>
      </c>
      <c r="BZT124" t="s">
        <v>451</v>
      </c>
      <c r="BZU124" t="s">
        <v>451</v>
      </c>
      <c r="BZV124" t="s">
        <v>451</v>
      </c>
      <c r="BZW124" t="s">
        <v>451</v>
      </c>
      <c r="BZX124" t="s">
        <v>451</v>
      </c>
      <c r="BZY124" t="s">
        <v>451</v>
      </c>
      <c r="BZZ124" t="s">
        <v>451</v>
      </c>
      <c r="CAA124" t="s">
        <v>451</v>
      </c>
      <c r="CAB124" t="s">
        <v>451</v>
      </c>
      <c r="CAC124" t="s">
        <v>451</v>
      </c>
      <c r="CAD124" t="s">
        <v>451</v>
      </c>
      <c r="CAE124" t="s">
        <v>451</v>
      </c>
      <c r="CAF124" t="s">
        <v>451</v>
      </c>
      <c r="CAG124" t="s">
        <v>451</v>
      </c>
      <c r="CAH124" t="s">
        <v>451</v>
      </c>
      <c r="CAI124" t="s">
        <v>451</v>
      </c>
      <c r="CAJ124" t="s">
        <v>451</v>
      </c>
      <c r="CAK124" t="s">
        <v>451</v>
      </c>
      <c r="CAL124" t="s">
        <v>451</v>
      </c>
      <c r="CAM124" t="s">
        <v>451</v>
      </c>
      <c r="CAN124" t="s">
        <v>451</v>
      </c>
      <c r="CAO124" t="s">
        <v>451</v>
      </c>
      <c r="CAP124" t="s">
        <v>451</v>
      </c>
      <c r="CAQ124" t="s">
        <v>451</v>
      </c>
      <c r="CAR124" t="s">
        <v>451</v>
      </c>
      <c r="CAS124" t="s">
        <v>451</v>
      </c>
      <c r="CAT124" t="s">
        <v>451</v>
      </c>
      <c r="CAU124" t="s">
        <v>451</v>
      </c>
      <c r="CAV124" t="s">
        <v>451</v>
      </c>
      <c r="CAW124" t="s">
        <v>451</v>
      </c>
      <c r="CAX124" t="s">
        <v>451</v>
      </c>
      <c r="CAY124" t="s">
        <v>451</v>
      </c>
      <c r="CAZ124" t="s">
        <v>451</v>
      </c>
      <c r="CBA124" t="s">
        <v>451</v>
      </c>
      <c r="CBB124" t="s">
        <v>451</v>
      </c>
      <c r="CBC124" t="s">
        <v>451</v>
      </c>
      <c r="CBD124" t="s">
        <v>451</v>
      </c>
      <c r="CBE124" t="s">
        <v>451</v>
      </c>
      <c r="CBF124" t="s">
        <v>451</v>
      </c>
      <c r="CBG124" t="s">
        <v>451</v>
      </c>
      <c r="CBH124" t="s">
        <v>451</v>
      </c>
      <c r="CBI124" t="s">
        <v>451</v>
      </c>
      <c r="CBJ124" t="s">
        <v>451</v>
      </c>
      <c r="CBK124" t="s">
        <v>451</v>
      </c>
      <c r="CBL124" t="s">
        <v>451</v>
      </c>
      <c r="CBM124" t="s">
        <v>451</v>
      </c>
      <c r="CBN124" t="s">
        <v>451</v>
      </c>
      <c r="CBO124" t="s">
        <v>451</v>
      </c>
      <c r="CBP124" t="s">
        <v>451</v>
      </c>
      <c r="CBQ124" t="s">
        <v>451</v>
      </c>
      <c r="CBR124" t="s">
        <v>451</v>
      </c>
      <c r="CBS124" t="s">
        <v>451</v>
      </c>
      <c r="CBT124" t="s">
        <v>451</v>
      </c>
      <c r="CBU124" t="s">
        <v>451</v>
      </c>
      <c r="CBV124" t="s">
        <v>451</v>
      </c>
      <c r="CBW124" t="s">
        <v>451</v>
      </c>
      <c r="CBX124" t="s">
        <v>451</v>
      </c>
      <c r="CBY124" t="s">
        <v>451</v>
      </c>
      <c r="CBZ124" t="s">
        <v>451</v>
      </c>
      <c r="CCA124" t="s">
        <v>451</v>
      </c>
      <c r="CCB124" t="s">
        <v>451</v>
      </c>
      <c r="CCC124" t="s">
        <v>451</v>
      </c>
      <c r="CCD124" t="s">
        <v>451</v>
      </c>
      <c r="CCE124" t="s">
        <v>451</v>
      </c>
      <c r="CCF124" t="s">
        <v>451</v>
      </c>
      <c r="CCG124" t="s">
        <v>451</v>
      </c>
      <c r="CCH124" t="s">
        <v>451</v>
      </c>
      <c r="CCI124" t="s">
        <v>451</v>
      </c>
      <c r="CCJ124" t="s">
        <v>451</v>
      </c>
      <c r="CCK124" t="s">
        <v>451</v>
      </c>
      <c r="CCL124" t="s">
        <v>451</v>
      </c>
      <c r="CCM124" t="s">
        <v>451</v>
      </c>
      <c r="CCN124" t="s">
        <v>451</v>
      </c>
      <c r="CCO124" t="s">
        <v>451</v>
      </c>
      <c r="CCP124" t="s">
        <v>451</v>
      </c>
      <c r="CCQ124" t="s">
        <v>451</v>
      </c>
      <c r="CCR124" t="s">
        <v>451</v>
      </c>
      <c r="CCS124" t="s">
        <v>451</v>
      </c>
      <c r="CCT124" t="s">
        <v>451</v>
      </c>
      <c r="CCU124" t="s">
        <v>451</v>
      </c>
      <c r="CCV124" t="s">
        <v>451</v>
      </c>
      <c r="CCW124" t="s">
        <v>451</v>
      </c>
      <c r="CCX124" t="s">
        <v>451</v>
      </c>
      <c r="CCY124" t="s">
        <v>451</v>
      </c>
      <c r="CCZ124" t="s">
        <v>451</v>
      </c>
      <c r="CDA124" t="s">
        <v>451</v>
      </c>
      <c r="CDB124" t="s">
        <v>451</v>
      </c>
      <c r="CDC124" t="s">
        <v>451</v>
      </c>
      <c r="CDD124" t="s">
        <v>451</v>
      </c>
      <c r="CDE124" t="s">
        <v>451</v>
      </c>
      <c r="CDF124" t="s">
        <v>451</v>
      </c>
      <c r="CDG124" t="s">
        <v>451</v>
      </c>
      <c r="CDH124" t="s">
        <v>451</v>
      </c>
      <c r="CDI124" t="s">
        <v>451</v>
      </c>
      <c r="CDJ124" t="s">
        <v>451</v>
      </c>
      <c r="CDK124" t="s">
        <v>451</v>
      </c>
      <c r="CDL124" t="s">
        <v>451</v>
      </c>
      <c r="CDM124" t="s">
        <v>451</v>
      </c>
      <c r="CDN124" t="s">
        <v>451</v>
      </c>
      <c r="CDO124" t="s">
        <v>451</v>
      </c>
      <c r="CDP124" t="s">
        <v>451</v>
      </c>
      <c r="CDQ124" t="s">
        <v>451</v>
      </c>
      <c r="CDR124" t="s">
        <v>451</v>
      </c>
      <c r="CDS124" t="s">
        <v>451</v>
      </c>
      <c r="CDT124" t="s">
        <v>451</v>
      </c>
      <c r="CDU124" t="s">
        <v>451</v>
      </c>
      <c r="CDV124" t="s">
        <v>451</v>
      </c>
      <c r="CDW124" t="s">
        <v>451</v>
      </c>
      <c r="CDX124" t="s">
        <v>451</v>
      </c>
      <c r="CDY124" t="s">
        <v>451</v>
      </c>
      <c r="CDZ124" t="s">
        <v>451</v>
      </c>
      <c r="CEA124" t="s">
        <v>451</v>
      </c>
      <c r="CEB124" t="s">
        <v>451</v>
      </c>
      <c r="CEC124" t="s">
        <v>451</v>
      </c>
      <c r="CED124" t="s">
        <v>451</v>
      </c>
      <c r="CEE124" t="s">
        <v>451</v>
      </c>
      <c r="CEF124" t="s">
        <v>451</v>
      </c>
      <c r="CEG124" t="s">
        <v>451</v>
      </c>
      <c r="CEH124" t="s">
        <v>451</v>
      </c>
      <c r="CEI124" t="s">
        <v>451</v>
      </c>
      <c r="CEJ124" t="s">
        <v>451</v>
      </c>
      <c r="CEK124" t="s">
        <v>451</v>
      </c>
      <c r="CEL124" t="s">
        <v>451</v>
      </c>
      <c r="CEM124" t="s">
        <v>451</v>
      </c>
      <c r="CEN124" t="s">
        <v>451</v>
      </c>
      <c r="CEO124" t="s">
        <v>451</v>
      </c>
      <c r="CEP124" t="s">
        <v>451</v>
      </c>
      <c r="CEQ124" t="s">
        <v>451</v>
      </c>
      <c r="CER124" t="s">
        <v>451</v>
      </c>
      <c r="CES124" t="s">
        <v>451</v>
      </c>
      <c r="CET124" t="s">
        <v>451</v>
      </c>
      <c r="CEU124" t="s">
        <v>451</v>
      </c>
      <c r="CEV124" t="s">
        <v>451</v>
      </c>
      <c r="CEW124" t="s">
        <v>451</v>
      </c>
      <c r="CEX124" t="s">
        <v>451</v>
      </c>
      <c r="CEY124" t="s">
        <v>451</v>
      </c>
      <c r="CEZ124" t="s">
        <v>451</v>
      </c>
      <c r="CFA124" t="s">
        <v>451</v>
      </c>
      <c r="CFB124" t="s">
        <v>451</v>
      </c>
      <c r="CFC124" t="s">
        <v>451</v>
      </c>
      <c r="CFD124" t="s">
        <v>451</v>
      </c>
      <c r="CFE124" t="s">
        <v>451</v>
      </c>
      <c r="CFF124" t="s">
        <v>451</v>
      </c>
      <c r="CFG124" t="s">
        <v>451</v>
      </c>
      <c r="CFH124" t="s">
        <v>451</v>
      </c>
      <c r="CFI124" t="s">
        <v>451</v>
      </c>
      <c r="CFJ124" t="s">
        <v>451</v>
      </c>
      <c r="CFK124" t="s">
        <v>451</v>
      </c>
      <c r="CFL124" t="s">
        <v>451</v>
      </c>
      <c r="CFM124" t="s">
        <v>451</v>
      </c>
      <c r="CFN124" t="s">
        <v>451</v>
      </c>
      <c r="CFO124" t="s">
        <v>451</v>
      </c>
      <c r="CFP124" t="s">
        <v>451</v>
      </c>
      <c r="CFQ124" t="s">
        <v>451</v>
      </c>
      <c r="CFR124" t="s">
        <v>451</v>
      </c>
      <c r="CFS124" t="s">
        <v>451</v>
      </c>
      <c r="CFT124" t="s">
        <v>451</v>
      </c>
      <c r="CFU124" t="s">
        <v>451</v>
      </c>
      <c r="CFV124" t="s">
        <v>451</v>
      </c>
      <c r="CFW124" t="s">
        <v>451</v>
      </c>
      <c r="CFX124" t="s">
        <v>451</v>
      </c>
      <c r="CFY124" t="s">
        <v>451</v>
      </c>
      <c r="CFZ124" t="s">
        <v>451</v>
      </c>
      <c r="CGA124" t="s">
        <v>451</v>
      </c>
      <c r="CGB124" t="s">
        <v>451</v>
      </c>
      <c r="CGC124" t="s">
        <v>451</v>
      </c>
      <c r="CGD124" t="s">
        <v>451</v>
      </c>
      <c r="CGE124" t="s">
        <v>451</v>
      </c>
      <c r="CGF124" t="s">
        <v>451</v>
      </c>
      <c r="CGG124" t="s">
        <v>451</v>
      </c>
      <c r="CGH124" t="s">
        <v>451</v>
      </c>
      <c r="CGI124" t="s">
        <v>451</v>
      </c>
      <c r="CGJ124" t="s">
        <v>451</v>
      </c>
      <c r="CGK124" t="s">
        <v>451</v>
      </c>
      <c r="CGL124" t="s">
        <v>451</v>
      </c>
      <c r="CGM124" t="s">
        <v>451</v>
      </c>
      <c r="CGN124" t="s">
        <v>451</v>
      </c>
      <c r="CGO124" t="s">
        <v>451</v>
      </c>
      <c r="CGP124" t="s">
        <v>451</v>
      </c>
      <c r="CGQ124" t="s">
        <v>451</v>
      </c>
      <c r="CGR124" t="s">
        <v>451</v>
      </c>
      <c r="CGS124" t="s">
        <v>451</v>
      </c>
      <c r="CGT124" t="s">
        <v>451</v>
      </c>
      <c r="CGU124" t="s">
        <v>451</v>
      </c>
      <c r="CGV124" t="s">
        <v>451</v>
      </c>
      <c r="CGW124" t="s">
        <v>451</v>
      </c>
      <c r="CGX124" t="s">
        <v>451</v>
      </c>
      <c r="CGY124" t="s">
        <v>451</v>
      </c>
      <c r="CGZ124" t="s">
        <v>451</v>
      </c>
      <c r="CHA124" t="s">
        <v>451</v>
      </c>
      <c r="CHB124" t="s">
        <v>451</v>
      </c>
      <c r="CHC124" t="s">
        <v>451</v>
      </c>
      <c r="CHD124" t="s">
        <v>451</v>
      </c>
      <c r="CHE124" t="s">
        <v>451</v>
      </c>
      <c r="CHF124" t="s">
        <v>451</v>
      </c>
      <c r="CHG124" t="s">
        <v>451</v>
      </c>
      <c r="CHH124" t="s">
        <v>451</v>
      </c>
      <c r="CHI124" t="s">
        <v>451</v>
      </c>
      <c r="CHJ124" t="s">
        <v>451</v>
      </c>
      <c r="CHK124" t="s">
        <v>451</v>
      </c>
      <c r="CHL124" t="s">
        <v>451</v>
      </c>
      <c r="CHM124" t="s">
        <v>451</v>
      </c>
      <c r="CHN124" t="s">
        <v>451</v>
      </c>
      <c r="CHO124" t="s">
        <v>451</v>
      </c>
      <c r="CHP124" t="s">
        <v>451</v>
      </c>
      <c r="CHQ124" t="s">
        <v>451</v>
      </c>
      <c r="CHR124" t="s">
        <v>451</v>
      </c>
      <c r="CHS124" t="s">
        <v>451</v>
      </c>
      <c r="CHT124" t="s">
        <v>451</v>
      </c>
      <c r="CHU124" t="s">
        <v>451</v>
      </c>
      <c r="CHV124" t="s">
        <v>451</v>
      </c>
      <c r="CHW124" t="s">
        <v>451</v>
      </c>
      <c r="CHX124" t="s">
        <v>451</v>
      </c>
      <c r="CHY124" t="s">
        <v>451</v>
      </c>
      <c r="CHZ124" t="s">
        <v>451</v>
      </c>
      <c r="CIA124" t="s">
        <v>451</v>
      </c>
      <c r="CIB124" t="s">
        <v>451</v>
      </c>
      <c r="CIC124" t="s">
        <v>451</v>
      </c>
      <c r="CID124" t="s">
        <v>451</v>
      </c>
      <c r="CIE124" t="s">
        <v>451</v>
      </c>
      <c r="CIF124" t="s">
        <v>451</v>
      </c>
      <c r="CIG124" t="s">
        <v>451</v>
      </c>
      <c r="CIH124" t="s">
        <v>451</v>
      </c>
      <c r="CII124" t="s">
        <v>451</v>
      </c>
      <c r="CIJ124" t="s">
        <v>451</v>
      </c>
      <c r="CIK124" t="s">
        <v>451</v>
      </c>
      <c r="CIL124" t="s">
        <v>451</v>
      </c>
      <c r="CIM124" t="s">
        <v>451</v>
      </c>
      <c r="CIN124" t="s">
        <v>451</v>
      </c>
      <c r="CIO124" t="s">
        <v>451</v>
      </c>
      <c r="CIP124" t="s">
        <v>451</v>
      </c>
      <c r="CIQ124" t="s">
        <v>451</v>
      </c>
      <c r="CIR124" t="s">
        <v>451</v>
      </c>
      <c r="CIS124" t="s">
        <v>451</v>
      </c>
      <c r="CIT124" t="s">
        <v>451</v>
      </c>
      <c r="CIU124" t="s">
        <v>451</v>
      </c>
      <c r="CIV124" t="s">
        <v>451</v>
      </c>
      <c r="CIW124" t="s">
        <v>451</v>
      </c>
      <c r="CIX124" t="s">
        <v>451</v>
      </c>
      <c r="CIY124" t="s">
        <v>451</v>
      </c>
      <c r="CIZ124" t="s">
        <v>451</v>
      </c>
      <c r="CJA124" t="s">
        <v>451</v>
      </c>
      <c r="CJB124" t="s">
        <v>451</v>
      </c>
      <c r="CJC124" t="s">
        <v>451</v>
      </c>
      <c r="CJD124" t="s">
        <v>451</v>
      </c>
      <c r="CJE124" t="s">
        <v>451</v>
      </c>
      <c r="CJF124" t="s">
        <v>451</v>
      </c>
      <c r="CJG124" t="s">
        <v>451</v>
      </c>
      <c r="CJH124" t="s">
        <v>451</v>
      </c>
      <c r="CJI124" t="s">
        <v>451</v>
      </c>
      <c r="CJJ124" t="s">
        <v>451</v>
      </c>
      <c r="CJK124" t="s">
        <v>451</v>
      </c>
      <c r="CJL124" t="s">
        <v>451</v>
      </c>
      <c r="CJM124" t="s">
        <v>451</v>
      </c>
      <c r="CJN124" t="s">
        <v>451</v>
      </c>
      <c r="CJO124" t="s">
        <v>451</v>
      </c>
      <c r="CJP124" t="s">
        <v>451</v>
      </c>
      <c r="CJQ124" t="s">
        <v>451</v>
      </c>
      <c r="CJR124" t="s">
        <v>451</v>
      </c>
      <c r="CJS124" t="s">
        <v>451</v>
      </c>
      <c r="CJT124" t="s">
        <v>451</v>
      </c>
      <c r="CJU124" t="s">
        <v>451</v>
      </c>
      <c r="CJV124" t="s">
        <v>451</v>
      </c>
      <c r="CJW124" t="s">
        <v>451</v>
      </c>
      <c r="CJX124" t="s">
        <v>451</v>
      </c>
      <c r="CJY124" t="s">
        <v>451</v>
      </c>
      <c r="CJZ124" t="s">
        <v>451</v>
      </c>
      <c r="CKA124" t="s">
        <v>451</v>
      </c>
      <c r="CKB124" t="s">
        <v>451</v>
      </c>
      <c r="CKC124" t="s">
        <v>451</v>
      </c>
      <c r="CKD124" t="s">
        <v>451</v>
      </c>
      <c r="CKE124" t="s">
        <v>451</v>
      </c>
      <c r="CKF124" t="s">
        <v>451</v>
      </c>
      <c r="CKG124" t="s">
        <v>451</v>
      </c>
      <c r="CKH124" t="s">
        <v>451</v>
      </c>
      <c r="CKI124" t="s">
        <v>451</v>
      </c>
      <c r="CKJ124" t="s">
        <v>451</v>
      </c>
      <c r="CKK124" t="s">
        <v>451</v>
      </c>
      <c r="CKL124" t="s">
        <v>451</v>
      </c>
      <c r="CKM124" t="s">
        <v>451</v>
      </c>
      <c r="CKN124" t="s">
        <v>451</v>
      </c>
      <c r="CKO124" t="s">
        <v>451</v>
      </c>
      <c r="CKP124" t="s">
        <v>451</v>
      </c>
      <c r="CKQ124" t="s">
        <v>451</v>
      </c>
      <c r="CKR124" t="s">
        <v>451</v>
      </c>
      <c r="CKS124" t="s">
        <v>451</v>
      </c>
      <c r="CKT124" t="s">
        <v>451</v>
      </c>
      <c r="CKU124" t="s">
        <v>451</v>
      </c>
      <c r="CKV124" t="s">
        <v>451</v>
      </c>
      <c r="CKW124" t="s">
        <v>451</v>
      </c>
      <c r="CKX124" t="s">
        <v>451</v>
      </c>
      <c r="CKY124" t="s">
        <v>451</v>
      </c>
      <c r="CKZ124" t="s">
        <v>451</v>
      </c>
      <c r="CLA124" t="s">
        <v>451</v>
      </c>
      <c r="CLB124" t="s">
        <v>451</v>
      </c>
      <c r="CLC124" t="s">
        <v>451</v>
      </c>
      <c r="CLD124" t="s">
        <v>451</v>
      </c>
      <c r="CLE124" t="s">
        <v>451</v>
      </c>
      <c r="CLF124" t="s">
        <v>451</v>
      </c>
      <c r="CLG124" t="s">
        <v>451</v>
      </c>
      <c r="CLH124" t="s">
        <v>451</v>
      </c>
      <c r="CLI124" t="s">
        <v>451</v>
      </c>
      <c r="CLJ124" t="s">
        <v>451</v>
      </c>
      <c r="CLK124" t="s">
        <v>451</v>
      </c>
      <c r="CLL124" t="s">
        <v>451</v>
      </c>
      <c r="CLM124" t="s">
        <v>451</v>
      </c>
      <c r="CLN124" t="s">
        <v>451</v>
      </c>
      <c r="CLO124" t="s">
        <v>451</v>
      </c>
      <c r="CLP124" t="s">
        <v>451</v>
      </c>
      <c r="CLQ124" t="s">
        <v>451</v>
      </c>
      <c r="CLR124" t="s">
        <v>451</v>
      </c>
      <c r="CLS124" t="s">
        <v>451</v>
      </c>
      <c r="CLT124" t="s">
        <v>451</v>
      </c>
      <c r="CLU124" t="s">
        <v>451</v>
      </c>
      <c r="CLV124" t="s">
        <v>451</v>
      </c>
      <c r="CLW124" t="s">
        <v>451</v>
      </c>
      <c r="CLX124" t="s">
        <v>451</v>
      </c>
      <c r="CLY124" t="s">
        <v>451</v>
      </c>
      <c r="CLZ124" t="s">
        <v>451</v>
      </c>
      <c r="CMA124" t="s">
        <v>451</v>
      </c>
      <c r="CMB124" t="s">
        <v>451</v>
      </c>
      <c r="CMC124" t="s">
        <v>451</v>
      </c>
      <c r="CMD124" t="s">
        <v>451</v>
      </c>
      <c r="CME124" t="s">
        <v>451</v>
      </c>
      <c r="CMF124" t="s">
        <v>451</v>
      </c>
      <c r="CMG124" t="s">
        <v>451</v>
      </c>
      <c r="CMH124" t="s">
        <v>451</v>
      </c>
      <c r="CMI124" t="s">
        <v>451</v>
      </c>
      <c r="CMJ124" t="s">
        <v>451</v>
      </c>
      <c r="CMK124" t="s">
        <v>451</v>
      </c>
      <c r="CML124" t="s">
        <v>451</v>
      </c>
      <c r="CMM124" t="s">
        <v>451</v>
      </c>
      <c r="CMN124" t="s">
        <v>451</v>
      </c>
      <c r="CMO124" t="s">
        <v>451</v>
      </c>
      <c r="CMP124" t="s">
        <v>451</v>
      </c>
      <c r="CMQ124" t="s">
        <v>451</v>
      </c>
      <c r="CMR124" t="s">
        <v>451</v>
      </c>
      <c r="CMS124" t="s">
        <v>451</v>
      </c>
      <c r="CMT124" t="s">
        <v>451</v>
      </c>
      <c r="CMU124" t="s">
        <v>451</v>
      </c>
      <c r="CMV124" t="s">
        <v>451</v>
      </c>
      <c r="CMW124" t="s">
        <v>451</v>
      </c>
      <c r="CMX124" t="s">
        <v>451</v>
      </c>
      <c r="CMY124" t="s">
        <v>451</v>
      </c>
      <c r="CMZ124" t="s">
        <v>451</v>
      </c>
      <c r="CNA124" t="s">
        <v>451</v>
      </c>
      <c r="CNB124" t="s">
        <v>451</v>
      </c>
      <c r="CNC124" t="s">
        <v>451</v>
      </c>
      <c r="CND124" t="s">
        <v>451</v>
      </c>
      <c r="CNE124" t="s">
        <v>451</v>
      </c>
      <c r="CNF124" t="s">
        <v>451</v>
      </c>
      <c r="CNG124" t="s">
        <v>451</v>
      </c>
      <c r="CNH124" t="s">
        <v>451</v>
      </c>
      <c r="CNI124" t="s">
        <v>451</v>
      </c>
      <c r="CNJ124" t="s">
        <v>451</v>
      </c>
      <c r="CNK124" t="s">
        <v>451</v>
      </c>
      <c r="CNL124" t="s">
        <v>451</v>
      </c>
      <c r="CNM124" t="s">
        <v>451</v>
      </c>
      <c r="CNN124" t="s">
        <v>451</v>
      </c>
      <c r="CNO124" t="s">
        <v>451</v>
      </c>
      <c r="CNP124" t="s">
        <v>451</v>
      </c>
      <c r="CNQ124" t="s">
        <v>451</v>
      </c>
      <c r="CNR124" t="s">
        <v>451</v>
      </c>
      <c r="CNS124" t="s">
        <v>451</v>
      </c>
      <c r="CNT124" t="s">
        <v>451</v>
      </c>
      <c r="CNU124" t="s">
        <v>451</v>
      </c>
      <c r="CNV124" t="s">
        <v>451</v>
      </c>
      <c r="CNW124" t="s">
        <v>451</v>
      </c>
      <c r="CNX124" t="s">
        <v>451</v>
      </c>
      <c r="CNY124" t="s">
        <v>451</v>
      </c>
      <c r="CNZ124" t="s">
        <v>451</v>
      </c>
      <c r="COA124" t="s">
        <v>451</v>
      </c>
      <c r="COB124" t="s">
        <v>451</v>
      </c>
      <c r="COC124" t="s">
        <v>451</v>
      </c>
      <c r="COD124" t="s">
        <v>451</v>
      </c>
      <c r="COE124" t="s">
        <v>451</v>
      </c>
      <c r="COF124" t="s">
        <v>451</v>
      </c>
      <c r="COG124" t="s">
        <v>451</v>
      </c>
      <c r="COH124" t="s">
        <v>451</v>
      </c>
      <c r="COI124" t="s">
        <v>451</v>
      </c>
      <c r="COJ124" t="s">
        <v>451</v>
      </c>
      <c r="COK124" t="s">
        <v>451</v>
      </c>
      <c r="COL124" t="s">
        <v>451</v>
      </c>
      <c r="COM124" t="s">
        <v>451</v>
      </c>
      <c r="CON124" t="s">
        <v>451</v>
      </c>
      <c r="COO124" t="s">
        <v>451</v>
      </c>
      <c r="COP124" t="s">
        <v>451</v>
      </c>
      <c r="COQ124" t="s">
        <v>451</v>
      </c>
      <c r="COR124" t="s">
        <v>451</v>
      </c>
      <c r="COS124" t="s">
        <v>451</v>
      </c>
      <c r="COT124" t="s">
        <v>451</v>
      </c>
      <c r="COU124" t="s">
        <v>451</v>
      </c>
      <c r="COV124" t="s">
        <v>451</v>
      </c>
      <c r="COW124" t="s">
        <v>451</v>
      </c>
      <c r="COX124" t="s">
        <v>451</v>
      </c>
      <c r="COY124" t="s">
        <v>451</v>
      </c>
      <c r="COZ124" t="s">
        <v>451</v>
      </c>
      <c r="CPA124" t="s">
        <v>451</v>
      </c>
      <c r="CPB124" t="s">
        <v>451</v>
      </c>
      <c r="CPC124" t="s">
        <v>451</v>
      </c>
      <c r="CPD124" t="s">
        <v>451</v>
      </c>
      <c r="CPE124" t="s">
        <v>451</v>
      </c>
      <c r="CPF124" t="s">
        <v>451</v>
      </c>
      <c r="CPG124" t="s">
        <v>451</v>
      </c>
      <c r="CPH124" t="s">
        <v>451</v>
      </c>
      <c r="CPI124" t="s">
        <v>451</v>
      </c>
      <c r="CPJ124" t="s">
        <v>451</v>
      </c>
      <c r="CPK124" t="s">
        <v>451</v>
      </c>
      <c r="CPL124" t="s">
        <v>451</v>
      </c>
      <c r="CPM124" t="s">
        <v>451</v>
      </c>
      <c r="CPN124" t="s">
        <v>451</v>
      </c>
      <c r="CPO124" t="s">
        <v>451</v>
      </c>
      <c r="CPP124" t="s">
        <v>451</v>
      </c>
      <c r="CPQ124" t="s">
        <v>451</v>
      </c>
      <c r="CPR124" t="s">
        <v>451</v>
      </c>
      <c r="CPS124" t="s">
        <v>451</v>
      </c>
      <c r="CPT124" t="s">
        <v>451</v>
      </c>
      <c r="CPU124" t="s">
        <v>451</v>
      </c>
      <c r="CPV124" t="s">
        <v>451</v>
      </c>
      <c r="CPW124" t="s">
        <v>451</v>
      </c>
      <c r="CPX124" t="s">
        <v>451</v>
      </c>
      <c r="CPY124" t="s">
        <v>451</v>
      </c>
      <c r="CPZ124" t="s">
        <v>451</v>
      </c>
      <c r="CQA124" t="s">
        <v>451</v>
      </c>
      <c r="CQB124" t="s">
        <v>451</v>
      </c>
      <c r="CQC124" t="s">
        <v>451</v>
      </c>
      <c r="CQD124" t="s">
        <v>451</v>
      </c>
      <c r="CQE124" t="s">
        <v>451</v>
      </c>
      <c r="CQF124" t="s">
        <v>451</v>
      </c>
      <c r="CQG124" t="s">
        <v>451</v>
      </c>
      <c r="CQH124" t="s">
        <v>451</v>
      </c>
      <c r="CQI124" t="s">
        <v>451</v>
      </c>
      <c r="CQJ124" t="s">
        <v>451</v>
      </c>
      <c r="CQK124" t="s">
        <v>451</v>
      </c>
      <c r="CQL124" t="s">
        <v>451</v>
      </c>
      <c r="CQM124" t="s">
        <v>451</v>
      </c>
      <c r="CQN124" t="s">
        <v>451</v>
      </c>
      <c r="CQO124" t="s">
        <v>451</v>
      </c>
      <c r="CQP124" t="s">
        <v>451</v>
      </c>
      <c r="CQQ124" t="s">
        <v>451</v>
      </c>
      <c r="CQR124" t="s">
        <v>451</v>
      </c>
      <c r="CQS124" t="s">
        <v>451</v>
      </c>
      <c r="CQT124" t="s">
        <v>451</v>
      </c>
      <c r="CQU124" t="s">
        <v>451</v>
      </c>
      <c r="CQV124" t="s">
        <v>451</v>
      </c>
      <c r="CQW124" t="s">
        <v>451</v>
      </c>
      <c r="CQX124" t="s">
        <v>451</v>
      </c>
      <c r="CQY124" t="s">
        <v>451</v>
      </c>
      <c r="CQZ124" t="s">
        <v>451</v>
      </c>
      <c r="CRA124" t="s">
        <v>451</v>
      </c>
      <c r="CRB124" t="s">
        <v>451</v>
      </c>
      <c r="CRC124" t="s">
        <v>451</v>
      </c>
      <c r="CRD124" t="s">
        <v>451</v>
      </c>
      <c r="CRE124" t="s">
        <v>451</v>
      </c>
      <c r="CRF124" t="s">
        <v>451</v>
      </c>
      <c r="CRG124" t="s">
        <v>451</v>
      </c>
      <c r="CRH124" t="s">
        <v>451</v>
      </c>
      <c r="CRI124" t="s">
        <v>451</v>
      </c>
      <c r="CRJ124" t="s">
        <v>451</v>
      </c>
      <c r="CRK124" t="s">
        <v>451</v>
      </c>
      <c r="CRL124" t="s">
        <v>451</v>
      </c>
      <c r="CRM124" t="s">
        <v>451</v>
      </c>
      <c r="CRN124" t="s">
        <v>451</v>
      </c>
      <c r="CRO124" t="s">
        <v>451</v>
      </c>
      <c r="CRP124" t="s">
        <v>451</v>
      </c>
      <c r="CRQ124" t="s">
        <v>451</v>
      </c>
      <c r="CRR124" t="s">
        <v>451</v>
      </c>
      <c r="CRS124" t="s">
        <v>451</v>
      </c>
      <c r="CRT124" t="s">
        <v>451</v>
      </c>
      <c r="CRU124" t="s">
        <v>451</v>
      </c>
      <c r="CRV124" t="s">
        <v>451</v>
      </c>
      <c r="CRW124" t="s">
        <v>451</v>
      </c>
      <c r="CRX124" t="s">
        <v>451</v>
      </c>
      <c r="CRY124" t="s">
        <v>451</v>
      </c>
      <c r="CRZ124" t="s">
        <v>451</v>
      </c>
      <c r="CSA124" t="s">
        <v>451</v>
      </c>
      <c r="CSB124" t="s">
        <v>451</v>
      </c>
      <c r="CSC124" t="s">
        <v>451</v>
      </c>
      <c r="CSD124" t="s">
        <v>451</v>
      </c>
      <c r="CSE124" t="s">
        <v>451</v>
      </c>
      <c r="CSF124" t="s">
        <v>451</v>
      </c>
      <c r="CSG124" t="s">
        <v>451</v>
      </c>
      <c r="CSH124" t="s">
        <v>451</v>
      </c>
      <c r="CSI124" t="s">
        <v>451</v>
      </c>
      <c r="CSJ124" t="s">
        <v>451</v>
      </c>
      <c r="CSK124" t="s">
        <v>451</v>
      </c>
      <c r="CSL124" t="s">
        <v>451</v>
      </c>
      <c r="CSM124" t="s">
        <v>451</v>
      </c>
      <c r="CSN124" t="s">
        <v>451</v>
      </c>
      <c r="CSO124" t="s">
        <v>451</v>
      </c>
      <c r="CSP124" t="s">
        <v>451</v>
      </c>
      <c r="CSQ124" t="s">
        <v>451</v>
      </c>
      <c r="CSR124" t="s">
        <v>451</v>
      </c>
      <c r="CSS124" t="s">
        <v>451</v>
      </c>
      <c r="CST124" t="s">
        <v>451</v>
      </c>
      <c r="CSU124" t="s">
        <v>451</v>
      </c>
      <c r="CSV124" t="s">
        <v>451</v>
      </c>
      <c r="CSW124" t="s">
        <v>451</v>
      </c>
      <c r="CSX124" t="s">
        <v>451</v>
      </c>
      <c r="CSY124" t="s">
        <v>451</v>
      </c>
      <c r="CSZ124" t="s">
        <v>451</v>
      </c>
      <c r="CTA124" t="s">
        <v>451</v>
      </c>
      <c r="CTB124" t="s">
        <v>451</v>
      </c>
      <c r="CTC124" t="s">
        <v>451</v>
      </c>
      <c r="CTD124" t="s">
        <v>451</v>
      </c>
      <c r="CTE124" t="s">
        <v>451</v>
      </c>
      <c r="CTF124" t="s">
        <v>451</v>
      </c>
      <c r="CTG124" t="s">
        <v>451</v>
      </c>
      <c r="CTH124" t="s">
        <v>451</v>
      </c>
      <c r="CTI124" t="s">
        <v>451</v>
      </c>
      <c r="CTJ124" t="s">
        <v>451</v>
      </c>
      <c r="CTK124" t="s">
        <v>451</v>
      </c>
      <c r="CTL124" t="s">
        <v>451</v>
      </c>
      <c r="CTM124" t="s">
        <v>451</v>
      </c>
      <c r="CTN124" t="s">
        <v>451</v>
      </c>
      <c r="CTO124" t="s">
        <v>451</v>
      </c>
      <c r="CTP124" t="s">
        <v>451</v>
      </c>
      <c r="CTQ124" t="s">
        <v>451</v>
      </c>
      <c r="CTR124" t="s">
        <v>451</v>
      </c>
      <c r="CTS124" t="s">
        <v>451</v>
      </c>
      <c r="CTT124" t="s">
        <v>451</v>
      </c>
      <c r="CTU124" t="s">
        <v>451</v>
      </c>
      <c r="CTV124" t="s">
        <v>451</v>
      </c>
      <c r="CTW124" t="s">
        <v>451</v>
      </c>
      <c r="CTX124" t="s">
        <v>451</v>
      </c>
      <c r="CTY124" t="s">
        <v>451</v>
      </c>
      <c r="CTZ124" t="s">
        <v>451</v>
      </c>
      <c r="CUA124" t="s">
        <v>451</v>
      </c>
      <c r="CUB124" t="s">
        <v>451</v>
      </c>
      <c r="CUC124" t="s">
        <v>451</v>
      </c>
      <c r="CUD124" t="s">
        <v>451</v>
      </c>
      <c r="CUE124" t="s">
        <v>451</v>
      </c>
      <c r="CUF124" t="s">
        <v>451</v>
      </c>
      <c r="CUG124" t="s">
        <v>451</v>
      </c>
      <c r="CUH124" t="s">
        <v>451</v>
      </c>
      <c r="CUI124" t="s">
        <v>451</v>
      </c>
      <c r="CUJ124" t="s">
        <v>451</v>
      </c>
      <c r="CUK124" t="s">
        <v>451</v>
      </c>
      <c r="CUL124" t="s">
        <v>451</v>
      </c>
      <c r="CUM124" t="s">
        <v>451</v>
      </c>
      <c r="CUN124" t="s">
        <v>451</v>
      </c>
      <c r="CUO124" t="s">
        <v>451</v>
      </c>
      <c r="CUP124" t="s">
        <v>451</v>
      </c>
      <c r="CUQ124" t="s">
        <v>451</v>
      </c>
      <c r="CUR124" t="s">
        <v>451</v>
      </c>
      <c r="CUS124" t="s">
        <v>451</v>
      </c>
      <c r="CUT124" t="s">
        <v>451</v>
      </c>
      <c r="CUU124" t="s">
        <v>451</v>
      </c>
      <c r="CUV124" t="s">
        <v>451</v>
      </c>
      <c r="CUW124" t="s">
        <v>451</v>
      </c>
      <c r="CUX124" t="s">
        <v>451</v>
      </c>
      <c r="CUY124" t="s">
        <v>451</v>
      </c>
      <c r="CUZ124" t="s">
        <v>451</v>
      </c>
      <c r="CVA124" t="s">
        <v>451</v>
      </c>
      <c r="CVB124" t="s">
        <v>451</v>
      </c>
      <c r="CVC124" t="s">
        <v>451</v>
      </c>
      <c r="CVD124" t="s">
        <v>451</v>
      </c>
      <c r="CVE124" t="s">
        <v>451</v>
      </c>
      <c r="CVF124" t="s">
        <v>451</v>
      </c>
      <c r="CVG124" t="s">
        <v>451</v>
      </c>
      <c r="CVH124" t="s">
        <v>451</v>
      </c>
      <c r="CVI124" t="s">
        <v>451</v>
      </c>
      <c r="CVJ124" t="s">
        <v>451</v>
      </c>
      <c r="CVK124" t="s">
        <v>451</v>
      </c>
      <c r="CVL124" t="s">
        <v>451</v>
      </c>
      <c r="CVM124" t="s">
        <v>451</v>
      </c>
      <c r="CVN124" t="s">
        <v>451</v>
      </c>
      <c r="CVO124" t="s">
        <v>451</v>
      </c>
      <c r="CVP124" t="s">
        <v>451</v>
      </c>
      <c r="CVQ124" t="s">
        <v>451</v>
      </c>
      <c r="CVR124" t="s">
        <v>451</v>
      </c>
      <c r="CVS124" t="s">
        <v>451</v>
      </c>
      <c r="CVT124" t="s">
        <v>451</v>
      </c>
      <c r="CVU124" t="s">
        <v>451</v>
      </c>
      <c r="CVV124" t="s">
        <v>451</v>
      </c>
      <c r="CVW124" t="s">
        <v>451</v>
      </c>
      <c r="CVX124" t="s">
        <v>451</v>
      </c>
      <c r="CVY124" t="s">
        <v>451</v>
      </c>
      <c r="CVZ124" t="s">
        <v>451</v>
      </c>
      <c r="CWA124" t="s">
        <v>451</v>
      </c>
      <c r="CWB124" t="s">
        <v>451</v>
      </c>
      <c r="CWC124" t="s">
        <v>451</v>
      </c>
      <c r="CWD124" t="s">
        <v>451</v>
      </c>
      <c r="CWE124" t="s">
        <v>451</v>
      </c>
      <c r="CWF124" t="s">
        <v>451</v>
      </c>
      <c r="CWG124" t="s">
        <v>451</v>
      </c>
      <c r="CWH124" t="s">
        <v>451</v>
      </c>
      <c r="CWI124" t="s">
        <v>451</v>
      </c>
      <c r="CWJ124" t="s">
        <v>451</v>
      </c>
      <c r="CWK124" t="s">
        <v>451</v>
      </c>
      <c r="CWL124" t="s">
        <v>451</v>
      </c>
      <c r="CWM124" t="s">
        <v>451</v>
      </c>
      <c r="CWN124" t="s">
        <v>451</v>
      </c>
      <c r="CWO124" t="s">
        <v>451</v>
      </c>
      <c r="CWP124" t="s">
        <v>451</v>
      </c>
      <c r="CWQ124" t="s">
        <v>451</v>
      </c>
      <c r="CWR124" t="s">
        <v>451</v>
      </c>
      <c r="CWS124" t="s">
        <v>451</v>
      </c>
      <c r="CWT124" t="s">
        <v>451</v>
      </c>
      <c r="CWU124" t="s">
        <v>451</v>
      </c>
      <c r="CWV124" t="s">
        <v>451</v>
      </c>
      <c r="CWW124" t="s">
        <v>451</v>
      </c>
      <c r="CWX124" t="s">
        <v>451</v>
      </c>
      <c r="CWY124" t="s">
        <v>451</v>
      </c>
      <c r="CWZ124" t="s">
        <v>451</v>
      </c>
      <c r="CXA124" t="s">
        <v>451</v>
      </c>
      <c r="CXB124" t="s">
        <v>451</v>
      </c>
      <c r="CXC124" t="s">
        <v>451</v>
      </c>
      <c r="CXD124" t="s">
        <v>451</v>
      </c>
      <c r="CXE124" t="s">
        <v>451</v>
      </c>
      <c r="CXF124" t="s">
        <v>451</v>
      </c>
      <c r="CXG124" t="s">
        <v>451</v>
      </c>
      <c r="CXH124" t="s">
        <v>451</v>
      </c>
      <c r="CXI124" t="s">
        <v>451</v>
      </c>
      <c r="CXJ124" t="s">
        <v>451</v>
      </c>
      <c r="CXK124" t="s">
        <v>451</v>
      </c>
      <c r="CXL124" t="s">
        <v>451</v>
      </c>
      <c r="CXM124" t="s">
        <v>451</v>
      </c>
      <c r="CXN124" t="s">
        <v>451</v>
      </c>
      <c r="CXO124" t="s">
        <v>451</v>
      </c>
      <c r="CXP124" t="s">
        <v>451</v>
      </c>
      <c r="CXQ124" t="s">
        <v>451</v>
      </c>
      <c r="CXR124" t="s">
        <v>451</v>
      </c>
      <c r="CXS124" t="s">
        <v>451</v>
      </c>
      <c r="CXT124" t="s">
        <v>451</v>
      </c>
      <c r="CXU124" t="s">
        <v>451</v>
      </c>
      <c r="CXV124" t="s">
        <v>451</v>
      </c>
      <c r="CXW124" t="s">
        <v>451</v>
      </c>
      <c r="CXX124" t="s">
        <v>451</v>
      </c>
      <c r="CXY124" t="s">
        <v>451</v>
      </c>
      <c r="CXZ124" t="s">
        <v>451</v>
      </c>
      <c r="CYA124" t="s">
        <v>451</v>
      </c>
      <c r="CYB124" t="s">
        <v>451</v>
      </c>
      <c r="CYC124" t="s">
        <v>451</v>
      </c>
      <c r="CYD124" t="s">
        <v>451</v>
      </c>
      <c r="CYE124" t="s">
        <v>451</v>
      </c>
      <c r="CYF124" t="s">
        <v>451</v>
      </c>
      <c r="CYG124" t="s">
        <v>451</v>
      </c>
      <c r="CYH124" t="s">
        <v>451</v>
      </c>
      <c r="CYI124" t="s">
        <v>451</v>
      </c>
      <c r="CYJ124" t="s">
        <v>451</v>
      </c>
      <c r="CYK124" t="s">
        <v>451</v>
      </c>
      <c r="CYL124" t="s">
        <v>451</v>
      </c>
      <c r="CYM124" t="s">
        <v>451</v>
      </c>
      <c r="CYN124" t="s">
        <v>451</v>
      </c>
      <c r="CYO124" t="s">
        <v>451</v>
      </c>
      <c r="CYP124" t="s">
        <v>451</v>
      </c>
      <c r="CYQ124" t="s">
        <v>451</v>
      </c>
      <c r="CYR124" t="s">
        <v>451</v>
      </c>
      <c r="CYS124" t="s">
        <v>451</v>
      </c>
      <c r="CYT124" t="s">
        <v>451</v>
      </c>
      <c r="CYU124" t="s">
        <v>451</v>
      </c>
      <c r="CYV124" t="s">
        <v>451</v>
      </c>
      <c r="CYW124" t="s">
        <v>451</v>
      </c>
      <c r="CYX124" t="s">
        <v>451</v>
      </c>
      <c r="CYY124" t="s">
        <v>451</v>
      </c>
      <c r="CYZ124" t="s">
        <v>451</v>
      </c>
      <c r="CZA124" t="s">
        <v>451</v>
      </c>
      <c r="CZB124" t="s">
        <v>451</v>
      </c>
      <c r="CZC124" t="s">
        <v>451</v>
      </c>
      <c r="CZD124" t="s">
        <v>451</v>
      </c>
      <c r="CZE124" t="s">
        <v>451</v>
      </c>
      <c r="CZF124" t="s">
        <v>451</v>
      </c>
      <c r="CZG124" t="s">
        <v>451</v>
      </c>
      <c r="CZH124" t="s">
        <v>451</v>
      </c>
      <c r="CZI124" t="s">
        <v>451</v>
      </c>
      <c r="CZJ124" t="s">
        <v>451</v>
      </c>
      <c r="CZK124" t="s">
        <v>451</v>
      </c>
      <c r="CZL124" t="s">
        <v>451</v>
      </c>
      <c r="CZM124" t="s">
        <v>451</v>
      </c>
      <c r="CZN124" t="s">
        <v>451</v>
      </c>
      <c r="CZO124" t="s">
        <v>451</v>
      </c>
      <c r="CZP124" t="s">
        <v>451</v>
      </c>
      <c r="CZQ124" t="s">
        <v>451</v>
      </c>
      <c r="CZR124" t="s">
        <v>451</v>
      </c>
      <c r="CZS124" t="s">
        <v>451</v>
      </c>
      <c r="CZT124" t="s">
        <v>451</v>
      </c>
      <c r="CZU124" t="s">
        <v>451</v>
      </c>
      <c r="CZV124" t="s">
        <v>451</v>
      </c>
      <c r="CZW124" t="s">
        <v>451</v>
      </c>
      <c r="CZX124" t="s">
        <v>451</v>
      </c>
      <c r="CZY124" t="s">
        <v>451</v>
      </c>
      <c r="CZZ124" t="s">
        <v>451</v>
      </c>
      <c r="DAA124" t="s">
        <v>451</v>
      </c>
      <c r="DAB124" t="s">
        <v>451</v>
      </c>
      <c r="DAC124" t="s">
        <v>451</v>
      </c>
      <c r="DAD124" t="s">
        <v>451</v>
      </c>
      <c r="DAE124" t="s">
        <v>451</v>
      </c>
      <c r="DAF124" t="s">
        <v>451</v>
      </c>
      <c r="DAG124" t="s">
        <v>451</v>
      </c>
      <c r="DAH124" t="s">
        <v>451</v>
      </c>
      <c r="DAI124" t="s">
        <v>451</v>
      </c>
      <c r="DAJ124" t="s">
        <v>451</v>
      </c>
      <c r="DAK124" t="s">
        <v>451</v>
      </c>
      <c r="DAL124" t="s">
        <v>451</v>
      </c>
      <c r="DAM124" t="s">
        <v>451</v>
      </c>
      <c r="DAN124" t="s">
        <v>451</v>
      </c>
      <c r="DAO124" t="s">
        <v>451</v>
      </c>
      <c r="DAP124" t="s">
        <v>451</v>
      </c>
      <c r="DAQ124" t="s">
        <v>451</v>
      </c>
      <c r="DAR124" t="s">
        <v>451</v>
      </c>
      <c r="DAS124" t="s">
        <v>451</v>
      </c>
      <c r="DAT124" t="s">
        <v>451</v>
      </c>
      <c r="DAU124" t="s">
        <v>451</v>
      </c>
      <c r="DAV124" t="s">
        <v>451</v>
      </c>
      <c r="DAW124" t="s">
        <v>451</v>
      </c>
      <c r="DAX124" t="s">
        <v>451</v>
      </c>
      <c r="DAY124" t="s">
        <v>451</v>
      </c>
      <c r="DAZ124" t="s">
        <v>451</v>
      </c>
      <c r="DBA124" t="s">
        <v>451</v>
      </c>
      <c r="DBB124" t="s">
        <v>451</v>
      </c>
      <c r="DBC124" t="s">
        <v>451</v>
      </c>
      <c r="DBD124" t="s">
        <v>451</v>
      </c>
      <c r="DBE124" t="s">
        <v>451</v>
      </c>
      <c r="DBF124" t="s">
        <v>451</v>
      </c>
      <c r="DBG124" t="s">
        <v>451</v>
      </c>
      <c r="DBH124" t="s">
        <v>451</v>
      </c>
      <c r="DBI124" t="s">
        <v>451</v>
      </c>
      <c r="DBJ124" t="s">
        <v>451</v>
      </c>
      <c r="DBK124" t="s">
        <v>451</v>
      </c>
      <c r="DBL124" t="s">
        <v>451</v>
      </c>
      <c r="DBM124" t="s">
        <v>451</v>
      </c>
      <c r="DBN124" t="s">
        <v>451</v>
      </c>
      <c r="DBO124" t="s">
        <v>451</v>
      </c>
      <c r="DBP124" t="s">
        <v>451</v>
      </c>
      <c r="DBQ124" t="s">
        <v>451</v>
      </c>
      <c r="DBR124" t="s">
        <v>451</v>
      </c>
      <c r="DBS124" t="s">
        <v>451</v>
      </c>
      <c r="DBT124" t="s">
        <v>451</v>
      </c>
      <c r="DBU124" t="s">
        <v>451</v>
      </c>
      <c r="DBV124" t="s">
        <v>451</v>
      </c>
      <c r="DBW124" t="s">
        <v>451</v>
      </c>
      <c r="DBX124" t="s">
        <v>451</v>
      </c>
      <c r="DBY124" t="s">
        <v>451</v>
      </c>
      <c r="DBZ124" t="s">
        <v>451</v>
      </c>
      <c r="DCA124" t="s">
        <v>451</v>
      </c>
      <c r="DCB124" t="s">
        <v>451</v>
      </c>
      <c r="DCC124" t="s">
        <v>451</v>
      </c>
      <c r="DCD124" t="s">
        <v>451</v>
      </c>
      <c r="DCE124" t="s">
        <v>451</v>
      </c>
      <c r="DCF124" t="s">
        <v>451</v>
      </c>
      <c r="DCG124" t="s">
        <v>451</v>
      </c>
      <c r="DCH124" t="s">
        <v>451</v>
      </c>
      <c r="DCI124" t="s">
        <v>451</v>
      </c>
      <c r="DCJ124" t="s">
        <v>451</v>
      </c>
      <c r="DCK124" t="s">
        <v>451</v>
      </c>
      <c r="DCL124" t="s">
        <v>451</v>
      </c>
      <c r="DCM124" t="s">
        <v>451</v>
      </c>
      <c r="DCN124" t="s">
        <v>451</v>
      </c>
      <c r="DCO124" t="s">
        <v>451</v>
      </c>
      <c r="DCP124" t="s">
        <v>451</v>
      </c>
      <c r="DCQ124" t="s">
        <v>451</v>
      </c>
      <c r="DCR124" t="s">
        <v>451</v>
      </c>
      <c r="DCS124" t="s">
        <v>451</v>
      </c>
      <c r="DCT124" t="s">
        <v>451</v>
      </c>
      <c r="DCU124" t="s">
        <v>451</v>
      </c>
      <c r="DCV124" t="s">
        <v>451</v>
      </c>
      <c r="DCW124" t="s">
        <v>451</v>
      </c>
      <c r="DCX124" t="s">
        <v>451</v>
      </c>
      <c r="DCY124" t="s">
        <v>451</v>
      </c>
      <c r="DCZ124" t="s">
        <v>451</v>
      </c>
      <c r="DDA124" t="s">
        <v>451</v>
      </c>
      <c r="DDB124" t="s">
        <v>451</v>
      </c>
      <c r="DDC124" t="s">
        <v>451</v>
      </c>
      <c r="DDD124" t="s">
        <v>451</v>
      </c>
      <c r="DDE124" t="s">
        <v>451</v>
      </c>
      <c r="DDF124" t="s">
        <v>451</v>
      </c>
      <c r="DDG124" t="s">
        <v>451</v>
      </c>
      <c r="DDH124" t="s">
        <v>451</v>
      </c>
      <c r="DDI124" t="s">
        <v>451</v>
      </c>
      <c r="DDJ124" t="s">
        <v>451</v>
      </c>
      <c r="DDK124" t="s">
        <v>451</v>
      </c>
      <c r="DDL124" t="s">
        <v>451</v>
      </c>
      <c r="DDM124" t="s">
        <v>451</v>
      </c>
      <c r="DDN124" t="s">
        <v>451</v>
      </c>
      <c r="DDO124" t="s">
        <v>451</v>
      </c>
      <c r="DDP124" t="s">
        <v>451</v>
      </c>
      <c r="DDQ124" t="s">
        <v>451</v>
      </c>
      <c r="DDR124" t="s">
        <v>451</v>
      </c>
      <c r="DDS124" t="s">
        <v>451</v>
      </c>
      <c r="DDT124" t="s">
        <v>451</v>
      </c>
      <c r="DDU124" t="s">
        <v>451</v>
      </c>
      <c r="DDV124" t="s">
        <v>451</v>
      </c>
      <c r="DDW124" t="s">
        <v>451</v>
      </c>
      <c r="DDX124" t="s">
        <v>451</v>
      </c>
      <c r="DDY124" t="s">
        <v>451</v>
      </c>
      <c r="DDZ124" t="s">
        <v>451</v>
      </c>
      <c r="DEA124" t="s">
        <v>451</v>
      </c>
      <c r="DEB124" t="s">
        <v>451</v>
      </c>
      <c r="DEC124" t="s">
        <v>451</v>
      </c>
      <c r="DED124" t="s">
        <v>451</v>
      </c>
      <c r="DEE124" t="s">
        <v>451</v>
      </c>
      <c r="DEF124" t="s">
        <v>451</v>
      </c>
      <c r="DEG124" t="s">
        <v>451</v>
      </c>
      <c r="DEH124" t="s">
        <v>451</v>
      </c>
      <c r="DEI124" t="s">
        <v>451</v>
      </c>
      <c r="DEJ124" t="s">
        <v>451</v>
      </c>
      <c r="DEK124" t="s">
        <v>451</v>
      </c>
      <c r="DEL124" t="s">
        <v>451</v>
      </c>
      <c r="DEM124" t="s">
        <v>451</v>
      </c>
      <c r="DEN124" t="s">
        <v>451</v>
      </c>
      <c r="DEO124" t="s">
        <v>451</v>
      </c>
      <c r="DEP124" t="s">
        <v>451</v>
      </c>
      <c r="DEQ124" t="s">
        <v>451</v>
      </c>
      <c r="DER124" t="s">
        <v>451</v>
      </c>
      <c r="DES124" t="s">
        <v>451</v>
      </c>
      <c r="DET124" t="s">
        <v>451</v>
      </c>
      <c r="DEU124" t="s">
        <v>451</v>
      </c>
      <c r="DEV124" t="s">
        <v>451</v>
      </c>
      <c r="DEW124" t="s">
        <v>451</v>
      </c>
      <c r="DEX124" t="s">
        <v>451</v>
      </c>
      <c r="DEY124" t="s">
        <v>451</v>
      </c>
      <c r="DEZ124" t="s">
        <v>451</v>
      </c>
      <c r="DFA124" t="s">
        <v>451</v>
      </c>
      <c r="DFB124" t="s">
        <v>451</v>
      </c>
      <c r="DFC124" t="s">
        <v>451</v>
      </c>
      <c r="DFD124" t="s">
        <v>451</v>
      </c>
      <c r="DFE124" t="s">
        <v>451</v>
      </c>
      <c r="DFF124" t="s">
        <v>451</v>
      </c>
      <c r="DFG124" t="s">
        <v>451</v>
      </c>
      <c r="DFH124" t="s">
        <v>451</v>
      </c>
      <c r="DFI124" t="s">
        <v>451</v>
      </c>
      <c r="DFJ124" t="s">
        <v>451</v>
      </c>
      <c r="DFK124" t="s">
        <v>451</v>
      </c>
      <c r="DFL124" t="s">
        <v>451</v>
      </c>
      <c r="DFM124" t="s">
        <v>451</v>
      </c>
      <c r="DFN124" t="s">
        <v>451</v>
      </c>
      <c r="DFO124" t="s">
        <v>451</v>
      </c>
      <c r="DFP124" t="s">
        <v>451</v>
      </c>
      <c r="DFQ124" t="s">
        <v>451</v>
      </c>
      <c r="DFR124" t="s">
        <v>451</v>
      </c>
      <c r="DFS124" t="s">
        <v>451</v>
      </c>
      <c r="DFT124" t="s">
        <v>451</v>
      </c>
      <c r="DFU124" t="s">
        <v>451</v>
      </c>
      <c r="DFV124" t="s">
        <v>451</v>
      </c>
      <c r="DFW124" t="s">
        <v>451</v>
      </c>
      <c r="DFX124" t="s">
        <v>451</v>
      </c>
      <c r="DFY124" t="s">
        <v>451</v>
      </c>
      <c r="DFZ124" t="s">
        <v>451</v>
      </c>
      <c r="DGA124" t="s">
        <v>451</v>
      </c>
      <c r="DGB124" t="s">
        <v>451</v>
      </c>
      <c r="DGC124" t="s">
        <v>451</v>
      </c>
      <c r="DGD124" t="s">
        <v>451</v>
      </c>
      <c r="DGE124" t="s">
        <v>451</v>
      </c>
      <c r="DGF124" t="s">
        <v>451</v>
      </c>
      <c r="DGG124" t="s">
        <v>451</v>
      </c>
      <c r="DGH124" t="s">
        <v>451</v>
      </c>
      <c r="DGI124" t="s">
        <v>451</v>
      </c>
      <c r="DGJ124" t="s">
        <v>451</v>
      </c>
      <c r="DGK124" t="s">
        <v>451</v>
      </c>
      <c r="DGL124" t="s">
        <v>451</v>
      </c>
      <c r="DGM124" t="s">
        <v>451</v>
      </c>
      <c r="DGN124" t="s">
        <v>451</v>
      </c>
      <c r="DGO124" t="s">
        <v>451</v>
      </c>
      <c r="DGP124" t="s">
        <v>451</v>
      </c>
      <c r="DGQ124" t="s">
        <v>451</v>
      </c>
      <c r="DGR124" t="s">
        <v>451</v>
      </c>
      <c r="DGS124" t="s">
        <v>451</v>
      </c>
      <c r="DGT124" t="s">
        <v>451</v>
      </c>
      <c r="DGU124" t="s">
        <v>451</v>
      </c>
      <c r="DGV124" t="s">
        <v>451</v>
      </c>
      <c r="DGW124" t="s">
        <v>451</v>
      </c>
      <c r="DGX124" t="s">
        <v>451</v>
      </c>
      <c r="DGY124" t="s">
        <v>451</v>
      </c>
      <c r="DGZ124" t="s">
        <v>451</v>
      </c>
      <c r="DHA124" t="s">
        <v>451</v>
      </c>
      <c r="DHB124" t="s">
        <v>451</v>
      </c>
      <c r="DHC124" t="s">
        <v>451</v>
      </c>
      <c r="DHD124" t="s">
        <v>451</v>
      </c>
      <c r="DHE124" t="s">
        <v>451</v>
      </c>
      <c r="DHF124" t="s">
        <v>451</v>
      </c>
      <c r="DHG124" t="s">
        <v>451</v>
      </c>
      <c r="DHH124" t="s">
        <v>451</v>
      </c>
      <c r="DHI124" t="s">
        <v>451</v>
      </c>
      <c r="DHJ124" t="s">
        <v>451</v>
      </c>
      <c r="DHK124" t="s">
        <v>451</v>
      </c>
      <c r="DHL124" t="s">
        <v>451</v>
      </c>
      <c r="DHM124" t="s">
        <v>451</v>
      </c>
      <c r="DHN124" t="s">
        <v>451</v>
      </c>
      <c r="DHO124" t="s">
        <v>451</v>
      </c>
      <c r="DHP124" t="s">
        <v>451</v>
      </c>
      <c r="DHQ124" t="s">
        <v>451</v>
      </c>
      <c r="DHR124" t="s">
        <v>451</v>
      </c>
      <c r="DHS124" t="s">
        <v>451</v>
      </c>
      <c r="DHT124" t="s">
        <v>451</v>
      </c>
      <c r="DHU124" t="s">
        <v>451</v>
      </c>
      <c r="DHV124" t="s">
        <v>451</v>
      </c>
      <c r="DHW124" t="s">
        <v>451</v>
      </c>
      <c r="DHX124" t="s">
        <v>451</v>
      </c>
      <c r="DHY124" t="s">
        <v>451</v>
      </c>
      <c r="DHZ124" t="s">
        <v>451</v>
      </c>
      <c r="DIA124" t="s">
        <v>451</v>
      </c>
      <c r="DIB124" t="s">
        <v>451</v>
      </c>
      <c r="DIC124" t="s">
        <v>451</v>
      </c>
      <c r="DID124" t="s">
        <v>451</v>
      </c>
      <c r="DIE124" t="s">
        <v>451</v>
      </c>
      <c r="DIF124" t="s">
        <v>451</v>
      </c>
      <c r="DIG124" t="s">
        <v>451</v>
      </c>
      <c r="DIH124" t="s">
        <v>451</v>
      </c>
      <c r="DII124" t="s">
        <v>451</v>
      </c>
      <c r="DIJ124" t="s">
        <v>451</v>
      </c>
      <c r="DIK124" t="s">
        <v>451</v>
      </c>
      <c r="DIL124" t="s">
        <v>451</v>
      </c>
      <c r="DIM124" t="s">
        <v>451</v>
      </c>
      <c r="DIN124" t="s">
        <v>451</v>
      </c>
      <c r="DIO124" t="s">
        <v>451</v>
      </c>
      <c r="DIP124" t="s">
        <v>451</v>
      </c>
      <c r="DIQ124" t="s">
        <v>451</v>
      </c>
      <c r="DIR124" t="s">
        <v>451</v>
      </c>
      <c r="DIS124" t="s">
        <v>451</v>
      </c>
      <c r="DIT124" t="s">
        <v>451</v>
      </c>
      <c r="DIU124" t="s">
        <v>451</v>
      </c>
      <c r="DIV124" t="s">
        <v>451</v>
      </c>
      <c r="DIW124" t="s">
        <v>451</v>
      </c>
      <c r="DIX124" t="s">
        <v>451</v>
      </c>
      <c r="DIY124" t="s">
        <v>451</v>
      </c>
      <c r="DIZ124" t="s">
        <v>451</v>
      </c>
      <c r="DJA124" t="s">
        <v>451</v>
      </c>
      <c r="DJB124" t="s">
        <v>451</v>
      </c>
      <c r="DJC124" t="s">
        <v>451</v>
      </c>
      <c r="DJD124" t="s">
        <v>451</v>
      </c>
      <c r="DJE124" t="s">
        <v>451</v>
      </c>
      <c r="DJF124" t="s">
        <v>451</v>
      </c>
      <c r="DJG124" t="s">
        <v>451</v>
      </c>
      <c r="DJH124" t="s">
        <v>451</v>
      </c>
      <c r="DJI124" t="s">
        <v>451</v>
      </c>
      <c r="DJJ124" t="s">
        <v>451</v>
      </c>
      <c r="DJK124" t="s">
        <v>451</v>
      </c>
      <c r="DJL124" t="s">
        <v>451</v>
      </c>
      <c r="DJM124" t="s">
        <v>451</v>
      </c>
      <c r="DJN124" t="s">
        <v>451</v>
      </c>
      <c r="DJO124" t="s">
        <v>451</v>
      </c>
      <c r="DJP124" t="s">
        <v>451</v>
      </c>
      <c r="DJQ124" t="s">
        <v>451</v>
      </c>
      <c r="DJR124" t="s">
        <v>451</v>
      </c>
      <c r="DJS124" t="s">
        <v>451</v>
      </c>
      <c r="DJT124" t="s">
        <v>451</v>
      </c>
      <c r="DJU124" t="s">
        <v>451</v>
      </c>
      <c r="DJV124" t="s">
        <v>451</v>
      </c>
      <c r="DJW124" t="s">
        <v>451</v>
      </c>
      <c r="DJX124" t="s">
        <v>451</v>
      </c>
      <c r="DJY124" t="s">
        <v>451</v>
      </c>
      <c r="DJZ124" t="s">
        <v>451</v>
      </c>
      <c r="DKA124" t="s">
        <v>451</v>
      </c>
      <c r="DKB124" t="s">
        <v>451</v>
      </c>
      <c r="DKC124" t="s">
        <v>451</v>
      </c>
      <c r="DKD124" t="s">
        <v>451</v>
      </c>
      <c r="DKE124" t="s">
        <v>451</v>
      </c>
      <c r="DKF124" t="s">
        <v>451</v>
      </c>
      <c r="DKG124" t="s">
        <v>451</v>
      </c>
      <c r="DKH124" t="s">
        <v>451</v>
      </c>
      <c r="DKI124" t="s">
        <v>451</v>
      </c>
      <c r="DKJ124" t="s">
        <v>451</v>
      </c>
      <c r="DKK124" t="s">
        <v>451</v>
      </c>
      <c r="DKL124" t="s">
        <v>451</v>
      </c>
      <c r="DKM124" t="s">
        <v>451</v>
      </c>
      <c r="DKN124" t="s">
        <v>451</v>
      </c>
      <c r="DKO124" t="s">
        <v>451</v>
      </c>
      <c r="DKP124" t="s">
        <v>451</v>
      </c>
      <c r="DKQ124" t="s">
        <v>451</v>
      </c>
      <c r="DKR124" t="s">
        <v>451</v>
      </c>
      <c r="DKS124" t="s">
        <v>451</v>
      </c>
      <c r="DKT124" t="s">
        <v>451</v>
      </c>
      <c r="DKU124" t="s">
        <v>451</v>
      </c>
      <c r="DKV124" t="s">
        <v>451</v>
      </c>
      <c r="DKW124" t="s">
        <v>451</v>
      </c>
      <c r="DKX124" t="s">
        <v>451</v>
      </c>
      <c r="DKY124" t="s">
        <v>451</v>
      </c>
      <c r="DKZ124" t="s">
        <v>451</v>
      </c>
      <c r="DLA124" t="s">
        <v>451</v>
      </c>
      <c r="DLB124" t="s">
        <v>451</v>
      </c>
      <c r="DLC124" t="s">
        <v>451</v>
      </c>
      <c r="DLD124" t="s">
        <v>451</v>
      </c>
      <c r="DLE124" t="s">
        <v>451</v>
      </c>
      <c r="DLF124" t="s">
        <v>451</v>
      </c>
      <c r="DLG124" t="s">
        <v>451</v>
      </c>
      <c r="DLH124" t="s">
        <v>451</v>
      </c>
      <c r="DLI124" t="s">
        <v>451</v>
      </c>
      <c r="DLJ124" t="s">
        <v>451</v>
      </c>
      <c r="DLK124" t="s">
        <v>451</v>
      </c>
      <c r="DLL124" t="s">
        <v>451</v>
      </c>
      <c r="DLM124" t="s">
        <v>451</v>
      </c>
      <c r="DLN124" t="s">
        <v>451</v>
      </c>
      <c r="DLO124" t="s">
        <v>451</v>
      </c>
      <c r="DLP124" t="s">
        <v>451</v>
      </c>
      <c r="DLQ124" t="s">
        <v>451</v>
      </c>
      <c r="DLR124" t="s">
        <v>451</v>
      </c>
      <c r="DLS124" t="s">
        <v>451</v>
      </c>
      <c r="DLT124" t="s">
        <v>451</v>
      </c>
      <c r="DLU124" t="s">
        <v>451</v>
      </c>
      <c r="DLV124" t="s">
        <v>451</v>
      </c>
      <c r="DLW124" t="s">
        <v>451</v>
      </c>
      <c r="DLX124" t="s">
        <v>451</v>
      </c>
      <c r="DLY124" t="s">
        <v>451</v>
      </c>
      <c r="DLZ124" t="s">
        <v>451</v>
      </c>
      <c r="DMA124" t="s">
        <v>451</v>
      </c>
      <c r="DMB124" t="s">
        <v>451</v>
      </c>
      <c r="DMC124" t="s">
        <v>451</v>
      </c>
      <c r="DMD124" t="s">
        <v>451</v>
      </c>
      <c r="DME124" t="s">
        <v>451</v>
      </c>
      <c r="DMF124" t="s">
        <v>451</v>
      </c>
      <c r="DMG124" t="s">
        <v>451</v>
      </c>
      <c r="DMH124" t="s">
        <v>451</v>
      </c>
      <c r="DMI124" t="s">
        <v>451</v>
      </c>
      <c r="DMJ124" t="s">
        <v>451</v>
      </c>
      <c r="DMK124" t="s">
        <v>451</v>
      </c>
      <c r="DML124" t="s">
        <v>451</v>
      </c>
      <c r="DMM124" t="s">
        <v>451</v>
      </c>
      <c r="DMN124" t="s">
        <v>451</v>
      </c>
      <c r="DMO124" t="s">
        <v>451</v>
      </c>
      <c r="DMP124" t="s">
        <v>451</v>
      </c>
      <c r="DMQ124" t="s">
        <v>451</v>
      </c>
      <c r="DMR124" t="s">
        <v>451</v>
      </c>
      <c r="DMS124" t="s">
        <v>451</v>
      </c>
      <c r="DMT124" t="s">
        <v>451</v>
      </c>
      <c r="DMU124" t="s">
        <v>451</v>
      </c>
      <c r="DMV124" t="s">
        <v>451</v>
      </c>
      <c r="DMW124" t="s">
        <v>451</v>
      </c>
      <c r="DMX124" t="s">
        <v>451</v>
      </c>
      <c r="DMY124" t="s">
        <v>451</v>
      </c>
      <c r="DMZ124" t="s">
        <v>451</v>
      </c>
      <c r="DNA124" t="s">
        <v>451</v>
      </c>
      <c r="DNB124" t="s">
        <v>451</v>
      </c>
      <c r="DNC124" t="s">
        <v>451</v>
      </c>
      <c r="DND124" t="s">
        <v>451</v>
      </c>
      <c r="DNE124" t="s">
        <v>451</v>
      </c>
      <c r="DNF124" t="s">
        <v>451</v>
      </c>
      <c r="DNG124" t="s">
        <v>451</v>
      </c>
      <c r="DNH124" t="s">
        <v>451</v>
      </c>
      <c r="DNI124" t="s">
        <v>451</v>
      </c>
      <c r="DNJ124" t="s">
        <v>451</v>
      </c>
      <c r="DNK124" t="s">
        <v>451</v>
      </c>
      <c r="DNL124" t="s">
        <v>451</v>
      </c>
      <c r="DNM124" t="s">
        <v>451</v>
      </c>
      <c r="DNN124" t="s">
        <v>451</v>
      </c>
      <c r="DNO124" t="s">
        <v>451</v>
      </c>
      <c r="DNP124" t="s">
        <v>451</v>
      </c>
      <c r="DNQ124" t="s">
        <v>451</v>
      </c>
      <c r="DNR124" t="s">
        <v>451</v>
      </c>
      <c r="DNS124" t="s">
        <v>451</v>
      </c>
      <c r="DNT124" t="s">
        <v>451</v>
      </c>
      <c r="DNU124" t="s">
        <v>451</v>
      </c>
      <c r="DNV124" t="s">
        <v>451</v>
      </c>
      <c r="DNW124" t="s">
        <v>451</v>
      </c>
      <c r="DNX124" t="s">
        <v>451</v>
      </c>
      <c r="DNY124" t="s">
        <v>451</v>
      </c>
      <c r="DNZ124" t="s">
        <v>451</v>
      </c>
      <c r="DOA124" t="s">
        <v>451</v>
      </c>
      <c r="DOB124" t="s">
        <v>451</v>
      </c>
      <c r="DOC124" t="s">
        <v>451</v>
      </c>
      <c r="DOD124" t="s">
        <v>451</v>
      </c>
      <c r="DOE124" t="s">
        <v>451</v>
      </c>
      <c r="DOF124" t="s">
        <v>451</v>
      </c>
      <c r="DOG124" t="s">
        <v>451</v>
      </c>
      <c r="DOH124" t="s">
        <v>451</v>
      </c>
      <c r="DOI124" t="s">
        <v>451</v>
      </c>
      <c r="DOJ124" t="s">
        <v>451</v>
      </c>
      <c r="DOK124" t="s">
        <v>451</v>
      </c>
      <c r="DOL124" t="s">
        <v>451</v>
      </c>
      <c r="DOM124" t="s">
        <v>451</v>
      </c>
      <c r="DON124" t="s">
        <v>451</v>
      </c>
      <c r="DOO124" t="s">
        <v>451</v>
      </c>
      <c r="DOP124" t="s">
        <v>451</v>
      </c>
      <c r="DOQ124" t="s">
        <v>451</v>
      </c>
      <c r="DOR124" t="s">
        <v>451</v>
      </c>
      <c r="DOS124" t="s">
        <v>451</v>
      </c>
      <c r="DOT124" t="s">
        <v>451</v>
      </c>
      <c r="DOU124" t="s">
        <v>451</v>
      </c>
      <c r="DOV124" t="s">
        <v>451</v>
      </c>
      <c r="DOW124" t="s">
        <v>451</v>
      </c>
      <c r="DOX124" t="s">
        <v>451</v>
      </c>
      <c r="DOY124" t="s">
        <v>451</v>
      </c>
      <c r="DOZ124" t="s">
        <v>451</v>
      </c>
      <c r="DPA124" t="s">
        <v>451</v>
      </c>
      <c r="DPB124" t="s">
        <v>451</v>
      </c>
      <c r="DPC124" t="s">
        <v>451</v>
      </c>
      <c r="DPD124" t="s">
        <v>451</v>
      </c>
      <c r="DPE124" t="s">
        <v>451</v>
      </c>
      <c r="DPF124" t="s">
        <v>451</v>
      </c>
      <c r="DPG124" t="s">
        <v>451</v>
      </c>
      <c r="DPH124" t="s">
        <v>451</v>
      </c>
      <c r="DPI124" t="s">
        <v>451</v>
      </c>
      <c r="DPJ124" t="s">
        <v>451</v>
      </c>
      <c r="DPK124" t="s">
        <v>451</v>
      </c>
      <c r="DPL124" t="s">
        <v>451</v>
      </c>
      <c r="DPM124" t="s">
        <v>451</v>
      </c>
      <c r="DPN124" t="s">
        <v>451</v>
      </c>
      <c r="DPO124" t="s">
        <v>451</v>
      </c>
      <c r="DPP124" t="s">
        <v>451</v>
      </c>
      <c r="DPQ124" t="s">
        <v>451</v>
      </c>
      <c r="DPR124" t="s">
        <v>451</v>
      </c>
      <c r="DPS124" t="s">
        <v>451</v>
      </c>
      <c r="DPT124" t="s">
        <v>451</v>
      </c>
      <c r="DPU124" t="s">
        <v>451</v>
      </c>
      <c r="DPV124" t="s">
        <v>451</v>
      </c>
      <c r="DPW124" t="s">
        <v>451</v>
      </c>
      <c r="DPX124" t="s">
        <v>451</v>
      </c>
      <c r="DPY124" t="s">
        <v>451</v>
      </c>
      <c r="DPZ124" t="s">
        <v>451</v>
      </c>
      <c r="DQA124" t="s">
        <v>451</v>
      </c>
      <c r="DQB124" t="s">
        <v>451</v>
      </c>
      <c r="DQC124" t="s">
        <v>451</v>
      </c>
      <c r="DQD124" t="s">
        <v>451</v>
      </c>
      <c r="DQE124" t="s">
        <v>451</v>
      </c>
      <c r="DQF124" t="s">
        <v>451</v>
      </c>
      <c r="DQG124" t="s">
        <v>451</v>
      </c>
      <c r="DQH124" t="s">
        <v>451</v>
      </c>
      <c r="DQI124" t="s">
        <v>451</v>
      </c>
      <c r="DQJ124" t="s">
        <v>451</v>
      </c>
      <c r="DQK124" t="s">
        <v>451</v>
      </c>
      <c r="DQL124" t="s">
        <v>451</v>
      </c>
      <c r="DQM124" t="s">
        <v>451</v>
      </c>
      <c r="DQN124" t="s">
        <v>451</v>
      </c>
      <c r="DQO124" t="s">
        <v>451</v>
      </c>
      <c r="DQP124" t="s">
        <v>451</v>
      </c>
      <c r="DQQ124" t="s">
        <v>451</v>
      </c>
      <c r="DQR124" t="s">
        <v>451</v>
      </c>
      <c r="DQS124" t="s">
        <v>451</v>
      </c>
      <c r="DQT124" t="s">
        <v>451</v>
      </c>
      <c r="DQU124" t="s">
        <v>451</v>
      </c>
      <c r="DQV124" t="s">
        <v>451</v>
      </c>
      <c r="DQW124" t="s">
        <v>451</v>
      </c>
      <c r="DQX124" t="s">
        <v>451</v>
      </c>
      <c r="DQY124" t="s">
        <v>451</v>
      </c>
      <c r="DQZ124" t="s">
        <v>451</v>
      </c>
      <c r="DRA124" t="s">
        <v>451</v>
      </c>
      <c r="DRB124" t="s">
        <v>451</v>
      </c>
      <c r="DRC124" t="s">
        <v>451</v>
      </c>
      <c r="DRD124" t="s">
        <v>451</v>
      </c>
      <c r="DRE124" t="s">
        <v>451</v>
      </c>
      <c r="DRF124" t="s">
        <v>451</v>
      </c>
      <c r="DRG124" t="s">
        <v>451</v>
      </c>
      <c r="DRH124" t="s">
        <v>451</v>
      </c>
      <c r="DRI124" t="s">
        <v>451</v>
      </c>
      <c r="DRJ124" t="s">
        <v>451</v>
      </c>
      <c r="DRK124" t="s">
        <v>451</v>
      </c>
      <c r="DRL124" t="s">
        <v>451</v>
      </c>
      <c r="DRM124" t="s">
        <v>451</v>
      </c>
      <c r="DRN124" t="s">
        <v>451</v>
      </c>
      <c r="DRO124" t="s">
        <v>451</v>
      </c>
      <c r="DRP124" t="s">
        <v>451</v>
      </c>
      <c r="DRQ124" t="s">
        <v>451</v>
      </c>
      <c r="DRR124" t="s">
        <v>451</v>
      </c>
      <c r="DRS124" t="s">
        <v>451</v>
      </c>
      <c r="DRT124" t="s">
        <v>451</v>
      </c>
      <c r="DRU124" t="s">
        <v>451</v>
      </c>
      <c r="DRV124" t="s">
        <v>451</v>
      </c>
      <c r="DRW124" t="s">
        <v>451</v>
      </c>
      <c r="DRX124" t="s">
        <v>451</v>
      </c>
      <c r="DRY124" t="s">
        <v>451</v>
      </c>
      <c r="DRZ124" t="s">
        <v>451</v>
      </c>
      <c r="DSA124" t="s">
        <v>451</v>
      </c>
      <c r="DSB124" t="s">
        <v>451</v>
      </c>
      <c r="DSC124" t="s">
        <v>451</v>
      </c>
      <c r="DSD124" t="s">
        <v>451</v>
      </c>
      <c r="DSE124" t="s">
        <v>451</v>
      </c>
      <c r="DSF124" t="s">
        <v>451</v>
      </c>
      <c r="DSG124" t="s">
        <v>451</v>
      </c>
      <c r="DSH124" t="s">
        <v>451</v>
      </c>
      <c r="DSI124" t="s">
        <v>451</v>
      </c>
      <c r="DSJ124" t="s">
        <v>451</v>
      </c>
      <c r="DSK124" t="s">
        <v>451</v>
      </c>
      <c r="DSL124" t="s">
        <v>451</v>
      </c>
      <c r="DSM124" t="s">
        <v>451</v>
      </c>
      <c r="DSN124" t="s">
        <v>451</v>
      </c>
      <c r="DSO124" t="s">
        <v>451</v>
      </c>
      <c r="DSP124" t="s">
        <v>451</v>
      </c>
      <c r="DSQ124" t="s">
        <v>451</v>
      </c>
      <c r="DSR124" t="s">
        <v>451</v>
      </c>
      <c r="DSS124" t="s">
        <v>451</v>
      </c>
      <c r="DST124" t="s">
        <v>451</v>
      </c>
      <c r="DSU124" t="s">
        <v>451</v>
      </c>
      <c r="DSV124" t="s">
        <v>451</v>
      </c>
      <c r="DSW124" t="s">
        <v>451</v>
      </c>
      <c r="DSX124" t="s">
        <v>451</v>
      </c>
      <c r="DSY124" t="s">
        <v>451</v>
      </c>
      <c r="DSZ124" t="s">
        <v>451</v>
      </c>
      <c r="DTA124" t="s">
        <v>451</v>
      </c>
      <c r="DTB124" t="s">
        <v>451</v>
      </c>
      <c r="DTC124" t="s">
        <v>451</v>
      </c>
      <c r="DTD124" t="s">
        <v>451</v>
      </c>
      <c r="DTE124" t="s">
        <v>451</v>
      </c>
      <c r="DTF124" t="s">
        <v>451</v>
      </c>
      <c r="DTG124" t="s">
        <v>451</v>
      </c>
      <c r="DTH124" t="s">
        <v>451</v>
      </c>
      <c r="DTI124" t="s">
        <v>451</v>
      </c>
      <c r="DTJ124" t="s">
        <v>451</v>
      </c>
      <c r="DTK124" t="s">
        <v>451</v>
      </c>
      <c r="DTL124" t="s">
        <v>451</v>
      </c>
      <c r="DTM124" t="s">
        <v>451</v>
      </c>
      <c r="DTN124" t="s">
        <v>451</v>
      </c>
      <c r="DTO124" t="s">
        <v>451</v>
      </c>
      <c r="DTP124" t="s">
        <v>451</v>
      </c>
      <c r="DTQ124" t="s">
        <v>451</v>
      </c>
      <c r="DTR124" t="s">
        <v>451</v>
      </c>
      <c r="DTS124" t="s">
        <v>451</v>
      </c>
      <c r="DTT124" t="s">
        <v>451</v>
      </c>
      <c r="DTU124" t="s">
        <v>451</v>
      </c>
      <c r="DTV124" t="s">
        <v>451</v>
      </c>
      <c r="DTW124" t="s">
        <v>451</v>
      </c>
      <c r="DTX124" t="s">
        <v>451</v>
      </c>
      <c r="DTY124" t="s">
        <v>451</v>
      </c>
      <c r="DTZ124" t="s">
        <v>451</v>
      </c>
      <c r="DUA124" t="s">
        <v>451</v>
      </c>
      <c r="DUB124" t="s">
        <v>451</v>
      </c>
      <c r="DUC124" t="s">
        <v>451</v>
      </c>
      <c r="DUD124" t="s">
        <v>451</v>
      </c>
      <c r="DUE124" t="s">
        <v>451</v>
      </c>
      <c r="DUF124" t="s">
        <v>451</v>
      </c>
      <c r="DUG124" t="s">
        <v>451</v>
      </c>
      <c r="DUH124" t="s">
        <v>451</v>
      </c>
      <c r="DUI124" t="s">
        <v>451</v>
      </c>
      <c r="DUJ124" t="s">
        <v>451</v>
      </c>
      <c r="DUK124" t="s">
        <v>451</v>
      </c>
      <c r="DUL124" t="s">
        <v>451</v>
      </c>
      <c r="DUM124" t="s">
        <v>451</v>
      </c>
      <c r="DUN124" t="s">
        <v>451</v>
      </c>
      <c r="DUO124" t="s">
        <v>451</v>
      </c>
      <c r="DUP124" t="s">
        <v>451</v>
      </c>
      <c r="DUQ124" t="s">
        <v>451</v>
      </c>
      <c r="DUR124" t="s">
        <v>451</v>
      </c>
      <c r="DUS124" t="s">
        <v>451</v>
      </c>
      <c r="DUT124" t="s">
        <v>451</v>
      </c>
      <c r="DUU124" t="s">
        <v>451</v>
      </c>
      <c r="DUV124" t="s">
        <v>451</v>
      </c>
      <c r="DUW124" t="s">
        <v>451</v>
      </c>
      <c r="DUX124" t="s">
        <v>451</v>
      </c>
      <c r="DUY124" t="s">
        <v>451</v>
      </c>
      <c r="DUZ124" t="s">
        <v>451</v>
      </c>
      <c r="DVA124" t="s">
        <v>451</v>
      </c>
      <c r="DVB124" t="s">
        <v>451</v>
      </c>
      <c r="DVC124" t="s">
        <v>451</v>
      </c>
      <c r="DVD124" t="s">
        <v>451</v>
      </c>
      <c r="DVE124" t="s">
        <v>451</v>
      </c>
      <c r="DVF124" t="s">
        <v>451</v>
      </c>
      <c r="DVG124" t="s">
        <v>451</v>
      </c>
      <c r="DVH124" t="s">
        <v>451</v>
      </c>
      <c r="DVI124" t="s">
        <v>451</v>
      </c>
      <c r="DVJ124" t="s">
        <v>451</v>
      </c>
      <c r="DVK124" t="s">
        <v>451</v>
      </c>
      <c r="DVL124" t="s">
        <v>451</v>
      </c>
      <c r="DVM124" t="s">
        <v>451</v>
      </c>
      <c r="DVN124" t="s">
        <v>451</v>
      </c>
      <c r="DVO124" t="s">
        <v>451</v>
      </c>
      <c r="DVP124" t="s">
        <v>451</v>
      </c>
      <c r="DVQ124" t="s">
        <v>451</v>
      </c>
      <c r="DVR124" t="s">
        <v>451</v>
      </c>
      <c r="DVS124" t="s">
        <v>451</v>
      </c>
      <c r="DVT124" t="s">
        <v>451</v>
      </c>
      <c r="DVU124" t="s">
        <v>451</v>
      </c>
      <c r="DVV124" t="s">
        <v>451</v>
      </c>
      <c r="DVW124" t="s">
        <v>451</v>
      </c>
      <c r="DVX124" t="s">
        <v>451</v>
      </c>
      <c r="DVY124" t="s">
        <v>451</v>
      </c>
      <c r="DVZ124" t="s">
        <v>451</v>
      </c>
      <c r="DWA124" t="s">
        <v>451</v>
      </c>
      <c r="DWB124" t="s">
        <v>451</v>
      </c>
      <c r="DWC124" t="s">
        <v>451</v>
      </c>
      <c r="DWD124" t="s">
        <v>451</v>
      </c>
      <c r="DWE124" t="s">
        <v>451</v>
      </c>
      <c r="DWF124" t="s">
        <v>451</v>
      </c>
      <c r="DWG124" t="s">
        <v>451</v>
      </c>
      <c r="DWH124" t="s">
        <v>451</v>
      </c>
      <c r="DWI124" t="s">
        <v>451</v>
      </c>
      <c r="DWJ124" t="s">
        <v>451</v>
      </c>
      <c r="DWK124" t="s">
        <v>451</v>
      </c>
      <c r="DWL124" t="s">
        <v>451</v>
      </c>
      <c r="DWM124" t="s">
        <v>451</v>
      </c>
      <c r="DWN124" t="s">
        <v>451</v>
      </c>
      <c r="DWO124" t="s">
        <v>451</v>
      </c>
      <c r="DWP124" t="s">
        <v>451</v>
      </c>
      <c r="DWQ124" t="s">
        <v>451</v>
      </c>
      <c r="DWR124" t="s">
        <v>451</v>
      </c>
      <c r="DWS124" t="s">
        <v>451</v>
      </c>
      <c r="DWT124" t="s">
        <v>451</v>
      </c>
      <c r="DWU124" t="s">
        <v>451</v>
      </c>
      <c r="DWV124" t="s">
        <v>451</v>
      </c>
      <c r="DWW124" t="s">
        <v>451</v>
      </c>
      <c r="DWX124" t="s">
        <v>451</v>
      </c>
      <c r="DWY124" t="s">
        <v>451</v>
      </c>
      <c r="DWZ124" t="s">
        <v>451</v>
      </c>
      <c r="DXA124" t="s">
        <v>451</v>
      </c>
      <c r="DXB124" t="s">
        <v>451</v>
      </c>
      <c r="DXC124" t="s">
        <v>451</v>
      </c>
      <c r="DXD124" t="s">
        <v>451</v>
      </c>
      <c r="DXE124" t="s">
        <v>451</v>
      </c>
      <c r="DXF124" t="s">
        <v>451</v>
      </c>
      <c r="DXG124" t="s">
        <v>451</v>
      </c>
      <c r="DXH124" t="s">
        <v>451</v>
      </c>
      <c r="DXI124" t="s">
        <v>451</v>
      </c>
      <c r="DXJ124" t="s">
        <v>451</v>
      </c>
      <c r="DXK124" t="s">
        <v>451</v>
      </c>
      <c r="DXL124" t="s">
        <v>451</v>
      </c>
      <c r="DXM124" t="s">
        <v>451</v>
      </c>
      <c r="DXN124" t="s">
        <v>451</v>
      </c>
      <c r="DXO124" t="s">
        <v>451</v>
      </c>
      <c r="DXP124" t="s">
        <v>451</v>
      </c>
      <c r="DXQ124" t="s">
        <v>451</v>
      </c>
      <c r="DXR124" t="s">
        <v>451</v>
      </c>
      <c r="DXS124" t="s">
        <v>451</v>
      </c>
      <c r="DXT124" t="s">
        <v>451</v>
      </c>
      <c r="DXU124" t="s">
        <v>451</v>
      </c>
      <c r="DXV124" t="s">
        <v>451</v>
      </c>
      <c r="DXW124" t="s">
        <v>451</v>
      </c>
      <c r="DXX124" t="s">
        <v>451</v>
      </c>
      <c r="DXY124" t="s">
        <v>451</v>
      </c>
      <c r="DXZ124" t="s">
        <v>451</v>
      </c>
      <c r="DYA124" t="s">
        <v>451</v>
      </c>
      <c r="DYB124" t="s">
        <v>451</v>
      </c>
      <c r="DYC124" t="s">
        <v>451</v>
      </c>
      <c r="DYD124" t="s">
        <v>451</v>
      </c>
      <c r="DYE124" t="s">
        <v>451</v>
      </c>
      <c r="DYF124" t="s">
        <v>451</v>
      </c>
      <c r="DYG124" t="s">
        <v>451</v>
      </c>
      <c r="DYH124" t="s">
        <v>451</v>
      </c>
      <c r="DYI124" t="s">
        <v>451</v>
      </c>
      <c r="DYJ124" t="s">
        <v>451</v>
      </c>
      <c r="DYK124" t="s">
        <v>451</v>
      </c>
      <c r="DYL124" t="s">
        <v>451</v>
      </c>
      <c r="DYM124" t="s">
        <v>451</v>
      </c>
      <c r="DYN124" t="s">
        <v>451</v>
      </c>
      <c r="DYO124" t="s">
        <v>451</v>
      </c>
      <c r="DYP124" t="s">
        <v>451</v>
      </c>
      <c r="DYQ124" t="s">
        <v>451</v>
      </c>
      <c r="DYR124" t="s">
        <v>451</v>
      </c>
      <c r="DYS124" t="s">
        <v>451</v>
      </c>
      <c r="DYT124" t="s">
        <v>451</v>
      </c>
      <c r="DYU124" t="s">
        <v>451</v>
      </c>
      <c r="DYV124" t="s">
        <v>451</v>
      </c>
      <c r="DYW124" t="s">
        <v>451</v>
      </c>
      <c r="DYX124" t="s">
        <v>451</v>
      </c>
      <c r="DYY124" t="s">
        <v>451</v>
      </c>
      <c r="DYZ124" t="s">
        <v>451</v>
      </c>
      <c r="DZA124" t="s">
        <v>451</v>
      </c>
      <c r="DZB124" t="s">
        <v>451</v>
      </c>
      <c r="DZC124" t="s">
        <v>451</v>
      </c>
      <c r="DZD124" t="s">
        <v>451</v>
      </c>
      <c r="DZE124" t="s">
        <v>451</v>
      </c>
      <c r="DZF124" t="s">
        <v>451</v>
      </c>
      <c r="DZG124" t="s">
        <v>451</v>
      </c>
      <c r="DZH124" t="s">
        <v>451</v>
      </c>
      <c r="DZI124" t="s">
        <v>451</v>
      </c>
      <c r="DZJ124" t="s">
        <v>451</v>
      </c>
      <c r="DZK124" t="s">
        <v>451</v>
      </c>
      <c r="DZL124" t="s">
        <v>451</v>
      </c>
      <c r="DZM124" t="s">
        <v>451</v>
      </c>
      <c r="DZN124" t="s">
        <v>451</v>
      </c>
      <c r="DZO124" t="s">
        <v>451</v>
      </c>
      <c r="DZP124" t="s">
        <v>451</v>
      </c>
      <c r="DZQ124" t="s">
        <v>451</v>
      </c>
      <c r="DZR124" t="s">
        <v>451</v>
      </c>
      <c r="DZS124" t="s">
        <v>451</v>
      </c>
      <c r="DZT124" t="s">
        <v>451</v>
      </c>
      <c r="DZU124" t="s">
        <v>451</v>
      </c>
      <c r="DZV124" t="s">
        <v>451</v>
      </c>
      <c r="DZW124" t="s">
        <v>451</v>
      </c>
      <c r="DZX124" t="s">
        <v>451</v>
      </c>
      <c r="DZY124" t="s">
        <v>451</v>
      </c>
      <c r="DZZ124" t="s">
        <v>451</v>
      </c>
      <c r="EAA124" t="s">
        <v>451</v>
      </c>
      <c r="EAB124" t="s">
        <v>451</v>
      </c>
      <c r="EAC124" t="s">
        <v>451</v>
      </c>
      <c r="EAD124" t="s">
        <v>451</v>
      </c>
      <c r="EAE124" t="s">
        <v>451</v>
      </c>
      <c r="EAF124" t="s">
        <v>451</v>
      </c>
      <c r="EAG124" t="s">
        <v>451</v>
      </c>
      <c r="EAH124" t="s">
        <v>451</v>
      </c>
      <c r="EAI124" t="s">
        <v>451</v>
      </c>
      <c r="EAJ124" t="s">
        <v>451</v>
      </c>
      <c r="EAK124" t="s">
        <v>451</v>
      </c>
      <c r="EAL124" t="s">
        <v>451</v>
      </c>
      <c r="EAM124" t="s">
        <v>451</v>
      </c>
      <c r="EAN124" t="s">
        <v>451</v>
      </c>
      <c r="EAO124" t="s">
        <v>451</v>
      </c>
      <c r="EAP124" t="s">
        <v>451</v>
      </c>
      <c r="EAQ124" t="s">
        <v>451</v>
      </c>
      <c r="EAR124" t="s">
        <v>451</v>
      </c>
      <c r="EAS124" t="s">
        <v>451</v>
      </c>
      <c r="EAT124" t="s">
        <v>451</v>
      </c>
      <c r="EAU124" t="s">
        <v>451</v>
      </c>
      <c r="EAV124" t="s">
        <v>451</v>
      </c>
      <c r="EAW124" t="s">
        <v>451</v>
      </c>
      <c r="EAX124" t="s">
        <v>451</v>
      </c>
      <c r="EAY124" t="s">
        <v>451</v>
      </c>
      <c r="EAZ124" t="s">
        <v>451</v>
      </c>
      <c r="EBA124" t="s">
        <v>451</v>
      </c>
      <c r="EBB124" t="s">
        <v>451</v>
      </c>
      <c r="EBC124" t="s">
        <v>451</v>
      </c>
      <c r="EBD124" t="s">
        <v>451</v>
      </c>
      <c r="EBE124" t="s">
        <v>451</v>
      </c>
      <c r="EBF124" t="s">
        <v>451</v>
      </c>
      <c r="EBG124" t="s">
        <v>451</v>
      </c>
      <c r="EBH124" t="s">
        <v>451</v>
      </c>
      <c r="EBI124" t="s">
        <v>451</v>
      </c>
      <c r="EBJ124" t="s">
        <v>451</v>
      </c>
      <c r="EBK124" t="s">
        <v>451</v>
      </c>
      <c r="EBL124" t="s">
        <v>451</v>
      </c>
      <c r="EBM124" t="s">
        <v>451</v>
      </c>
      <c r="EBN124" t="s">
        <v>451</v>
      </c>
      <c r="EBO124" t="s">
        <v>451</v>
      </c>
      <c r="EBP124" t="s">
        <v>451</v>
      </c>
      <c r="EBQ124" t="s">
        <v>451</v>
      </c>
      <c r="EBR124" t="s">
        <v>451</v>
      </c>
      <c r="EBS124" t="s">
        <v>451</v>
      </c>
      <c r="EBT124" t="s">
        <v>451</v>
      </c>
      <c r="EBU124" t="s">
        <v>451</v>
      </c>
      <c r="EBV124" t="s">
        <v>451</v>
      </c>
      <c r="EBW124" t="s">
        <v>451</v>
      </c>
      <c r="EBX124" t="s">
        <v>451</v>
      </c>
      <c r="EBY124" t="s">
        <v>451</v>
      </c>
      <c r="EBZ124" t="s">
        <v>451</v>
      </c>
      <c r="ECA124" t="s">
        <v>451</v>
      </c>
      <c r="ECB124" t="s">
        <v>451</v>
      </c>
      <c r="ECC124" t="s">
        <v>451</v>
      </c>
      <c r="ECD124" t="s">
        <v>451</v>
      </c>
      <c r="ECE124" t="s">
        <v>451</v>
      </c>
      <c r="ECF124" t="s">
        <v>451</v>
      </c>
      <c r="ECG124" t="s">
        <v>451</v>
      </c>
      <c r="ECH124" t="s">
        <v>451</v>
      </c>
      <c r="ECI124" t="s">
        <v>451</v>
      </c>
      <c r="ECJ124" t="s">
        <v>451</v>
      </c>
      <c r="ECK124" t="s">
        <v>451</v>
      </c>
      <c r="ECL124" t="s">
        <v>451</v>
      </c>
      <c r="ECM124" t="s">
        <v>451</v>
      </c>
      <c r="ECN124" t="s">
        <v>451</v>
      </c>
      <c r="ECO124" t="s">
        <v>451</v>
      </c>
      <c r="ECP124" t="s">
        <v>451</v>
      </c>
      <c r="ECQ124" t="s">
        <v>451</v>
      </c>
      <c r="ECR124" t="s">
        <v>451</v>
      </c>
      <c r="ECS124" t="s">
        <v>451</v>
      </c>
      <c r="ECT124" t="s">
        <v>451</v>
      </c>
      <c r="ECU124" t="s">
        <v>451</v>
      </c>
      <c r="ECV124" t="s">
        <v>451</v>
      </c>
      <c r="ECW124" t="s">
        <v>451</v>
      </c>
      <c r="ECX124" t="s">
        <v>451</v>
      </c>
      <c r="ECY124" t="s">
        <v>451</v>
      </c>
      <c r="ECZ124" t="s">
        <v>451</v>
      </c>
      <c r="EDA124" t="s">
        <v>451</v>
      </c>
      <c r="EDB124" t="s">
        <v>451</v>
      </c>
      <c r="EDC124" t="s">
        <v>451</v>
      </c>
      <c r="EDD124" t="s">
        <v>451</v>
      </c>
      <c r="EDE124" t="s">
        <v>451</v>
      </c>
      <c r="EDF124" t="s">
        <v>451</v>
      </c>
      <c r="EDG124" t="s">
        <v>451</v>
      </c>
      <c r="EDH124" t="s">
        <v>451</v>
      </c>
      <c r="EDI124" t="s">
        <v>451</v>
      </c>
      <c r="EDJ124" t="s">
        <v>451</v>
      </c>
      <c r="EDK124" t="s">
        <v>451</v>
      </c>
      <c r="EDL124" t="s">
        <v>451</v>
      </c>
      <c r="EDM124" t="s">
        <v>451</v>
      </c>
      <c r="EDN124" t="s">
        <v>451</v>
      </c>
      <c r="EDO124" t="s">
        <v>451</v>
      </c>
      <c r="EDP124" t="s">
        <v>451</v>
      </c>
      <c r="EDQ124" t="s">
        <v>451</v>
      </c>
      <c r="EDR124" t="s">
        <v>451</v>
      </c>
      <c r="EDS124" t="s">
        <v>451</v>
      </c>
      <c r="EDT124" t="s">
        <v>451</v>
      </c>
      <c r="EDU124" t="s">
        <v>451</v>
      </c>
      <c r="EDV124" t="s">
        <v>451</v>
      </c>
      <c r="EDW124" t="s">
        <v>451</v>
      </c>
      <c r="EDX124" t="s">
        <v>451</v>
      </c>
      <c r="EDY124" t="s">
        <v>451</v>
      </c>
      <c r="EDZ124" t="s">
        <v>451</v>
      </c>
      <c r="EEA124" t="s">
        <v>451</v>
      </c>
      <c r="EEB124" t="s">
        <v>451</v>
      </c>
      <c r="EEC124" t="s">
        <v>451</v>
      </c>
      <c r="EED124" t="s">
        <v>451</v>
      </c>
      <c r="EEE124" t="s">
        <v>451</v>
      </c>
      <c r="EEF124" t="s">
        <v>451</v>
      </c>
      <c r="EEG124" t="s">
        <v>451</v>
      </c>
      <c r="EEH124" t="s">
        <v>451</v>
      </c>
      <c r="EEI124" t="s">
        <v>451</v>
      </c>
      <c r="EEJ124" t="s">
        <v>451</v>
      </c>
      <c r="EEK124" t="s">
        <v>451</v>
      </c>
      <c r="EEL124" t="s">
        <v>451</v>
      </c>
      <c r="EEM124" t="s">
        <v>451</v>
      </c>
      <c r="EEN124" t="s">
        <v>451</v>
      </c>
      <c r="EEO124" t="s">
        <v>451</v>
      </c>
      <c r="EEP124" t="s">
        <v>451</v>
      </c>
      <c r="EEQ124" t="s">
        <v>451</v>
      </c>
      <c r="EER124" t="s">
        <v>451</v>
      </c>
      <c r="EES124" t="s">
        <v>451</v>
      </c>
      <c r="EET124" t="s">
        <v>451</v>
      </c>
      <c r="EEU124" t="s">
        <v>451</v>
      </c>
      <c r="EEV124" t="s">
        <v>451</v>
      </c>
      <c r="EEW124" t="s">
        <v>451</v>
      </c>
      <c r="EEX124" t="s">
        <v>451</v>
      </c>
      <c r="EEY124" t="s">
        <v>451</v>
      </c>
      <c r="EEZ124" t="s">
        <v>451</v>
      </c>
      <c r="EFA124" t="s">
        <v>451</v>
      </c>
      <c r="EFB124" t="s">
        <v>451</v>
      </c>
      <c r="EFC124" t="s">
        <v>451</v>
      </c>
      <c r="EFD124" t="s">
        <v>451</v>
      </c>
      <c r="EFE124" t="s">
        <v>451</v>
      </c>
      <c r="EFF124" t="s">
        <v>451</v>
      </c>
      <c r="EFG124" t="s">
        <v>451</v>
      </c>
      <c r="EFH124" t="s">
        <v>451</v>
      </c>
      <c r="EFI124" t="s">
        <v>451</v>
      </c>
      <c r="EFJ124" t="s">
        <v>451</v>
      </c>
      <c r="EFK124" t="s">
        <v>451</v>
      </c>
      <c r="EFL124" t="s">
        <v>451</v>
      </c>
      <c r="EFM124" t="s">
        <v>451</v>
      </c>
      <c r="EFN124" t="s">
        <v>451</v>
      </c>
      <c r="EFO124" t="s">
        <v>451</v>
      </c>
      <c r="EFP124" t="s">
        <v>451</v>
      </c>
      <c r="EFQ124" t="s">
        <v>451</v>
      </c>
      <c r="EFR124" t="s">
        <v>451</v>
      </c>
      <c r="EFS124" t="s">
        <v>451</v>
      </c>
      <c r="EFT124" t="s">
        <v>451</v>
      </c>
      <c r="EFU124" t="s">
        <v>451</v>
      </c>
      <c r="EFV124" t="s">
        <v>451</v>
      </c>
      <c r="EFW124" t="s">
        <v>451</v>
      </c>
      <c r="EFX124" t="s">
        <v>451</v>
      </c>
      <c r="EFY124" t="s">
        <v>451</v>
      </c>
      <c r="EFZ124" t="s">
        <v>451</v>
      </c>
      <c r="EGA124" t="s">
        <v>451</v>
      </c>
      <c r="EGB124" t="s">
        <v>451</v>
      </c>
      <c r="EGC124" t="s">
        <v>451</v>
      </c>
      <c r="EGD124" t="s">
        <v>451</v>
      </c>
      <c r="EGE124" t="s">
        <v>451</v>
      </c>
      <c r="EGF124" t="s">
        <v>451</v>
      </c>
      <c r="EGG124" t="s">
        <v>451</v>
      </c>
      <c r="EGH124" t="s">
        <v>451</v>
      </c>
      <c r="EGI124" t="s">
        <v>451</v>
      </c>
      <c r="EGJ124" t="s">
        <v>451</v>
      </c>
      <c r="EGK124" t="s">
        <v>451</v>
      </c>
      <c r="EGL124" t="s">
        <v>451</v>
      </c>
      <c r="EGM124" t="s">
        <v>451</v>
      </c>
      <c r="EGN124" t="s">
        <v>451</v>
      </c>
      <c r="EGO124" t="s">
        <v>451</v>
      </c>
      <c r="EGP124" t="s">
        <v>451</v>
      </c>
      <c r="EGQ124" t="s">
        <v>451</v>
      </c>
      <c r="EGR124" t="s">
        <v>451</v>
      </c>
      <c r="EGS124" t="s">
        <v>451</v>
      </c>
      <c r="EGT124" t="s">
        <v>451</v>
      </c>
      <c r="EGU124" t="s">
        <v>451</v>
      </c>
      <c r="EGV124" t="s">
        <v>451</v>
      </c>
      <c r="EGW124" t="s">
        <v>451</v>
      </c>
      <c r="EGX124" t="s">
        <v>451</v>
      </c>
      <c r="EGY124" t="s">
        <v>451</v>
      </c>
      <c r="EGZ124" t="s">
        <v>451</v>
      </c>
      <c r="EHA124" t="s">
        <v>451</v>
      </c>
      <c r="EHB124" t="s">
        <v>451</v>
      </c>
      <c r="EHC124" t="s">
        <v>451</v>
      </c>
      <c r="EHD124" t="s">
        <v>451</v>
      </c>
      <c r="EHE124" t="s">
        <v>451</v>
      </c>
      <c r="EHF124" t="s">
        <v>451</v>
      </c>
      <c r="EHG124" t="s">
        <v>451</v>
      </c>
      <c r="EHH124" t="s">
        <v>451</v>
      </c>
      <c r="EHI124" t="s">
        <v>451</v>
      </c>
      <c r="EHJ124" t="s">
        <v>451</v>
      </c>
      <c r="EHK124" t="s">
        <v>451</v>
      </c>
      <c r="EHL124" t="s">
        <v>451</v>
      </c>
      <c r="EHM124" t="s">
        <v>451</v>
      </c>
      <c r="EHN124" t="s">
        <v>451</v>
      </c>
      <c r="EHO124" t="s">
        <v>451</v>
      </c>
      <c r="EHP124" t="s">
        <v>451</v>
      </c>
      <c r="EHQ124" t="s">
        <v>451</v>
      </c>
      <c r="EHR124" t="s">
        <v>451</v>
      </c>
      <c r="EHS124" t="s">
        <v>451</v>
      </c>
      <c r="EHT124" t="s">
        <v>451</v>
      </c>
      <c r="EHU124" t="s">
        <v>451</v>
      </c>
      <c r="EHV124" t="s">
        <v>451</v>
      </c>
      <c r="EHW124" t="s">
        <v>451</v>
      </c>
      <c r="EHX124" t="s">
        <v>451</v>
      </c>
      <c r="EHY124" t="s">
        <v>451</v>
      </c>
      <c r="EHZ124" t="s">
        <v>451</v>
      </c>
      <c r="EIA124" t="s">
        <v>451</v>
      </c>
      <c r="EIB124" t="s">
        <v>451</v>
      </c>
      <c r="EIC124" t="s">
        <v>451</v>
      </c>
      <c r="EID124" t="s">
        <v>451</v>
      </c>
      <c r="EIE124" t="s">
        <v>451</v>
      </c>
      <c r="EIF124" t="s">
        <v>451</v>
      </c>
      <c r="EIG124" t="s">
        <v>451</v>
      </c>
      <c r="EIH124" t="s">
        <v>451</v>
      </c>
      <c r="EII124" t="s">
        <v>451</v>
      </c>
      <c r="EIJ124" t="s">
        <v>451</v>
      </c>
      <c r="EIK124" t="s">
        <v>451</v>
      </c>
      <c r="EIL124" t="s">
        <v>451</v>
      </c>
      <c r="EIM124" t="s">
        <v>451</v>
      </c>
      <c r="EIN124" t="s">
        <v>451</v>
      </c>
      <c r="EIO124" t="s">
        <v>451</v>
      </c>
      <c r="EIP124" t="s">
        <v>451</v>
      </c>
      <c r="EIQ124" t="s">
        <v>451</v>
      </c>
      <c r="EIR124" t="s">
        <v>451</v>
      </c>
      <c r="EIS124" t="s">
        <v>451</v>
      </c>
      <c r="EIT124" t="s">
        <v>451</v>
      </c>
      <c r="EIU124" t="s">
        <v>451</v>
      </c>
      <c r="EIV124" t="s">
        <v>451</v>
      </c>
      <c r="EIW124" t="s">
        <v>451</v>
      </c>
      <c r="EIX124" t="s">
        <v>451</v>
      </c>
      <c r="EIY124" t="s">
        <v>451</v>
      </c>
      <c r="EIZ124" t="s">
        <v>451</v>
      </c>
      <c r="EJA124" t="s">
        <v>451</v>
      </c>
      <c r="EJB124" t="s">
        <v>451</v>
      </c>
      <c r="EJC124" t="s">
        <v>451</v>
      </c>
      <c r="EJD124" t="s">
        <v>451</v>
      </c>
      <c r="EJE124" t="s">
        <v>451</v>
      </c>
      <c r="EJF124" t="s">
        <v>451</v>
      </c>
      <c r="EJG124" t="s">
        <v>451</v>
      </c>
      <c r="EJH124" t="s">
        <v>451</v>
      </c>
      <c r="EJI124" t="s">
        <v>451</v>
      </c>
      <c r="EJJ124" t="s">
        <v>451</v>
      </c>
      <c r="EJK124" t="s">
        <v>451</v>
      </c>
      <c r="EJL124" t="s">
        <v>451</v>
      </c>
      <c r="EJM124" t="s">
        <v>451</v>
      </c>
      <c r="EJN124" t="s">
        <v>451</v>
      </c>
      <c r="EJO124" t="s">
        <v>451</v>
      </c>
      <c r="EJP124" t="s">
        <v>451</v>
      </c>
      <c r="EJQ124" t="s">
        <v>451</v>
      </c>
      <c r="EJR124" t="s">
        <v>451</v>
      </c>
      <c r="EJS124" t="s">
        <v>451</v>
      </c>
      <c r="EJT124" t="s">
        <v>451</v>
      </c>
      <c r="EJU124" t="s">
        <v>451</v>
      </c>
      <c r="EJV124" t="s">
        <v>451</v>
      </c>
      <c r="EJW124" t="s">
        <v>451</v>
      </c>
      <c r="EJX124" t="s">
        <v>451</v>
      </c>
      <c r="EJY124" t="s">
        <v>451</v>
      </c>
      <c r="EJZ124" t="s">
        <v>451</v>
      </c>
      <c r="EKA124" t="s">
        <v>451</v>
      </c>
      <c r="EKB124" t="s">
        <v>451</v>
      </c>
      <c r="EKC124" t="s">
        <v>451</v>
      </c>
      <c r="EKD124" t="s">
        <v>451</v>
      </c>
      <c r="EKE124" t="s">
        <v>451</v>
      </c>
      <c r="EKF124" t="s">
        <v>451</v>
      </c>
      <c r="EKG124" t="s">
        <v>451</v>
      </c>
      <c r="EKH124" t="s">
        <v>451</v>
      </c>
      <c r="EKI124" t="s">
        <v>451</v>
      </c>
      <c r="EKJ124" t="s">
        <v>451</v>
      </c>
      <c r="EKK124" t="s">
        <v>451</v>
      </c>
      <c r="EKL124" t="s">
        <v>451</v>
      </c>
      <c r="EKM124" t="s">
        <v>451</v>
      </c>
      <c r="EKN124" t="s">
        <v>451</v>
      </c>
      <c r="EKO124" t="s">
        <v>451</v>
      </c>
      <c r="EKP124" t="s">
        <v>451</v>
      </c>
      <c r="EKQ124" t="s">
        <v>451</v>
      </c>
      <c r="EKR124" t="s">
        <v>451</v>
      </c>
      <c r="EKS124" t="s">
        <v>451</v>
      </c>
      <c r="EKT124" t="s">
        <v>451</v>
      </c>
      <c r="EKU124" t="s">
        <v>451</v>
      </c>
      <c r="EKV124" t="s">
        <v>451</v>
      </c>
      <c r="EKW124" t="s">
        <v>451</v>
      </c>
      <c r="EKX124" t="s">
        <v>451</v>
      </c>
      <c r="EKY124" t="s">
        <v>451</v>
      </c>
      <c r="EKZ124" t="s">
        <v>451</v>
      </c>
      <c r="ELA124" t="s">
        <v>451</v>
      </c>
      <c r="ELB124" t="s">
        <v>451</v>
      </c>
      <c r="ELC124" t="s">
        <v>451</v>
      </c>
      <c r="ELD124" t="s">
        <v>451</v>
      </c>
      <c r="ELE124" t="s">
        <v>451</v>
      </c>
      <c r="ELF124" t="s">
        <v>451</v>
      </c>
      <c r="ELG124" t="s">
        <v>451</v>
      </c>
      <c r="ELH124" t="s">
        <v>451</v>
      </c>
      <c r="ELI124" t="s">
        <v>451</v>
      </c>
      <c r="ELJ124" t="s">
        <v>451</v>
      </c>
      <c r="ELK124" t="s">
        <v>451</v>
      </c>
      <c r="ELL124" t="s">
        <v>451</v>
      </c>
      <c r="ELM124" t="s">
        <v>451</v>
      </c>
      <c r="ELN124" t="s">
        <v>451</v>
      </c>
      <c r="ELO124" t="s">
        <v>451</v>
      </c>
      <c r="ELP124" t="s">
        <v>451</v>
      </c>
      <c r="ELQ124" t="s">
        <v>451</v>
      </c>
      <c r="ELR124" t="s">
        <v>451</v>
      </c>
      <c r="ELS124" t="s">
        <v>451</v>
      </c>
      <c r="ELT124" t="s">
        <v>451</v>
      </c>
      <c r="ELU124" t="s">
        <v>451</v>
      </c>
      <c r="ELV124" t="s">
        <v>451</v>
      </c>
      <c r="ELW124" t="s">
        <v>451</v>
      </c>
      <c r="ELX124" t="s">
        <v>451</v>
      </c>
      <c r="ELY124" t="s">
        <v>451</v>
      </c>
      <c r="ELZ124" t="s">
        <v>451</v>
      </c>
      <c r="EMA124" t="s">
        <v>451</v>
      </c>
      <c r="EMB124" t="s">
        <v>451</v>
      </c>
      <c r="EMC124" t="s">
        <v>451</v>
      </c>
      <c r="EMD124" t="s">
        <v>451</v>
      </c>
      <c r="EME124" t="s">
        <v>451</v>
      </c>
      <c r="EMF124" t="s">
        <v>451</v>
      </c>
      <c r="EMG124" t="s">
        <v>451</v>
      </c>
      <c r="EMH124" t="s">
        <v>451</v>
      </c>
      <c r="EMI124" t="s">
        <v>451</v>
      </c>
      <c r="EMJ124" t="s">
        <v>451</v>
      </c>
      <c r="EMK124" t="s">
        <v>451</v>
      </c>
      <c r="EML124" t="s">
        <v>451</v>
      </c>
      <c r="EMM124" t="s">
        <v>451</v>
      </c>
      <c r="EMN124" t="s">
        <v>451</v>
      </c>
      <c r="EMO124" t="s">
        <v>451</v>
      </c>
      <c r="EMP124" t="s">
        <v>451</v>
      </c>
      <c r="EMQ124" t="s">
        <v>451</v>
      </c>
      <c r="EMR124" t="s">
        <v>451</v>
      </c>
      <c r="EMS124" t="s">
        <v>451</v>
      </c>
      <c r="EMT124" t="s">
        <v>451</v>
      </c>
      <c r="EMU124" t="s">
        <v>451</v>
      </c>
      <c r="EMV124" t="s">
        <v>451</v>
      </c>
      <c r="EMW124" t="s">
        <v>451</v>
      </c>
      <c r="EMX124" t="s">
        <v>451</v>
      </c>
      <c r="EMY124" t="s">
        <v>451</v>
      </c>
      <c r="EMZ124" t="s">
        <v>451</v>
      </c>
      <c r="ENA124" t="s">
        <v>451</v>
      </c>
      <c r="ENB124" t="s">
        <v>451</v>
      </c>
      <c r="ENC124" t="s">
        <v>451</v>
      </c>
      <c r="END124" t="s">
        <v>451</v>
      </c>
      <c r="ENE124" t="s">
        <v>451</v>
      </c>
      <c r="ENF124" t="s">
        <v>451</v>
      </c>
      <c r="ENG124" t="s">
        <v>451</v>
      </c>
      <c r="ENH124" t="s">
        <v>451</v>
      </c>
      <c r="ENI124" t="s">
        <v>451</v>
      </c>
      <c r="ENJ124" t="s">
        <v>451</v>
      </c>
      <c r="ENK124" t="s">
        <v>451</v>
      </c>
      <c r="ENL124" t="s">
        <v>451</v>
      </c>
      <c r="ENM124" t="s">
        <v>451</v>
      </c>
      <c r="ENN124" t="s">
        <v>451</v>
      </c>
      <c r="ENO124" t="s">
        <v>451</v>
      </c>
      <c r="ENP124" t="s">
        <v>451</v>
      </c>
      <c r="ENQ124" t="s">
        <v>451</v>
      </c>
      <c r="ENR124" t="s">
        <v>451</v>
      </c>
      <c r="ENS124" t="s">
        <v>451</v>
      </c>
      <c r="ENT124" t="s">
        <v>451</v>
      </c>
      <c r="ENU124" t="s">
        <v>451</v>
      </c>
      <c r="ENV124" t="s">
        <v>451</v>
      </c>
      <c r="ENW124" t="s">
        <v>451</v>
      </c>
      <c r="ENX124" t="s">
        <v>451</v>
      </c>
      <c r="ENY124" t="s">
        <v>451</v>
      </c>
      <c r="ENZ124" t="s">
        <v>451</v>
      </c>
      <c r="EOA124" t="s">
        <v>451</v>
      </c>
      <c r="EOB124" t="s">
        <v>451</v>
      </c>
      <c r="EOC124" t="s">
        <v>451</v>
      </c>
      <c r="EOD124" t="s">
        <v>451</v>
      </c>
      <c r="EOE124" t="s">
        <v>451</v>
      </c>
      <c r="EOF124" t="s">
        <v>451</v>
      </c>
      <c r="EOG124" t="s">
        <v>451</v>
      </c>
      <c r="EOH124" t="s">
        <v>451</v>
      </c>
      <c r="EOI124" t="s">
        <v>451</v>
      </c>
      <c r="EOJ124" t="s">
        <v>451</v>
      </c>
      <c r="EOK124" t="s">
        <v>451</v>
      </c>
      <c r="EOL124" t="s">
        <v>451</v>
      </c>
      <c r="EOM124" t="s">
        <v>451</v>
      </c>
      <c r="EON124" t="s">
        <v>451</v>
      </c>
      <c r="EOO124" t="s">
        <v>451</v>
      </c>
      <c r="EOP124" t="s">
        <v>451</v>
      </c>
      <c r="EOQ124" t="s">
        <v>451</v>
      </c>
      <c r="EOR124" t="s">
        <v>451</v>
      </c>
      <c r="EOS124" t="s">
        <v>451</v>
      </c>
      <c r="EOT124" t="s">
        <v>451</v>
      </c>
      <c r="EOU124" t="s">
        <v>451</v>
      </c>
      <c r="EOV124" t="s">
        <v>451</v>
      </c>
      <c r="EOW124" t="s">
        <v>451</v>
      </c>
      <c r="EOX124" t="s">
        <v>451</v>
      </c>
      <c r="EOY124" t="s">
        <v>451</v>
      </c>
      <c r="EOZ124" t="s">
        <v>451</v>
      </c>
      <c r="EPA124" t="s">
        <v>451</v>
      </c>
      <c r="EPB124" t="s">
        <v>451</v>
      </c>
      <c r="EPC124" t="s">
        <v>451</v>
      </c>
      <c r="EPD124" t="s">
        <v>451</v>
      </c>
      <c r="EPE124" t="s">
        <v>451</v>
      </c>
      <c r="EPF124" t="s">
        <v>451</v>
      </c>
      <c r="EPG124" t="s">
        <v>451</v>
      </c>
      <c r="EPH124" t="s">
        <v>451</v>
      </c>
      <c r="EPI124" t="s">
        <v>451</v>
      </c>
      <c r="EPJ124" t="s">
        <v>451</v>
      </c>
      <c r="EPK124" t="s">
        <v>451</v>
      </c>
      <c r="EPL124" t="s">
        <v>451</v>
      </c>
      <c r="EPM124" t="s">
        <v>451</v>
      </c>
      <c r="EPN124" t="s">
        <v>451</v>
      </c>
      <c r="EPO124" t="s">
        <v>451</v>
      </c>
      <c r="EPP124" t="s">
        <v>451</v>
      </c>
      <c r="EPQ124" t="s">
        <v>451</v>
      </c>
      <c r="EPR124" t="s">
        <v>451</v>
      </c>
      <c r="EPS124" t="s">
        <v>451</v>
      </c>
      <c r="EPT124" t="s">
        <v>451</v>
      </c>
      <c r="EPU124" t="s">
        <v>451</v>
      </c>
      <c r="EPV124" t="s">
        <v>451</v>
      </c>
      <c r="EPW124" t="s">
        <v>451</v>
      </c>
      <c r="EPX124" t="s">
        <v>451</v>
      </c>
      <c r="EPY124" t="s">
        <v>451</v>
      </c>
      <c r="EPZ124" t="s">
        <v>451</v>
      </c>
      <c r="EQA124" t="s">
        <v>451</v>
      </c>
      <c r="EQB124" t="s">
        <v>451</v>
      </c>
      <c r="EQC124" t="s">
        <v>451</v>
      </c>
      <c r="EQD124" t="s">
        <v>451</v>
      </c>
      <c r="EQE124" t="s">
        <v>451</v>
      </c>
      <c r="EQF124" t="s">
        <v>451</v>
      </c>
      <c r="EQG124" t="s">
        <v>451</v>
      </c>
      <c r="EQH124" t="s">
        <v>451</v>
      </c>
      <c r="EQI124" t="s">
        <v>451</v>
      </c>
      <c r="EQJ124" t="s">
        <v>451</v>
      </c>
      <c r="EQK124" t="s">
        <v>451</v>
      </c>
      <c r="EQL124" t="s">
        <v>451</v>
      </c>
      <c r="EQM124" t="s">
        <v>451</v>
      </c>
      <c r="EQN124" t="s">
        <v>451</v>
      </c>
      <c r="EQO124" t="s">
        <v>451</v>
      </c>
      <c r="EQP124" t="s">
        <v>451</v>
      </c>
      <c r="EQQ124" t="s">
        <v>451</v>
      </c>
      <c r="EQR124" t="s">
        <v>451</v>
      </c>
      <c r="EQS124" t="s">
        <v>451</v>
      </c>
      <c r="EQT124" t="s">
        <v>451</v>
      </c>
      <c r="EQU124" t="s">
        <v>451</v>
      </c>
      <c r="EQV124" t="s">
        <v>451</v>
      </c>
      <c r="EQW124" t="s">
        <v>451</v>
      </c>
      <c r="EQX124" t="s">
        <v>451</v>
      </c>
      <c r="EQY124" t="s">
        <v>451</v>
      </c>
      <c r="EQZ124" t="s">
        <v>451</v>
      </c>
      <c r="ERA124" t="s">
        <v>451</v>
      </c>
      <c r="ERB124" t="s">
        <v>451</v>
      </c>
      <c r="ERC124" t="s">
        <v>451</v>
      </c>
      <c r="ERD124" t="s">
        <v>451</v>
      </c>
      <c r="ERE124" t="s">
        <v>451</v>
      </c>
      <c r="ERF124" t="s">
        <v>451</v>
      </c>
      <c r="ERG124" t="s">
        <v>451</v>
      </c>
      <c r="ERH124" t="s">
        <v>451</v>
      </c>
      <c r="ERI124" t="s">
        <v>451</v>
      </c>
      <c r="ERJ124" t="s">
        <v>451</v>
      </c>
      <c r="ERK124" t="s">
        <v>451</v>
      </c>
      <c r="ERL124" t="s">
        <v>451</v>
      </c>
      <c r="ERM124" t="s">
        <v>451</v>
      </c>
      <c r="ERN124" t="s">
        <v>451</v>
      </c>
      <c r="ERO124" t="s">
        <v>451</v>
      </c>
      <c r="ERP124" t="s">
        <v>451</v>
      </c>
      <c r="ERQ124" t="s">
        <v>451</v>
      </c>
      <c r="ERR124" t="s">
        <v>451</v>
      </c>
      <c r="ERS124" t="s">
        <v>451</v>
      </c>
      <c r="ERT124" t="s">
        <v>451</v>
      </c>
      <c r="ERU124" t="s">
        <v>451</v>
      </c>
      <c r="ERV124" t="s">
        <v>451</v>
      </c>
      <c r="ERW124" t="s">
        <v>451</v>
      </c>
      <c r="ERX124" t="s">
        <v>451</v>
      </c>
      <c r="ERY124" t="s">
        <v>451</v>
      </c>
      <c r="ERZ124" t="s">
        <v>451</v>
      </c>
      <c r="ESA124" t="s">
        <v>451</v>
      </c>
      <c r="ESB124" t="s">
        <v>451</v>
      </c>
      <c r="ESC124" t="s">
        <v>451</v>
      </c>
      <c r="ESD124" t="s">
        <v>451</v>
      </c>
      <c r="ESE124" t="s">
        <v>451</v>
      </c>
      <c r="ESF124" t="s">
        <v>451</v>
      </c>
      <c r="ESG124" t="s">
        <v>451</v>
      </c>
      <c r="ESH124" t="s">
        <v>451</v>
      </c>
      <c r="ESI124" t="s">
        <v>451</v>
      </c>
      <c r="ESJ124" t="s">
        <v>451</v>
      </c>
      <c r="ESK124" t="s">
        <v>451</v>
      </c>
      <c r="ESL124" t="s">
        <v>451</v>
      </c>
      <c r="ESM124" t="s">
        <v>451</v>
      </c>
      <c r="ESN124" t="s">
        <v>451</v>
      </c>
      <c r="ESO124" t="s">
        <v>451</v>
      </c>
      <c r="ESP124" t="s">
        <v>451</v>
      </c>
      <c r="ESQ124" t="s">
        <v>451</v>
      </c>
      <c r="ESR124" t="s">
        <v>451</v>
      </c>
      <c r="ESS124" t="s">
        <v>451</v>
      </c>
      <c r="EST124" t="s">
        <v>451</v>
      </c>
      <c r="ESU124" t="s">
        <v>451</v>
      </c>
      <c r="ESV124" t="s">
        <v>451</v>
      </c>
      <c r="ESW124" t="s">
        <v>451</v>
      </c>
      <c r="ESX124" t="s">
        <v>451</v>
      </c>
      <c r="ESY124" t="s">
        <v>451</v>
      </c>
      <c r="ESZ124" t="s">
        <v>451</v>
      </c>
      <c r="ETA124" t="s">
        <v>451</v>
      </c>
      <c r="ETB124" t="s">
        <v>451</v>
      </c>
      <c r="ETC124" t="s">
        <v>451</v>
      </c>
      <c r="ETD124" t="s">
        <v>451</v>
      </c>
      <c r="ETE124" t="s">
        <v>451</v>
      </c>
      <c r="ETF124" t="s">
        <v>451</v>
      </c>
      <c r="ETG124" t="s">
        <v>451</v>
      </c>
      <c r="ETH124" t="s">
        <v>451</v>
      </c>
      <c r="ETI124" t="s">
        <v>451</v>
      </c>
      <c r="ETJ124" t="s">
        <v>451</v>
      </c>
      <c r="ETK124" t="s">
        <v>451</v>
      </c>
      <c r="ETL124" t="s">
        <v>451</v>
      </c>
      <c r="ETM124" t="s">
        <v>451</v>
      </c>
      <c r="ETN124" t="s">
        <v>451</v>
      </c>
      <c r="ETO124" t="s">
        <v>451</v>
      </c>
      <c r="ETP124" t="s">
        <v>451</v>
      </c>
      <c r="ETQ124" t="s">
        <v>451</v>
      </c>
      <c r="ETR124" t="s">
        <v>451</v>
      </c>
      <c r="ETS124" t="s">
        <v>451</v>
      </c>
      <c r="ETT124" t="s">
        <v>451</v>
      </c>
      <c r="ETU124" t="s">
        <v>451</v>
      </c>
      <c r="ETV124" t="s">
        <v>451</v>
      </c>
      <c r="ETW124" t="s">
        <v>451</v>
      </c>
      <c r="ETX124" t="s">
        <v>451</v>
      </c>
      <c r="ETY124" t="s">
        <v>451</v>
      </c>
      <c r="ETZ124" t="s">
        <v>451</v>
      </c>
      <c r="EUA124" t="s">
        <v>451</v>
      </c>
      <c r="EUB124" t="s">
        <v>451</v>
      </c>
      <c r="EUC124" t="s">
        <v>451</v>
      </c>
      <c r="EUD124" t="s">
        <v>451</v>
      </c>
      <c r="EUE124" t="s">
        <v>451</v>
      </c>
      <c r="EUF124" t="s">
        <v>451</v>
      </c>
      <c r="EUG124" t="s">
        <v>451</v>
      </c>
      <c r="EUH124" t="s">
        <v>451</v>
      </c>
      <c r="EUI124" t="s">
        <v>451</v>
      </c>
      <c r="EUJ124" t="s">
        <v>451</v>
      </c>
      <c r="EUK124" t="s">
        <v>451</v>
      </c>
      <c r="EUL124" t="s">
        <v>451</v>
      </c>
      <c r="EUM124" t="s">
        <v>451</v>
      </c>
      <c r="EUN124" t="s">
        <v>451</v>
      </c>
      <c r="EUO124" t="s">
        <v>451</v>
      </c>
      <c r="EUP124" t="s">
        <v>451</v>
      </c>
      <c r="EUQ124" t="s">
        <v>451</v>
      </c>
      <c r="EUR124" t="s">
        <v>451</v>
      </c>
      <c r="EUS124" t="s">
        <v>451</v>
      </c>
      <c r="EUT124" t="s">
        <v>451</v>
      </c>
      <c r="EUU124" t="s">
        <v>451</v>
      </c>
      <c r="EUV124" t="s">
        <v>451</v>
      </c>
      <c r="EUW124" t="s">
        <v>451</v>
      </c>
      <c r="EUX124" t="s">
        <v>451</v>
      </c>
      <c r="EUY124" t="s">
        <v>451</v>
      </c>
      <c r="EUZ124" t="s">
        <v>451</v>
      </c>
      <c r="EVA124" t="s">
        <v>451</v>
      </c>
      <c r="EVB124" t="s">
        <v>451</v>
      </c>
      <c r="EVC124" t="s">
        <v>451</v>
      </c>
      <c r="EVD124" t="s">
        <v>451</v>
      </c>
      <c r="EVE124" t="s">
        <v>451</v>
      </c>
      <c r="EVF124" t="s">
        <v>451</v>
      </c>
      <c r="EVG124" t="s">
        <v>451</v>
      </c>
      <c r="EVH124" t="s">
        <v>451</v>
      </c>
      <c r="EVI124" t="s">
        <v>451</v>
      </c>
      <c r="EVJ124" t="s">
        <v>451</v>
      </c>
      <c r="EVK124" t="s">
        <v>451</v>
      </c>
      <c r="EVL124" t="s">
        <v>451</v>
      </c>
      <c r="EVM124" t="s">
        <v>451</v>
      </c>
      <c r="EVN124" t="s">
        <v>451</v>
      </c>
      <c r="EVO124" t="s">
        <v>451</v>
      </c>
      <c r="EVP124" t="s">
        <v>451</v>
      </c>
      <c r="EVQ124" t="s">
        <v>451</v>
      </c>
      <c r="EVR124" t="s">
        <v>451</v>
      </c>
      <c r="EVS124" t="s">
        <v>451</v>
      </c>
      <c r="EVT124" t="s">
        <v>451</v>
      </c>
      <c r="EVU124" t="s">
        <v>451</v>
      </c>
      <c r="EVV124" t="s">
        <v>451</v>
      </c>
      <c r="EVW124" t="s">
        <v>451</v>
      </c>
      <c r="EVX124" t="s">
        <v>451</v>
      </c>
      <c r="EVY124" t="s">
        <v>451</v>
      </c>
      <c r="EVZ124" t="s">
        <v>451</v>
      </c>
      <c r="EWA124" t="s">
        <v>451</v>
      </c>
      <c r="EWB124" t="s">
        <v>451</v>
      </c>
      <c r="EWC124" t="s">
        <v>451</v>
      </c>
      <c r="EWD124" t="s">
        <v>451</v>
      </c>
      <c r="EWE124" t="s">
        <v>451</v>
      </c>
      <c r="EWF124" t="s">
        <v>451</v>
      </c>
      <c r="EWG124" t="s">
        <v>451</v>
      </c>
      <c r="EWH124" t="s">
        <v>451</v>
      </c>
      <c r="EWI124" t="s">
        <v>451</v>
      </c>
      <c r="EWJ124" t="s">
        <v>451</v>
      </c>
      <c r="EWK124" t="s">
        <v>451</v>
      </c>
      <c r="EWL124" t="s">
        <v>451</v>
      </c>
      <c r="EWM124" t="s">
        <v>451</v>
      </c>
      <c r="EWN124" t="s">
        <v>451</v>
      </c>
      <c r="EWO124" t="s">
        <v>451</v>
      </c>
      <c r="EWP124" t="s">
        <v>451</v>
      </c>
      <c r="EWQ124" t="s">
        <v>451</v>
      </c>
      <c r="EWR124" t="s">
        <v>451</v>
      </c>
      <c r="EWS124" t="s">
        <v>451</v>
      </c>
      <c r="EWT124" t="s">
        <v>451</v>
      </c>
      <c r="EWU124" t="s">
        <v>451</v>
      </c>
      <c r="EWV124" t="s">
        <v>451</v>
      </c>
      <c r="EWW124" t="s">
        <v>451</v>
      </c>
      <c r="EWX124" t="s">
        <v>451</v>
      </c>
      <c r="EWY124" t="s">
        <v>451</v>
      </c>
      <c r="EWZ124" t="s">
        <v>451</v>
      </c>
      <c r="EXA124" t="s">
        <v>451</v>
      </c>
      <c r="EXB124" t="s">
        <v>451</v>
      </c>
      <c r="EXC124" t="s">
        <v>451</v>
      </c>
      <c r="EXD124" t="s">
        <v>451</v>
      </c>
      <c r="EXE124" t="s">
        <v>451</v>
      </c>
      <c r="EXF124" t="s">
        <v>451</v>
      </c>
      <c r="EXG124" t="s">
        <v>451</v>
      </c>
      <c r="EXH124" t="s">
        <v>451</v>
      </c>
      <c r="EXI124" t="s">
        <v>451</v>
      </c>
      <c r="EXJ124" t="s">
        <v>451</v>
      </c>
      <c r="EXK124" t="s">
        <v>451</v>
      </c>
      <c r="EXL124" t="s">
        <v>451</v>
      </c>
      <c r="EXM124" t="s">
        <v>451</v>
      </c>
      <c r="EXN124" t="s">
        <v>451</v>
      </c>
      <c r="EXO124" t="s">
        <v>451</v>
      </c>
      <c r="EXP124" t="s">
        <v>451</v>
      </c>
      <c r="EXQ124" t="s">
        <v>451</v>
      </c>
      <c r="EXR124" t="s">
        <v>451</v>
      </c>
      <c r="EXS124" t="s">
        <v>451</v>
      </c>
      <c r="EXT124" t="s">
        <v>451</v>
      </c>
      <c r="EXU124" t="s">
        <v>451</v>
      </c>
      <c r="EXV124" t="s">
        <v>451</v>
      </c>
      <c r="EXW124" t="s">
        <v>451</v>
      </c>
      <c r="EXX124" t="s">
        <v>451</v>
      </c>
      <c r="EXY124" t="s">
        <v>451</v>
      </c>
      <c r="EXZ124" t="s">
        <v>451</v>
      </c>
      <c r="EYA124" t="s">
        <v>451</v>
      </c>
      <c r="EYB124" t="s">
        <v>451</v>
      </c>
      <c r="EYC124" t="s">
        <v>451</v>
      </c>
      <c r="EYD124" t="s">
        <v>451</v>
      </c>
      <c r="EYE124" t="s">
        <v>451</v>
      </c>
      <c r="EYF124" t="s">
        <v>451</v>
      </c>
      <c r="EYG124" t="s">
        <v>451</v>
      </c>
      <c r="EYH124" t="s">
        <v>451</v>
      </c>
      <c r="EYI124" t="s">
        <v>451</v>
      </c>
      <c r="EYJ124" t="s">
        <v>451</v>
      </c>
      <c r="EYK124" t="s">
        <v>451</v>
      </c>
      <c r="EYL124" t="s">
        <v>451</v>
      </c>
      <c r="EYM124" t="s">
        <v>451</v>
      </c>
      <c r="EYN124" t="s">
        <v>451</v>
      </c>
      <c r="EYO124" t="s">
        <v>451</v>
      </c>
      <c r="EYP124" t="s">
        <v>451</v>
      </c>
      <c r="EYQ124" t="s">
        <v>451</v>
      </c>
      <c r="EYR124" t="s">
        <v>451</v>
      </c>
      <c r="EYS124" t="s">
        <v>451</v>
      </c>
      <c r="EYT124" t="s">
        <v>451</v>
      </c>
      <c r="EYU124" t="s">
        <v>451</v>
      </c>
      <c r="EYV124" t="s">
        <v>451</v>
      </c>
      <c r="EYW124" t="s">
        <v>451</v>
      </c>
      <c r="EYX124" t="s">
        <v>451</v>
      </c>
      <c r="EYY124" t="s">
        <v>451</v>
      </c>
      <c r="EYZ124" t="s">
        <v>451</v>
      </c>
      <c r="EZA124" t="s">
        <v>451</v>
      </c>
      <c r="EZB124" t="s">
        <v>451</v>
      </c>
      <c r="EZC124" t="s">
        <v>451</v>
      </c>
      <c r="EZD124" t="s">
        <v>451</v>
      </c>
      <c r="EZE124" t="s">
        <v>451</v>
      </c>
      <c r="EZF124" t="s">
        <v>451</v>
      </c>
      <c r="EZG124" t="s">
        <v>451</v>
      </c>
      <c r="EZH124" t="s">
        <v>451</v>
      </c>
      <c r="EZI124" t="s">
        <v>451</v>
      </c>
      <c r="EZJ124" t="s">
        <v>451</v>
      </c>
      <c r="EZK124" t="s">
        <v>451</v>
      </c>
      <c r="EZL124" t="s">
        <v>451</v>
      </c>
      <c r="EZM124" t="s">
        <v>451</v>
      </c>
      <c r="EZN124" t="s">
        <v>451</v>
      </c>
      <c r="EZO124" t="s">
        <v>451</v>
      </c>
      <c r="EZP124" t="s">
        <v>451</v>
      </c>
      <c r="EZQ124" t="s">
        <v>451</v>
      </c>
      <c r="EZR124" t="s">
        <v>451</v>
      </c>
      <c r="EZS124" t="s">
        <v>451</v>
      </c>
      <c r="EZT124" t="s">
        <v>451</v>
      </c>
      <c r="EZU124" t="s">
        <v>451</v>
      </c>
      <c r="EZV124" t="s">
        <v>451</v>
      </c>
      <c r="EZW124" t="s">
        <v>451</v>
      </c>
      <c r="EZX124" t="s">
        <v>451</v>
      </c>
      <c r="EZY124" t="s">
        <v>451</v>
      </c>
      <c r="EZZ124" t="s">
        <v>451</v>
      </c>
      <c r="FAA124" t="s">
        <v>451</v>
      </c>
      <c r="FAB124" t="s">
        <v>451</v>
      </c>
      <c r="FAC124" t="s">
        <v>451</v>
      </c>
      <c r="FAD124" t="s">
        <v>451</v>
      </c>
      <c r="FAE124" t="s">
        <v>451</v>
      </c>
      <c r="FAF124" t="s">
        <v>451</v>
      </c>
      <c r="FAG124" t="s">
        <v>451</v>
      </c>
      <c r="FAH124" t="s">
        <v>451</v>
      </c>
      <c r="FAI124" t="s">
        <v>451</v>
      </c>
      <c r="FAJ124" t="s">
        <v>451</v>
      </c>
      <c r="FAK124" t="s">
        <v>451</v>
      </c>
      <c r="FAL124" t="s">
        <v>451</v>
      </c>
      <c r="FAM124" t="s">
        <v>451</v>
      </c>
      <c r="FAN124" t="s">
        <v>451</v>
      </c>
      <c r="FAO124" t="s">
        <v>451</v>
      </c>
      <c r="FAP124" t="s">
        <v>451</v>
      </c>
      <c r="FAQ124" t="s">
        <v>451</v>
      </c>
      <c r="FAR124" t="s">
        <v>451</v>
      </c>
      <c r="FAS124" t="s">
        <v>451</v>
      </c>
      <c r="FAT124" t="s">
        <v>451</v>
      </c>
      <c r="FAU124" t="s">
        <v>451</v>
      </c>
      <c r="FAV124" t="s">
        <v>451</v>
      </c>
      <c r="FAW124" t="s">
        <v>451</v>
      </c>
      <c r="FAX124" t="s">
        <v>451</v>
      </c>
      <c r="FAY124" t="s">
        <v>451</v>
      </c>
      <c r="FAZ124" t="s">
        <v>451</v>
      </c>
      <c r="FBA124" t="s">
        <v>451</v>
      </c>
      <c r="FBB124" t="s">
        <v>451</v>
      </c>
      <c r="FBC124" t="s">
        <v>451</v>
      </c>
      <c r="FBD124" t="s">
        <v>451</v>
      </c>
      <c r="FBE124" t="s">
        <v>451</v>
      </c>
      <c r="FBF124" t="s">
        <v>451</v>
      </c>
      <c r="FBG124" t="s">
        <v>451</v>
      </c>
      <c r="FBH124" t="s">
        <v>451</v>
      </c>
      <c r="FBI124" t="s">
        <v>451</v>
      </c>
      <c r="FBJ124" t="s">
        <v>451</v>
      </c>
      <c r="FBK124" t="s">
        <v>451</v>
      </c>
      <c r="FBL124" t="s">
        <v>451</v>
      </c>
      <c r="FBM124" t="s">
        <v>451</v>
      </c>
      <c r="FBN124" t="s">
        <v>451</v>
      </c>
      <c r="FBO124" t="s">
        <v>451</v>
      </c>
      <c r="FBP124" t="s">
        <v>451</v>
      </c>
      <c r="FBQ124" t="s">
        <v>451</v>
      </c>
      <c r="FBR124" t="s">
        <v>451</v>
      </c>
      <c r="FBS124" t="s">
        <v>451</v>
      </c>
      <c r="FBT124" t="s">
        <v>451</v>
      </c>
      <c r="FBU124" t="s">
        <v>451</v>
      </c>
      <c r="FBV124" t="s">
        <v>451</v>
      </c>
      <c r="FBW124" t="s">
        <v>451</v>
      </c>
      <c r="FBX124" t="s">
        <v>451</v>
      </c>
      <c r="FBY124" t="s">
        <v>451</v>
      </c>
      <c r="FBZ124" t="s">
        <v>451</v>
      </c>
      <c r="FCA124" t="s">
        <v>451</v>
      </c>
      <c r="FCB124" t="s">
        <v>451</v>
      </c>
      <c r="FCC124" t="s">
        <v>451</v>
      </c>
      <c r="FCD124" t="s">
        <v>451</v>
      </c>
      <c r="FCE124" t="s">
        <v>451</v>
      </c>
      <c r="FCF124" t="s">
        <v>451</v>
      </c>
      <c r="FCG124" t="s">
        <v>451</v>
      </c>
      <c r="FCH124" t="s">
        <v>451</v>
      </c>
      <c r="FCI124" t="s">
        <v>451</v>
      </c>
      <c r="FCJ124" t="s">
        <v>451</v>
      </c>
      <c r="FCK124" t="s">
        <v>451</v>
      </c>
      <c r="FCL124" t="s">
        <v>451</v>
      </c>
      <c r="FCM124" t="s">
        <v>451</v>
      </c>
      <c r="FCN124" t="s">
        <v>451</v>
      </c>
      <c r="FCO124" t="s">
        <v>451</v>
      </c>
      <c r="FCP124" t="s">
        <v>451</v>
      </c>
      <c r="FCQ124" t="s">
        <v>451</v>
      </c>
      <c r="FCR124" t="s">
        <v>451</v>
      </c>
      <c r="FCS124" t="s">
        <v>451</v>
      </c>
      <c r="FCT124" t="s">
        <v>451</v>
      </c>
      <c r="FCU124" t="s">
        <v>451</v>
      </c>
      <c r="FCV124" t="s">
        <v>451</v>
      </c>
      <c r="FCW124" t="s">
        <v>451</v>
      </c>
      <c r="FCX124" t="s">
        <v>451</v>
      </c>
      <c r="FCY124" t="s">
        <v>451</v>
      </c>
      <c r="FCZ124" t="s">
        <v>451</v>
      </c>
      <c r="FDA124" t="s">
        <v>451</v>
      </c>
      <c r="FDB124" t="s">
        <v>451</v>
      </c>
      <c r="FDC124" t="s">
        <v>451</v>
      </c>
      <c r="FDD124" t="s">
        <v>451</v>
      </c>
      <c r="FDE124" t="s">
        <v>451</v>
      </c>
      <c r="FDF124" t="s">
        <v>451</v>
      </c>
      <c r="FDG124" t="s">
        <v>451</v>
      </c>
      <c r="FDH124" t="s">
        <v>451</v>
      </c>
      <c r="FDI124" t="s">
        <v>451</v>
      </c>
      <c r="FDJ124" t="s">
        <v>451</v>
      </c>
      <c r="FDK124" t="s">
        <v>451</v>
      </c>
      <c r="FDL124" t="s">
        <v>451</v>
      </c>
      <c r="FDM124" t="s">
        <v>451</v>
      </c>
      <c r="FDN124" t="s">
        <v>451</v>
      </c>
      <c r="FDO124" t="s">
        <v>451</v>
      </c>
      <c r="FDP124" t="s">
        <v>451</v>
      </c>
      <c r="FDQ124" t="s">
        <v>451</v>
      </c>
      <c r="FDR124" t="s">
        <v>451</v>
      </c>
      <c r="FDS124" t="s">
        <v>451</v>
      </c>
      <c r="FDT124" t="s">
        <v>451</v>
      </c>
      <c r="FDU124" t="s">
        <v>451</v>
      </c>
      <c r="FDV124" t="s">
        <v>451</v>
      </c>
      <c r="FDW124" t="s">
        <v>451</v>
      </c>
      <c r="FDX124" t="s">
        <v>451</v>
      </c>
      <c r="FDY124" t="s">
        <v>451</v>
      </c>
      <c r="FDZ124" t="s">
        <v>451</v>
      </c>
      <c r="FEA124" t="s">
        <v>451</v>
      </c>
      <c r="FEB124" t="s">
        <v>451</v>
      </c>
      <c r="FEC124" t="s">
        <v>451</v>
      </c>
      <c r="FED124" t="s">
        <v>451</v>
      </c>
      <c r="FEE124" t="s">
        <v>451</v>
      </c>
      <c r="FEF124" t="s">
        <v>451</v>
      </c>
      <c r="FEG124" t="s">
        <v>451</v>
      </c>
      <c r="FEH124" t="s">
        <v>451</v>
      </c>
      <c r="FEI124" t="s">
        <v>451</v>
      </c>
      <c r="FEJ124" t="s">
        <v>451</v>
      </c>
      <c r="FEK124" t="s">
        <v>451</v>
      </c>
      <c r="FEL124" t="s">
        <v>451</v>
      </c>
      <c r="FEM124" t="s">
        <v>451</v>
      </c>
      <c r="FEN124" t="s">
        <v>451</v>
      </c>
      <c r="FEO124" t="s">
        <v>451</v>
      </c>
      <c r="FEP124" t="s">
        <v>451</v>
      </c>
      <c r="FEQ124" t="s">
        <v>451</v>
      </c>
      <c r="FER124" t="s">
        <v>451</v>
      </c>
      <c r="FES124" t="s">
        <v>451</v>
      </c>
      <c r="FET124" t="s">
        <v>451</v>
      </c>
      <c r="FEU124" t="s">
        <v>451</v>
      </c>
      <c r="FEV124" t="s">
        <v>451</v>
      </c>
      <c r="FEW124" t="s">
        <v>451</v>
      </c>
      <c r="FEX124" t="s">
        <v>451</v>
      </c>
      <c r="FEY124" t="s">
        <v>451</v>
      </c>
      <c r="FEZ124" t="s">
        <v>451</v>
      </c>
      <c r="FFA124" t="s">
        <v>451</v>
      </c>
      <c r="FFB124" t="s">
        <v>451</v>
      </c>
      <c r="FFC124" t="s">
        <v>451</v>
      </c>
      <c r="FFD124" t="s">
        <v>451</v>
      </c>
      <c r="FFE124" t="s">
        <v>451</v>
      </c>
      <c r="FFF124" t="s">
        <v>451</v>
      </c>
      <c r="FFG124" t="s">
        <v>451</v>
      </c>
      <c r="FFH124" t="s">
        <v>451</v>
      </c>
      <c r="FFI124" t="s">
        <v>451</v>
      </c>
      <c r="FFJ124" t="s">
        <v>451</v>
      </c>
      <c r="FFK124" t="s">
        <v>451</v>
      </c>
      <c r="FFL124" t="s">
        <v>451</v>
      </c>
      <c r="FFM124" t="s">
        <v>451</v>
      </c>
      <c r="FFN124" t="s">
        <v>451</v>
      </c>
      <c r="FFO124" t="s">
        <v>451</v>
      </c>
      <c r="FFP124" t="s">
        <v>451</v>
      </c>
      <c r="FFQ124" t="s">
        <v>451</v>
      </c>
      <c r="FFR124" t="s">
        <v>451</v>
      </c>
      <c r="FFS124" t="s">
        <v>451</v>
      </c>
      <c r="FFT124" t="s">
        <v>451</v>
      </c>
      <c r="FFU124" t="s">
        <v>451</v>
      </c>
      <c r="FFV124" t="s">
        <v>451</v>
      </c>
      <c r="FFW124" t="s">
        <v>451</v>
      </c>
      <c r="FFX124" t="s">
        <v>451</v>
      </c>
      <c r="FFY124" t="s">
        <v>451</v>
      </c>
      <c r="FFZ124" t="s">
        <v>451</v>
      </c>
      <c r="FGA124" t="s">
        <v>451</v>
      </c>
      <c r="FGB124" t="s">
        <v>451</v>
      </c>
      <c r="FGC124" t="s">
        <v>451</v>
      </c>
      <c r="FGD124" t="s">
        <v>451</v>
      </c>
      <c r="FGE124" t="s">
        <v>451</v>
      </c>
      <c r="FGF124" t="s">
        <v>451</v>
      </c>
      <c r="FGG124" t="s">
        <v>451</v>
      </c>
      <c r="FGH124" t="s">
        <v>451</v>
      </c>
      <c r="FGI124" t="s">
        <v>451</v>
      </c>
      <c r="FGJ124" t="s">
        <v>451</v>
      </c>
      <c r="FGK124" t="s">
        <v>451</v>
      </c>
      <c r="FGL124" t="s">
        <v>451</v>
      </c>
      <c r="FGM124" t="s">
        <v>451</v>
      </c>
      <c r="FGN124" t="s">
        <v>451</v>
      </c>
      <c r="FGO124" t="s">
        <v>451</v>
      </c>
      <c r="FGP124" t="s">
        <v>451</v>
      </c>
      <c r="FGQ124" t="s">
        <v>451</v>
      </c>
      <c r="FGR124" t="s">
        <v>451</v>
      </c>
      <c r="FGS124" t="s">
        <v>451</v>
      </c>
      <c r="FGT124" t="s">
        <v>451</v>
      </c>
      <c r="FGU124" t="s">
        <v>451</v>
      </c>
      <c r="FGV124" t="s">
        <v>451</v>
      </c>
      <c r="FGW124" t="s">
        <v>451</v>
      </c>
      <c r="FGX124" t="s">
        <v>451</v>
      </c>
      <c r="FGY124" t="s">
        <v>451</v>
      </c>
      <c r="FGZ124" t="s">
        <v>451</v>
      </c>
      <c r="FHA124" t="s">
        <v>451</v>
      </c>
      <c r="FHB124" t="s">
        <v>451</v>
      </c>
      <c r="FHC124" t="s">
        <v>451</v>
      </c>
      <c r="FHD124" t="s">
        <v>451</v>
      </c>
      <c r="FHE124" t="s">
        <v>451</v>
      </c>
      <c r="FHF124" t="s">
        <v>451</v>
      </c>
      <c r="FHG124" t="s">
        <v>451</v>
      </c>
      <c r="FHH124" t="s">
        <v>451</v>
      </c>
      <c r="FHI124" t="s">
        <v>451</v>
      </c>
      <c r="FHJ124" t="s">
        <v>451</v>
      </c>
      <c r="FHK124" t="s">
        <v>451</v>
      </c>
      <c r="FHL124" t="s">
        <v>451</v>
      </c>
      <c r="FHM124" t="s">
        <v>451</v>
      </c>
      <c r="FHN124" t="s">
        <v>451</v>
      </c>
      <c r="FHO124" t="s">
        <v>451</v>
      </c>
      <c r="FHP124" t="s">
        <v>451</v>
      </c>
      <c r="FHQ124" t="s">
        <v>451</v>
      </c>
      <c r="FHR124" t="s">
        <v>451</v>
      </c>
      <c r="FHS124" t="s">
        <v>451</v>
      </c>
      <c r="FHT124" t="s">
        <v>451</v>
      </c>
      <c r="FHU124" t="s">
        <v>451</v>
      </c>
      <c r="FHV124" t="s">
        <v>451</v>
      </c>
      <c r="FHW124" t="s">
        <v>451</v>
      </c>
      <c r="FHX124" t="s">
        <v>451</v>
      </c>
      <c r="FHY124" t="s">
        <v>451</v>
      </c>
      <c r="FHZ124" t="s">
        <v>451</v>
      </c>
      <c r="FIA124" t="s">
        <v>451</v>
      </c>
      <c r="FIB124" t="s">
        <v>451</v>
      </c>
      <c r="FIC124" t="s">
        <v>451</v>
      </c>
      <c r="FID124" t="s">
        <v>451</v>
      </c>
      <c r="FIE124" t="s">
        <v>451</v>
      </c>
      <c r="FIF124" t="s">
        <v>451</v>
      </c>
      <c r="FIG124" t="s">
        <v>451</v>
      </c>
      <c r="FIH124" t="s">
        <v>451</v>
      </c>
      <c r="FII124" t="s">
        <v>451</v>
      </c>
      <c r="FIJ124" t="s">
        <v>451</v>
      </c>
      <c r="FIK124" t="s">
        <v>451</v>
      </c>
      <c r="FIL124" t="s">
        <v>451</v>
      </c>
      <c r="FIM124" t="s">
        <v>451</v>
      </c>
      <c r="FIN124" t="s">
        <v>451</v>
      </c>
      <c r="FIO124" t="s">
        <v>451</v>
      </c>
      <c r="FIP124" t="s">
        <v>451</v>
      </c>
      <c r="FIQ124" t="s">
        <v>451</v>
      </c>
      <c r="FIR124" t="s">
        <v>451</v>
      </c>
      <c r="FIS124" t="s">
        <v>451</v>
      </c>
      <c r="FIT124" t="s">
        <v>451</v>
      </c>
      <c r="FIU124" t="s">
        <v>451</v>
      </c>
      <c r="FIV124" t="s">
        <v>451</v>
      </c>
      <c r="FIW124" t="s">
        <v>451</v>
      </c>
      <c r="FIX124" t="s">
        <v>451</v>
      </c>
      <c r="FIY124" t="s">
        <v>451</v>
      </c>
      <c r="FIZ124" t="s">
        <v>451</v>
      </c>
      <c r="FJA124" t="s">
        <v>451</v>
      </c>
      <c r="FJB124" t="s">
        <v>451</v>
      </c>
      <c r="FJC124" t="s">
        <v>451</v>
      </c>
      <c r="FJD124" t="s">
        <v>451</v>
      </c>
      <c r="FJE124" t="s">
        <v>451</v>
      </c>
      <c r="FJF124" t="s">
        <v>451</v>
      </c>
      <c r="FJG124" t="s">
        <v>451</v>
      </c>
      <c r="FJH124" t="s">
        <v>451</v>
      </c>
      <c r="FJI124" t="s">
        <v>451</v>
      </c>
      <c r="FJJ124" t="s">
        <v>451</v>
      </c>
      <c r="FJK124" t="s">
        <v>451</v>
      </c>
      <c r="FJL124" t="s">
        <v>451</v>
      </c>
      <c r="FJM124" t="s">
        <v>451</v>
      </c>
      <c r="FJN124" t="s">
        <v>451</v>
      </c>
      <c r="FJO124" t="s">
        <v>451</v>
      </c>
      <c r="FJP124" t="s">
        <v>451</v>
      </c>
      <c r="FJQ124" t="s">
        <v>451</v>
      </c>
      <c r="FJR124" t="s">
        <v>451</v>
      </c>
      <c r="FJS124" t="s">
        <v>451</v>
      </c>
      <c r="FJT124" t="s">
        <v>451</v>
      </c>
      <c r="FJU124" t="s">
        <v>451</v>
      </c>
      <c r="FJV124" t="s">
        <v>451</v>
      </c>
      <c r="FJW124" t="s">
        <v>451</v>
      </c>
      <c r="FJX124" t="s">
        <v>451</v>
      </c>
      <c r="FJY124" t="s">
        <v>451</v>
      </c>
      <c r="FJZ124" t="s">
        <v>451</v>
      </c>
      <c r="FKA124" t="s">
        <v>451</v>
      </c>
      <c r="FKB124" t="s">
        <v>451</v>
      </c>
      <c r="FKC124" t="s">
        <v>451</v>
      </c>
      <c r="FKD124" t="s">
        <v>451</v>
      </c>
      <c r="FKE124" t="s">
        <v>451</v>
      </c>
      <c r="FKF124" t="s">
        <v>451</v>
      </c>
      <c r="FKG124" t="s">
        <v>451</v>
      </c>
      <c r="FKH124" t="s">
        <v>451</v>
      </c>
      <c r="FKI124" t="s">
        <v>451</v>
      </c>
      <c r="FKJ124" t="s">
        <v>451</v>
      </c>
      <c r="FKK124" t="s">
        <v>451</v>
      </c>
      <c r="FKL124" t="s">
        <v>451</v>
      </c>
      <c r="FKM124" t="s">
        <v>451</v>
      </c>
      <c r="FKN124" t="s">
        <v>451</v>
      </c>
      <c r="FKO124" t="s">
        <v>451</v>
      </c>
      <c r="FKP124" t="s">
        <v>451</v>
      </c>
      <c r="FKQ124" t="s">
        <v>451</v>
      </c>
      <c r="FKR124" t="s">
        <v>451</v>
      </c>
      <c r="FKS124" t="s">
        <v>451</v>
      </c>
      <c r="FKT124" t="s">
        <v>451</v>
      </c>
      <c r="FKU124" t="s">
        <v>451</v>
      </c>
      <c r="FKV124" t="s">
        <v>451</v>
      </c>
      <c r="FKW124" t="s">
        <v>451</v>
      </c>
      <c r="FKX124" t="s">
        <v>451</v>
      </c>
      <c r="FKY124" t="s">
        <v>451</v>
      </c>
      <c r="FKZ124" t="s">
        <v>451</v>
      </c>
      <c r="FLA124" t="s">
        <v>451</v>
      </c>
      <c r="FLB124" t="s">
        <v>451</v>
      </c>
      <c r="FLC124" t="s">
        <v>451</v>
      </c>
      <c r="FLD124" t="s">
        <v>451</v>
      </c>
      <c r="FLE124" t="s">
        <v>451</v>
      </c>
      <c r="FLF124" t="s">
        <v>451</v>
      </c>
      <c r="FLG124" t="s">
        <v>451</v>
      </c>
      <c r="FLH124" t="s">
        <v>451</v>
      </c>
      <c r="FLI124" t="s">
        <v>451</v>
      </c>
      <c r="FLJ124" t="s">
        <v>451</v>
      </c>
      <c r="FLK124" t="s">
        <v>451</v>
      </c>
      <c r="FLL124" t="s">
        <v>451</v>
      </c>
      <c r="FLM124" t="s">
        <v>451</v>
      </c>
      <c r="FLN124" t="s">
        <v>451</v>
      </c>
      <c r="FLO124" t="s">
        <v>451</v>
      </c>
      <c r="FLP124" t="s">
        <v>451</v>
      </c>
      <c r="FLQ124" t="s">
        <v>451</v>
      </c>
      <c r="FLR124" t="s">
        <v>451</v>
      </c>
      <c r="FLS124" t="s">
        <v>451</v>
      </c>
      <c r="FLT124" t="s">
        <v>451</v>
      </c>
      <c r="FLU124" t="s">
        <v>451</v>
      </c>
      <c r="FLV124" t="s">
        <v>451</v>
      </c>
      <c r="FLW124" t="s">
        <v>451</v>
      </c>
      <c r="FLX124" t="s">
        <v>451</v>
      </c>
      <c r="FLY124" t="s">
        <v>451</v>
      </c>
      <c r="FLZ124" t="s">
        <v>451</v>
      </c>
      <c r="FMA124" t="s">
        <v>451</v>
      </c>
      <c r="FMB124" t="s">
        <v>451</v>
      </c>
      <c r="FMC124" t="s">
        <v>451</v>
      </c>
      <c r="FMD124" t="s">
        <v>451</v>
      </c>
      <c r="FME124" t="s">
        <v>451</v>
      </c>
      <c r="FMF124" t="s">
        <v>451</v>
      </c>
      <c r="FMG124" t="s">
        <v>451</v>
      </c>
      <c r="FMH124" t="s">
        <v>451</v>
      </c>
      <c r="FMI124" t="s">
        <v>451</v>
      </c>
      <c r="FMJ124" t="s">
        <v>451</v>
      </c>
      <c r="FMK124" t="s">
        <v>451</v>
      </c>
      <c r="FML124" t="s">
        <v>451</v>
      </c>
      <c r="FMM124" t="s">
        <v>451</v>
      </c>
      <c r="FMN124" t="s">
        <v>451</v>
      </c>
      <c r="FMO124" t="s">
        <v>451</v>
      </c>
      <c r="FMP124" t="s">
        <v>451</v>
      </c>
      <c r="FMQ124" t="s">
        <v>451</v>
      </c>
      <c r="FMR124" t="s">
        <v>451</v>
      </c>
      <c r="FMS124" t="s">
        <v>451</v>
      </c>
      <c r="FMT124" t="s">
        <v>451</v>
      </c>
      <c r="FMU124" t="s">
        <v>451</v>
      </c>
      <c r="FMV124" t="s">
        <v>451</v>
      </c>
      <c r="FMW124" t="s">
        <v>451</v>
      </c>
      <c r="FMX124" t="s">
        <v>451</v>
      </c>
      <c r="FMY124" t="s">
        <v>451</v>
      </c>
      <c r="FMZ124" t="s">
        <v>451</v>
      </c>
      <c r="FNA124" t="s">
        <v>451</v>
      </c>
      <c r="FNB124" t="s">
        <v>451</v>
      </c>
      <c r="FNC124" t="s">
        <v>451</v>
      </c>
      <c r="FND124" t="s">
        <v>451</v>
      </c>
      <c r="FNE124" t="s">
        <v>451</v>
      </c>
      <c r="FNF124" t="s">
        <v>451</v>
      </c>
      <c r="FNG124" t="s">
        <v>451</v>
      </c>
      <c r="FNH124" t="s">
        <v>451</v>
      </c>
      <c r="FNI124" t="s">
        <v>451</v>
      </c>
      <c r="FNJ124" t="s">
        <v>451</v>
      </c>
      <c r="FNK124" t="s">
        <v>451</v>
      </c>
      <c r="FNL124" t="s">
        <v>451</v>
      </c>
      <c r="FNM124" t="s">
        <v>451</v>
      </c>
      <c r="FNN124" t="s">
        <v>451</v>
      </c>
      <c r="FNO124" t="s">
        <v>451</v>
      </c>
      <c r="FNP124" t="s">
        <v>451</v>
      </c>
      <c r="FNQ124" t="s">
        <v>451</v>
      </c>
      <c r="FNR124" t="s">
        <v>451</v>
      </c>
      <c r="FNS124" t="s">
        <v>451</v>
      </c>
      <c r="FNT124" t="s">
        <v>451</v>
      </c>
      <c r="FNU124" t="s">
        <v>451</v>
      </c>
      <c r="FNV124" t="s">
        <v>451</v>
      </c>
      <c r="FNW124" t="s">
        <v>451</v>
      </c>
      <c r="FNX124" t="s">
        <v>451</v>
      </c>
      <c r="FNY124" t="s">
        <v>451</v>
      </c>
      <c r="FNZ124" t="s">
        <v>451</v>
      </c>
      <c r="FOA124" t="s">
        <v>451</v>
      </c>
      <c r="FOB124" t="s">
        <v>451</v>
      </c>
      <c r="FOC124" t="s">
        <v>451</v>
      </c>
      <c r="FOD124" t="s">
        <v>451</v>
      </c>
      <c r="FOE124" t="s">
        <v>451</v>
      </c>
      <c r="FOF124" t="s">
        <v>451</v>
      </c>
      <c r="FOG124" t="s">
        <v>451</v>
      </c>
      <c r="FOH124" t="s">
        <v>451</v>
      </c>
      <c r="FOI124" t="s">
        <v>451</v>
      </c>
      <c r="FOJ124" t="s">
        <v>451</v>
      </c>
      <c r="FOK124" t="s">
        <v>451</v>
      </c>
      <c r="FOL124" t="s">
        <v>451</v>
      </c>
      <c r="FOM124" t="s">
        <v>451</v>
      </c>
      <c r="FON124" t="s">
        <v>451</v>
      </c>
      <c r="FOO124" t="s">
        <v>451</v>
      </c>
      <c r="FOP124" t="s">
        <v>451</v>
      </c>
      <c r="FOQ124" t="s">
        <v>451</v>
      </c>
      <c r="FOR124" t="s">
        <v>451</v>
      </c>
      <c r="FOS124" t="s">
        <v>451</v>
      </c>
      <c r="FOT124" t="s">
        <v>451</v>
      </c>
      <c r="FOU124" t="s">
        <v>451</v>
      </c>
      <c r="FOV124" t="s">
        <v>451</v>
      </c>
      <c r="FOW124" t="s">
        <v>451</v>
      </c>
      <c r="FOX124" t="s">
        <v>451</v>
      </c>
      <c r="FOY124" t="s">
        <v>451</v>
      </c>
      <c r="FOZ124" t="s">
        <v>451</v>
      </c>
      <c r="FPA124" t="s">
        <v>451</v>
      </c>
      <c r="FPB124" t="s">
        <v>451</v>
      </c>
      <c r="FPC124" t="s">
        <v>451</v>
      </c>
      <c r="FPD124" t="s">
        <v>451</v>
      </c>
      <c r="FPE124" t="s">
        <v>451</v>
      </c>
      <c r="FPF124" t="s">
        <v>451</v>
      </c>
      <c r="FPG124" t="s">
        <v>451</v>
      </c>
      <c r="FPH124" t="s">
        <v>451</v>
      </c>
      <c r="FPI124" t="s">
        <v>451</v>
      </c>
      <c r="FPJ124" t="s">
        <v>451</v>
      </c>
      <c r="FPK124" t="s">
        <v>451</v>
      </c>
      <c r="FPL124" t="s">
        <v>451</v>
      </c>
      <c r="FPM124" t="s">
        <v>451</v>
      </c>
      <c r="FPN124" t="s">
        <v>451</v>
      </c>
      <c r="FPO124" t="s">
        <v>451</v>
      </c>
      <c r="FPP124" t="s">
        <v>451</v>
      </c>
      <c r="FPQ124" t="s">
        <v>451</v>
      </c>
      <c r="FPR124" t="s">
        <v>451</v>
      </c>
      <c r="FPS124" t="s">
        <v>451</v>
      </c>
      <c r="FPT124" t="s">
        <v>451</v>
      </c>
      <c r="FPU124" t="s">
        <v>451</v>
      </c>
      <c r="FPV124" t="s">
        <v>451</v>
      </c>
      <c r="FPW124" t="s">
        <v>451</v>
      </c>
      <c r="FPX124" t="s">
        <v>451</v>
      </c>
      <c r="FPY124" t="s">
        <v>451</v>
      </c>
      <c r="FPZ124" t="s">
        <v>451</v>
      </c>
      <c r="FQA124" t="s">
        <v>451</v>
      </c>
      <c r="FQB124" t="s">
        <v>451</v>
      </c>
      <c r="FQC124" t="s">
        <v>451</v>
      </c>
      <c r="FQD124" t="s">
        <v>451</v>
      </c>
      <c r="FQE124" t="s">
        <v>451</v>
      </c>
      <c r="FQF124" t="s">
        <v>451</v>
      </c>
      <c r="FQG124" t="s">
        <v>451</v>
      </c>
      <c r="FQH124" t="s">
        <v>451</v>
      </c>
      <c r="FQI124" t="s">
        <v>451</v>
      </c>
      <c r="FQJ124" t="s">
        <v>451</v>
      </c>
      <c r="FQK124" t="s">
        <v>451</v>
      </c>
      <c r="FQL124" t="s">
        <v>451</v>
      </c>
      <c r="FQM124" t="s">
        <v>451</v>
      </c>
      <c r="FQN124" t="s">
        <v>451</v>
      </c>
      <c r="FQO124" t="s">
        <v>451</v>
      </c>
      <c r="FQP124" t="s">
        <v>451</v>
      </c>
      <c r="FQQ124" t="s">
        <v>451</v>
      </c>
      <c r="FQR124" t="s">
        <v>451</v>
      </c>
      <c r="FQS124" t="s">
        <v>451</v>
      </c>
      <c r="FQT124" t="s">
        <v>451</v>
      </c>
      <c r="FQU124" t="s">
        <v>451</v>
      </c>
      <c r="FQV124" t="s">
        <v>451</v>
      </c>
      <c r="FQW124" t="s">
        <v>451</v>
      </c>
      <c r="FQX124" t="s">
        <v>451</v>
      </c>
      <c r="FQY124" t="s">
        <v>451</v>
      </c>
      <c r="FQZ124" t="s">
        <v>451</v>
      </c>
      <c r="FRA124" t="s">
        <v>451</v>
      </c>
      <c r="FRB124" t="s">
        <v>451</v>
      </c>
      <c r="FRC124" t="s">
        <v>451</v>
      </c>
      <c r="FRD124" t="s">
        <v>451</v>
      </c>
      <c r="FRE124" t="s">
        <v>451</v>
      </c>
      <c r="FRF124" t="s">
        <v>451</v>
      </c>
      <c r="FRG124" t="s">
        <v>451</v>
      </c>
      <c r="FRH124" t="s">
        <v>451</v>
      </c>
      <c r="FRI124" t="s">
        <v>451</v>
      </c>
      <c r="FRJ124" t="s">
        <v>451</v>
      </c>
      <c r="FRK124" t="s">
        <v>451</v>
      </c>
      <c r="FRL124" t="s">
        <v>451</v>
      </c>
      <c r="FRM124" t="s">
        <v>451</v>
      </c>
      <c r="FRN124" t="s">
        <v>451</v>
      </c>
      <c r="FRO124" t="s">
        <v>451</v>
      </c>
      <c r="FRP124" t="s">
        <v>451</v>
      </c>
      <c r="FRQ124" t="s">
        <v>451</v>
      </c>
      <c r="FRR124" t="s">
        <v>451</v>
      </c>
      <c r="FRS124" t="s">
        <v>451</v>
      </c>
      <c r="FRT124" t="s">
        <v>451</v>
      </c>
      <c r="FRU124" t="s">
        <v>451</v>
      </c>
      <c r="FRV124" t="s">
        <v>451</v>
      </c>
      <c r="FRW124" t="s">
        <v>451</v>
      </c>
      <c r="FRX124" t="s">
        <v>451</v>
      </c>
      <c r="FRY124" t="s">
        <v>451</v>
      </c>
      <c r="FRZ124" t="s">
        <v>451</v>
      </c>
      <c r="FSA124" t="s">
        <v>451</v>
      </c>
      <c r="FSB124" t="s">
        <v>451</v>
      </c>
      <c r="FSC124" t="s">
        <v>451</v>
      </c>
      <c r="FSD124" t="s">
        <v>451</v>
      </c>
      <c r="FSE124" t="s">
        <v>451</v>
      </c>
      <c r="FSF124" t="s">
        <v>451</v>
      </c>
      <c r="FSG124" t="s">
        <v>451</v>
      </c>
      <c r="FSH124" t="s">
        <v>451</v>
      </c>
      <c r="FSI124" t="s">
        <v>451</v>
      </c>
      <c r="FSJ124" t="s">
        <v>451</v>
      </c>
      <c r="FSK124" t="s">
        <v>451</v>
      </c>
      <c r="FSL124" t="s">
        <v>451</v>
      </c>
      <c r="FSM124" t="s">
        <v>451</v>
      </c>
      <c r="FSN124" t="s">
        <v>451</v>
      </c>
      <c r="FSO124" t="s">
        <v>451</v>
      </c>
      <c r="FSP124" t="s">
        <v>451</v>
      </c>
      <c r="FSQ124" t="s">
        <v>451</v>
      </c>
      <c r="FSR124" t="s">
        <v>451</v>
      </c>
      <c r="FSS124" t="s">
        <v>451</v>
      </c>
      <c r="FST124" t="s">
        <v>451</v>
      </c>
      <c r="FSU124" t="s">
        <v>451</v>
      </c>
      <c r="FSV124" t="s">
        <v>451</v>
      </c>
      <c r="FSW124" t="s">
        <v>451</v>
      </c>
      <c r="FSX124" t="s">
        <v>451</v>
      </c>
      <c r="FSY124" t="s">
        <v>451</v>
      </c>
      <c r="FSZ124" t="s">
        <v>451</v>
      </c>
      <c r="FTA124" t="s">
        <v>451</v>
      </c>
      <c r="FTB124" t="s">
        <v>451</v>
      </c>
      <c r="FTC124" t="s">
        <v>451</v>
      </c>
      <c r="FTD124" t="s">
        <v>451</v>
      </c>
      <c r="FTE124" t="s">
        <v>451</v>
      </c>
      <c r="FTF124" t="s">
        <v>451</v>
      </c>
      <c r="FTG124" t="s">
        <v>451</v>
      </c>
      <c r="FTH124" t="s">
        <v>451</v>
      </c>
      <c r="FTI124" t="s">
        <v>451</v>
      </c>
      <c r="FTJ124" t="s">
        <v>451</v>
      </c>
      <c r="FTK124" t="s">
        <v>451</v>
      </c>
      <c r="FTL124" t="s">
        <v>451</v>
      </c>
      <c r="FTM124" t="s">
        <v>451</v>
      </c>
      <c r="FTN124" t="s">
        <v>451</v>
      </c>
      <c r="FTO124" t="s">
        <v>451</v>
      </c>
      <c r="FTP124" t="s">
        <v>451</v>
      </c>
      <c r="FTQ124" t="s">
        <v>451</v>
      </c>
      <c r="FTR124" t="s">
        <v>451</v>
      </c>
      <c r="FTS124" t="s">
        <v>451</v>
      </c>
      <c r="FTT124" t="s">
        <v>451</v>
      </c>
      <c r="FTU124" t="s">
        <v>451</v>
      </c>
      <c r="FTV124" t="s">
        <v>451</v>
      </c>
      <c r="FTW124" t="s">
        <v>451</v>
      </c>
      <c r="FTX124" t="s">
        <v>451</v>
      </c>
      <c r="FTY124" t="s">
        <v>451</v>
      </c>
      <c r="FTZ124" t="s">
        <v>451</v>
      </c>
      <c r="FUA124" t="s">
        <v>451</v>
      </c>
      <c r="FUB124" t="s">
        <v>451</v>
      </c>
      <c r="FUC124" t="s">
        <v>451</v>
      </c>
      <c r="FUD124" t="s">
        <v>451</v>
      </c>
      <c r="FUE124" t="s">
        <v>451</v>
      </c>
      <c r="FUF124" t="s">
        <v>451</v>
      </c>
      <c r="FUG124" t="s">
        <v>451</v>
      </c>
      <c r="FUH124" t="s">
        <v>451</v>
      </c>
      <c r="FUI124" t="s">
        <v>451</v>
      </c>
      <c r="FUJ124" t="s">
        <v>451</v>
      </c>
      <c r="FUK124" t="s">
        <v>451</v>
      </c>
      <c r="FUL124" t="s">
        <v>451</v>
      </c>
      <c r="FUM124" t="s">
        <v>451</v>
      </c>
      <c r="FUN124" t="s">
        <v>451</v>
      </c>
      <c r="FUO124" t="s">
        <v>451</v>
      </c>
      <c r="FUP124" t="s">
        <v>451</v>
      </c>
      <c r="FUQ124" t="s">
        <v>451</v>
      </c>
      <c r="FUR124" t="s">
        <v>451</v>
      </c>
      <c r="FUS124" t="s">
        <v>451</v>
      </c>
      <c r="FUT124" t="s">
        <v>451</v>
      </c>
      <c r="FUU124" t="s">
        <v>451</v>
      </c>
      <c r="FUV124" t="s">
        <v>451</v>
      </c>
      <c r="FUW124" t="s">
        <v>451</v>
      </c>
      <c r="FUX124" t="s">
        <v>451</v>
      </c>
      <c r="FUY124" t="s">
        <v>451</v>
      </c>
      <c r="FUZ124" t="s">
        <v>451</v>
      </c>
      <c r="FVA124" t="s">
        <v>451</v>
      </c>
      <c r="FVB124" t="s">
        <v>451</v>
      </c>
      <c r="FVC124" t="s">
        <v>451</v>
      </c>
      <c r="FVD124" t="s">
        <v>451</v>
      </c>
      <c r="FVE124" t="s">
        <v>451</v>
      </c>
      <c r="FVF124" t="s">
        <v>451</v>
      </c>
      <c r="FVG124" t="s">
        <v>451</v>
      </c>
      <c r="FVH124" t="s">
        <v>451</v>
      </c>
      <c r="FVI124" t="s">
        <v>451</v>
      </c>
      <c r="FVJ124" t="s">
        <v>451</v>
      </c>
      <c r="FVK124" t="s">
        <v>451</v>
      </c>
      <c r="FVL124" t="s">
        <v>451</v>
      </c>
      <c r="FVM124" t="s">
        <v>451</v>
      </c>
      <c r="FVN124" t="s">
        <v>451</v>
      </c>
      <c r="FVO124" t="s">
        <v>451</v>
      </c>
      <c r="FVP124" t="s">
        <v>451</v>
      </c>
      <c r="FVQ124" t="s">
        <v>451</v>
      </c>
      <c r="FVR124" t="s">
        <v>451</v>
      </c>
      <c r="FVS124" t="s">
        <v>451</v>
      </c>
      <c r="FVT124" t="s">
        <v>451</v>
      </c>
      <c r="FVU124" t="s">
        <v>451</v>
      </c>
      <c r="FVV124" t="s">
        <v>451</v>
      </c>
      <c r="FVW124" t="s">
        <v>451</v>
      </c>
      <c r="FVX124" t="s">
        <v>451</v>
      </c>
      <c r="FVY124" t="s">
        <v>451</v>
      </c>
      <c r="FVZ124" t="s">
        <v>451</v>
      </c>
      <c r="FWA124" t="s">
        <v>451</v>
      </c>
      <c r="FWB124" t="s">
        <v>451</v>
      </c>
      <c r="FWC124" t="s">
        <v>451</v>
      </c>
      <c r="FWD124" t="s">
        <v>451</v>
      </c>
      <c r="FWE124" t="s">
        <v>451</v>
      </c>
      <c r="FWF124" t="s">
        <v>451</v>
      </c>
      <c r="FWG124" t="s">
        <v>451</v>
      </c>
      <c r="FWH124" t="s">
        <v>451</v>
      </c>
      <c r="FWI124" t="s">
        <v>451</v>
      </c>
      <c r="FWJ124" t="s">
        <v>451</v>
      </c>
      <c r="FWK124" t="s">
        <v>451</v>
      </c>
      <c r="FWL124" t="s">
        <v>451</v>
      </c>
      <c r="FWM124" t="s">
        <v>451</v>
      </c>
      <c r="FWN124" t="s">
        <v>451</v>
      </c>
      <c r="FWO124" t="s">
        <v>451</v>
      </c>
      <c r="FWP124" t="s">
        <v>451</v>
      </c>
      <c r="FWQ124" t="s">
        <v>451</v>
      </c>
      <c r="FWR124" t="s">
        <v>451</v>
      </c>
      <c r="FWS124" t="s">
        <v>451</v>
      </c>
      <c r="FWT124" t="s">
        <v>451</v>
      </c>
      <c r="FWU124" t="s">
        <v>451</v>
      </c>
      <c r="FWV124" t="s">
        <v>451</v>
      </c>
      <c r="FWW124" t="s">
        <v>451</v>
      </c>
      <c r="FWX124" t="s">
        <v>451</v>
      </c>
      <c r="FWY124" t="s">
        <v>451</v>
      </c>
      <c r="FWZ124" t="s">
        <v>451</v>
      </c>
      <c r="FXA124" t="s">
        <v>451</v>
      </c>
      <c r="FXB124" t="s">
        <v>451</v>
      </c>
      <c r="FXC124" t="s">
        <v>451</v>
      </c>
      <c r="FXD124" t="s">
        <v>451</v>
      </c>
      <c r="FXE124" t="s">
        <v>451</v>
      </c>
      <c r="FXF124" t="s">
        <v>451</v>
      </c>
      <c r="FXG124" t="s">
        <v>451</v>
      </c>
      <c r="FXH124" t="s">
        <v>451</v>
      </c>
      <c r="FXI124" t="s">
        <v>451</v>
      </c>
      <c r="FXJ124" t="s">
        <v>451</v>
      </c>
      <c r="FXK124" t="s">
        <v>451</v>
      </c>
      <c r="FXL124" t="s">
        <v>451</v>
      </c>
      <c r="FXM124" t="s">
        <v>451</v>
      </c>
      <c r="FXN124" t="s">
        <v>451</v>
      </c>
      <c r="FXO124" t="s">
        <v>451</v>
      </c>
      <c r="FXP124" t="s">
        <v>451</v>
      </c>
      <c r="FXQ124" t="s">
        <v>451</v>
      </c>
      <c r="FXR124" t="s">
        <v>451</v>
      </c>
      <c r="FXS124" t="s">
        <v>451</v>
      </c>
      <c r="FXT124" t="s">
        <v>451</v>
      </c>
      <c r="FXU124" t="s">
        <v>451</v>
      </c>
      <c r="FXV124" t="s">
        <v>451</v>
      </c>
      <c r="FXW124" t="s">
        <v>451</v>
      </c>
      <c r="FXX124" t="s">
        <v>451</v>
      </c>
      <c r="FXY124" t="s">
        <v>451</v>
      </c>
      <c r="FXZ124" t="s">
        <v>451</v>
      </c>
      <c r="FYA124" t="s">
        <v>451</v>
      </c>
      <c r="FYB124" t="s">
        <v>451</v>
      </c>
      <c r="FYC124" t="s">
        <v>451</v>
      </c>
      <c r="FYD124" t="s">
        <v>451</v>
      </c>
      <c r="FYE124" t="s">
        <v>451</v>
      </c>
      <c r="FYF124" t="s">
        <v>451</v>
      </c>
      <c r="FYG124" t="s">
        <v>451</v>
      </c>
      <c r="FYH124" t="s">
        <v>451</v>
      </c>
      <c r="FYI124" t="s">
        <v>451</v>
      </c>
      <c r="FYJ124" t="s">
        <v>451</v>
      </c>
      <c r="FYK124" t="s">
        <v>451</v>
      </c>
      <c r="FYL124" t="s">
        <v>451</v>
      </c>
      <c r="FYM124" t="s">
        <v>451</v>
      </c>
      <c r="FYN124" t="s">
        <v>451</v>
      </c>
      <c r="FYO124" t="s">
        <v>451</v>
      </c>
      <c r="FYP124" t="s">
        <v>451</v>
      </c>
      <c r="FYQ124" t="s">
        <v>451</v>
      </c>
      <c r="FYR124" t="s">
        <v>451</v>
      </c>
      <c r="FYS124" t="s">
        <v>451</v>
      </c>
      <c r="FYT124" t="s">
        <v>451</v>
      </c>
      <c r="FYU124" t="s">
        <v>451</v>
      </c>
      <c r="FYV124" t="s">
        <v>451</v>
      </c>
      <c r="FYW124" t="s">
        <v>451</v>
      </c>
      <c r="FYX124" t="s">
        <v>451</v>
      </c>
      <c r="FYY124" t="s">
        <v>451</v>
      </c>
      <c r="FYZ124" t="s">
        <v>451</v>
      </c>
      <c r="FZA124" t="s">
        <v>451</v>
      </c>
      <c r="FZB124" t="s">
        <v>451</v>
      </c>
      <c r="FZC124" t="s">
        <v>451</v>
      </c>
      <c r="FZD124" t="s">
        <v>451</v>
      </c>
      <c r="FZE124" t="s">
        <v>451</v>
      </c>
      <c r="FZF124" t="s">
        <v>451</v>
      </c>
      <c r="FZG124" t="s">
        <v>451</v>
      </c>
      <c r="FZH124" t="s">
        <v>451</v>
      </c>
      <c r="FZI124" t="s">
        <v>451</v>
      </c>
      <c r="FZJ124" t="s">
        <v>451</v>
      </c>
      <c r="FZK124" t="s">
        <v>451</v>
      </c>
      <c r="FZL124" t="s">
        <v>451</v>
      </c>
      <c r="FZM124" t="s">
        <v>451</v>
      </c>
      <c r="FZN124" t="s">
        <v>451</v>
      </c>
      <c r="FZO124" t="s">
        <v>451</v>
      </c>
      <c r="FZP124" t="s">
        <v>451</v>
      </c>
      <c r="FZQ124" t="s">
        <v>451</v>
      </c>
      <c r="FZR124" t="s">
        <v>451</v>
      </c>
      <c r="FZS124" t="s">
        <v>451</v>
      </c>
      <c r="FZT124" t="s">
        <v>451</v>
      </c>
      <c r="FZU124" t="s">
        <v>451</v>
      </c>
      <c r="FZV124" t="s">
        <v>451</v>
      </c>
      <c r="FZW124" t="s">
        <v>451</v>
      </c>
      <c r="FZX124" t="s">
        <v>451</v>
      </c>
      <c r="FZY124" t="s">
        <v>451</v>
      </c>
      <c r="FZZ124" t="s">
        <v>451</v>
      </c>
      <c r="GAA124" t="s">
        <v>451</v>
      </c>
      <c r="GAB124" t="s">
        <v>451</v>
      </c>
      <c r="GAC124" t="s">
        <v>451</v>
      </c>
      <c r="GAD124" t="s">
        <v>451</v>
      </c>
      <c r="GAE124" t="s">
        <v>451</v>
      </c>
      <c r="GAF124" t="s">
        <v>451</v>
      </c>
      <c r="GAG124" t="s">
        <v>451</v>
      </c>
      <c r="GAH124" t="s">
        <v>451</v>
      </c>
      <c r="GAI124" t="s">
        <v>451</v>
      </c>
      <c r="GAJ124" t="s">
        <v>451</v>
      </c>
      <c r="GAK124" t="s">
        <v>451</v>
      </c>
      <c r="GAL124" t="s">
        <v>451</v>
      </c>
      <c r="GAM124" t="s">
        <v>451</v>
      </c>
      <c r="GAN124" t="s">
        <v>451</v>
      </c>
      <c r="GAO124" t="s">
        <v>451</v>
      </c>
      <c r="GAP124" t="s">
        <v>451</v>
      </c>
      <c r="GAQ124" t="s">
        <v>451</v>
      </c>
      <c r="GAR124" t="s">
        <v>451</v>
      </c>
      <c r="GAS124" t="s">
        <v>451</v>
      </c>
      <c r="GAT124" t="s">
        <v>451</v>
      </c>
      <c r="GAU124" t="s">
        <v>451</v>
      </c>
      <c r="GAV124" t="s">
        <v>451</v>
      </c>
      <c r="GAW124" t="s">
        <v>451</v>
      </c>
      <c r="GAX124" t="s">
        <v>451</v>
      </c>
      <c r="GAY124" t="s">
        <v>451</v>
      </c>
      <c r="GAZ124" t="s">
        <v>451</v>
      </c>
      <c r="GBA124" t="s">
        <v>451</v>
      </c>
      <c r="GBB124" t="s">
        <v>451</v>
      </c>
      <c r="GBC124" t="s">
        <v>451</v>
      </c>
      <c r="GBD124" t="s">
        <v>451</v>
      </c>
      <c r="GBE124" t="s">
        <v>451</v>
      </c>
      <c r="GBF124" t="s">
        <v>451</v>
      </c>
      <c r="GBG124" t="s">
        <v>451</v>
      </c>
      <c r="GBH124" t="s">
        <v>451</v>
      </c>
      <c r="GBI124" t="s">
        <v>451</v>
      </c>
      <c r="GBJ124" t="s">
        <v>451</v>
      </c>
      <c r="GBK124" t="s">
        <v>451</v>
      </c>
      <c r="GBL124" t="s">
        <v>451</v>
      </c>
      <c r="GBM124" t="s">
        <v>451</v>
      </c>
      <c r="GBN124" t="s">
        <v>451</v>
      </c>
      <c r="GBO124" t="s">
        <v>451</v>
      </c>
      <c r="GBP124" t="s">
        <v>451</v>
      </c>
      <c r="GBQ124" t="s">
        <v>451</v>
      </c>
      <c r="GBR124" t="s">
        <v>451</v>
      </c>
      <c r="GBS124" t="s">
        <v>451</v>
      </c>
      <c r="GBT124" t="s">
        <v>451</v>
      </c>
      <c r="GBU124" t="s">
        <v>451</v>
      </c>
      <c r="GBV124" t="s">
        <v>451</v>
      </c>
      <c r="GBW124" t="s">
        <v>451</v>
      </c>
      <c r="GBX124" t="s">
        <v>451</v>
      </c>
      <c r="GBY124" t="s">
        <v>451</v>
      </c>
      <c r="GBZ124" t="s">
        <v>451</v>
      </c>
      <c r="GCA124" t="s">
        <v>451</v>
      </c>
      <c r="GCB124" t="s">
        <v>451</v>
      </c>
      <c r="GCC124" t="s">
        <v>451</v>
      </c>
      <c r="GCD124" t="s">
        <v>451</v>
      </c>
      <c r="GCE124" t="s">
        <v>451</v>
      </c>
      <c r="GCF124" t="s">
        <v>451</v>
      </c>
      <c r="GCG124" t="s">
        <v>451</v>
      </c>
      <c r="GCH124" t="s">
        <v>451</v>
      </c>
      <c r="GCI124" t="s">
        <v>451</v>
      </c>
      <c r="GCJ124" t="s">
        <v>451</v>
      </c>
      <c r="GCK124" t="s">
        <v>451</v>
      </c>
      <c r="GCL124" t="s">
        <v>451</v>
      </c>
      <c r="GCM124" t="s">
        <v>451</v>
      </c>
      <c r="GCN124" t="s">
        <v>451</v>
      </c>
      <c r="GCO124" t="s">
        <v>451</v>
      </c>
      <c r="GCP124" t="s">
        <v>451</v>
      </c>
      <c r="GCQ124" t="s">
        <v>451</v>
      </c>
      <c r="GCR124" t="s">
        <v>451</v>
      </c>
      <c r="GCS124" t="s">
        <v>451</v>
      </c>
      <c r="GCT124" t="s">
        <v>451</v>
      </c>
      <c r="GCU124" t="s">
        <v>451</v>
      </c>
      <c r="GCV124" t="s">
        <v>451</v>
      </c>
      <c r="GCW124" t="s">
        <v>451</v>
      </c>
      <c r="GCX124" t="s">
        <v>451</v>
      </c>
      <c r="GCY124" t="s">
        <v>451</v>
      </c>
      <c r="GCZ124" t="s">
        <v>451</v>
      </c>
      <c r="GDA124" t="s">
        <v>451</v>
      </c>
      <c r="GDB124" t="s">
        <v>451</v>
      </c>
      <c r="GDC124" t="s">
        <v>451</v>
      </c>
      <c r="GDD124" t="s">
        <v>451</v>
      </c>
      <c r="GDE124" t="s">
        <v>451</v>
      </c>
      <c r="GDF124" t="s">
        <v>451</v>
      </c>
      <c r="GDG124" t="s">
        <v>451</v>
      </c>
      <c r="GDH124" t="s">
        <v>451</v>
      </c>
      <c r="GDI124" t="s">
        <v>451</v>
      </c>
      <c r="GDJ124" t="s">
        <v>451</v>
      </c>
      <c r="GDK124" t="s">
        <v>451</v>
      </c>
      <c r="GDL124" t="s">
        <v>451</v>
      </c>
      <c r="GDM124" t="s">
        <v>451</v>
      </c>
      <c r="GDN124" t="s">
        <v>451</v>
      </c>
      <c r="GDO124" t="s">
        <v>451</v>
      </c>
      <c r="GDP124" t="s">
        <v>451</v>
      </c>
      <c r="GDQ124" t="s">
        <v>451</v>
      </c>
      <c r="GDR124" t="s">
        <v>451</v>
      </c>
      <c r="GDS124" t="s">
        <v>451</v>
      </c>
      <c r="GDT124" t="s">
        <v>451</v>
      </c>
      <c r="GDU124" t="s">
        <v>451</v>
      </c>
      <c r="GDV124" t="s">
        <v>451</v>
      </c>
      <c r="GDW124" t="s">
        <v>451</v>
      </c>
      <c r="GDX124" t="s">
        <v>451</v>
      </c>
      <c r="GDY124" t="s">
        <v>451</v>
      </c>
      <c r="GDZ124" t="s">
        <v>451</v>
      </c>
      <c r="GEA124" t="s">
        <v>451</v>
      </c>
      <c r="GEB124" t="s">
        <v>451</v>
      </c>
      <c r="GEC124" t="s">
        <v>451</v>
      </c>
      <c r="GED124" t="s">
        <v>451</v>
      </c>
      <c r="GEE124" t="s">
        <v>451</v>
      </c>
      <c r="GEF124" t="s">
        <v>451</v>
      </c>
      <c r="GEG124" t="s">
        <v>451</v>
      </c>
      <c r="GEH124" t="s">
        <v>451</v>
      </c>
      <c r="GEI124" t="s">
        <v>451</v>
      </c>
      <c r="GEJ124" t="s">
        <v>451</v>
      </c>
      <c r="GEK124" t="s">
        <v>451</v>
      </c>
      <c r="GEL124" t="s">
        <v>451</v>
      </c>
      <c r="GEM124" t="s">
        <v>451</v>
      </c>
      <c r="GEN124" t="s">
        <v>451</v>
      </c>
      <c r="GEO124" t="s">
        <v>451</v>
      </c>
      <c r="GEP124" t="s">
        <v>451</v>
      </c>
      <c r="GEQ124" t="s">
        <v>451</v>
      </c>
      <c r="GER124" t="s">
        <v>451</v>
      </c>
      <c r="GES124" t="s">
        <v>451</v>
      </c>
      <c r="GET124" t="s">
        <v>451</v>
      </c>
      <c r="GEU124" t="s">
        <v>451</v>
      </c>
      <c r="GEV124" t="s">
        <v>451</v>
      </c>
      <c r="GEW124" t="s">
        <v>451</v>
      </c>
      <c r="GEX124" t="s">
        <v>451</v>
      </c>
      <c r="GEY124" t="s">
        <v>451</v>
      </c>
      <c r="GEZ124" t="s">
        <v>451</v>
      </c>
      <c r="GFA124" t="s">
        <v>451</v>
      </c>
      <c r="GFB124" t="s">
        <v>451</v>
      </c>
      <c r="GFC124" t="s">
        <v>451</v>
      </c>
      <c r="GFD124" t="s">
        <v>451</v>
      </c>
      <c r="GFE124" t="s">
        <v>451</v>
      </c>
      <c r="GFF124" t="s">
        <v>451</v>
      </c>
      <c r="GFG124" t="s">
        <v>451</v>
      </c>
      <c r="GFH124" t="s">
        <v>451</v>
      </c>
      <c r="GFI124" t="s">
        <v>451</v>
      </c>
      <c r="GFJ124" t="s">
        <v>451</v>
      </c>
      <c r="GFK124" t="s">
        <v>451</v>
      </c>
      <c r="GFL124" t="s">
        <v>451</v>
      </c>
      <c r="GFM124" t="s">
        <v>451</v>
      </c>
      <c r="GFN124" t="s">
        <v>451</v>
      </c>
      <c r="GFO124" t="s">
        <v>451</v>
      </c>
      <c r="GFP124" t="s">
        <v>451</v>
      </c>
      <c r="GFQ124" t="s">
        <v>451</v>
      </c>
      <c r="GFR124" t="s">
        <v>451</v>
      </c>
      <c r="GFS124" t="s">
        <v>451</v>
      </c>
      <c r="GFT124" t="s">
        <v>451</v>
      </c>
      <c r="GFU124" t="s">
        <v>451</v>
      </c>
      <c r="GFV124" t="s">
        <v>451</v>
      </c>
      <c r="GFW124" t="s">
        <v>451</v>
      </c>
      <c r="GFX124" t="s">
        <v>451</v>
      </c>
      <c r="GFY124" t="s">
        <v>451</v>
      </c>
      <c r="GFZ124" t="s">
        <v>451</v>
      </c>
      <c r="GGA124" t="s">
        <v>451</v>
      </c>
      <c r="GGB124" t="s">
        <v>451</v>
      </c>
      <c r="GGC124" t="s">
        <v>451</v>
      </c>
      <c r="GGD124" t="s">
        <v>451</v>
      </c>
      <c r="GGE124" t="s">
        <v>451</v>
      </c>
      <c r="GGF124" t="s">
        <v>451</v>
      </c>
      <c r="GGG124" t="s">
        <v>451</v>
      </c>
      <c r="GGH124" t="s">
        <v>451</v>
      </c>
      <c r="GGI124" t="s">
        <v>451</v>
      </c>
      <c r="GGJ124" t="s">
        <v>451</v>
      </c>
      <c r="GGK124" t="s">
        <v>451</v>
      </c>
      <c r="GGL124" t="s">
        <v>451</v>
      </c>
      <c r="GGM124" t="s">
        <v>451</v>
      </c>
      <c r="GGN124" t="s">
        <v>451</v>
      </c>
      <c r="GGO124" t="s">
        <v>451</v>
      </c>
      <c r="GGP124" t="s">
        <v>451</v>
      </c>
      <c r="GGQ124" t="s">
        <v>451</v>
      </c>
      <c r="GGR124" t="s">
        <v>451</v>
      </c>
      <c r="GGS124" t="s">
        <v>451</v>
      </c>
      <c r="GGT124" t="s">
        <v>451</v>
      </c>
      <c r="GGU124" t="s">
        <v>451</v>
      </c>
      <c r="GGV124" t="s">
        <v>451</v>
      </c>
      <c r="GGW124" t="s">
        <v>451</v>
      </c>
      <c r="GGX124" t="s">
        <v>451</v>
      </c>
      <c r="GGY124" t="s">
        <v>451</v>
      </c>
      <c r="GGZ124" t="s">
        <v>451</v>
      </c>
      <c r="GHA124" t="s">
        <v>451</v>
      </c>
      <c r="GHB124" t="s">
        <v>451</v>
      </c>
      <c r="GHC124" t="s">
        <v>451</v>
      </c>
      <c r="GHD124" t="s">
        <v>451</v>
      </c>
      <c r="GHE124" t="s">
        <v>451</v>
      </c>
      <c r="GHF124" t="s">
        <v>451</v>
      </c>
      <c r="GHG124" t="s">
        <v>451</v>
      </c>
      <c r="GHH124" t="s">
        <v>451</v>
      </c>
      <c r="GHI124" t="s">
        <v>451</v>
      </c>
      <c r="GHJ124" t="s">
        <v>451</v>
      </c>
      <c r="GHK124" t="s">
        <v>451</v>
      </c>
      <c r="GHL124" t="s">
        <v>451</v>
      </c>
      <c r="GHM124" t="s">
        <v>451</v>
      </c>
      <c r="GHN124" t="s">
        <v>451</v>
      </c>
      <c r="GHO124" t="s">
        <v>451</v>
      </c>
      <c r="GHP124" t="s">
        <v>451</v>
      </c>
      <c r="GHQ124" t="s">
        <v>451</v>
      </c>
      <c r="GHR124" t="s">
        <v>451</v>
      </c>
      <c r="GHS124" t="s">
        <v>451</v>
      </c>
      <c r="GHT124" t="s">
        <v>451</v>
      </c>
      <c r="GHU124" t="s">
        <v>451</v>
      </c>
      <c r="GHV124" t="s">
        <v>451</v>
      </c>
      <c r="GHW124" t="s">
        <v>451</v>
      </c>
      <c r="GHX124" t="s">
        <v>451</v>
      </c>
      <c r="GHY124" t="s">
        <v>451</v>
      </c>
      <c r="GHZ124" t="s">
        <v>451</v>
      </c>
      <c r="GIA124" t="s">
        <v>451</v>
      </c>
      <c r="GIB124" t="s">
        <v>451</v>
      </c>
      <c r="GIC124" t="s">
        <v>451</v>
      </c>
      <c r="GID124" t="s">
        <v>451</v>
      </c>
      <c r="GIE124" t="s">
        <v>451</v>
      </c>
      <c r="GIF124" t="s">
        <v>451</v>
      </c>
      <c r="GIG124" t="s">
        <v>451</v>
      </c>
      <c r="GIH124" t="s">
        <v>451</v>
      </c>
      <c r="GII124" t="s">
        <v>451</v>
      </c>
      <c r="GIJ124" t="s">
        <v>451</v>
      </c>
      <c r="GIK124" t="s">
        <v>451</v>
      </c>
      <c r="GIL124" t="s">
        <v>451</v>
      </c>
      <c r="GIM124" t="s">
        <v>451</v>
      </c>
      <c r="GIN124" t="s">
        <v>451</v>
      </c>
      <c r="GIO124" t="s">
        <v>451</v>
      </c>
      <c r="GIP124" t="s">
        <v>451</v>
      </c>
      <c r="GIQ124" t="s">
        <v>451</v>
      </c>
      <c r="GIR124" t="s">
        <v>451</v>
      </c>
      <c r="GIS124" t="s">
        <v>451</v>
      </c>
      <c r="GIT124" t="s">
        <v>451</v>
      </c>
      <c r="GIU124" t="s">
        <v>451</v>
      </c>
      <c r="GIV124" t="s">
        <v>451</v>
      </c>
      <c r="GIW124" t="s">
        <v>451</v>
      </c>
      <c r="GIX124" t="s">
        <v>451</v>
      </c>
      <c r="GIY124" t="s">
        <v>451</v>
      </c>
      <c r="GIZ124" t="s">
        <v>451</v>
      </c>
      <c r="GJA124" t="s">
        <v>451</v>
      </c>
      <c r="GJB124" t="s">
        <v>451</v>
      </c>
      <c r="GJC124" t="s">
        <v>451</v>
      </c>
      <c r="GJD124" t="s">
        <v>451</v>
      </c>
      <c r="GJE124" t="s">
        <v>451</v>
      </c>
      <c r="GJF124" t="s">
        <v>451</v>
      </c>
      <c r="GJG124" t="s">
        <v>451</v>
      </c>
      <c r="GJH124" t="s">
        <v>451</v>
      </c>
      <c r="GJI124" t="s">
        <v>451</v>
      </c>
      <c r="GJJ124" t="s">
        <v>451</v>
      </c>
      <c r="GJK124" t="s">
        <v>451</v>
      </c>
      <c r="GJL124" t="s">
        <v>451</v>
      </c>
      <c r="GJM124" t="s">
        <v>451</v>
      </c>
      <c r="GJN124" t="s">
        <v>451</v>
      </c>
      <c r="GJO124" t="s">
        <v>451</v>
      </c>
      <c r="GJP124" t="s">
        <v>451</v>
      </c>
      <c r="GJQ124" t="s">
        <v>451</v>
      </c>
      <c r="GJR124" t="s">
        <v>451</v>
      </c>
      <c r="GJS124" t="s">
        <v>451</v>
      </c>
      <c r="GJT124" t="s">
        <v>451</v>
      </c>
      <c r="GJU124" t="s">
        <v>451</v>
      </c>
      <c r="GJV124" t="s">
        <v>451</v>
      </c>
      <c r="GJW124" t="s">
        <v>451</v>
      </c>
      <c r="GJX124" t="s">
        <v>451</v>
      </c>
      <c r="GJY124" t="s">
        <v>451</v>
      </c>
      <c r="GJZ124" t="s">
        <v>451</v>
      </c>
      <c r="GKA124" t="s">
        <v>451</v>
      </c>
      <c r="GKB124" t="s">
        <v>451</v>
      </c>
      <c r="GKC124" t="s">
        <v>451</v>
      </c>
      <c r="GKD124" t="s">
        <v>451</v>
      </c>
      <c r="GKE124" t="s">
        <v>451</v>
      </c>
      <c r="GKF124" t="s">
        <v>451</v>
      </c>
      <c r="GKG124" t="s">
        <v>451</v>
      </c>
      <c r="GKH124" t="s">
        <v>451</v>
      </c>
      <c r="GKI124" t="s">
        <v>451</v>
      </c>
      <c r="GKJ124" t="s">
        <v>451</v>
      </c>
      <c r="GKK124" t="s">
        <v>451</v>
      </c>
      <c r="GKL124" t="s">
        <v>451</v>
      </c>
      <c r="GKM124" t="s">
        <v>451</v>
      </c>
      <c r="GKN124" t="s">
        <v>451</v>
      </c>
      <c r="GKO124" t="s">
        <v>451</v>
      </c>
      <c r="GKP124" t="s">
        <v>451</v>
      </c>
      <c r="GKQ124" t="s">
        <v>451</v>
      </c>
      <c r="GKR124" t="s">
        <v>451</v>
      </c>
      <c r="GKS124" t="s">
        <v>451</v>
      </c>
      <c r="GKT124" t="s">
        <v>451</v>
      </c>
      <c r="GKU124" t="s">
        <v>451</v>
      </c>
      <c r="GKV124" t="s">
        <v>451</v>
      </c>
      <c r="GKW124" t="s">
        <v>451</v>
      </c>
      <c r="GKX124" t="s">
        <v>451</v>
      </c>
      <c r="GKY124" t="s">
        <v>451</v>
      </c>
      <c r="GKZ124" t="s">
        <v>451</v>
      </c>
      <c r="GLA124" t="s">
        <v>451</v>
      </c>
      <c r="GLB124" t="s">
        <v>451</v>
      </c>
      <c r="GLC124" t="s">
        <v>451</v>
      </c>
      <c r="GLD124" t="s">
        <v>451</v>
      </c>
      <c r="GLE124" t="s">
        <v>451</v>
      </c>
      <c r="GLF124" t="s">
        <v>451</v>
      </c>
      <c r="GLG124" t="s">
        <v>451</v>
      </c>
      <c r="GLH124" t="s">
        <v>451</v>
      </c>
      <c r="GLI124" t="s">
        <v>451</v>
      </c>
      <c r="GLJ124" t="s">
        <v>451</v>
      </c>
      <c r="GLK124" t="s">
        <v>451</v>
      </c>
      <c r="GLL124" t="s">
        <v>451</v>
      </c>
      <c r="GLM124" t="s">
        <v>451</v>
      </c>
      <c r="GLN124" t="s">
        <v>451</v>
      </c>
      <c r="GLO124" t="s">
        <v>451</v>
      </c>
      <c r="GLP124" t="s">
        <v>451</v>
      </c>
      <c r="GLQ124" t="s">
        <v>451</v>
      </c>
      <c r="GLR124" t="s">
        <v>451</v>
      </c>
      <c r="GLS124" t="s">
        <v>451</v>
      </c>
      <c r="GLT124" t="s">
        <v>451</v>
      </c>
      <c r="GLU124" t="s">
        <v>451</v>
      </c>
      <c r="GLV124" t="s">
        <v>451</v>
      </c>
      <c r="GLW124" t="s">
        <v>451</v>
      </c>
      <c r="GLX124" t="s">
        <v>451</v>
      </c>
      <c r="GLY124" t="s">
        <v>451</v>
      </c>
      <c r="GLZ124" t="s">
        <v>451</v>
      </c>
      <c r="GMA124" t="s">
        <v>451</v>
      </c>
      <c r="GMB124" t="s">
        <v>451</v>
      </c>
      <c r="GMC124" t="s">
        <v>451</v>
      </c>
      <c r="GMD124" t="s">
        <v>451</v>
      </c>
      <c r="GME124" t="s">
        <v>451</v>
      </c>
      <c r="GMF124" t="s">
        <v>451</v>
      </c>
      <c r="GMG124" t="s">
        <v>451</v>
      </c>
      <c r="GMH124" t="s">
        <v>451</v>
      </c>
      <c r="GMI124" t="s">
        <v>451</v>
      </c>
      <c r="GMJ124" t="s">
        <v>451</v>
      </c>
      <c r="GMK124" t="s">
        <v>451</v>
      </c>
      <c r="GML124" t="s">
        <v>451</v>
      </c>
      <c r="GMM124" t="s">
        <v>451</v>
      </c>
      <c r="GMN124" t="s">
        <v>451</v>
      </c>
      <c r="GMO124" t="s">
        <v>451</v>
      </c>
      <c r="GMP124" t="s">
        <v>451</v>
      </c>
      <c r="GMQ124" t="s">
        <v>451</v>
      </c>
      <c r="GMR124" t="s">
        <v>451</v>
      </c>
      <c r="GMS124" t="s">
        <v>451</v>
      </c>
      <c r="GMT124" t="s">
        <v>451</v>
      </c>
      <c r="GMU124" t="s">
        <v>451</v>
      </c>
      <c r="GMV124" t="s">
        <v>451</v>
      </c>
      <c r="GMW124" t="s">
        <v>451</v>
      </c>
      <c r="GMX124" t="s">
        <v>451</v>
      </c>
      <c r="GMY124" t="s">
        <v>451</v>
      </c>
      <c r="GMZ124" t="s">
        <v>451</v>
      </c>
      <c r="GNA124" t="s">
        <v>451</v>
      </c>
      <c r="GNB124" t="s">
        <v>451</v>
      </c>
      <c r="GNC124" t="s">
        <v>451</v>
      </c>
      <c r="GND124" t="s">
        <v>451</v>
      </c>
      <c r="GNE124" t="s">
        <v>451</v>
      </c>
      <c r="GNF124" t="s">
        <v>451</v>
      </c>
      <c r="GNG124" t="s">
        <v>451</v>
      </c>
      <c r="GNH124" t="s">
        <v>451</v>
      </c>
      <c r="GNI124" t="s">
        <v>451</v>
      </c>
      <c r="GNJ124" t="s">
        <v>451</v>
      </c>
      <c r="GNK124" t="s">
        <v>451</v>
      </c>
      <c r="GNL124" t="s">
        <v>451</v>
      </c>
      <c r="GNM124" t="s">
        <v>451</v>
      </c>
      <c r="GNN124" t="s">
        <v>451</v>
      </c>
      <c r="GNO124" t="s">
        <v>451</v>
      </c>
      <c r="GNP124" t="s">
        <v>451</v>
      </c>
      <c r="GNQ124" t="s">
        <v>451</v>
      </c>
      <c r="GNR124" t="s">
        <v>451</v>
      </c>
      <c r="GNS124" t="s">
        <v>451</v>
      </c>
      <c r="GNT124" t="s">
        <v>451</v>
      </c>
      <c r="GNU124" t="s">
        <v>451</v>
      </c>
      <c r="GNV124" t="s">
        <v>451</v>
      </c>
      <c r="GNW124" t="s">
        <v>451</v>
      </c>
      <c r="GNX124" t="s">
        <v>451</v>
      </c>
      <c r="GNY124" t="s">
        <v>451</v>
      </c>
      <c r="GNZ124" t="s">
        <v>451</v>
      </c>
      <c r="GOA124" t="s">
        <v>451</v>
      </c>
      <c r="GOB124" t="s">
        <v>451</v>
      </c>
      <c r="GOC124" t="s">
        <v>451</v>
      </c>
      <c r="GOD124" t="s">
        <v>451</v>
      </c>
      <c r="GOE124" t="s">
        <v>451</v>
      </c>
      <c r="GOF124" t="s">
        <v>451</v>
      </c>
      <c r="GOG124" t="s">
        <v>451</v>
      </c>
      <c r="GOH124" t="s">
        <v>451</v>
      </c>
      <c r="GOI124" t="s">
        <v>451</v>
      </c>
      <c r="GOJ124" t="s">
        <v>451</v>
      </c>
      <c r="GOK124" t="s">
        <v>451</v>
      </c>
      <c r="GOL124" t="s">
        <v>451</v>
      </c>
      <c r="GOM124" t="s">
        <v>451</v>
      </c>
      <c r="GON124" t="s">
        <v>451</v>
      </c>
      <c r="GOO124" t="s">
        <v>451</v>
      </c>
      <c r="GOP124" t="s">
        <v>451</v>
      </c>
      <c r="GOQ124" t="s">
        <v>451</v>
      </c>
      <c r="GOR124" t="s">
        <v>451</v>
      </c>
      <c r="GOS124" t="s">
        <v>451</v>
      </c>
      <c r="GOT124" t="s">
        <v>451</v>
      </c>
      <c r="GOU124" t="s">
        <v>451</v>
      </c>
      <c r="GOV124" t="s">
        <v>451</v>
      </c>
      <c r="GOW124" t="s">
        <v>451</v>
      </c>
      <c r="GOX124" t="s">
        <v>451</v>
      </c>
      <c r="GOY124" t="s">
        <v>451</v>
      </c>
      <c r="GOZ124" t="s">
        <v>451</v>
      </c>
      <c r="GPA124" t="s">
        <v>451</v>
      </c>
      <c r="GPB124" t="s">
        <v>451</v>
      </c>
      <c r="GPC124" t="s">
        <v>451</v>
      </c>
      <c r="GPD124" t="s">
        <v>451</v>
      </c>
      <c r="GPE124" t="s">
        <v>451</v>
      </c>
      <c r="GPF124" t="s">
        <v>451</v>
      </c>
      <c r="GPG124" t="s">
        <v>451</v>
      </c>
      <c r="GPH124" t="s">
        <v>451</v>
      </c>
      <c r="GPI124" t="s">
        <v>451</v>
      </c>
      <c r="GPJ124" t="s">
        <v>451</v>
      </c>
      <c r="GPK124" t="s">
        <v>451</v>
      </c>
      <c r="GPL124" t="s">
        <v>451</v>
      </c>
      <c r="GPM124" t="s">
        <v>451</v>
      </c>
      <c r="GPN124" t="s">
        <v>451</v>
      </c>
      <c r="GPO124" t="s">
        <v>451</v>
      </c>
      <c r="GPP124" t="s">
        <v>451</v>
      </c>
      <c r="GPQ124" t="s">
        <v>451</v>
      </c>
      <c r="GPR124" t="s">
        <v>451</v>
      </c>
      <c r="GPS124" t="s">
        <v>451</v>
      </c>
      <c r="GPT124" t="s">
        <v>451</v>
      </c>
      <c r="GPU124" t="s">
        <v>451</v>
      </c>
      <c r="GPV124" t="s">
        <v>451</v>
      </c>
      <c r="GPW124" t="s">
        <v>451</v>
      </c>
      <c r="GPX124" t="s">
        <v>451</v>
      </c>
      <c r="GPY124" t="s">
        <v>451</v>
      </c>
      <c r="GPZ124" t="s">
        <v>451</v>
      </c>
      <c r="GQA124" t="s">
        <v>451</v>
      </c>
      <c r="GQB124" t="s">
        <v>451</v>
      </c>
      <c r="GQC124" t="s">
        <v>451</v>
      </c>
      <c r="GQD124" t="s">
        <v>451</v>
      </c>
      <c r="GQE124" t="s">
        <v>451</v>
      </c>
      <c r="GQF124" t="s">
        <v>451</v>
      </c>
      <c r="GQG124" t="s">
        <v>451</v>
      </c>
      <c r="GQH124" t="s">
        <v>451</v>
      </c>
      <c r="GQI124" t="s">
        <v>451</v>
      </c>
      <c r="GQJ124" t="s">
        <v>451</v>
      </c>
      <c r="GQK124" t="s">
        <v>451</v>
      </c>
      <c r="GQL124" t="s">
        <v>451</v>
      </c>
      <c r="GQM124" t="s">
        <v>451</v>
      </c>
      <c r="GQN124" t="s">
        <v>451</v>
      </c>
      <c r="GQO124" t="s">
        <v>451</v>
      </c>
      <c r="GQP124" t="s">
        <v>451</v>
      </c>
      <c r="GQQ124" t="s">
        <v>451</v>
      </c>
      <c r="GQR124" t="s">
        <v>451</v>
      </c>
      <c r="GQS124" t="s">
        <v>451</v>
      </c>
      <c r="GQT124" t="s">
        <v>451</v>
      </c>
      <c r="GQU124" t="s">
        <v>451</v>
      </c>
      <c r="GQV124" t="s">
        <v>451</v>
      </c>
      <c r="GQW124" t="s">
        <v>451</v>
      </c>
      <c r="GQX124" t="s">
        <v>451</v>
      </c>
      <c r="GQY124" t="s">
        <v>451</v>
      </c>
      <c r="GQZ124" t="s">
        <v>451</v>
      </c>
      <c r="GRA124" t="s">
        <v>451</v>
      </c>
      <c r="GRB124" t="s">
        <v>451</v>
      </c>
      <c r="GRC124" t="s">
        <v>451</v>
      </c>
      <c r="GRD124" t="s">
        <v>451</v>
      </c>
      <c r="GRE124" t="s">
        <v>451</v>
      </c>
      <c r="GRF124" t="s">
        <v>451</v>
      </c>
      <c r="GRG124" t="s">
        <v>451</v>
      </c>
      <c r="GRH124" t="s">
        <v>451</v>
      </c>
      <c r="GRI124" t="s">
        <v>451</v>
      </c>
      <c r="GRJ124" t="s">
        <v>451</v>
      </c>
      <c r="GRK124" t="s">
        <v>451</v>
      </c>
      <c r="GRL124" t="s">
        <v>451</v>
      </c>
      <c r="GRM124" t="s">
        <v>451</v>
      </c>
      <c r="GRN124" t="s">
        <v>451</v>
      </c>
      <c r="GRO124" t="s">
        <v>451</v>
      </c>
      <c r="GRP124" t="s">
        <v>451</v>
      </c>
      <c r="GRQ124" t="s">
        <v>451</v>
      </c>
      <c r="GRR124" t="s">
        <v>451</v>
      </c>
      <c r="GRS124" t="s">
        <v>451</v>
      </c>
      <c r="GRT124" t="s">
        <v>451</v>
      </c>
      <c r="GRU124" t="s">
        <v>451</v>
      </c>
      <c r="GRV124" t="s">
        <v>451</v>
      </c>
      <c r="GRW124" t="s">
        <v>451</v>
      </c>
      <c r="GRX124" t="s">
        <v>451</v>
      </c>
      <c r="GRY124" t="s">
        <v>451</v>
      </c>
      <c r="GRZ124" t="s">
        <v>451</v>
      </c>
      <c r="GSA124" t="s">
        <v>451</v>
      </c>
      <c r="GSB124" t="s">
        <v>451</v>
      </c>
      <c r="GSC124" t="s">
        <v>451</v>
      </c>
      <c r="GSD124" t="s">
        <v>451</v>
      </c>
      <c r="GSE124" t="s">
        <v>451</v>
      </c>
      <c r="GSF124" t="s">
        <v>451</v>
      </c>
      <c r="GSG124" t="s">
        <v>451</v>
      </c>
      <c r="GSH124" t="s">
        <v>451</v>
      </c>
      <c r="GSI124" t="s">
        <v>451</v>
      </c>
      <c r="GSJ124" t="s">
        <v>451</v>
      </c>
      <c r="GSK124" t="s">
        <v>451</v>
      </c>
      <c r="GSL124" t="s">
        <v>451</v>
      </c>
      <c r="GSM124" t="s">
        <v>451</v>
      </c>
      <c r="GSN124" t="s">
        <v>451</v>
      </c>
      <c r="GSO124" t="s">
        <v>451</v>
      </c>
      <c r="GSP124" t="s">
        <v>451</v>
      </c>
      <c r="GSQ124" t="s">
        <v>451</v>
      </c>
      <c r="GSR124" t="s">
        <v>451</v>
      </c>
      <c r="GSS124" t="s">
        <v>451</v>
      </c>
      <c r="GST124" t="s">
        <v>451</v>
      </c>
      <c r="GSU124" t="s">
        <v>451</v>
      </c>
      <c r="GSV124" t="s">
        <v>451</v>
      </c>
      <c r="GSW124" t="s">
        <v>451</v>
      </c>
      <c r="GSX124" t="s">
        <v>451</v>
      </c>
      <c r="GSY124" t="s">
        <v>451</v>
      </c>
      <c r="GSZ124" t="s">
        <v>451</v>
      </c>
      <c r="GTA124" t="s">
        <v>451</v>
      </c>
      <c r="GTB124" t="s">
        <v>451</v>
      </c>
      <c r="GTC124" t="s">
        <v>451</v>
      </c>
      <c r="GTD124" t="s">
        <v>451</v>
      </c>
      <c r="GTE124" t="s">
        <v>451</v>
      </c>
      <c r="GTF124" t="s">
        <v>451</v>
      </c>
      <c r="GTG124" t="s">
        <v>451</v>
      </c>
      <c r="GTH124" t="s">
        <v>451</v>
      </c>
      <c r="GTI124" t="s">
        <v>451</v>
      </c>
      <c r="GTJ124" t="s">
        <v>451</v>
      </c>
      <c r="GTK124" t="s">
        <v>451</v>
      </c>
      <c r="GTL124" t="s">
        <v>451</v>
      </c>
      <c r="GTM124" t="s">
        <v>451</v>
      </c>
      <c r="GTN124" t="s">
        <v>451</v>
      </c>
      <c r="GTO124" t="s">
        <v>451</v>
      </c>
      <c r="GTP124" t="s">
        <v>451</v>
      </c>
      <c r="GTQ124" t="s">
        <v>451</v>
      </c>
      <c r="GTR124" t="s">
        <v>451</v>
      </c>
      <c r="GTS124" t="s">
        <v>451</v>
      </c>
      <c r="GTT124" t="s">
        <v>451</v>
      </c>
      <c r="GTU124" t="s">
        <v>451</v>
      </c>
      <c r="GTV124" t="s">
        <v>451</v>
      </c>
      <c r="GTW124" t="s">
        <v>451</v>
      </c>
      <c r="GTX124" t="s">
        <v>451</v>
      </c>
      <c r="GTY124" t="s">
        <v>451</v>
      </c>
      <c r="GTZ124" t="s">
        <v>451</v>
      </c>
      <c r="GUA124" t="s">
        <v>451</v>
      </c>
      <c r="GUB124" t="s">
        <v>451</v>
      </c>
      <c r="GUC124" t="s">
        <v>451</v>
      </c>
      <c r="GUD124" t="s">
        <v>451</v>
      </c>
      <c r="GUE124" t="s">
        <v>451</v>
      </c>
      <c r="GUF124" t="s">
        <v>451</v>
      </c>
      <c r="GUG124" t="s">
        <v>451</v>
      </c>
      <c r="GUH124" t="s">
        <v>451</v>
      </c>
      <c r="GUI124" t="s">
        <v>451</v>
      </c>
      <c r="GUJ124" t="s">
        <v>451</v>
      </c>
      <c r="GUK124" t="s">
        <v>451</v>
      </c>
      <c r="GUL124" t="s">
        <v>451</v>
      </c>
      <c r="GUM124" t="s">
        <v>451</v>
      </c>
      <c r="GUN124" t="s">
        <v>451</v>
      </c>
      <c r="GUO124" t="s">
        <v>451</v>
      </c>
      <c r="GUP124" t="s">
        <v>451</v>
      </c>
      <c r="GUQ124" t="s">
        <v>451</v>
      </c>
      <c r="GUR124" t="s">
        <v>451</v>
      </c>
      <c r="GUS124" t="s">
        <v>451</v>
      </c>
      <c r="GUT124" t="s">
        <v>451</v>
      </c>
      <c r="GUU124" t="s">
        <v>451</v>
      </c>
      <c r="GUV124" t="s">
        <v>451</v>
      </c>
      <c r="GUW124" t="s">
        <v>451</v>
      </c>
      <c r="GUX124" t="s">
        <v>451</v>
      </c>
      <c r="GUY124" t="s">
        <v>451</v>
      </c>
      <c r="GUZ124" t="s">
        <v>451</v>
      </c>
      <c r="GVA124" t="s">
        <v>451</v>
      </c>
      <c r="GVB124" t="s">
        <v>451</v>
      </c>
      <c r="GVC124" t="s">
        <v>451</v>
      </c>
      <c r="GVD124" t="s">
        <v>451</v>
      </c>
      <c r="GVE124" t="s">
        <v>451</v>
      </c>
      <c r="GVF124" t="s">
        <v>451</v>
      </c>
      <c r="GVG124" t="s">
        <v>451</v>
      </c>
      <c r="GVH124" t="s">
        <v>451</v>
      </c>
      <c r="GVI124" t="s">
        <v>451</v>
      </c>
      <c r="GVJ124" t="s">
        <v>451</v>
      </c>
      <c r="GVK124" t="s">
        <v>451</v>
      </c>
      <c r="GVL124" t="s">
        <v>451</v>
      </c>
      <c r="GVM124" t="s">
        <v>451</v>
      </c>
      <c r="GVN124" t="s">
        <v>451</v>
      </c>
      <c r="GVO124" t="s">
        <v>451</v>
      </c>
      <c r="GVP124" t="s">
        <v>451</v>
      </c>
      <c r="GVQ124" t="s">
        <v>451</v>
      </c>
      <c r="GVR124" t="s">
        <v>451</v>
      </c>
      <c r="GVS124" t="s">
        <v>451</v>
      </c>
      <c r="GVT124" t="s">
        <v>451</v>
      </c>
      <c r="GVU124" t="s">
        <v>451</v>
      </c>
      <c r="GVV124" t="s">
        <v>451</v>
      </c>
      <c r="GVW124" t="s">
        <v>451</v>
      </c>
      <c r="GVX124" t="s">
        <v>451</v>
      </c>
      <c r="GVY124" t="s">
        <v>451</v>
      </c>
      <c r="GVZ124" t="s">
        <v>451</v>
      </c>
      <c r="GWA124" t="s">
        <v>451</v>
      </c>
      <c r="GWB124" t="s">
        <v>451</v>
      </c>
      <c r="GWC124" t="s">
        <v>451</v>
      </c>
      <c r="GWD124" t="s">
        <v>451</v>
      </c>
      <c r="GWE124" t="s">
        <v>451</v>
      </c>
      <c r="GWF124" t="s">
        <v>451</v>
      </c>
      <c r="GWG124" t="s">
        <v>451</v>
      </c>
      <c r="GWH124" t="s">
        <v>451</v>
      </c>
      <c r="GWI124" t="s">
        <v>451</v>
      </c>
      <c r="GWJ124" t="s">
        <v>451</v>
      </c>
      <c r="GWK124" t="s">
        <v>451</v>
      </c>
      <c r="GWL124" t="s">
        <v>451</v>
      </c>
      <c r="GWM124" t="s">
        <v>451</v>
      </c>
      <c r="GWN124" t="s">
        <v>451</v>
      </c>
      <c r="GWO124" t="s">
        <v>451</v>
      </c>
      <c r="GWP124" t="s">
        <v>451</v>
      </c>
      <c r="GWQ124" t="s">
        <v>451</v>
      </c>
      <c r="GWR124" t="s">
        <v>451</v>
      </c>
      <c r="GWS124" t="s">
        <v>451</v>
      </c>
      <c r="GWT124" t="s">
        <v>451</v>
      </c>
      <c r="GWU124" t="s">
        <v>451</v>
      </c>
      <c r="GWV124" t="s">
        <v>451</v>
      </c>
      <c r="GWW124" t="s">
        <v>451</v>
      </c>
      <c r="GWX124" t="s">
        <v>451</v>
      </c>
      <c r="GWY124" t="s">
        <v>451</v>
      </c>
      <c r="GWZ124" t="s">
        <v>451</v>
      </c>
      <c r="GXA124" t="s">
        <v>451</v>
      </c>
      <c r="GXB124" t="s">
        <v>451</v>
      </c>
      <c r="GXC124" t="s">
        <v>451</v>
      </c>
      <c r="GXD124" t="s">
        <v>451</v>
      </c>
      <c r="GXE124" t="s">
        <v>451</v>
      </c>
      <c r="GXF124" t="s">
        <v>451</v>
      </c>
      <c r="GXG124" t="s">
        <v>451</v>
      </c>
      <c r="GXH124" t="s">
        <v>451</v>
      </c>
      <c r="GXI124" t="s">
        <v>451</v>
      </c>
      <c r="GXJ124" t="s">
        <v>451</v>
      </c>
      <c r="GXK124" t="s">
        <v>451</v>
      </c>
      <c r="GXL124" t="s">
        <v>451</v>
      </c>
      <c r="GXM124" t="s">
        <v>451</v>
      </c>
      <c r="GXN124" t="s">
        <v>451</v>
      </c>
      <c r="GXO124" t="s">
        <v>451</v>
      </c>
      <c r="GXP124" t="s">
        <v>451</v>
      </c>
      <c r="GXQ124" t="s">
        <v>451</v>
      </c>
      <c r="GXR124" t="s">
        <v>451</v>
      </c>
      <c r="GXS124" t="s">
        <v>451</v>
      </c>
      <c r="GXT124" t="s">
        <v>451</v>
      </c>
      <c r="GXU124" t="s">
        <v>451</v>
      </c>
      <c r="GXV124" t="s">
        <v>451</v>
      </c>
      <c r="GXW124" t="s">
        <v>451</v>
      </c>
      <c r="GXX124" t="s">
        <v>451</v>
      </c>
      <c r="GXY124" t="s">
        <v>451</v>
      </c>
      <c r="GXZ124" t="s">
        <v>451</v>
      </c>
      <c r="GYA124" t="s">
        <v>451</v>
      </c>
      <c r="GYB124" t="s">
        <v>451</v>
      </c>
      <c r="GYC124" t="s">
        <v>451</v>
      </c>
      <c r="GYD124" t="s">
        <v>451</v>
      </c>
      <c r="GYE124" t="s">
        <v>451</v>
      </c>
      <c r="GYF124" t="s">
        <v>451</v>
      </c>
      <c r="GYG124" t="s">
        <v>451</v>
      </c>
      <c r="GYH124" t="s">
        <v>451</v>
      </c>
      <c r="GYI124" t="s">
        <v>451</v>
      </c>
      <c r="GYJ124" t="s">
        <v>451</v>
      </c>
      <c r="GYK124" t="s">
        <v>451</v>
      </c>
      <c r="GYL124" t="s">
        <v>451</v>
      </c>
      <c r="GYM124" t="s">
        <v>451</v>
      </c>
      <c r="GYN124" t="s">
        <v>451</v>
      </c>
      <c r="GYO124" t="s">
        <v>451</v>
      </c>
      <c r="GYP124" t="s">
        <v>451</v>
      </c>
      <c r="GYQ124" t="s">
        <v>451</v>
      </c>
      <c r="GYR124" t="s">
        <v>451</v>
      </c>
      <c r="GYS124" t="s">
        <v>451</v>
      </c>
      <c r="GYT124" t="s">
        <v>451</v>
      </c>
      <c r="GYU124" t="s">
        <v>451</v>
      </c>
      <c r="GYV124" t="s">
        <v>451</v>
      </c>
      <c r="GYW124" t="s">
        <v>451</v>
      </c>
      <c r="GYX124" t="s">
        <v>451</v>
      </c>
      <c r="GYY124" t="s">
        <v>451</v>
      </c>
      <c r="GYZ124" t="s">
        <v>451</v>
      </c>
      <c r="GZA124" t="s">
        <v>451</v>
      </c>
      <c r="GZB124" t="s">
        <v>451</v>
      </c>
      <c r="GZC124" t="s">
        <v>451</v>
      </c>
      <c r="GZD124" t="s">
        <v>451</v>
      </c>
      <c r="GZE124" t="s">
        <v>451</v>
      </c>
      <c r="GZF124" t="s">
        <v>451</v>
      </c>
      <c r="GZG124" t="s">
        <v>451</v>
      </c>
      <c r="GZH124" t="s">
        <v>451</v>
      </c>
      <c r="GZI124" t="s">
        <v>451</v>
      </c>
      <c r="GZJ124" t="s">
        <v>451</v>
      </c>
      <c r="GZK124" t="s">
        <v>451</v>
      </c>
      <c r="GZL124" t="s">
        <v>451</v>
      </c>
      <c r="GZM124" t="s">
        <v>451</v>
      </c>
      <c r="GZN124" t="s">
        <v>451</v>
      </c>
      <c r="GZO124" t="s">
        <v>451</v>
      </c>
      <c r="GZP124" t="s">
        <v>451</v>
      </c>
      <c r="GZQ124" t="s">
        <v>451</v>
      </c>
      <c r="GZR124" t="s">
        <v>451</v>
      </c>
      <c r="GZS124" t="s">
        <v>451</v>
      </c>
      <c r="GZT124" t="s">
        <v>451</v>
      </c>
      <c r="GZU124" t="s">
        <v>451</v>
      </c>
      <c r="GZV124" t="s">
        <v>451</v>
      </c>
      <c r="GZW124" t="s">
        <v>451</v>
      </c>
      <c r="GZX124" t="s">
        <v>451</v>
      </c>
      <c r="GZY124" t="s">
        <v>451</v>
      </c>
      <c r="GZZ124" t="s">
        <v>451</v>
      </c>
      <c r="HAA124" t="s">
        <v>451</v>
      </c>
      <c r="HAB124" t="s">
        <v>451</v>
      </c>
      <c r="HAC124" t="s">
        <v>451</v>
      </c>
      <c r="HAD124" t="s">
        <v>451</v>
      </c>
      <c r="HAE124" t="s">
        <v>451</v>
      </c>
      <c r="HAF124" t="s">
        <v>451</v>
      </c>
      <c r="HAG124" t="s">
        <v>451</v>
      </c>
      <c r="HAH124" t="s">
        <v>451</v>
      </c>
      <c r="HAI124" t="s">
        <v>451</v>
      </c>
      <c r="HAJ124" t="s">
        <v>451</v>
      </c>
      <c r="HAK124" t="s">
        <v>451</v>
      </c>
      <c r="HAL124" t="s">
        <v>451</v>
      </c>
      <c r="HAM124" t="s">
        <v>451</v>
      </c>
      <c r="HAN124" t="s">
        <v>451</v>
      </c>
      <c r="HAO124" t="s">
        <v>451</v>
      </c>
      <c r="HAP124" t="s">
        <v>451</v>
      </c>
      <c r="HAQ124" t="s">
        <v>451</v>
      </c>
      <c r="HAR124" t="s">
        <v>451</v>
      </c>
      <c r="HAS124" t="s">
        <v>451</v>
      </c>
      <c r="HAT124" t="s">
        <v>451</v>
      </c>
      <c r="HAU124" t="s">
        <v>451</v>
      </c>
      <c r="HAV124" t="s">
        <v>451</v>
      </c>
      <c r="HAW124" t="s">
        <v>451</v>
      </c>
      <c r="HAX124" t="s">
        <v>451</v>
      </c>
      <c r="HAY124" t="s">
        <v>451</v>
      </c>
      <c r="HAZ124" t="s">
        <v>451</v>
      </c>
      <c r="HBA124" t="s">
        <v>451</v>
      </c>
      <c r="HBB124" t="s">
        <v>451</v>
      </c>
      <c r="HBC124" t="s">
        <v>451</v>
      </c>
      <c r="HBD124" t="s">
        <v>451</v>
      </c>
      <c r="HBE124" t="s">
        <v>451</v>
      </c>
      <c r="HBF124" t="s">
        <v>451</v>
      </c>
      <c r="HBG124" t="s">
        <v>451</v>
      </c>
      <c r="HBH124" t="s">
        <v>451</v>
      </c>
      <c r="HBI124" t="s">
        <v>451</v>
      </c>
      <c r="HBJ124" t="s">
        <v>451</v>
      </c>
      <c r="HBK124" t="s">
        <v>451</v>
      </c>
      <c r="HBL124" t="s">
        <v>451</v>
      </c>
      <c r="HBM124" t="s">
        <v>451</v>
      </c>
      <c r="HBN124" t="s">
        <v>451</v>
      </c>
      <c r="HBO124" t="s">
        <v>451</v>
      </c>
      <c r="HBP124" t="s">
        <v>451</v>
      </c>
      <c r="HBQ124" t="s">
        <v>451</v>
      </c>
      <c r="HBR124" t="s">
        <v>451</v>
      </c>
      <c r="HBS124" t="s">
        <v>451</v>
      </c>
      <c r="HBT124" t="s">
        <v>451</v>
      </c>
      <c r="HBU124" t="s">
        <v>451</v>
      </c>
      <c r="HBV124" t="s">
        <v>451</v>
      </c>
      <c r="HBW124" t="s">
        <v>451</v>
      </c>
      <c r="HBX124" t="s">
        <v>451</v>
      </c>
      <c r="HBY124" t="s">
        <v>451</v>
      </c>
      <c r="HBZ124" t="s">
        <v>451</v>
      </c>
      <c r="HCA124" t="s">
        <v>451</v>
      </c>
      <c r="HCB124" t="s">
        <v>451</v>
      </c>
      <c r="HCC124" t="s">
        <v>451</v>
      </c>
      <c r="HCD124" t="s">
        <v>451</v>
      </c>
      <c r="HCE124" t="s">
        <v>451</v>
      </c>
      <c r="HCF124" t="s">
        <v>451</v>
      </c>
      <c r="HCG124" t="s">
        <v>451</v>
      </c>
      <c r="HCH124" t="s">
        <v>451</v>
      </c>
      <c r="HCI124" t="s">
        <v>451</v>
      </c>
      <c r="HCJ124" t="s">
        <v>451</v>
      </c>
      <c r="HCK124" t="s">
        <v>451</v>
      </c>
      <c r="HCL124" t="s">
        <v>451</v>
      </c>
      <c r="HCM124" t="s">
        <v>451</v>
      </c>
      <c r="HCN124" t="s">
        <v>451</v>
      </c>
      <c r="HCO124" t="s">
        <v>451</v>
      </c>
      <c r="HCP124" t="s">
        <v>451</v>
      </c>
      <c r="HCQ124" t="s">
        <v>451</v>
      </c>
      <c r="HCR124" t="s">
        <v>451</v>
      </c>
      <c r="HCS124" t="s">
        <v>451</v>
      </c>
      <c r="HCT124" t="s">
        <v>451</v>
      </c>
      <c r="HCU124" t="s">
        <v>451</v>
      </c>
      <c r="HCV124" t="s">
        <v>451</v>
      </c>
      <c r="HCW124" t="s">
        <v>451</v>
      </c>
      <c r="HCX124" t="s">
        <v>451</v>
      </c>
      <c r="HCY124" t="s">
        <v>451</v>
      </c>
      <c r="HCZ124" t="s">
        <v>451</v>
      </c>
      <c r="HDA124" t="s">
        <v>451</v>
      </c>
      <c r="HDB124" t="s">
        <v>451</v>
      </c>
      <c r="HDC124" t="s">
        <v>451</v>
      </c>
      <c r="HDD124" t="s">
        <v>451</v>
      </c>
      <c r="HDE124" t="s">
        <v>451</v>
      </c>
      <c r="HDF124" t="s">
        <v>451</v>
      </c>
      <c r="HDG124" t="s">
        <v>451</v>
      </c>
      <c r="HDH124" t="s">
        <v>451</v>
      </c>
      <c r="HDI124" t="s">
        <v>451</v>
      </c>
      <c r="HDJ124" t="s">
        <v>451</v>
      </c>
      <c r="HDK124" t="s">
        <v>451</v>
      </c>
      <c r="HDL124" t="s">
        <v>451</v>
      </c>
      <c r="HDM124" t="s">
        <v>451</v>
      </c>
      <c r="HDN124" t="s">
        <v>451</v>
      </c>
      <c r="HDO124" t="s">
        <v>451</v>
      </c>
      <c r="HDP124" t="s">
        <v>451</v>
      </c>
      <c r="HDQ124" t="s">
        <v>451</v>
      </c>
      <c r="HDR124" t="s">
        <v>451</v>
      </c>
      <c r="HDS124" t="s">
        <v>451</v>
      </c>
      <c r="HDT124" t="s">
        <v>451</v>
      </c>
      <c r="HDU124" t="s">
        <v>451</v>
      </c>
      <c r="HDV124" t="s">
        <v>451</v>
      </c>
      <c r="HDW124" t="s">
        <v>451</v>
      </c>
      <c r="HDX124" t="s">
        <v>451</v>
      </c>
      <c r="HDY124" t="s">
        <v>451</v>
      </c>
      <c r="HDZ124" t="s">
        <v>451</v>
      </c>
      <c r="HEA124" t="s">
        <v>451</v>
      </c>
      <c r="HEB124" t="s">
        <v>451</v>
      </c>
      <c r="HEC124" t="s">
        <v>451</v>
      </c>
      <c r="HED124" t="s">
        <v>451</v>
      </c>
      <c r="HEE124" t="s">
        <v>451</v>
      </c>
      <c r="HEF124" t="s">
        <v>451</v>
      </c>
      <c r="HEG124" t="s">
        <v>451</v>
      </c>
      <c r="HEH124" t="s">
        <v>451</v>
      </c>
      <c r="HEI124" t="s">
        <v>451</v>
      </c>
      <c r="HEJ124" t="s">
        <v>451</v>
      </c>
      <c r="HEK124" t="s">
        <v>451</v>
      </c>
      <c r="HEL124" t="s">
        <v>451</v>
      </c>
      <c r="HEM124" t="s">
        <v>451</v>
      </c>
      <c r="HEN124" t="s">
        <v>451</v>
      </c>
      <c r="HEO124" t="s">
        <v>451</v>
      </c>
      <c r="HEP124" t="s">
        <v>451</v>
      </c>
      <c r="HEQ124" t="s">
        <v>451</v>
      </c>
      <c r="HER124" t="s">
        <v>451</v>
      </c>
      <c r="HES124" t="s">
        <v>451</v>
      </c>
      <c r="HET124" t="s">
        <v>451</v>
      </c>
      <c r="HEU124" t="s">
        <v>451</v>
      </c>
      <c r="HEV124" t="s">
        <v>451</v>
      </c>
      <c r="HEW124" t="s">
        <v>451</v>
      </c>
      <c r="HEX124" t="s">
        <v>451</v>
      </c>
      <c r="HEY124" t="s">
        <v>451</v>
      </c>
      <c r="HEZ124" t="s">
        <v>451</v>
      </c>
      <c r="HFA124" t="s">
        <v>451</v>
      </c>
      <c r="HFB124" t="s">
        <v>451</v>
      </c>
      <c r="HFC124" t="s">
        <v>451</v>
      </c>
      <c r="HFD124" t="s">
        <v>451</v>
      </c>
      <c r="HFE124" t="s">
        <v>451</v>
      </c>
      <c r="HFF124" t="s">
        <v>451</v>
      </c>
      <c r="HFG124" t="s">
        <v>451</v>
      </c>
      <c r="HFH124" t="s">
        <v>451</v>
      </c>
      <c r="HFI124" t="s">
        <v>451</v>
      </c>
      <c r="HFJ124" t="s">
        <v>451</v>
      </c>
      <c r="HFK124" t="s">
        <v>451</v>
      </c>
      <c r="HFL124" t="s">
        <v>451</v>
      </c>
      <c r="HFM124" t="s">
        <v>451</v>
      </c>
      <c r="HFN124" t="s">
        <v>451</v>
      </c>
      <c r="HFO124" t="s">
        <v>451</v>
      </c>
      <c r="HFP124" t="s">
        <v>451</v>
      </c>
      <c r="HFQ124" t="s">
        <v>451</v>
      </c>
      <c r="HFR124" t="s">
        <v>451</v>
      </c>
      <c r="HFS124" t="s">
        <v>451</v>
      </c>
      <c r="HFT124" t="s">
        <v>451</v>
      </c>
      <c r="HFU124" t="s">
        <v>451</v>
      </c>
      <c r="HFV124" t="s">
        <v>451</v>
      </c>
      <c r="HFW124" t="s">
        <v>451</v>
      </c>
      <c r="HFX124" t="s">
        <v>451</v>
      </c>
      <c r="HFY124" t="s">
        <v>451</v>
      </c>
      <c r="HFZ124" t="s">
        <v>451</v>
      </c>
      <c r="HGA124" t="s">
        <v>451</v>
      </c>
      <c r="HGB124" t="s">
        <v>451</v>
      </c>
      <c r="HGC124" t="s">
        <v>451</v>
      </c>
      <c r="HGD124" t="s">
        <v>451</v>
      </c>
      <c r="HGE124" t="s">
        <v>451</v>
      </c>
      <c r="HGF124" t="s">
        <v>451</v>
      </c>
      <c r="HGG124" t="s">
        <v>451</v>
      </c>
      <c r="HGH124" t="s">
        <v>451</v>
      </c>
      <c r="HGI124" t="s">
        <v>451</v>
      </c>
      <c r="HGJ124" t="s">
        <v>451</v>
      </c>
      <c r="HGK124" t="s">
        <v>451</v>
      </c>
      <c r="HGL124" t="s">
        <v>451</v>
      </c>
      <c r="HGM124" t="s">
        <v>451</v>
      </c>
      <c r="HGN124" t="s">
        <v>451</v>
      </c>
      <c r="HGO124" t="s">
        <v>451</v>
      </c>
      <c r="HGP124" t="s">
        <v>451</v>
      </c>
      <c r="HGQ124" t="s">
        <v>451</v>
      </c>
      <c r="HGR124" t="s">
        <v>451</v>
      </c>
      <c r="HGS124" t="s">
        <v>451</v>
      </c>
      <c r="HGT124" t="s">
        <v>451</v>
      </c>
      <c r="HGU124" t="s">
        <v>451</v>
      </c>
      <c r="HGV124" t="s">
        <v>451</v>
      </c>
      <c r="HGW124" t="s">
        <v>451</v>
      </c>
      <c r="HGX124" t="s">
        <v>451</v>
      </c>
      <c r="HGY124" t="s">
        <v>451</v>
      </c>
      <c r="HGZ124" t="s">
        <v>451</v>
      </c>
      <c r="HHA124" t="s">
        <v>451</v>
      </c>
      <c r="HHB124" t="s">
        <v>451</v>
      </c>
      <c r="HHC124" t="s">
        <v>451</v>
      </c>
      <c r="HHD124" t="s">
        <v>451</v>
      </c>
      <c r="HHE124" t="s">
        <v>451</v>
      </c>
      <c r="HHF124" t="s">
        <v>451</v>
      </c>
      <c r="HHG124" t="s">
        <v>451</v>
      </c>
      <c r="HHH124" t="s">
        <v>451</v>
      </c>
      <c r="HHI124" t="s">
        <v>451</v>
      </c>
      <c r="HHJ124" t="s">
        <v>451</v>
      </c>
      <c r="HHK124" t="s">
        <v>451</v>
      </c>
      <c r="HHL124" t="s">
        <v>451</v>
      </c>
      <c r="HHM124" t="s">
        <v>451</v>
      </c>
      <c r="HHN124" t="s">
        <v>451</v>
      </c>
      <c r="HHO124" t="s">
        <v>451</v>
      </c>
      <c r="HHP124" t="s">
        <v>451</v>
      </c>
      <c r="HHQ124" t="s">
        <v>451</v>
      </c>
      <c r="HHR124" t="s">
        <v>451</v>
      </c>
      <c r="HHS124" t="s">
        <v>451</v>
      </c>
      <c r="HHT124" t="s">
        <v>451</v>
      </c>
      <c r="HHU124" t="s">
        <v>451</v>
      </c>
      <c r="HHV124" t="s">
        <v>451</v>
      </c>
      <c r="HHW124" t="s">
        <v>451</v>
      </c>
      <c r="HHX124" t="s">
        <v>451</v>
      </c>
      <c r="HHY124" t="s">
        <v>451</v>
      </c>
      <c r="HHZ124" t="s">
        <v>451</v>
      </c>
      <c r="HIA124" t="s">
        <v>451</v>
      </c>
      <c r="HIB124" t="s">
        <v>451</v>
      </c>
      <c r="HIC124" t="s">
        <v>451</v>
      </c>
      <c r="HID124" t="s">
        <v>451</v>
      </c>
      <c r="HIE124" t="s">
        <v>451</v>
      </c>
      <c r="HIF124" t="s">
        <v>451</v>
      </c>
      <c r="HIG124" t="s">
        <v>451</v>
      </c>
      <c r="HIH124" t="s">
        <v>451</v>
      </c>
      <c r="HII124" t="s">
        <v>451</v>
      </c>
      <c r="HIJ124" t="s">
        <v>451</v>
      </c>
      <c r="HIK124" t="s">
        <v>451</v>
      </c>
      <c r="HIL124" t="s">
        <v>451</v>
      </c>
      <c r="HIM124" t="s">
        <v>451</v>
      </c>
      <c r="HIN124" t="s">
        <v>451</v>
      </c>
      <c r="HIO124" t="s">
        <v>451</v>
      </c>
      <c r="HIP124" t="s">
        <v>451</v>
      </c>
      <c r="HIQ124" t="s">
        <v>451</v>
      </c>
      <c r="HIR124" t="s">
        <v>451</v>
      </c>
      <c r="HIS124" t="s">
        <v>451</v>
      </c>
      <c r="HIT124" t="s">
        <v>451</v>
      </c>
      <c r="HIU124" t="s">
        <v>451</v>
      </c>
      <c r="HIV124" t="s">
        <v>451</v>
      </c>
      <c r="HIW124" t="s">
        <v>451</v>
      </c>
      <c r="HIX124" t="s">
        <v>451</v>
      </c>
      <c r="HIY124" t="s">
        <v>451</v>
      </c>
      <c r="HIZ124" t="s">
        <v>451</v>
      </c>
      <c r="HJA124" t="s">
        <v>451</v>
      </c>
      <c r="HJB124" t="s">
        <v>451</v>
      </c>
      <c r="HJC124" t="s">
        <v>451</v>
      </c>
      <c r="HJD124" t="s">
        <v>451</v>
      </c>
      <c r="HJE124" t="s">
        <v>451</v>
      </c>
      <c r="HJF124" t="s">
        <v>451</v>
      </c>
      <c r="HJG124" t="s">
        <v>451</v>
      </c>
      <c r="HJH124" t="s">
        <v>451</v>
      </c>
      <c r="HJI124" t="s">
        <v>451</v>
      </c>
      <c r="HJJ124" t="s">
        <v>451</v>
      </c>
      <c r="HJK124" t="s">
        <v>451</v>
      </c>
      <c r="HJL124" t="s">
        <v>451</v>
      </c>
      <c r="HJM124" t="s">
        <v>451</v>
      </c>
      <c r="HJN124" t="s">
        <v>451</v>
      </c>
      <c r="HJO124" t="s">
        <v>451</v>
      </c>
      <c r="HJP124" t="s">
        <v>451</v>
      </c>
      <c r="HJQ124" t="s">
        <v>451</v>
      </c>
      <c r="HJR124" t="s">
        <v>451</v>
      </c>
      <c r="HJS124" t="s">
        <v>451</v>
      </c>
      <c r="HJT124" t="s">
        <v>451</v>
      </c>
      <c r="HJU124" t="s">
        <v>451</v>
      </c>
      <c r="HJV124" t="s">
        <v>451</v>
      </c>
      <c r="HJW124" t="s">
        <v>451</v>
      </c>
      <c r="HJX124" t="s">
        <v>451</v>
      </c>
      <c r="HJY124" t="s">
        <v>451</v>
      </c>
      <c r="HJZ124" t="s">
        <v>451</v>
      </c>
      <c r="HKA124" t="s">
        <v>451</v>
      </c>
      <c r="HKB124" t="s">
        <v>451</v>
      </c>
      <c r="HKC124" t="s">
        <v>451</v>
      </c>
      <c r="HKD124" t="s">
        <v>451</v>
      </c>
      <c r="HKE124" t="s">
        <v>451</v>
      </c>
      <c r="HKF124" t="s">
        <v>451</v>
      </c>
      <c r="HKG124" t="s">
        <v>451</v>
      </c>
      <c r="HKH124" t="s">
        <v>451</v>
      </c>
      <c r="HKI124" t="s">
        <v>451</v>
      </c>
      <c r="HKJ124" t="s">
        <v>451</v>
      </c>
      <c r="HKK124" t="s">
        <v>451</v>
      </c>
      <c r="HKL124" t="s">
        <v>451</v>
      </c>
      <c r="HKM124" t="s">
        <v>451</v>
      </c>
      <c r="HKN124" t="s">
        <v>451</v>
      </c>
      <c r="HKO124" t="s">
        <v>451</v>
      </c>
      <c r="HKP124" t="s">
        <v>451</v>
      </c>
      <c r="HKQ124" t="s">
        <v>451</v>
      </c>
      <c r="HKR124" t="s">
        <v>451</v>
      </c>
      <c r="HKS124" t="s">
        <v>451</v>
      </c>
      <c r="HKT124" t="s">
        <v>451</v>
      </c>
      <c r="HKU124" t="s">
        <v>451</v>
      </c>
      <c r="HKV124" t="s">
        <v>451</v>
      </c>
      <c r="HKW124" t="s">
        <v>451</v>
      </c>
      <c r="HKX124" t="s">
        <v>451</v>
      </c>
      <c r="HKY124" t="s">
        <v>451</v>
      </c>
      <c r="HKZ124" t="s">
        <v>451</v>
      </c>
      <c r="HLA124" t="s">
        <v>451</v>
      </c>
      <c r="HLB124" t="s">
        <v>451</v>
      </c>
      <c r="HLC124" t="s">
        <v>451</v>
      </c>
      <c r="HLD124" t="s">
        <v>451</v>
      </c>
      <c r="HLE124" t="s">
        <v>451</v>
      </c>
      <c r="HLF124" t="s">
        <v>451</v>
      </c>
      <c r="HLG124" t="s">
        <v>451</v>
      </c>
      <c r="HLH124" t="s">
        <v>451</v>
      </c>
      <c r="HLI124" t="s">
        <v>451</v>
      </c>
      <c r="HLJ124" t="s">
        <v>451</v>
      </c>
      <c r="HLK124" t="s">
        <v>451</v>
      </c>
      <c r="HLL124" t="s">
        <v>451</v>
      </c>
      <c r="HLM124" t="s">
        <v>451</v>
      </c>
      <c r="HLN124" t="s">
        <v>451</v>
      </c>
      <c r="HLO124" t="s">
        <v>451</v>
      </c>
      <c r="HLP124" t="s">
        <v>451</v>
      </c>
      <c r="HLQ124" t="s">
        <v>451</v>
      </c>
      <c r="HLR124" t="s">
        <v>451</v>
      </c>
      <c r="HLS124" t="s">
        <v>451</v>
      </c>
      <c r="HLT124" t="s">
        <v>451</v>
      </c>
      <c r="HLU124" t="s">
        <v>451</v>
      </c>
      <c r="HLV124" t="s">
        <v>451</v>
      </c>
      <c r="HLW124" t="s">
        <v>451</v>
      </c>
      <c r="HLX124" t="s">
        <v>451</v>
      </c>
      <c r="HLY124" t="s">
        <v>451</v>
      </c>
      <c r="HLZ124" t="s">
        <v>451</v>
      </c>
      <c r="HMA124" t="s">
        <v>451</v>
      </c>
      <c r="HMB124" t="s">
        <v>451</v>
      </c>
      <c r="HMC124" t="s">
        <v>451</v>
      </c>
      <c r="HMD124" t="s">
        <v>451</v>
      </c>
      <c r="HME124" t="s">
        <v>451</v>
      </c>
      <c r="HMF124" t="s">
        <v>451</v>
      </c>
      <c r="HMG124" t="s">
        <v>451</v>
      </c>
      <c r="HMH124" t="s">
        <v>451</v>
      </c>
      <c r="HMI124" t="s">
        <v>451</v>
      </c>
      <c r="HMJ124" t="s">
        <v>451</v>
      </c>
      <c r="HMK124" t="s">
        <v>451</v>
      </c>
      <c r="HML124" t="s">
        <v>451</v>
      </c>
      <c r="HMM124" t="s">
        <v>451</v>
      </c>
      <c r="HMN124" t="s">
        <v>451</v>
      </c>
      <c r="HMO124" t="s">
        <v>451</v>
      </c>
      <c r="HMP124" t="s">
        <v>451</v>
      </c>
      <c r="HMQ124" t="s">
        <v>451</v>
      </c>
      <c r="HMR124" t="s">
        <v>451</v>
      </c>
      <c r="HMS124" t="s">
        <v>451</v>
      </c>
      <c r="HMT124" t="s">
        <v>451</v>
      </c>
      <c r="HMU124" t="s">
        <v>451</v>
      </c>
      <c r="HMV124" t="s">
        <v>451</v>
      </c>
      <c r="HMW124" t="s">
        <v>451</v>
      </c>
      <c r="HMX124" t="s">
        <v>451</v>
      </c>
      <c r="HMY124" t="s">
        <v>451</v>
      </c>
      <c r="HMZ124" t="s">
        <v>451</v>
      </c>
      <c r="HNA124" t="s">
        <v>451</v>
      </c>
      <c r="HNB124" t="s">
        <v>451</v>
      </c>
      <c r="HNC124" t="s">
        <v>451</v>
      </c>
      <c r="HND124" t="s">
        <v>451</v>
      </c>
      <c r="HNE124" t="s">
        <v>451</v>
      </c>
      <c r="HNF124" t="s">
        <v>451</v>
      </c>
      <c r="HNG124" t="s">
        <v>451</v>
      </c>
      <c r="HNH124" t="s">
        <v>451</v>
      </c>
      <c r="HNI124" t="s">
        <v>451</v>
      </c>
      <c r="HNJ124" t="s">
        <v>451</v>
      </c>
      <c r="HNK124" t="s">
        <v>451</v>
      </c>
      <c r="HNL124" t="s">
        <v>451</v>
      </c>
      <c r="HNM124" t="s">
        <v>451</v>
      </c>
      <c r="HNN124" t="s">
        <v>451</v>
      </c>
      <c r="HNO124" t="s">
        <v>451</v>
      </c>
      <c r="HNP124" t="s">
        <v>451</v>
      </c>
      <c r="HNQ124" t="s">
        <v>451</v>
      </c>
      <c r="HNR124" t="s">
        <v>451</v>
      </c>
      <c r="HNS124" t="s">
        <v>451</v>
      </c>
      <c r="HNT124" t="s">
        <v>451</v>
      </c>
      <c r="HNU124" t="s">
        <v>451</v>
      </c>
      <c r="HNV124" t="s">
        <v>451</v>
      </c>
      <c r="HNW124" t="s">
        <v>451</v>
      </c>
      <c r="HNX124" t="s">
        <v>451</v>
      </c>
      <c r="HNY124" t="s">
        <v>451</v>
      </c>
      <c r="HNZ124" t="s">
        <v>451</v>
      </c>
      <c r="HOA124" t="s">
        <v>451</v>
      </c>
      <c r="HOB124" t="s">
        <v>451</v>
      </c>
      <c r="HOC124" t="s">
        <v>451</v>
      </c>
      <c r="HOD124" t="s">
        <v>451</v>
      </c>
      <c r="HOE124" t="s">
        <v>451</v>
      </c>
      <c r="HOF124" t="s">
        <v>451</v>
      </c>
      <c r="HOG124" t="s">
        <v>451</v>
      </c>
      <c r="HOH124" t="s">
        <v>451</v>
      </c>
      <c r="HOI124" t="s">
        <v>451</v>
      </c>
      <c r="HOJ124" t="s">
        <v>451</v>
      </c>
      <c r="HOK124" t="s">
        <v>451</v>
      </c>
      <c r="HOL124" t="s">
        <v>451</v>
      </c>
      <c r="HOM124" t="s">
        <v>451</v>
      </c>
      <c r="HON124" t="s">
        <v>451</v>
      </c>
      <c r="HOO124" t="s">
        <v>451</v>
      </c>
      <c r="HOP124" t="s">
        <v>451</v>
      </c>
      <c r="HOQ124" t="s">
        <v>451</v>
      </c>
      <c r="HOR124" t="s">
        <v>451</v>
      </c>
      <c r="HOS124" t="s">
        <v>451</v>
      </c>
      <c r="HOT124" t="s">
        <v>451</v>
      </c>
      <c r="HOU124" t="s">
        <v>451</v>
      </c>
      <c r="HOV124" t="s">
        <v>451</v>
      </c>
      <c r="HOW124" t="s">
        <v>451</v>
      </c>
      <c r="HOX124" t="s">
        <v>451</v>
      </c>
      <c r="HOY124" t="s">
        <v>451</v>
      </c>
      <c r="HOZ124" t="s">
        <v>451</v>
      </c>
      <c r="HPA124" t="s">
        <v>451</v>
      </c>
      <c r="HPB124" t="s">
        <v>451</v>
      </c>
      <c r="HPC124" t="s">
        <v>451</v>
      </c>
      <c r="HPD124" t="s">
        <v>451</v>
      </c>
      <c r="HPE124" t="s">
        <v>451</v>
      </c>
      <c r="HPF124" t="s">
        <v>451</v>
      </c>
      <c r="HPG124" t="s">
        <v>451</v>
      </c>
      <c r="HPH124" t="s">
        <v>451</v>
      </c>
      <c r="HPI124" t="s">
        <v>451</v>
      </c>
      <c r="HPJ124" t="s">
        <v>451</v>
      </c>
      <c r="HPK124" t="s">
        <v>451</v>
      </c>
      <c r="HPL124" t="s">
        <v>451</v>
      </c>
      <c r="HPM124" t="s">
        <v>451</v>
      </c>
      <c r="HPN124" t="s">
        <v>451</v>
      </c>
      <c r="HPO124" t="s">
        <v>451</v>
      </c>
      <c r="HPP124" t="s">
        <v>451</v>
      </c>
      <c r="HPQ124" t="s">
        <v>451</v>
      </c>
      <c r="HPR124" t="s">
        <v>451</v>
      </c>
      <c r="HPS124" t="s">
        <v>451</v>
      </c>
      <c r="HPT124" t="s">
        <v>451</v>
      </c>
      <c r="HPU124" t="s">
        <v>451</v>
      </c>
      <c r="HPV124" t="s">
        <v>451</v>
      </c>
      <c r="HPW124" t="s">
        <v>451</v>
      </c>
      <c r="HPX124" t="s">
        <v>451</v>
      </c>
      <c r="HPY124" t="s">
        <v>451</v>
      </c>
      <c r="HPZ124" t="s">
        <v>451</v>
      </c>
      <c r="HQA124" t="s">
        <v>451</v>
      </c>
      <c r="HQB124" t="s">
        <v>451</v>
      </c>
      <c r="HQC124" t="s">
        <v>451</v>
      </c>
      <c r="HQD124" t="s">
        <v>451</v>
      </c>
      <c r="HQE124" t="s">
        <v>451</v>
      </c>
      <c r="HQF124" t="s">
        <v>451</v>
      </c>
      <c r="HQG124" t="s">
        <v>451</v>
      </c>
      <c r="HQH124" t="s">
        <v>451</v>
      </c>
      <c r="HQI124" t="s">
        <v>451</v>
      </c>
      <c r="HQJ124" t="s">
        <v>451</v>
      </c>
      <c r="HQK124" t="s">
        <v>451</v>
      </c>
      <c r="HQL124" t="s">
        <v>451</v>
      </c>
      <c r="HQM124" t="s">
        <v>451</v>
      </c>
      <c r="HQN124" t="s">
        <v>451</v>
      </c>
      <c r="HQO124" t="s">
        <v>451</v>
      </c>
      <c r="HQP124" t="s">
        <v>451</v>
      </c>
      <c r="HQQ124" t="s">
        <v>451</v>
      </c>
      <c r="HQR124" t="s">
        <v>451</v>
      </c>
      <c r="HQS124" t="s">
        <v>451</v>
      </c>
      <c r="HQT124" t="s">
        <v>451</v>
      </c>
      <c r="HQU124" t="s">
        <v>451</v>
      </c>
      <c r="HQV124" t="s">
        <v>451</v>
      </c>
      <c r="HQW124" t="s">
        <v>451</v>
      </c>
      <c r="HQX124" t="s">
        <v>451</v>
      </c>
      <c r="HQY124" t="s">
        <v>451</v>
      </c>
      <c r="HQZ124" t="s">
        <v>451</v>
      </c>
      <c r="HRA124" t="s">
        <v>451</v>
      </c>
      <c r="HRB124" t="s">
        <v>451</v>
      </c>
      <c r="HRC124" t="s">
        <v>451</v>
      </c>
      <c r="HRD124" t="s">
        <v>451</v>
      </c>
      <c r="HRE124" t="s">
        <v>451</v>
      </c>
      <c r="HRF124" t="s">
        <v>451</v>
      </c>
      <c r="HRG124" t="s">
        <v>451</v>
      </c>
      <c r="HRH124" t="s">
        <v>451</v>
      </c>
      <c r="HRI124" t="s">
        <v>451</v>
      </c>
      <c r="HRJ124" t="s">
        <v>451</v>
      </c>
      <c r="HRK124" t="s">
        <v>451</v>
      </c>
      <c r="HRL124" t="s">
        <v>451</v>
      </c>
      <c r="HRM124" t="s">
        <v>451</v>
      </c>
      <c r="HRN124" t="s">
        <v>451</v>
      </c>
      <c r="HRO124" t="s">
        <v>451</v>
      </c>
      <c r="HRP124" t="s">
        <v>451</v>
      </c>
      <c r="HRQ124" t="s">
        <v>451</v>
      </c>
      <c r="HRR124" t="s">
        <v>451</v>
      </c>
      <c r="HRS124" t="s">
        <v>451</v>
      </c>
      <c r="HRT124" t="s">
        <v>451</v>
      </c>
      <c r="HRU124" t="s">
        <v>451</v>
      </c>
      <c r="HRV124" t="s">
        <v>451</v>
      </c>
      <c r="HRW124" t="s">
        <v>451</v>
      </c>
      <c r="HRX124" t="s">
        <v>451</v>
      </c>
      <c r="HRY124" t="s">
        <v>451</v>
      </c>
      <c r="HRZ124" t="s">
        <v>451</v>
      </c>
      <c r="HSA124" t="s">
        <v>451</v>
      </c>
      <c r="HSB124" t="s">
        <v>451</v>
      </c>
      <c r="HSC124" t="s">
        <v>451</v>
      </c>
      <c r="HSD124" t="s">
        <v>451</v>
      </c>
      <c r="HSE124" t="s">
        <v>451</v>
      </c>
      <c r="HSF124" t="s">
        <v>451</v>
      </c>
      <c r="HSG124" t="s">
        <v>451</v>
      </c>
      <c r="HSH124" t="s">
        <v>451</v>
      </c>
      <c r="HSI124" t="s">
        <v>451</v>
      </c>
      <c r="HSJ124" t="s">
        <v>451</v>
      </c>
      <c r="HSK124" t="s">
        <v>451</v>
      </c>
      <c r="HSL124" t="s">
        <v>451</v>
      </c>
      <c r="HSM124" t="s">
        <v>451</v>
      </c>
      <c r="HSN124" t="s">
        <v>451</v>
      </c>
      <c r="HSO124" t="s">
        <v>451</v>
      </c>
      <c r="HSP124" t="s">
        <v>451</v>
      </c>
      <c r="HSQ124" t="s">
        <v>451</v>
      </c>
      <c r="HSR124" t="s">
        <v>451</v>
      </c>
      <c r="HSS124" t="s">
        <v>451</v>
      </c>
      <c r="HST124" t="s">
        <v>451</v>
      </c>
      <c r="HSU124" t="s">
        <v>451</v>
      </c>
      <c r="HSV124" t="s">
        <v>451</v>
      </c>
      <c r="HSW124" t="s">
        <v>451</v>
      </c>
      <c r="HSX124" t="s">
        <v>451</v>
      </c>
      <c r="HSY124" t="s">
        <v>451</v>
      </c>
      <c r="HSZ124" t="s">
        <v>451</v>
      </c>
      <c r="HTA124" t="s">
        <v>451</v>
      </c>
      <c r="HTB124" t="s">
        <v>451</v>
      </c>
      <c r="HTC124" t="s">
        <v>451</v>
      </c>
      <c r="HTD124" t="s">
        <v>451</v>
      </c>
      <c r="HTE124" t="s">
        <v>451</v>
      </c>
      <c r="HTF124" t="s">
        <v>451</v>
      </c>
      <c r="HTG124" t="s">
        <v>451</v>
      </c>
      <c r="HTH124" t="s">
        <v>451</v>
      </c>
      <c r="HTI124" t="s">
        <v>451</v>
      </c>
      <c r="HTJ124" t="s">
        <v>451</v>
      </c>
      <c r="HTK124" t="s">
        <v>451</v>
      </c>
      <c r="HTL124" t="s">
        <v>451</v>
      </c>
      <c r="HTM124" t="s">
        <v>451</v>
      </c>
      <c r="HTN124" t="s">
        <v>451</v>
      </c>
      <c r="HTO124" t="s">
        <v>451</v>
      </c>
      <c r="HTP124" t="s">
        <v>451</v>
      </c>
      <c r="HTQ124" t="s">
        <v>451</v>
      </c>
      <c r="HTR124" t="s">
        <v>451</v>
      </c>
      <c r="HTS124" t="s">
        <v>451</v>
      </c>
      <c r="HTT124" t="s">
        <v>451</v>
      </c>
      <c r="HTU124" t="s">
        <v>451</v>
      </c>
      <c r="HTV124" t="s">
        <v>451</v>
      </c>
      <c r="HTW124" t="s">
        <v>451</v>
      </c>
      <c r="HTX124" t="s">
        <v>451</v>
      </c>
      <c r="HTY124" t="s">
        <v>451</v>
      </c>
      <c r="HTZ124" t="s">
        <v>451</v>
      </c>
      <c r="HUA124" t="s">
        <v>451</v>
      </c>
      <c r="HUB124" t="s">
        <v>451</v>
      </c>
      <c r="HUC124" t="s">
        <v>451</v>
      </c>
      <c r="HUD124" t="s">
        <v>451</v>
      </c>
      <c r="HUE124" t="s">
        <v>451</v>
      </c>
      <c r="HUF124" t="s">
        <v>451</v>
      </c>
      <c r="HUG124" t="s">
        <v>451</v>
      </c>
      <c r="HUH124" t="s">
        <v>451</v>
      </c>
      <c r="HUI124" t="s">
        <v>451</v>
      </c>
      <c r="HUJ124" t="s">
        <v>451</v>
      </c>
      <c r="HUK124" t="s">
        <v>451</v>
      </c>
      <c r="HUL124" t="s">
        <v>451</v>
      </c>
      <c r="HUM124" t="s">
        <v>451</v>
      </c>
      <c r="HUN124" t="s">
        <v>451</v>
      </c>
      <c r="HUO124" t="s">
        <v>451</v>
      </c>
      <c r="HUP124" t="s">
        <v>451</v>
      </c>
      <c r="HUQ124" t="s">
        <v>451</v>
      </c>
      <c r="HUR124" t="s">
        <v>451</v>
      </c>
      <c r="HUS124" t="s">
        <v>451</v>
      </c>
      <c r="HUT124" t="s">
        <v>451</v>
      </c>
      <c r="HUU124" t="s">
        <v>451</v>
      </c>
      <c r="HUV124" t="s">
        <v>451</v>
      </c>
      <c r="HUW124" t="s">
        <v>451</v>
      </c>
      <c r="HUX124" t="s">
        <v>451</v>
      </c>
      <c r="HUY124" t="s">
        <v>451</v>
      </c>
      <c r="HUZ124" t="s">
        <v>451</v>
      </c>
      <c r="HVA124" t="s">
        <v>451</v>
      </c>
      <c r="HVB124" t="s">
        <v>451</v>
      </c>
      <c r="HVC124" t="s">
        <v>451</v>
      </c>
      <c r="HVD124" t="s">
        <v>451</v>
      </c>
      <c r="HVE124" t="s">
        <v>451</v>
      </c>
      <c r="HVF124" t="s">
        <v>451</v>
      </c>
      <c r="HVG124" t="s">
        <v>451</v>
      </c>
      <c r="HVH124" t="s">
        <v>451</v>
      </c>
      <c r="HVI124" t="s">
        <v>451</v>
      </c>
      <c r="HVJ124" t="s">
        <v>451</v>
      </c>
      <c r="HVK124" t="s">
        <v>451</v>
      </c>
      <c r="HVL124" t="s">
        <v>451</v>
      </c>
      <c r="HVM124" t="s">
        <v>451</v>
      </c>
      <c r="HVN124" t="s">
        <v>451</v>
      </c>
      <c r="HVO124" t="s">
        <v>451</v>
      </c>
      <c r="HVP124" t="s">
        <v>451</v>
      </c>
      <c r="HVQ124" t="s">
        <v>451</v>
      </c>
      <c r="HVR124" t="s">
        <v>451</v>
      </c>
      <c r="HVS124" t="s">
        <v>451</v>
      </c>
      <c r="HVT124" t="s">
        <v>451</v>
      </c>
      <c r="HVU124" t="s">
        <v>451</v>
      </c>
      <c r="HVV124" t="s">
        <v>451</v>
      </c>
      <c r="HVW124" t="s">
        <v>451</v>
      </c>
      <c r="HVX124" t="s">
        <v>451</v>
      </c>
      <c r="HVY124" t="s">
        <v>451</v>
      </c>
      <c r="HVZ124" t="s">
        <v>451</v>
      </c>
      <c r="HWA124" t="s">
        <v>451</v>
      </c>
      <c r="HWB124" t="s">
        <v>451</v>
      </c>
      <c r="HWC124" t="s">
        <v>451</v>
      </c>
      <c r="HWD124" t="s">
        <v>451</v>
      </c>
      <c r="HWE124" t="s">
        <v>451</v>
      </c>
      <c r="HWF124" t="s">
        <v>451</v>
      </c>
      <c r="HWG124" t="s">
        <v>451</v>
      </c>
      <c r="HWH124" t="s">
        <v>451</v>
      </c>
      <c r="HWI124" t="s">
        <v>451</v>
      </c>
      <c r="HWJ124" t="s">
        <v>451</v>
      </c>
      <c r="HWK124" t="s">
        <v>451</v>
      </c>
      <c r="HWL124" t="s">
        <v>451</v>
      </c>
      <c r="HWM124" t="s">
        <v>451</v>
      </c>
      <c r="HWN124" t="s">
        <v>451</v>
      </c>
      <c r="HWO124" t="s">
        <v>451</v>
      </c>
      <c r="HWP124" t="s">
        <v>451</v>
      </c>
      <c r="HWQ124" t="s">
        <v>451</v>
      </c>
      <c r="HWR124" t="s">
        <v>451</v>
      </c>
      <c r="HWS124" t="s">
        <v>451</v>
      </c>
      <c r="HWT124" t="s">
        <v>451</v>
      </c>
      <c r="HWU124" t="s">
        <v>451</v>
      </c>
      <c r="HWV124" t="s">
        <v>451</v>
      </c>
      <c r="HWW124" t="s">
        <v>451</v>
      </c>
      <c r="HWX124" t="s">
        <v>451</v>
      </c>
      <c r="HWY124" t="s">
        <v>451</v>
      </c>
      <c r="HWZ124" t="s">
        <v>451</v>
      </c>
      <c r="HXA124" t="s">
        <v>451</v>
      </c>
      <c r="HXB124" t="s">
        <v>451</v>
      </c>
      <c r="HXC124" t="s">
        <v>451</v>
      </c>
      <c r="HXD124" t="s">
        <v>451</v>
      </c>
      <c r="HXE124" t="s">
        <v>451</v>
      </c>
      <c r="HXF124" t="s">
        <v>451</v>
      </c>
      <c r="HXG124" t="s">
        <v>451</v>
      </c>
      <c r="HXH124" t="s">
        <v>451</v>
      </c>
      <c r="HXI124" t="s">
        <v>451</v>
      </c>
      <c r="HXJ124" t="s">
        <v>451</v>
      </c>
      <c r="HXK124" t="s">
        <v>451</v>
      </c>
      <c r="HXL124" t="s">
        <v>451</v>
      </c>
      <c r="HXM124" t="s">
        <v>451</v>
      </c>
      <c r="HXN124" t="s">
        <v>451</v>
      </c>
      <c r="HXO124" t="s">
        <v>451</v>
      </c>
      <c r="HXP124" t="s">
        <v>451</v>
      </c>
      <c r="HXQ124" t="s">
        <v>451</v>
      </c>
      <c r="HXR124" t="s">
        <v>451</v>
      </c>
      <c r="HXS124" t="s">
        <v>451</v>
      </c>
      <c r="HXT124" t="s">
        <v>451</v>
      </c>
      <c r="HXU124" t="s">
        <v>451</v>
      </c>
      <c r="HXV124" t="s">
        <v>451</v>
      </c>
      <c r="HXW124" t="s">
        <v>451</v>
      </c>
      <c r="HXX124" t="s">
        <v>451</v>
      </c>
      <c r="HXY124" t="s">
        <v>451</v>
      </c>
      <c r="HXZ124" t="s">
        <v>451</v>
      </c>
      <c r="HYA124" t="s">
        <v>451</v>
      </c>
      <c r="HYB124" t="s">
        <v>451</v>
      </c>
      <c r="HYC124" t="s">
        <v>451</v>
      </c>
      <c r="HYD124" t="s">
        <v>451</v>
      </c>
      <c r="HYE124" t="s">
        <v>451</v>
      </c>
      <c r="HYF124" t="s">
        <v>451</v>
      </c>
      <c r="HYG124" t="s">
        <v>451</v>
      </c>
      <c r="HYH124" t="s">
        <v>451</v>
      </c>
      <c r="HYI124" t="s">
        <v>451</v>
      </c>
      <c r="HYJ124" t="s">
        <v>451</v>
      </c>
      <c r="HYK124" t="s">
        <v>451</v>
      </c>
      <c r="HYL124" t="s">
        <v>451</v>
      </c>
      <c r="HYM124" t="s">
        <v>451</v>
      </c>
      <c r="HYN124" t="s">
        <v>451</v>
      </c>
      <c r="HYO124" t="s">
        <v>451</v>
      </c>
      <c r="HYP124" t="s">
        <v>451</v>
      </c>
      <c r="HYQ124" t="s">
        <v>451</v>
      </c>
      <c r="HYR124" t="s">
        <v>451</v>
      </c>
      <c r="HYS124" t="s">
        <v>451</v>
      </c>
      <c r="HYT124" t="s">
        <v>451</v>
      </c>
      <c r="HYU124" t="s">
        <v>451</v>
      </c>
      <c r="HYV124" t="s">
        <v>451</v>
      </c>
      <c r="HYW124" t="s">
        <v>451</v>
      </c>
      <c r="HYX124" t="s">
        <v>451</v>
      </c>
      <c r="HYY124" t="s">
        <v>451</v>
      </c>
      <c r="HYZ124" t="s">
        <v>451</v>
      </c>
      <c r="HZA124" t="s">
        <v>451</v>
      </c>
      <c r="HZB124" t="s">
        <v>451</v>
      </c>
      <c r="HZC124" t="s">
        <v>451</v>
      </c>
      <c r="HZD124" t="s">
        <v>451</v>
      </c>
      <c r="HZE124" t="s">
        <v>451</v>
      </c>
      <c r="HZF124" t="s">
        <v>451</v>
      </c>
      <c r="HZG124" t="s">
        <v>451</v>
      </c>
      <c r="HZH124" t="s">
        <v>451</v>
      </c>
      <c r="HZI124" t="s">
        <v>451</v>
      </c>
      <c r="HZJ124" t="s">
        <v>451</v>
      </c>
      <c r="HZK124" t="s">
        <v>451</v>
      </c>
      <c r="HZL124" t="s">
        <v>451</v>
      </c>
      <c r="HZM124" t="s">
        <v>451</v>
      </c>
      <c r="HZN124" t="s">
        <v>451</v>
      </c>
      <c r="HZO124" t="s">
        <v>451</v>
      </c>
      <c r="HZP124" t="s">
        <v>451</v>
      </c>
      <c r="HZQ124" t="s">
        <v>451</v>
      </c>
      <c r="HZR124" t="s">
        <v>451</v>
      </c>
      <c r="HZS124" t="s">
        <v>451</v>
      </c>
      <c r="HZT124" t="s">
        <v>451</v>
      </c>
      <c r="HZU124" t="s">
        <v>451</v>
      </c>
      <c r="HZV124" t="s">
        <v>451</v>
      </c>
      <c r="HZW124" t="s">
        <v>451</v>
      </c>
      <c r="HZX124" t="s">
        <v>451</v>
      </c>
      <c r="HZY124" t="s">
        <v>451</v>
      </c>
      <c r="HZZ124" t="s">
        <v>451</v>
      </c>
      <c r="IAA124" t="s">
        <v>451</v>
      </c>
      <c r="IAB124" t="s">
        <v>451</v>
      </c>
      <c r="IAC124" t="s">
        <v>451</v>
      </c>
      <c r="IAD124" t="s">
        <v>451</v>
      </c>
      <c r="IAE124" t="s">
        <v>451</v>
      </c>
      <c r="IAF124" t="s">
        <v>451</v>
      </c>
      <c r="IAG124" t="s">
        <v>451</v>
      </c>
      <c r="IAH124" t="s">
        <v>451</v>
      </c>
      <c r="IAI124" t="s">
        <v>451</v>
      </c>
      <c r="IAJ124" t="s">
        <v>451</v>
      </c>
      <c r="IAK124" t="s">
        <v>451</v>
      </c>
      <c r="IAL124" t="s">
        <v>451</v>
      </c>
      <c r="IAM124" t="s">
        <v>451</v>
      </c>
      <c r="IAN124" t="s">
        <v>451</v>
      </c>
      <c r="IAO124" t="s">
        <v>451</v>
      </c>
      <c r="IAP124" t="s">
        <v>451</v>
      </c>
      <c r="IAQ124" t="s">
        <v>451</v>
      </c>
      <c r="IAR124" t="s">
        <v>451</v>
      </c>
      <c r="IAS124" t="s">
        <v>451</v>
      </c>
      <c r="IAT124" t="s">
        <v>451</v>
      </c>
      <c r="IAU124" t="s">
        <v>451</v>
      </c>
      <c r="IAV124" t="s">
        <v>451</v>
      </c>
      <c r="IAW124" t="s">
        <v>451</v>
      </c>
      <c r="IAX124" t="s">
        <v>451</v>
      </c>
      <c r="IAY124" t="s">
        <v>451</v>
      </c>
      <c r="IAZ124" t="s">
        <v>451</v>
      </c>
      <c r="IBA124" t="s">
        <v>451</v>
      </c>
      <c r="IBB124" t="s">
        <v>451</v>
      </c>
      <c r="IBC124" t="s">
        <v>451</v>
      </c>
      <c r="IBD124" t="s">
        <v>451</v>
      </c>
      <c r="IBE124" t="s">
        <v>451</v>
      </c>
      <c r="IBF124" t="s">
        <v>451</v>
      </c>
      <c r="IBG124" t="s">
        <v>451</v>
      </c>
      <c r="IBH124" t="s">
        <v>451</v>
      </c>
      <c r="IBI124" t="s">
        <v>451</v>
      </c>
      <c r="IBJ124" t="s">
        <v>451</v>
      </c>
      <c r="IBK124" t="s">
        <v>451</v>
      </c>
      <c r="IBL124" t="s">
        <v>451</v>
      </c>
      <c r="IBM124" t="s">
        <v>451</v>
      </c>
      <c r="IBN124" t="s">
        <v>451</v>
      </c>
      <c r="IBO124" t="s">
        <v>451</v>
      </c>
      <c r="IBP124" t="s">
        <v>451</v>
      </c>
      <c r="IBQ124" t="s">
        <v>451</v>
      </c>
      <c r="IBR124" t="s">
        <v>451</v>
      </c>
      <c r="IBS124" t="s">
        <v>451</v>
      </c>
      <c r="IBT124" t="s">
        <v>451</v>
      </c>
      <c r="IBU124" t="s">
        <v>451</v>
      </c>
      <c r="IBV124" t="s">
        <v>451</v>
      </c>
      <c r="IBW124" t="s">
        <v>451</v>
      </c>
      <c r="IBX124" t="s">
        <v>451</v>
      </c>
      <c r="IBY124" t="s">
        <v>451</v>
      </c>
      <c r="IBZ124" t="s">
        <v>451</v>
      </c>
      <c r="ICA124" t="s">
        <v>451</v>
      </c>
      <c r="ICB124" t="s">
        <v>451</v>
      </c>
      <c r="ICC124" t="s">
        <v>451</v>
      </c>
      <c r="ICD124" t="s">
        <v>451</v>
      </c>
      <c r="ICE124" t="s">
        <v>451</v>
      </c>
      <c r="ICF124" t="s">
        <v>451</v>
      </c>
      <c r="ICG124" t="s">
        <v>451</v>
      </c>
      <c r="ICH124" t="s">
        <v>451</v>
      </c>
      <c r="ICI124" t="s">
        <v>451</v>
      </c>
      <c r="ICJ124" t="s">
        <v>451</v>
      </c>
      <c r="ICK124" t="s">
        <v>451</v>
      </c>
      <c r="ICL124" t="s">
        <v>451</v>
      </c>
      <c r="ICM124" t="s">
        <v>451</v>
      </c>
      <c r="ICN124" t="s">
        <v>451</v>
      </c>
      <c r="ICO124" t="s">
        <v>451</v>
      </c>
      <c r="ICP124" t="s">
        <v>451</v>
      </c>
      <c r="ICQ124" t="s">
        <v>451</v>
      </c>
      <c r="ICR124" t="s">
        <v>451</v>
      </c>
      <c r="ICS124" t="s">
        <v>451</v>
      </c>
      <c r="ICT124" t="s">
        <v>451</v>
      </c>
      <c r="ICU124" t="s">
        <v>451</v>
      </c>
      <c r="ICV124" t="s">
        <v>451</v>
      </c>
      <c r="ICW124" t="s">
        <v>451</v>
      </c>
      <c r="ICX124" t="s">
        <v>451</v>
      </c>
      <c r="ICY124" t="s">
        <v>451</v>
      </c>
      <c r="ICZ124" t="s">
        <v>451</v>
      </c>
      <c r="IDA124" t="s">
        <v>451</v>
      </c>
      <c r="IDB124" t="s">
        <v>451</v>
      </c>
      <c r="IDC124" t="s">
        <v>451</v>
      </c>
      <c r="IDD124" t="s">
        <v>451</v>
      </c>
      <c r="IDE124" t="s">
        <v>451</v>
      </c>
      <c r="IDF124" t="s">
        <v>451</v>
      </c>
      <c r="IDG124" t="s">
        <v>451</v>
      </c>
      <c r="IDH124" t="s">
        <v>451</v>
      </c>
      <c r="IDI124" t="s">
        <v>451</v>
      </c>
      <c r="IDJ124" t="s">
        <v>451</v>
      </c>
      <c r="IDK124" t="s">
        <v>451</v>
      </c>
      <c r="IDL124" t="s">
        <v>451</v>
      </c>
      <c r="IDM124" t="s">
        <v>451</v>
      </c>
      <c r="IDN124" t="s">
        <v>451</v>
      </c>
      <c r="IDO124" t="s">
        <v>451</v>
      </c>
      <c r="IDP124" t="s">
        <v>451</v>
      </c>
      <c r="IDQ124" t="s">
        <v>451</v>
      </c>
      <c r="IDR124" t="s">
        <v>451</v>
      </c>
      <c r="IDS124" t="s">
        <v>451</v>
      </c>
      <c r="IDT124" t="s">
        <v>451</v>
      </c>
      <c r="IDU124" t="s">
        <v>451</v>
      </c>
      <c r="IDV124" t="s">
        <v>451</v>
      </c>
      <c r="IDW124" t="s">
        <v>451</v>
      </c>
      <c r="IDX124" t="s">
        <v>451</v>
      </c>
      <c r="IDY124" t="s">
        <v>451</v>
      </c>
      <c r="IDZ124" t="s">
        <v>451</v>
      </c>
      <c r="IEA124" t="s">
        <v>451</v>
      </c>
      <c r="IEB124" t="s">
        <v>451</v>
      </c>
      <c r="IEC124" t="s">
        <v>451</v>
      </c>
      <c r="IED124" t="s">
        <v>451</v>
      </c>
      <c r="IEE124" t="s">
        <v>451</v>
      </c>
      <c r="IEF124" t="s">
        <v>451</v>
      </c>
      <c r="IEG124" t="s">
        <v>451</v>
      </c>
      <c r="IEH124" t="s">
        <v>451</v>
      </c>
      <c r="IEI124" t="s">
        <v>451</v>
      </c>
      <c r="IEJ124" t="s">
        <v>451</v>
      </c>
      <c r="IEK124" t="s">
        <v>451</v>
      </c>
      <c r="IEL124" t="s">
        <v>451</v>
      </c>
      <c r="IEM124" t="s">
        <v>451</v>
      </c>
      <c r="IEN124" t="s">
        <v>451</v>
      </c>
      <c r="IEO124" t="s">
        <v>451</v>
      </c>
      <c r="IEP124" t="s">
        <v>451</v>
      </c>
      <c r="IEQ124" t="s">
        <v>451</v>
      </c>
      <c r="IER124" t="s">
        <v>451</v>
      </c>
      <c r="IES124" t="s">
        <v>451</v>
      </c>
      <c r="IET124" t="s">
        <v>451</v>
      </c>
      <c r="IEU124" t="s">
        <v>451</v>
      </c>
      <c r="IEV124" t="s">
        <v>451</v>
      </c>
      <c r="IEW124" t="s">
        <v>451</v>
      </c>
      <c r="IEX124" t="s">
        <v>451</v>
      </c>
      <c r="IEY124" t="s">
        <v>451</v>
      </c>
      <c r="IEZ124" t="s">
        <v>451</v>
      </c>
      <c r="IFA124" t="s">
        <v>451</v>
      </c>
      <c r="IFB124" t="s">
        <v>451</v>
      </c>
      <c r="IFC124" t="s">
        <v>451</v>
      </c>
      <c r="IFD124" t="s">
        <v>451</v>
      </c>
      <c r="IFE124" t="s">
        <v>451</v>
      </c>
      <c r="IFF124" t="s">
        <v>451</v>
      </c>
      <c r="IFG124" t="s">
        <v>451</v>
      </c>
      <c r="IFH124" t="s">
        <v>451</v>
      </c>
      <c r="IFI124" t="s">
        <v>451</v>
      </c>
      <c r="IFJ124" t="s">
        <v>451</v>
      </c>
      <c r="IFK124" t="s">
        <v>451</v>
      </c>
      <c r="IFL124" t="s">
        <v>451</v>
      </c>
      <c r="IFM124" t="s">
        <v>451</v>
      </c>
      <c r="IFN124" t="s">
        <v>451</v>
      </c>
      <c r="IFO124" t="s">
        <v>451</v>
      </c>
      <c r="IFP124" t="s">
        <v>451</v>
      </c>
      <c r="IFQ124" t="s">
        <v>451</v>
      </c>
      <c r="IFR124" t="s">
        <v>451</v>
      </c>
      <c r="IFS124" t="s">
        <v>451</v>
      </c>
      <c r="IFT124" t="s">
        <v>451</v>
      </c>
      <c r="IFU124" t="s">
        <v>451</v>
      </c>
      <c r="IFV124" t="s">
        <v>451</v>
      </c>
      <c r="IFW124" t="s">
        <v>451</v>
      </c>
      <c r="IFX124" t="s">
        <v>451</v>
      </c>
      <c r="IFY124" t="s">
        <v>451</v>
      </c>
      <c r="IFZ124" t="s">
        <v>451</v>
      </c>
      <c r="IGA124" t="s">
        <v>451</v>
      </c>
      <c r="IGB124" t="s">
        <v>451</v>
      </c>
      <c r="IGC124" t="s">
        <v>451</v>
      </c>
      <c r="IGD124" t="s">
        <v>451</v>
      </c>
      <c r="IGE124" t="s">
        <v>451</v>
      </c>
      <c r="IGF124" t="s">
        <v>451</v>
      </c>
      <c r="IGG124" t="s">
        <v>451</v>
      </c>
      <c r="IGH124" t="s">
        <v>451</v>
      </c>
      <c r="IGI124" t="s">
        <v>451</v>
      </c>
      <c r="IGJ124" t="s">
        <v>451</v>
      </c>
      <c r="IGK124" t="s">
        <v>451</v>
      </c>
      <c r="IGL124" t="s">
        <v>451</v>
      </c>
      <c r="IGM124" t="s">
        <v>451</v>
      </c>
      <c r="IGN124" t="s">
        <v>451</v>
      </c>
      <c r="IGO124" t="s">
        <v>451</v>
      </c>
      <c r="IGP124" t="s">
        <v>451</v>
      </c>
      <c r="IGQ124" t="s">
        <v>451</v>
      </c>
      <c r="IGR124" t="s">
        <v>451</v>
      </c>
      <c r="IGS124" t="s">
        <v>451</v>
      </c>
      <c r="IGT124" t="s">
        <v>451</v>
      </c>
      <c r="IGU124" t="s">
        <v>451</v>
      </c>
      <c r="IGV124" t="s">
        <v>451</v>
      </c>
      <c r="IGW124" t="s">
        <v>451</v>
      </c>
      <c r="IGX124" t="s">
        <v>451</v>
      </c>
      <c r="IGY124" t="s">
        <v>451</v>
      </c>
      <c r="IGZ124" t="s">
        <v>451</v>
      </c>
      <c r="IHA124" t="s">
        <v>451</v>
      </c>
      <c r="IHB124" t="s">
        <v>451</v>
      </c>
      <c r="IHC124" t="s">
        <v>451</v>
      </c>
      <c r="IHD124" t="s">
        <v>451</v>
      </c>
      <c r="IHE124" t="s">
        <v>451</v>
      </c>
      <c r="IHF124" t="s">
        <v>451</v>
      </c>
      <c r="IHG124" t="s">
        <v>451</v>
      </c>
      <c r="IHH124" t="s">
        <v>451</v>
      </c>
      <c r="IHI124" t="s">
        <v>451</v>
      </c>
      <c r="IHJ124" t="s">
        <v>451</v>
      </c>
      <c r="IHK124" t="s">
        <v>451</v>
      </c>
      <c r="IHL124" t="s">
        <v>451</v>
      </c>
      <c r="IHM124" t="s">
        <v>451</v>
      </c>
      <c r="IHN124" t="s">
        <v>451</v>
      </c>
      <c r="IHO124" t="s">
        <v>451</v>
      </c>
      <c r="IHP124" t="s">
        <v>451</v>
      </c>
      <c r="IHQ124" t="s">
        <v>451</v>
      </c>
      <c r="IHR124" t="s">
        <v>451</v>
      </c>
      <c r="IHS124" t="s">
        <v>451</v>
      </c>
      <c r="IHT124" t="s">
        <v>451</v>
      </c>
      <c r="IHU124" t="s">
        <v>451</v>
      </c>
      <c r="IHV124" t="s">
        <v>451</v>
      </c>
      <c r="IHW124" t="s">
        <v>451</v>
      </c>
      <c r="IHX124" t="s">
        <v>451</v>
      </c>
      <c r="IHY124" t="s">
        <v>451</v>
      </c>
      <c r="IHZ124" t="s">
        <v>451</v>
      </c>
      <c r="IIA124" t="s">
        <v>451</v>
      </c>
      <c r="IIB124" t="s">
        <v>451</v>
      </c>
      <c r="IIC124" t="s">
        <v>451</v>
      </c>
      <c r="IID124" t="s">
        <v>451</v>
      </c>
      <c r="IIE124" t="s">
        <v>451</v>
      </c>
      <c r="IIF124" t="s">
        <v>451</v>
      </c>
      <c r="IIG124" t="s">
        <v>451</v>
      </c>
      <c r="IIH124" t="s">
        <v>451</v>
      </c>
      <c r="III124" t="s">
        <v>451</v>
      </c>
      <c r="IIJ124" t="s">
        <v>451</v>
      </c>
      <c r="IIK124" t="s">
        <v>451</v>
      </c>
      <c r="IIL124" t="s">
        <v>451</v>
      </c>
      <c r="IIM124" t="s">
        <v>451</v>
      </c>
      <c r="IIN124" t="s">
        <v>451</v>
      </c>
      <c r="IIO124" t="s">
        <v>451</v>
      </c>
      <c r="IIP124" t="s">
        <v>451</v>
      </c>
      <c r="IIQ124" t="s">
        <v>451</v>
      </c>
      <c r="IIR124" t="s">
        <v>451</v>
      </c>
      <c r="IIS124" t="s">
        <v>451</v>
      </c>
      <c r="IIT124" t="s">
        <v>451</v>
      </c>
      <c r="IIU124" t="s">
        <v>451</v>
      </c>
      <c r="IIV124" t="s">
        <v>451</v>
      </c>
      <c r="IIW124" t="s">
        <v>451</v>
      </c>
      <c r="IIX124" t="s">
        <v>451</v>
      </c>
      <c r="IIY124" t="s">
        <v>451</v>
      </c>
      <c r="IIZ124" t="s">
        <v>451</v>
      </c>
      <c r="IJA124" t="s">
        <v>451</v>
      </c>
      <c r="IJB124" t="s">
        <v>451</v>
      </c>
      <c r="IJC124" t="s">
        <v>451</v>
      </c>
      <c r="IJD124" t="s">
        <v>451</v>
      </c>
      <c r="IJE124" t="s">
        <v>451</v>
      </c>
      <c r="IJF124" t="s">
        <v>451</v>
      </c>
      <c r="IJG124" t="s">
        <v>451</v>
      </c>
      <c r="IJH124" t="s">
        <v>451</v>
      </c>
      <c r="IJI124" t="s">
        <v>451</v>
      </c>
      <c r="IJJ124" t="s">
        <v>451</v>
      </c>
      <c r="IJK124" t="s">
        <v>451</v>
      </c>
      <c r="IJL124" t="s">
        <v>451</v>
      </c>
      <c r="IJM124" t="s">
        <v>451</v>
      </c>
      <c r="IJN124" t="s">
        <v>451</v>
      </c>
      <c r="IJO124" t="s">
        <v>451</v>
      </c>
      <c r="IJP124" t="s">
        <v>451</v>
      </c>
      <c r="IJQ124" t="s">
        <v>451</v>
      </c>
      <c r="IJR124" t="s">
        <v>451</v>
      </c>
      <c r="IJS124" t="s">
        <v>451</v>
      </c>
      <c r="IJT124" t="s">
        <v>451</v>
      </c>
      <c r="IJU124" t="s">
        <v>451</v>
      </c>
      <c r="IJV124" t="s">
        <v>451</v>
      </c>
      <c r="IJW124" t="s">
        <v>451</v>
      </c>
      <c r="IJX124" t="s">
        <v>451</v>
      </c>
      <c r="IJY124" t="s">
        <v>451</v>
      </c>
      <c r="IJZ124" t="s">
        <v>451</v>
      </c>
      <c r="IKA124" t="s">
        <v>451</v>
      </c>
      <c r="IKB124" t="s">
        <v>451</v>
      </c>
      <c r="IKC124" t="s">
        <v>451</v>
      </c>
      <c r="IKD124" t="s">
        <v>451</v>
      </c>
      <c r="IKE124" t="s">
        <v>451</v>
      </c>
      <c r="IKF124" t="s">
        <v>451</v>
      </c>
      <c r="IKG124" t="s">
        <v>451</v>
      </c>
      <c r="IKH124" t="s">
        <v>451</v>
      </c>
      <c r="IKI124" t="s">
        <v>451</v>
      </c>
      <c r="IKJ124" t="s">
        <v>451</v>
      </c>
      <c r="IKK124" t="s">
        <v>451</v>
      </c>
      <c r="IKL124" t="s">
        <v>451</v>
      </c>
      <c r="IKM124" t="s">
        <v>451</v>
      </c>
      <c r="IKN124" t="s">
        <v>451</v>
      </c>
      <c r="IKO124" t="s">
        <v>451</v>
      </c>
      <c r="IKP124" t="s">
        <v>451</v>
      </c>
      <c r="IKQ124" t="s">
        <v>451</v>
      </c>
      <c r="IKR124" t="s">
        <v>451</v>
      </c>
      <c r="IKS124" t="s">
        <v>451</v>
      </c>
      <c r="IKT124" t="s">
        <v>451</v>
      </c>
      <c r="IKU124" t="s">
        <v>451</v>
      </c>
      <c r="IKV124" t="s">
        <v>451</v>
      </c>
      <c r="IKW124" t="s">
        <v>451</v>
      </c>
      <c r="IKX124" t="s">
        <v>451</v>
      </c>
      <c r="IKY124" t="s">
        <v>451</v>
      </c>
      <c r="IKZ124" t="s">
        <v>451</v>
      </c>
      <c r="ILA124" t="s">
        <v>451</v>
      </c>
      <c r="ILB124" t="s">
        <v>451</v>
      </c>
      <c r="ILC124" t="s">
        <v>451</v>
      </c>
      <c r="ILD124" t="s">
        <v>451</v>
      </c>
      <c r="ILE124" t="s">
        <v>451</v>
      </c>
      <c r="ILF124" t="s">
        <v>451</v>
      </c>
      <c r="ILG124" t="s">
        <v>451</v>
      </c>
      <c r="ILH124" t="s">
        <v>451</v>
      </c>
      <c r="ILI124" t="s">
        <v>451</v>
      </c>
      <c r="ILJ124" t="s">
        <v>451</v>
      </c>
      <c r="ILK124" t="s">
        <v>451</v>
      </c>
      <c r="ILL124" t="s">
        <v>451</v>
      </c>
      <c r="ILM124" t="s">
        <v>451</v>
      </c>
      <c r="ILN124" t="s">
        <v>451</v>
      </c>
      <c r="ILO124" t="s">
        <v>451</v>
      </c>
      <c r="ILP124" t="s">
        <v>451</v>
      </c>
      <c r="ILQ124" t="s">
        <v>451</v>
      </c>
      <c r="ILR124" t="s">
        <v>451</v>
      </c>
      <c r="ILS124" t="s">
        <v>451</v>
      </c>
      <c r="ILT124" t="s">
        <v>451</v>
      </c>
      <c r="ILU124" t="s">
        <v>451</v>
      </c>
      <c r="ILV124" t="s">
        <v>451</v>
      </c>
      <c r="ILW124" t="s">
        <v>451</v>
      </c>
      <c r="ILX124" t="s">
        <v>451</v>
      </c>
      <c r="ILY124" t="s">
        <v>451</v>
      </c>
      <c r="ILZ124" t="s">
        <v>451</v>
      </c>
      <c r="IMA124" t="s">
        <v>451</v>
      </c>
      <c r="IMB124" t="s">
        <v>451</v>
      </c>
      <c r="IMC124" t="s">
        <v>451</v>
      </c>
      <c r="IMD124" t="s">
        <v>451</v>
      </c>
      <c r="IME124" t="s">
        <v>451</v>
      </c>
      <c r="IMF124" t="s">
        <v>451</v>
      </c>
      <c r="IMG124" t="s">
        <v>451</v>
      </c>
      <c r="IMH124" t="s">
        <v>451</v>
      </c>
      <c r="IMI124" t="s">
        <v>451</v>
      </c>
      <c r="IMJ124" t="s">
        <v>451</v>
      </c>
      <c r="IMK124" t="s">
        <v>451</v>
      </c>
      <c r="IML124" t="s">
        <v>451</v>
      </c>
      <c r="IMM124" t="s">
        <v>451</v>
      </c>
      <c r="IMN124" t="s">
        <v>451</v>
      </c>
      <c r="IMO124" t="s">
        <v>451</v>
      </c>
      <c r="IMP124" t="s">
        <v>451</v>
      </c>
      <c r="IMQ124" t="s">
        <v>451</v>
      </c>
      <c r="IMR124" t="s">
        <v>451</v>
      </c>
      <c r="IMS124" t="s">
        <v>451</v>
      </c>
      <c r="IMT124" t="s">
        <v>451</v>
      </c>
      <c r="IMU124" t="s">
        <v>451</v>
      </c>
      <c r="IMV124" t="s">
        <v>451</v>
      </c>
      <c r="IMW124" t="s">
        <v>451</v>
      </c>
      <c r="IMX124" t="s">
        <v>451</v>
      </c>
      <c r="IMY124" t="s">
        <v>451</v>
      </c>
      <c r="IMZ124" t="s">
        <v>451</v>
      </c>
      <c r="INA124" t="s">
        <v>451</v>
      </c>
      <c r="INB124" t="s">
        <v>451</v>
      </c>
      <c r="INC124" t="s">
        <v>451</v>
      </c>
      <c r="IND124" t="s">
        <v>451</v>
      </c>
      <c r="INE124" t="s">
        <v>451</v>
      </c>
      <c r="INF124" t="s">
        <v>451</v>
      </c>
      <c r="ING124" t="s">
        <v>451</v>
      </c>
      <c r="INH124" t="s">
        <v>451</v>
      </c>
      <c r="INI124" t="s">
        <v>451</v>
      </c>
      <c r="INJ124" t="s">
        <v>451</v>
      </c>
      <c r="INK124" t="s">
        <v>451</v>
      </c>
      <c r="INL124" t="s">
        <v>451</v>
      </c>
      <c r="INM124" t="s">
        <v>451</v>
      </c>
      <c r="INN124" t="s">
        <v>451</v>
      </c>
      <c r="INO124" t="s">
        <v>451</v>
      </c>
      <c r="INP124" t="s">
        <v>451</v>
      </c>
      <c r="INQ124" t="s">
        <v>451</v>
      </c>
      <c r="INR124" t="s">
        <v>451</v>
      </c>
      <c r="INS124" t="s">
        <v>451</v>
      </c>
      <c r="INT124" t="s">
        <v>451</v>
      </c>
      <c r="INU124" t="s">
        <v>451</v>
      </c>
      <c r="INV124" t="s">
        <v>451</v>
      </c>
      <c r="INW124" t="s">
        <v>451</v>
      </c>
      <c r="INX124" t="s">
        <v>451</v>
      </c>
      <c r="INY124" t="s">
        <v>451</v>
      </c>
      <c r="INZ124" t="s">
        <v>451</v>
      </c>
      <c r="IOA124" t="s">
        <v>451</v>
      </c>
      <c r="IOB124" t="s">
        <v>451</v>
      </c>
      <c r="IOC124" t="s">
        <v>451</v>
      </c>
      <c r="IOD124" t="s">
        <v>451</v>
      </c>
      <c r="IOE124" t="s">
        <v>451</v>
      </c>
      <c r="IOF124" t="s">
        <v>451</v>
      </c>
      <c r="IOG124" t="s">
        <v>451</v>
      </c>
      <c r="IOH124" t="s">
        <v>451</v>
      </c>
      <c r="IOI124" t="s">
        <v>451</v>
      </c>
      <c r="IOJ124" t="s">
        <v>451</v>
      </c>
      <c r="IOK124" t="s">
        <v>451</v>
      </c>
      <c r="IOL124" t="s">
        <v>451</v>
      </c>
      <c r="IOM124" t="s">
        <v>451</v>
      </c>
      <c r="ION124" t="s">
        <v>451</v>
      </c>
      <c r="IOO124" t="s">
        <v>451</v>
      </c>
      <c r="IOP124" t="s">
        <v>451</v>
      </c>
      <c r="IOQ124" t="s">
        <v>451</v>
      </c>
      <c r="IOR124" t="s">
        <v>451</v>
      </c>
      <c r="IOS124" t="s">
        <v>451</v>
      </c>
      <c r="IOT124" t="s">
        <v>451</v>
      </c>
      <c r="IOU124" t="s">
        <v>451</v>
      </c>
      <c r="IOV124" t="s">
        <v>451</v>
      </c>
      <c r="IOW124" t="s">
        <v>451</v>
      </c>
      <c r="IOX124" t="s">
        <v>451</v>
      </c>
      <c r="IOY124" t="s">
        <v>451</v>
      </c>
      <c r="IOZ124" t="s">
        <v>451</v>
      </c>
      <c r="IPA124" t="s">
        <v>451</v>
      </c>
      <c r="IPB124" t="s">
        <v>451</v>
      </c>
      <c r="IPC124" t="s">
        <v>451</v>
      </c>
      <c r="IPD124" t="s">
        <v>451</v>
      </c>
      <c r="IPE124" t="s">
        <v>451</v>
      </c>
      <c r="IPF124" t="s">
        <v>451</v>
      </c>
      <c r="IPG124" t="s">
        <v>451</v>
      </c>
      <c r="IPH124" t="s">
        <v>451</v>
      </c>
      <c r="IPI124" t="s">
        <v>451</v>
      </c>
      <c r="IPJ124" t="s">
        <v>451</v>
      </c>
      <c r="IPK124" t="s">
        <v>451</v>
      </c>
      <c r="IPL124" t="s">
        <v>451</v>
      </c>
      <c r="IPM124" t="s">
        <v>451</v>
      </c>
      <c r="IPN124" t="s">
        <v>451</v>
      </c>
      <c r="IPO124" t="s">
        <v>451</v>
      </c>
      <c r="IPP124" t="s">
        <v>451</v>
      </c>
      <c r="IPQ124" t="s">
        <v>451</v>
      </c>
      <c r="IPR124" t="s">
        <v>451</v>
      </c>
      <c r="IPS124" t="s">
        <v>451</v>
      </c>
      <c r="IPT124" t="s">
        <v>451</v>
      </c>
      <c r="IPU124" t="s">
        <v>451</v>
      </c>
      <c r="IPV124" t="s">
        <v>451</v>
      </c>
      <c r="IPW124" t="s">
        <v>451</v>
      </c>
      <c r="IPX124" t="s">
        <v>451</v>
      </c>
      <c r="IPY124" t="s">
        <v>451</v>
      </c>
      <c r="IPZ124" t="s">
        <v>451</v>
      </c>
      <c r="IQA124" t="s">
        <v>451</v>
      </c>
      <c r="IQB124" t="s">
        <v>451</v>
      </c>
      <c r="IQC124" t="s">
        <v>451</v>
      </c>
      <c r="IQD124" t="s">
        <v>451</v>
      </c>
      <c r="IQE124" t="s">
        <v>451</v>
      </c>
      <c r="IQF124" t="s">
        <v>451</v>
      </c>
      <c r="IQG124" t="s">
        <v>451</v>
      </c>
      <c r="IQH124" t="s">
        <v>451</v>
      </c>
      <c r="IQI124" t="s">
        <v>451</v>
      </c>
      <c r="IQJ124" t="s">
        <v>451</v>
      </c>
      <c r="IQK124" t="s">
        <v>451</v>
      </c>
      <c r="IQL124" t="s">
        <v>451</v>
      </c>
      <c r="IQM124" t="s">
        <v>451</v>
      </c>
      <c r="IQN124" t="s">
        <v>451</v>
      </c>
      <c r="IQO124" t="s">
        <v>451</v>
      </c>
      <c r="IQP124" t="s">
        <v>451</v>
      </c>
      <c r="IQQ124" t="s">
        <v>451</v>
      </c>
      <c r="IQR124" t="s">
        <v>451</v>
      </c>
      <c r="IQS124" t="s">
        <v>451</v>
      </c>
      <c r="IQT124" t="s">
        <v>451</v>
      </c>
      <c r="IQU124" t="s">
        <v>451</v>
      </c>
      <c r="IQV124" t="s">
        <v>451</v>
      </c>
      <c r="IQW124" t="s">
        <v>451</v>
      </c>
      <c r="IQX124" t="s">
        <v>451</v>
      </c>
      <c r="IQY124" t="s">
        <v>451</v>
      </c>
      <c r="IQZ124" t="s">
        <v>451</v>
      </c>
      <c r="IRA124" t="s">
        <v>451</v>
      </c>
      <c r="IRB124" t="s">
        <v>451</v>
      </c>
      <c r="IRC124" t="s">
        <v>451</v>
      </c>
      <c r="IRD124" t="s">
        <v>451</v>
      </c>
      <c r="IRE124" t="s">
        <v>451</v>
      </c>
      <c r="IRF124" t="s">
        <v>451</v>
      </c>
      <c r="IRG124" t="s">
        <v>451</v>
      </c>
      <c r="IRH124" t="s">
        <v>451</v>
      </c>
      <c r="IRI124" t="s">
        <v>451</v>
      </c>
      <c r="IRJ124" t="s">
        <v>451</v>
      </c>
      <c r="IRK124" t="s">
        <v>451</v>
      </c>
      <c r="IRL124" t="s">
        <v>451</v>
      </c>
      <c r="IRM124" t="s">
        <v>451</v>
      </c>
      <c r="IRN124" t="s">
        <v>451</v>
      </c>
      <c r="IRO124" t="s">
        <v>451</v>
      </c>
      <c r="IRP124" t="s">
        <v>451</v>
      </c>
      <c r="IRQ124" t="s">
        <v>451</v>
      </c>
      <c r="IRR124" t="s">
        <v>451</v>
      </c>
      <c r="IRS124" t="s">
        <v>451</v>
      </c>
      <c r="IRT124" t="s">
        <v>451</v>
      </c>
      <c r="IRU124" t="s">
        <v>451</v>
      </c>
      <c r="IRV124" t="s">
        <v>451</v>
      </c>
      <c r="IRW124" t="s">
        <v>451</v>
      </c>
      <c r="IRX124" t="s">
        <v>451</v>
      </c>
      <c r="IRY124" t="s">
        <v>451</v>
      </c>
      <c r="IRZ124" t="s">
        <v>451</v>
      </c>
      <c r="ISA124" t="s">
        <v>451</v>
      </c>
      <c r="ISB124" t="s">
        <v>451</v>
      </c>
      <c r="ISC124" t="s">
        <v>451</v>
      </c>
      <c r="ISD124" t="s">
        <v>451</v>
      </c>
      <c r="ISE124" t="s">
        <v>451</v>
      </c>
      <c r="ISF124" t="s">
        <v>451</v>
      </c>
      <c r="ISG124" t="s">
        <v>451</v>
      </c>
      <c r="ISH124" t="s">
        <v>451</v>
      </c>
      <c r="ISI124" t="s">
        <v>451</v>
      </c>
      <c r="ISJ124" t="s">
        <v>451</v>
      </c>
      <c r="ISK124" t="s">
        <v>451</v>
      </c>
      <c r="ISL124" t="s">
        <v>451</v>
      </c>
      <c r="ISM124" t="s">
        <v>451</v>
      </c>
      <c r="ISN124" t="s">
        <v>451</v>
      </c>
      <c r="ISO124" t="s">
        <v>451</v>
      </c>
      <c r="ISP124" t="s">
        <v>451</v>
      </c>
      <c r="ISQ124" t="s">
        <v>451</v>
      </c>
      <c r="ISR124" t="s">
        <v>451</v>
      </c>
      <c r="ISS124" t="s">
        <v>451</v>
      </c>
      <c r="IST124" t="s">
        <v>451</v>
      </c>
      <c r="ISU124" t="s">
        <v>451</v>
      </c>
      <c r="ISV124" t="s">
        <v>451</v>
      </c>
      <c r="ISW124" t="s">
        <v>451</v>
      </c>
      <c r="ISX124" t="s">
        <v>451</v>
      </c>
      <c r="ISY124" t="s">
        <v>451</v>
      </c>
      <c r="ISZ124" t="s">
        <v>451</v>
      </c>
      <c r="ITA124" t="s">
        <v>451</v>
      </c>
      <c r="ITB124" t="s">
        <v>451</v>
      </c>
      <c r="ITC124" t="s">
        <v>451</v>
      </c>
      <c r="ITD124" t="s">
        <v>451</v>
      </c>
      <c r="ITE124" t="s">
        <v>451</v>
      </c>
      <c r="ITF124" t="s">
        <v>451</v>
      </c>
      <c r="ITG124" t="s">
        <v>451</v>
      </c>
      <c r="ITH124" t="s">
        <v>451</v>
      </c>
      <c r="ITI124" t="s">
        <v>451</v>
      </c>
      <c r="ITJ124" t="s">
        <v>451</v>
      </c>
      <c r="ITK124" t="s">
        <v>451</v>
      </c>
      <c r="ITL124" t="s">
        <v>451</v>
      </c>
      <c r="ITM124" t="s">
        <v>451</v>
      </c>
      <c r="ITN124" t="s">
        <v>451</v>
      </c>
      <c r="ITO124" t="s">
        <v>451</v>
      </c>
      <c r="ITP124" t="s">
        <v>451</v>
      </c>
      <c r="ITQ124" t="s">
        <v>451</v>
      </c>
      <c r="ITR124" t="s">
        <v>451</v>
      </c>
      <c r="ITS124" t="s">
        <v>451</v>
      </c>
      <c r="ITT124" t="s">
        <v>451</v>
      </c>
      <c r="ITU124" t="s">
        <v>451</v>
      </c>
      <c r="ITV124" t="s">
        <v>451</v>
      </c>
      <c r="ITW124" t="s">
        <v>451</v>
      </c>
      <c r="ITX124" t="s">
        <v>451</v>
      </c>
      <c r="ITY124" t="s">
        <v>451</v>
      </c>
      <c r="ITZ124" t="s">
        <v>451</v>
      </c>
      <c r="IUA124" t="s">
        <v>451</v>
      </c>
      <c r="IUB124" t="s">
        <v>451</v>
      </c>
      <c r="IUC124" t="s">
        <v>451</v>
      </c>
      <c r="IUD124" t="s">
        <v>451</v>
      </c>
      <c r="IUE124" t="s">
        <v>451</v>
      </c>
      <c r="IUF124" t="s">
        <v>451</v>
      </c>
      <c r="IUG124" t="s">
        <v>451</v>
      </c>
      <c r="IUH124" t="s">
        <v>451</v>
      </c>
      <c r="IUI124" t="s">
        <v>451</v>
      </c>
      <c r="IUJ124" t="s">
        <v>451</v>
      </c>
      <c r="IUK124" t="s">
        <v>451</v>
      </c>
      <c r="IUL124" t="s">
        <v>451</v>
      </c>
      <c r="IUM124" t="s">
        <v>451</v>
      </c>
      <c r="IUN124" t="s">
        <v>451</v>
      </c>
      <c r="IUO124" t="s">
        <v>451</v>
      </c>
      <c r="IUP124" t="s">
        <v>451</v>
      </c>
      <c r="IUQ124" t="s">
        <v>451</v>
      </c>
      <c r="IUR124" t="s">
        <v>451</v>
      </c>
      <c r="IUS124" t="s">
        <v>451</v>
      </c>
      <c r="IUT124" t="s">
        <v>451</v>
      </c>
      <c r="IUU124" t="s">
        <v>451</v>
      </c>
      <c r="IUV124" t="s">
        <v>451</v>
      </c>
      <c r="IUW124" t="s">
        <v>451</v>
      </c>
      <c r="IUX124" t="s">
        <v>451</v>
      </c>
      <c r="IUY124" t="s">
        <v>451</v>
      </c>
      <c r="IUZ124" t="s">
        <v>451</v>
      </c>
      <c r="IVA124" t="s">
        <v>451</v>
      </c>
      <c r="IVB124" t="s">
        <v>451</v>
      </c>
      <c r="IVC124" t="s">
        <v>451</v>
      </c>
      <c r="IVD124" t="s">
        <v>451</v>
      </c>
      <c r="IVE124" t="s">
        <v>451</v>
      </c>
      <c r="IVF124" t="s">
        <v>451</v>
      </c>
      <c r="IVG124" t="s">
        <v>451</v>
      </c>
      <c r="IVH124" t="s">
        <v>451</v>
      </c>
      <c r="IVI124" t="s">
        <v>451</v>
      </c>
      <c r="IVJ124" t="s">
        <v>451</v>
      </c>
      <c r="IVK124" t="s">
        <v>451</v>
      </c>
      <c r="IVL124" t="s">
        <v>451</v>
      </c>
      <c r="IVM124" t="s">
        <v>451</v>
      </c>
      <c r="IVN124" t="s">
        <v>451</v>
      </c>
      <c r="IVO124" t="s">
        <v>451</v>
      </c>
      <c r="IVP124" t="s">
        <v>451</v>
      </c>
      <c r="IVQ124" t="s">
        <v>451</v>
      </c>
      <c r="IVR124" t="s">
        <v>451</v>
      </c>
      <c r="IVS124" t="s">
        <v>451</v>
      </c>
      <c r="IVT124" t="s">
        <v>451</v>
      </c>
      <c r="IVU124" t="s">
        <v>451</v>
      </c>
      <c r="IVV124" t="s">
        <v>451</v>
      </c>
      <c r="IVW124" t="s">
        <v>451</v>
      </c>
      <c r="IVX124" t="s">
        <v>451</v>
      </c>
      <c r="IVY124" t="s">
        <v>451</v>
      </c>
      <c r="IVZ124" t="s">
        <v>451</v>
      </c>
      <c r="IWA124" t="s">
        <v>451</v>
      </c>
      <c r="IWB124" t="s">
        <v>451</v>
      </c>
      <c r="IWC124" t="s">
        <v>451</v>
      </c>
      <c r="IWD124" t="s">
        <v>451</v>
      </c>
      <c r="IWE124" t="s">
        <v>451</v>
      </c>
      <c r="IWF124" t="s">
        <v>451</v>
      </c>
      <c r="IWG124" t="s">
        <v>451</v>
      </c>
      <c r="IWH124" t="s">
        <v>451</v>
      </c>
      <c r="IWI124" t="s">
        <v>451</v>
      </c>
      <c r="IWJ124" t="s">
        <v>451</v>
      </c>
      <c r="IWK124" t="s">
        <v>451</v>
      </c>
      <c r="IWL124" t="s">
        <v>451</v>
      </c>
      <c r="IWM124" t="s">
        <v>451</v>
      </c>
      <c r="IWN124" t="s">
        <v>451</v>
      </c>
      <c r="IWO124" t="s">
        <v>451</v>
      </c>
      <c r="IWP124" t="s">
        <v>451</v>
      </c>
      <c r="IWQ124" t="s">
        <v>451</v>
      </c>
      <c r="IWR124" t="s">
        <v>451</v>
      </c>
      <c r="IWS124" t="s">
        <v>451</v>
      </c>
      <c r="IWT124" t="s">
        <v>451</v>
      </c>
      <c r="IWU124" t="s">
        <v>451</v>
      </c>
      <c r="IWV124" t="s">
        <v>451</v>
      </c>
      <c r="IWW124" t="s">
        <v>451</v>
      </c>
      <c r="IWX124" t="s">
        <v>451</v>
      </c>
      <c r="IWY124" t="s">
        <v>451</v>
      </c>
      <c r="IWZ124" t="s">
        <v>451</v>
      </c>
      <c r="IXA124" t="s">
        <v>451</v>
      </c>
      <c r="IXB124" t="s">
        <v>451</v>
      </c>
      <c r="IXC124" t="s">
        <v>451</v>
      </c>
      <c r="IXD124" t="s">
        <v>451</v>
      </c>
      <c r="IXE124" t="s">
        <v>451</v>
      </c>
      <c r="IXF124" t="s">
        <v>451</v>
      </c>
      <c r="IXG124" t="s">
        <v>451</v>
      </c>
      <c r="IXH124" t="s">
        <v>451</v>
      </c>
      <c r="IXI124" t="s">
        <v>451</v>
      </c>
      <c r="IXJ124" t="s">
        <v>451</v>
      </c>
      <c r="IXK124" t="s">
        <v>451</v>
      </c>
      <c r="IXL124" t="s">
        <v>451</v>
      </c>
      <c r="IXM124" t="s">
        <v>451</v>
      </c>
      <c r="IXN124" t="s">
        <v>451</v>
      </c>
      <c r="IXO124" t="s">
        <v>451</v>
      </c>
      <c r="IXP124" t="s">
        <v>451</v>
      </c>
      <c r="IXQ124" t="s">
        <v>451</v>
      </c>
      <c r="IXR124" t="s">
        <v>451</v>
      </c>
      <c r="IXS124" t="s">
        <v>451</v>
      </c>
      <c r="IXT124" t="s">
        <v>451</v>
      </c>
      <c r="IXU124" t="s">
        <v>451</v>
      </c>
      <c r="IXV124" t="s">
        <v>451</v>
      </c>
      <c r="IXW124" t="s">
        <v>451</v>
      </c>
      <c r="IXX124" t="s">
        <v>451</v>
      </c>
      <c r="IXY124" t="s">
        <v>451</v>
      </c>
      <c r="IXZ124" t="s">
        <v>451</v>
      </c>
      <c r="IYA124" t="s">
        <v>451</v>
      </c>
      <c r="IYB124" t="s">
        <v>451</v>
      </c>
      <c r="IYC124" t="s">
        <v>451</v>
      </c>
      <c r="IYD124" t="s">
        <v>451</v>
      </c>
      <c r="IYE124" t="s">
        <v>451</v>
      </c>
      <c r="IYF124" t="s">
        <v>451</v>
      </c>
      <c r="IYG124" t="s">
        <v>451</v>
      </c>
      <c r="IYH124" t="s">
        <v>451</v>
      </c>
      <c r="IYI124" t="s">
        <v>451</v>
      </c>
      <c r="IYJ124" t="s">
        <v>451</v>
      </c>
      <c r="IYK124" t="s">
        <v>451</v>
      </c>
      <c r="IYL124" t="s">
        <v>451</v>
      </c>
      <c r="IYM124" t="s">
        <v>451</v>
      </c>
      <c r="IYN124" t="s">
        <v>451</v>
      </c>
      <c r="IYO124" t="s">
        <v>451</v>
      </c>
      <c r="IYP124" t="s">
        <v>451</v>
      </c>
      <c r="IYQ124" t="s">
        <v>451</v>
      </c>
      <c r="IYR124" t="s">
        <v>451</v>
      </c>
      <c r="IYS124" t="s">
        <v>451</v>
      </c>
      <c r="IYT124" t="s">
        <v>451</v>
      </c>
      <c r="IYU124" t="s">
        <v>451</v>
      </c>
      <c r="IYV124" t="s">
        <v>451</v>
      </c>
      <c r="IYW124" t="s">
        <v>451</v>
      </c>
      <c r="IYX124" t="s">
        <v>451</v>
      </c>
      <c r="IYY124" t="s">
        <v>451</v>
      </c>
      <c r="IYZ124" t="s">
        <v>451</v>
      </c>
      <c r="IZA124" t="s">
        <v>451</v>
      </c>
      <c r="IZB124" t="s">
        <v>451</v>
      </c>
      <c r="IZC124" t="s">
        <v>451</v>
      </c>
      <c r="IZD124" t="s">
        <v>451</v>
      </c>
      <c r="IZE124" t="s">
        <v>451</v>
      </c>
      <c r="IZF124" t="s">
        <v>451</v>
      </c>
      <c r="IZG124" t="s">
        <v>451</v>
      </c>
      <c r="IZH124" t="s">
        <v>451</v>
      </c>
      <c r="IZI124" t="s">
        <v>451</v>
      </c>
      <c r="IZJ124" t="s">
        <v>451</v>
      </c>
      <c r="IZK124" t="s">
        <v>451</v>
      </c>
      <c r="IZL124" t="s">
        <v>451</v>
      </c>
      <c r="IZM124" t="s">
        <v>451</v>
      </c>
      <c r="IZN124" t="s">
        <v>451</v>
      </c>
      <c r="IZO124" t="s">
        <v>451</v>
      </c>
      <c r="IZP124" t="s">
        <v>451</v>
      </c>
      <c r="IZQ124" t="s">
        <v>451</v>
      </c>
      <c r="IZR124" t="s">
        <v>451</v>
      </c>
      <c r="IZS124" t="s">
        <v>451</v>
      </c>
      <c r="IZT124" t="s">
        <v>451</v>
      </c>
      <c r="IZU124" t="s">
        <v>451</v>
      </c>
      <c r="IZV124" t="s">
        <v>451</v>
      </c>
      <c r="IZW124" t="s">
        <v>451</v>
      </c>
      <c r="IZX124" t="s">
        <v>451</v>
      </c>
      <c r="IZY124" t="s">
        <v>451</v>
      </c>
      <c r="IZZ124" t="s">
        <v>451</v>
      </c>
      <c r="JAA124" t="s">
        <v>451</v>
      </c>
      <c r="JAB124" t="s">
        <v>451</v>
      </c>
      <c r="JAC124" t="s">
        <v>451</v>
      </c>
      <c r="JAD124" t="s">
        <v>451</v>
      </c>
      <c r="JAE124" t="s">
        <v>451</v>
      </c>
      <c r="JAF124" t="s">
        <v>451</v>
      </c>
      <c r="JAG124" t="s">
        <v>451</v>
      </c>
      <c r="JAH124" t="s">
        <v>451</v>
      </c>
      <c r="JAI124" t="s">
        <v>451</v>
      </c>
      <c r="JAJ124" t="s">
        <v>451</v>
      </c>
      <c r="JAK124" t="s">
        <v>451</v>
      </c>
      <c r="JAL124" t="s">
        <v>451</v>
      </c>
      <c r="JAM124" t="s">
        <v>451</v>
      </c>
      <c r="JAN124" t="s">
        <v>451</v>
      </c>
      <c r="JAO124" t="s">
        <v>451</v>
      </c>
      <c r="JAP124" t="s">
        <v>451</v>
      </c>
      <c r="JAQ124" t="s">
        <v>451</v>
      </c>
      <c r="JAR124" t="s">
        <v>451</v>
      </c>
      <c r="JAS124" t="s">
        <v>451</v>
      </c>
      <c r="JAT124" t="s">
        <v>451</v>
      </c>
      <c r="JAU124" t="s">
        <v>451</v>
      </c>
      <c r="JAV124" t="s">
        <v>451</v>
      </c>
      <c r="JAW124" t="s">
        <v>451</v>
      </c>
      <c r="JAX124" t="s">
        <v>451</v>
      </c>
      <c r="JAY124" t="s">
        <v>451</v>
      </c>
      <c r="JAZ124" t="s">
        <v>451</v>
      </c>
      <c r="JBA124" t="s">
        <v>451</v>
      </c>
      <c r="JBB124" t="s">
        <v>451</v>
      </c>
      <c r="JBC124" t="s">
        <v>451</v>
      </c>
      <c r="JBD124" t="s">
        <v>451</v>
      </c>
      <c r="JBE124" t="s">
        <v>451</v>
      </c>
      <c r="JBF124" t="s">
        <v>451</v>
      </c>
      <c r="JBG124" t="s">
        <v>451</v>
      </c>
      <c r="JBH124" t="s">
        <v>451</v>
      </c>
      <c r="JBI124" t="s">
        <v>451</v>
      </c>
      <c r="JBJ124" t="s">
        <v>451</v>
      </c>
      <c r="JBK124" t="s">
        <v>451</v>
      </c>
      <c r="JBL124" t="s">
        <v>451</v>
      </c>
      <c r="JBM124" t="s">
        <v>451</v>
      </c>
      <c r="JBN124" t="s">
        <v>451</v>
      </c>
      <c r="JBO124" t="s">
        <v>451</v>
      </c>
      <c r="JBP124" t="s">
        <v>451</v>
      </c>
      <c r="JBQ124" t="s">
        <v>451</v>
      </c>
      <c r="JBR124" t="s">
        <v>451</v>
      </c>
      <c r="JBS124" t="s">
        <v>451</v>
      </c>
      <c r="JBT124" t="s">
        <v>451</v>
      </c>
      <c r="JBU124" t="s">
        <v>451</v>
      </c>
      <c r="JBV124" t="s">
        <v>451</v>
      </c>
      <c r="JBW124" t="s">
        <v>451</v>
      </c>
      <c r="JBX124" t="s">
        <v>451</v>
      </c>
      <c r="JBY124" t="s">
        <v>451</v>
      </c>
      <c r="JBZ124" t="s">
        <v>451</v>
      </c>
      <c r="JCA124" t="s">
        <v>451</v>
      </c>
      <c r="JCB124" t="s">
        <v>451</v>
      </c>
      <c r="JCC124" t="s">
        <v>451</v>
      </c>
      <c r="JCD124" t="s">
        <v>451</v>
      </c>
      <c r="JCE124" t="s">
        <v>451</v>
      </c>
      <c r="JCF124" t="s">
        <v>451</v>
      </c>
      <c r="JCG124" t="s">
        <v>451</v>
      </c>
      <c r="JCH124" t="s">
        <v>451</v>
      </c>
      <c r="JCI124" t="s">
        <v>451</v>
      </c>
      <c r="JCJ124" t="s">
        <v>451</v>
      </c>
      <c r="JCK124" t="s">
        <v>451</v>
      </c>
      <c r="JCL124" t="s">
        <v>451</v>
      </c>
      <c r="JCM124" t="s">
        <v>451</v>
      </c>
      <c r="JCN124" t="s">
        <v>451</v>
      </c>
      <c r="JCO124" t="s">
        <v>451</v>
      </c>
      <c r="JCP124" t="s">
        <v>451</v>
      </c>
      <c r="JCQ124" t="s">
        <v>451</v>
      </c>
      <c r="JCR124" t="s">
        <v>451</v>
      </c>
      <c r="JCS124" t="s">
        <v>451</v>
      </c>
      <c r="JCT124" t="s">
        <v>451</v>
      </c>
      <c r="JCU124" t="s">
        <v>451</v>
      </c>
      <c r="JCV124" t="s">
        <v>451</v>
      </c>
      <c r="JCW124" t="s">
        <v>451</v>
      </c>
      <c r="JCX124" t="s">
        <v>451</v>
      </c>
      <c r="JCY124" t="s">
        <v>451</v>
      </c>
      <c r="JCZ124" t="s">
        <v>451</v>
      </c>
      <c r="JDA124" t="s">
        <v>451</v>
      </c>
      <c r="JDB124" t="s">
        <v>451</v>
      </c>
      <c r="JDC124" t="s">
        <v>451</v>
      </c>
      <c r="JDD124" t="s">
        <v>451</v>
      </c>
      <c r="JDE124" t="s">
        <v>451</v>
      </c>
      <c r="JDF124" t="s">
        <v>451</v>
      </c>
      <c r="JDG124" t="s">
        <v>451</v>
      </c>
      <c r="JDH124" t="s">
        <v>451</v>
      </c>
      <c r="JDI124" t="s">
        <v>451</v>
      </c>
      <c r="JDJ124" t="s">
        <v>451</v>
      </c>
      <c r="JDK124" t="s">
        <v>451</v>
      </c>
      <c r="JDL124" t="s">
        <v>451</v>
      </c>
      <c r="JDM124" t="s">
        <v>451</v>
      </c>
      <c r="JDN124" t="s">
        <v>451</v>
      </c>
      <c r="JDO124" t="s">
        <v>451</v>
      </c>
      <c r="JDP124" t="s">
        <v>451</v>
      </c>
      <c r="JDQ124" t="s">
        <v>451</v>
      </c>
      <c r="JDR124" t="s">
        <v>451</v>
      </c>
      <c r="JDS124" t="s">
        <v>451</v>
      </c>
      <c r="JDT124" t="s">
        <v>451</v>
      </c>
      <c r="JDU124" t="s">
        <v>451</v>
      </c>
      <c r="JDV124" t="s">
        <v>451</v>
      </c>
      <c r="JDW124" t="s">
        <v>451</v>
      </c>
      <c r="JDX124" t="s">
        <v>451</v>
      </c>
      <c r="JDY124" t="s">
        <v>451</v>
      </c>
      <c r="JDZ124" t="s">
        <v>451</v>
      </c>
      <c r="JEA124" t="s">
        <v>451</v>
      </c>
      <c r="JEB124" t="s">
        <v>451</v>
      </c>
      <c r="JEC124" t="s">
        <v>451</v>
      </c>
      <c r="JED124" t="s">
        <v>451</v>
      </c>
      <c r="JEE124" t="s">
        <v>451</v>
      </c>
      <c r="JEF124" t="s">
        <v>451</v>
      </c>
      <c r="JEG124" t="s">
        <v>451</v>
      </c>
      <c r="JEH124" t="s">
        <v>451</v>
      </c>
      <c r="JEI124" t="s">
        <v>451</v>
      </c>
      <c r="JEJ124" t="s">
        <v>451</v>
      </c>
      <c r="JEK124" t="s">
        <v>451</v>
      </c>
      <c r="JEL124" t="s">
        <v>451</v>
      </c>
      <c r="JEM124" t="s">
        <v>451</v>
      </c>
      <c r="JEN124" t="s">
        <v>451</v>
      </c>
      <c r="JEO124" t="s">
        <v>451</v>
      </c>
      <c r="JEP124" t="s">
        <v>451</v>
      </c>
      <c r="JEQ124" t="s">
        <v>451</v>
      </c>
      <c r="JER124" t="s">
        <v>451</v>
      </c>
      <c r="JES124" t="s">
        <v>451</v>
      </c>
      <c r="JET124" t="s">
        <v>451</v>
      </c>
      <c r="JEU124" t="s">
        <v>451</v>
      </c>
      <c r="JEV124" t="s">
        <v>451</v>
      </c>
      <c r="JEW124" t="s">
        <v>451</v>
      </c>
      <c r="JEX124" t="s">
        <v>451</v>
      </c>
      <c r="JEY124" t="s">
        <v>451</v>
      </c>
      <c r="JEZ124" t="s">
        <v>451</v>
      </c>
      <c r="JFA124" t="s">
        <v>451</v>
      </c>
      <c r="JFB124" t="s">
        <v>451</v>
      </c>
      <c r="JFC124" t="s">
        <v>451</v>
      </c>
      <c r="JFD124" t="s">
        <v>451</v>
      </c>
      <c r="JFE124" t="s">
        <v>451</v>
      </c>
      <c r="JFF124" t="s">
        <v>451</v>
      </c>
      <c r="JFG124" t="s">
        <v>451</v>
      </c>
      <c r="JFH124" t="s">
        <v>451</v>
      </c>
      <c r="JFI124" t="s">
        <v>451</v>
      </c>
      <c r="JFJ124" t="s">
        <v>451</v>
      </c>
      <c r="JFK124" t="s">
        <v>451</v>
      </c>
      <c r="JFL124" t="s">
        <v>451</v>
      </c>
      <c r="JFM124" t="s">
        <v>451</v>
      </c>
      <c r="JFN124" t="s">
        <v>451</v>
      </c>
      <c r="JFO124" t="s">
        <v>451</v>
      </c>
      <c r="JFP124" t="s">
        <v>451</v>
      </c>
      <c r="JFQ124" t="s">
        <v>451</v>
      </c>
      <c r="JFR124" t="s">
        <v>451</v>
      </c>
      <c r="JFS124" t="s">
        <v>451</v>
      </c>
      <c r="JFT124" t="s">
        <v>451</v>
      </c>
      <c r="JFU124" t="s">
        <v>451</v>
      </c>
      <c r="JFV124" t="s">
        <v>451</v>
      </c>
      <c r="JFW124" t="s">
        <v>451</v>
      </c>
      <c r="JFX124" t="s">
        <v>451</v>
      </c>
      <c r="JFY124" t="s">
        <v>451</v>
      </c>
      <c r="JFZ124" t="s">
        <v>451</v>
      </c>
      <c r="JGA124" t="s">
        <v>451</v>
      </c>
      <c r="JGB124" t="s">
        <v>451</v>
      </c>
      <c r="JGC124" t="s">
        <v>451</v>
      </c>
      <c r="JGD124" t="s">
        <v>451</v>
      </c>
      <c r="JGE124" t="s">
        <v>451</v>
      </c>
      <c r="JGF124" t="s">
        <v>451</v>
      </c>
      <c r="JGG124" t="s">
        <v>451</v>
      </c>
      <c r="JGH124" t="s">
        <v>451</v>
      </c>
      <c r="JGI124" t="s">
        <v>451</v>
      </c>
      <c r="JGJ124" t="s">
        <v>451</v>
      </c>
      <c r="JGK124" t="s">
        <v>451</v>
      </c>
      <c r="JGL124" t="s">
        <v>451</v>
      </c>
      <c r="JGM124" t="s">
        <v>451</v>
      </c>
      <c r="JGN124" t="s">
        <v>451</v>
      </c>
      <c r="JGO124" t="s">
        <v>451</v>
      </c>
      <c r="JGP124" t="s">
        <v>451</v>
      </c>
      <c r="JGQ124" t="s">
        <v>451</v>
      </c>
      <c r="JGR124" t="s">
        <v>451</v>
      </c>
      <c r="JGS124" t="s">
        <v>451</v>
      </c>
      <c r="JGT124" t="s">
        <v>451</v>
      </c>
      <c r="JGU124" t="s">
        <v>451</v>
      </c>
      <c r="JGV124" t="s">
        <v>451</v>
      </c>
      <c r="JGW124" t="s">
        <v>451</v>
      </c>
      <c r="JGX124" t="s">
        <v>451</v>
      </c>
      <c r="JGY124" t="s">
        <v>451</v>
      </c>
      <c r="JGZ124" t="s">
        <v>451</v>
      </c>
      <c r="JHA124" t="s">
        <v>451</v>
      </c>
      <c r="JHB124" t="s">
        <v>451</v>
      </c>
      <c r="JHC124" t="s">
        <v>451</v>
      </c>
      <c r="JHD124" t="s">
        <v>451</v>
      </c>
      <c r="JHE124" t="s">
        <v>451</v>
      </c>
      <c r="JHF124" t="s">
        <v>451</v>
      </c>
      <c r="JHG124" t="s">
        <v>451</v>
      </c>
      <c r="JHH124" t="s">
        <v>451</v>
      </c>
      <c r="JHI124" t="s">
        <v>451</v>
      </c>
      <c r="JHJ124" t="s">
        <v>451</v>
      </c>
      <c r="JHK124" t="s">
        <v>451</v>
      </c>
      <c r="JHL124" t="s">
        <v>451</v>
      </c>
      <c r="JHM124" t="s">
        <v>451</v>
      </c>
      <c r="JHN124" t="s">
        <v>451</v>
      </c>
      <c r="JHO124" t="s">
        <v>451</v>
      </c>
      <c r="JHP124" t="s">
        <v>451</v>
      </c>
      <c r="JHQ124" t="s">
        <v>451</v>
      </c>
      <c r="JHR124" t="s">
        <v>451</v>
      </c>
      <c r="JHS124" t="s">
        <v>451</v>
      </c>
      <c r="JHT124" t="s">
        <v>451</v>
      </c>
      <c r="JHU124" t="s">
        <v>451</v>
      </c>
      <c r="JHV124" t="s">
        <v>451</v>
      </c>
      <c r="JHW124" t="s">
        <v>451</v>
      </c>
      <c r="JHX124" t="s">
        <v>451</v>
      </c>
      <c r="JHY124" t="s">
        <v>451</v>
      </c>
      <c r="JHZ124" t="s">
        <v>451</v>
      </c>
      <c r="JIA124" t="s">
        <v>451</v>
      </c>
      <c r="JIB124" t="s">
        <v>451</v>
      </c>
      <c r="JIC124" t="s">
        <v>451</v>
      </c>
      <c r="JID124" t="s">
        <v>451</v>
      </c>
      <c r="JIE124" t="s">
        <v>451</v>
      </c>
      <c r="JIF124" t="s">
        <v>451</v>
      </c>
      <c r="JIG124" t="s">
        <v>451</v>
      </c>
      <c r="JIH124" t="s">
        <v>451</v>
      </c>
      <c r="JII124" t="s">
        <v>451</v>
      </c>
      <c r="JIJ124" t="s">
        <v>451</v>
      </c>
      <c r="JIK124" t="s">
        <v>451</v>
      </c>
      <c r="JIL124" t="s">
        <v>451</v>
      </c>
      <c r="JIM124" t="s">
        <v>451</v>
      </c>
      <c r="JIN124" t="s">
        <v>451</v>
      </c>
      <c r="JIO124" t="s">
        <v>451</v>
      </c>
      <c r="JIP124" t="s">
        <v>451</v>
      </c>
      <c r="JIQ124" t="s">
        <v>451</v>
      </c>
      <c r="JIR124" t="s">
        <v>451</v>
      </c>
      <c r="JIS124" t="s">
        <v>451</v>
      </c>
      <c r="JIT124" t="s">
        <v>451</v>
      </c>
      <c r="JIU124" t="s">
        <v>451</v>
      </c>
      <c r="JIV124" t="s">
        <v>451</v>
      </c>
      <c r="JIW124" t="s">
        <v>451</v>
      </c>
      <c r="JIX124" t="s">
        <v>451</v>
      </c>
      <c r="JIY124" t="s">
        <v>451</v>
      </c>
      <c r="JIZ124" t="s">
        <v>451</v>
      </c>
      <c r="JJA124" t="s">
        <v>451</v>
      </c>
      <c r="JJB124" t="s">
        <v>451</v>
      </c>
      <c r="JJC124" t="s">
        <v>451</v>
      </c>
      <c r="JJD124" t="s">
        <v>451</v>
      </c>
      <c r="JJE124" t="s">
        <v>451</v>
      </c>
      <c r="JJF124" t="s">
        <v>451</v>
      </c>
      <c r="JJG124" t="s">
        <v>451</v>
      </c>
      <c r="JJH124" t="s">
        <v>451</v>
      </c>
      <c r="JJI124" t="s">
        <v>451</v>
      </c>
      <c r="JJJ124" t="s">
        <v>451</v>
      </c>
      <c r="JJK124" t="s">
        <v>451</v>
      </c>
      <c r="JJL124" t="s">
        <v>451</v>
      </c>
      <c r="JJM124" t="s">
        <v>451</v>
      </c>
      <c r="JJN124" t="s">
        <v>451</v>
      </c>
      <c r="JJO124" t="s">
        <v>451</v>
      </c>
      <c r="JJP124" t="s">
        <v>451</v>
      </c>
      <c r="JJQ124" t="s">
        <v>451</v>
      </c>
      <c r="JJR124" t="s">
        <v>451</v>
      </c>
      <c r="JJS124" t="s">
        <v>451</v>
      </c>
      <c r="JJT124" t="s">
        <v>451</v>
      </c>
      <c r="JJU124" t="s">
        <v>451</v>
      </c>
      <c r="JJV124" t="s">
        <v>451</v>
      </c>
      <c r="JJW124" t="s">
        <v>451</v>
      </c>
      <c r="JJX124" t="s">
        <v>451</v>
      </c>
      <c r="JJY124" t="s">
        <v>451</v>
      </c>
      <c r="JJZ124" t="s">
        <v>451</v>
      </c>
      <c r="JKA124" t="s">
        <v>451</v>
      </c>
      <c r="JKB124" t="s">
        <v>451</v>
      </c>
      <c r="JKC124" t="s">
        <v>451</v>
      </c>
      <c r="JKD124" t="s">
        <v>451</v>
      </c>
      <c r="JKE124" t="s">
        <v>451</v>
      </c>
      <c r="JKF124" t="s">
        <v>451</v>
      </c>
      <c r="JKG124" t="s">
        <v>451</v>
      </c>
      <c r="JKH124" t="s">
        <v>451</v>
      </c>
      <c r="JKI124" t="s">
        <v>451</v>
      </c>
      <c r="JKJ124" t="s">
        <v>451</v>
      </c>
      <c r="JKK124" t="s">
        <v>451</v>
      </c>
      <c r="JKL124" t="s">
        <v>451</v>
      </c>
      <c r="JKM124" t="s">
        <v>451</v>
      </c>
      <c r="JKN124" t="s">
        <v>451</v>
      </c>
      <c r="JKO124" t="s">
        <v>451</v>
      </c>
      <c r="JKP124" t="s">
        <v>451</v>
      </c>
      <c r="JKQ124" t="s">
        <v>451</v>
      </c>
      <c r="JKR124" t="s">
        <v>451</v>
      </c>
      <c r="JKS124" t="s">
        <v>451</v>
      </c>
      <c r="JKT124" t="s">
        <v>451</v>
      </c>
      <c r="JKU124" t="s">
        <v>451</v>
      </c>
      <c r="JKV124" t="s">
        <v>451</v>
      </c>
      <c r="JKW124" t="s">
        <v>451</v>
      </c>
      <c r="JKX124" t="s">
        <v>451</v>
      </c>
      <c r="JKY124" t="s">
        <v>451</v>
      </c>
      <c r="JKZ124" t="s">
        <v>451</v>
      </c>
      <c r="JLA124" t="s">
        <v>451</v>
      </c>
      <c r="JLB124" t="s">
        <v>451</v>
      </c>
      <c r="JLC124" t="s">
        <v>451</v>
      </c>
      <c r="JLD124" t="s">
        <v>451</v>
      </c>
      <c r="JLE124" t="s">
        <v>451</v>
      </c>
      <c r="JLF124" t="s">
        <v>451</v>
      </c>
      <c r="JLG124" t="s">
        <v>451</v>
      </c>
      <c r="JLH124" t="s">
        <v>451</v>
      </c>
      <c r="JLI124" t="s">
        <v>451</v>
      </c>
      <c r="JLJ124" t="s">
        <v>451</v>
      </c>
      <c r="JLK124" t="s">
        <v>451</v>
      </c>
      <c r="JLL124" t="s">
        <v>451</v>
      </c>
      <c r="JLM124" t="s">
        <v>451</v>
      </c>
      <c r="JLN124" t="s">
        <v>451</v>
      </c>
      <c r="JLO124" t="s">
        <v>451</v>
      </c>
      <c r="JLP124" t="s">
        <v>451</v>
      </c>
      <c r="JLQ124" t="s">
        <v>451</v>
      </c>
      <c r="JLR124" t="s">
        <v>451</v>
      </c>
      <c r="JLS124" t="s">
        <v>451</v>
      </c>
      <c r="JLT124" t="s">
        <v>451</v>
      </c>
      <c r="JLU124" t="s">
        <v>451</v>
      </c>
      <c r="JLV124" t="s">
        <v>451</v>
      </c>
      <c r="JLW124" t="s">
        <v>451</v>
      </c>
      <c r="JLX124" t="s">
        <v>451</v>
      </c>
      <c r="JLY124" t="s">
        <v>451</v>
      </c>
      <c r="JLZ124" t="s">
        <v>451</v>
      </c>
      <c r="JMA124" t="s">
        <v>451</v>
      </c>
      <c r="JMB124" t="s">
        <v>451</v>
      </c>
      <c r="JMC124" t="s">
        <v>451</v>
      </c>
      <c r="JMD124" t="s">
        <v>451</v>
      </c>
      <c r="JME124" t="s">
        <v>451</v>
      </c>
      <c r="JMF124" t="s">
        <v>451</v>
      </c>
      <c r="JMG124" t="s">
        <v>451</v>
      </c>
      <c r="JMH124" t="s">
        <v>451</v>
      </c>
      <c r="JMI124" t="s">
        <v>451</v>
      </c>
      <c r="JMJ124" t="s">
        <v>451</v>
      </c>
      <c r="JMK124" t="s">
        <v>451</v>
      </c>
      <c r="JML124" t="s">
        <v>451</v>
      </c>
      <c r="JMM124" t="s">
        <v>451</v>
      </c>
      <c r="JMN124" t="s">
        <v>451</v>
      </c>
      <c r="JMO124" t="s">
        <v>451</v>
      </c>
      <c r="JMP124" t="s">
        <v>451</v>
      </c>
      <c r="JMQ124" t="s">
        <v>451</v>
      </c>
      <c r="JMR124" t="s">
        <v>451</v>
      </c>
      <c r="JMS124" t="s">
        <v>451</v>
      </c>
      <c r="JMT124" t="s">
        <v>451</v>
      </c>
      <c r="JMU124" t="s">
        <v>451</v>
      </c>
      <c r="JMV124" t="s">
        <v>451</v>
      </c>
      <c r="JMW124" t="s">
        <v>451</v>
      </c>
      <c r="JMX124" t="s">
        <v>451</v>
      </c>
      <c r="JMY124" t="s">
        <v>451</v>
      </c>
      <c r="JMZ124" t="s">
        <v>451</v>
      </c>
      <c r="JNA124" t="s">
        <v>451</v>
      </c>
      <c r="JNB124" t="s">
        <v>451</v>
      </c>
      <c r="JNC124" t="s">
        <v>451</v>
      </c>
      <c r="JND124" t="s">
        <v>451</v>
      </c>
      <c r="JNE124" t="s">
        <v>451</v>
      </c>
      <c r="JNF124" t="s">
        <v>451</v>
      </c>
      <c r="JNG124" t="s">
        <v>451</v>
      </c>
      <c r="JNH124" t="s">
        <v>451</v>
      </c>
      <c r="JNI124" t="s">
        <v>451</v>
      </c>
      <c r="JNJ124" t="s">
        <v>451</v>
      </c>
      <c r="JNK124" t="s">
        <v>451</v>
      </c>
      <c r="JNL124" t="s">
        <v>451</v>
      </c>
      <c r="JNM124" t="s">
        <v>451</v>
      </c>
      <c r="JNN124" t="s">
        <v>451</v>
      </c>
      <c r="JNO124" t="s">
        <v>451</v>
      </c>
      <c r="JNP124" t="s">
        <v>451</v>
      </c>
      <c r="JNQ124" t="s">
        <v>451</v>
      </c>
      <c r="JNR124" t="s">
        <v>451</v>
      </c>
      <c r="JNS124" t="s">
        <v>451</v>
      </c>
      <c r="JNT124" t="s">
        <v>451</v>
      </c>
      <c r="JNU124" t="s">
        <v>451</v>
      </c>
      <c r="JNV124" t="s">
        <v>451</v>
      </c>
      <c r="JNW124" t="s">
        <v>451</v>
      </c>
      <c r="JNX124" t="s">
        <v>451</v>
      </c>
      <c r="JNY124" t="s">
        <v>451</v>
      </c>
      <c r="JNZ124" t="s">
        <v>451</v>
      </c>
      <c r="JOA124" t="s">
        <v>451</v>
      </c>
      <c r="JOB124" t="s">
        <v>451</v>
      </c>
      <c r="JOC124" t="s">
        <v>451</v>
      </c>
      <c r="JOD124" t="s">
        <v>451</v>
      </c>
      <c r="JOE124" t="s">
        <v>451</v>
      </c>
      <c r="JOF124" t="s">
        <v>451</v>
      </c>
      <c r="JOG124" t="s">
        <v>451</v>
      </c>
      <c r="JOH124" t="s">
        <v>451</v>
      </c>
      <c r="JOI124" t="s">
        <v>451</v>
      </c>
      <c r="JOJ124" t="s">
        <v>451</v>
      </c>
      <c r="JOK124" t="s">
        <v>451</v>
      </c>
      <c r="JOL124" t="s">
        <v>451</v>
      </c>
      <c r="JOM124" t="s">
        <v>451</v>
      </c>
      <c r="JON124" t="s">
        <v>451</v>
      </c>
      <c r="JOO124" t="s">
        <v>451</v>
      </c>
      <c r="JOP124" t="s">
        <v>451</v>
      </c>
      <c r="JOQ124" t="s">
        <v>451</v>
      </c>
      <c r="JOR124" t="s">
        <v>451</v>
      </c>
      <c r="JOS124" t="s">
        <v>451</v>
      </c>
      <c r="JOT124" t="s">
        <v>451</v>
      </c>
      <c r="JOU124" t="s">
        <v>451</v>
      </c>
      <c r="JOV124" t="s">
        <v>451</v>
      </c>
      <c r="JOW124" t="s">
        <v>451</v>
      </c>
      <c r="JOX124" t="s">
        <v>451</v>
      </c>
      <c r="JOY124" t="s">
        <v>451</v>
      </c>
      <c r="JOZ124" t="s">
        <v>451</v>
      </c>
      <c r="JPA124" t="s">
        <v>451</v>
      </c>
      <c r="JPB124" t="s">
        <v>451</v>
      </c>
      <c r="JPC124" t="s">
        <v>451</v>
      </c>
      <c r="JPD124" t="s">
        <v>451</v>
      </c>
      <c r="JPE124" t="s">
        <v>451</v>
      </c>
      <c r="JPF124" t="s">
        <v>451</v>
      </c>
      <c r="JPG124" t="s">
        <v>451</v>
      </c>
      <c r="JPH124" t="s">
        <v>451</v>
      </c>
      <c r="JPI124" t="s">
        <v>451</v>
      </c>
      <c r="JPJ124" t="s">
        <v>451</v>
      </c>
      <c r="JPK124" t="s">
        <v>451</v>
      </c>
      <c r="JPL124" t="s">
        <v>451</v>
      </c>
      <c r="JPM124" t="s">
        <v>451</v>
      </c>
      <c r="JPN124" t="s">
        <v>451</v>
      </c>
      <c r="JPO124" t="s">
        <v>451</v>
      </c>
      <c r="JPP124" t="s">
        <v>451</v>
      </c>
      <c r="JPQ124" t="s">
        <v>451</v>
      </c>
      <c r="JPR124" t="s">
        <v>451</v>
      </c>
      <c r="JPS124" t="s">
        <v>451</v>
      </c>
      <c r="JPT124" t="s">
        <v>451</v>
      </c>
      <c r="JPU124" t="s">
        <v>451</v>
      </c>
      <c r="JPV124" t="s">
        <v>451</v>
      </c>
      <c r="JPW124" t="s">
        <v>451</v>
      </c>
      <c r="JPX124" t="s">
        <v>451</v>
      </c>
      <c r="JPY124" t="s">
        <v>451</v>
      </c>
      <c r="JPZ124" t="s">
        <v>451</v>
      </c>
      <c r="JQA124" t="s">
        <v>451</v>
      </c>
      <c r="JQB124" t="s">
        <v>451</v>
      </c>
      <c r="JQC124" t="s">
        <v>451</v>
      </c>
      <c r="JQD124" t="s">
        <v>451</v>
      </c>
      <c r="JQE124" t="s">
        <v>451</v>
      </c>
      <c r="JQF124" t="s">
        <v>451</v>
      </c>
      <c r="JQG124" t="s">
        <v>451</v>
      </c>
      <c r="JQH124" t="s">
        <v>451</v>
      </c>
      <c r="JQI124" t="s">
        <v>451</v>
      </c>
      <c r="JQJ124" t="s">
        <v>451</v>
      </c>
      <c r="JQK124" t="s">
        <v>451</v>
      </c>
      <c r="JQL124" t="s">
        <v>451</v>
      </c>
      <c r="JQM124" t="s">
        <v>451</v>
      </c>
      <c r="JQN124" t="s">
        <v>451</v>
      </c>
      <c r="JQO124" t="s">
        <v>451</v>
      </c>
      <c r="JQP124" t="s">
        <v>451</v>
      </c>
      <c r="JQQ124" t="s">
        <v>451</v>
      </c>
      <c r="JQR124" t="s">
        <v>451</v>
      </c>
      <c r="JQS124" t="s">
        <v>451</v>
      </c>
      <c r="JQT124" t="s">
        <v>451</v>
      </c>
      <c r="JQU124" t="s">
        <v>451</v>
      </c>
      <c r="JQV124" t="s">
        <v>451</v>
      </c>
      <c r="JQW124" t="s">
        <v>451</v>
      </c>
      <c r="JQX124" t="s">
        <v>451</v>
      </c>
      <c r="JQY124" t="s">
        <v>451</v>
      </c>
      <c r="JQZ124" t="s">
        <v>451</v>
      </c>
      <c r="JRA124" t="s">
        <v>451</v>
      </c>
      <c r="JRB124" t="s">
        <v>451</v>
      </c>
      <c r="JRC124" t="s">
        <v>451</v>
      </c>
      <c r="JRD124" t="s">
        <v>451</v>
      </c>
      <c r="JRE124" t="s">
        <v>451</v>
      </c>
      <c r="JRF124" t="s">
        <v>451</v>
      </c>
      <c r="JRG124" t="s">
        <v>451</v>
      </c>
      <c r="JRH124" t="s">
        <v>451</v>
      </c>
      <c r="JRI124" t="s">
        <v>451</v>
      </c>
      <c r="JRJ124" t="s">
        <v>451</v>
      </c>
      <c r="JRK124" t="s">
        <v>451</v>
      </c>
      <c r="JRL124" t="s">
        <v>451</v>
      </c>
      <c r="JRM124" t="s">
        <v>451</v>
      </c>
      <c r="JRN124" t="s">
        <v>451</v>
      </c>
      <c r="JRO124" t="s">
        <v>451</v>
      </c>
      <c r="JRP124" t="s">
        <v>451</v>
      </c>
      <c r="JRQ124" t="s">
        <v>451</v>
      </c>
      <c r="JRR124" t="s">
        <v>451</v>
      </c>
      <c r="JRS124" t="s">
        <v>451</v>
      </c>
      <c r="JRT124" t="s">
        <v>451</v>
      </c>
      <c r="JRU124" t="s">
        <v>451</v>
      </c>
      <c r="JRV124" t="s">
        <v>451</v>
      </c>
      <c r="JRW124" t="s">
        <v>451</v>
      </c>
      <c r="JRX124" t="s">
        <v>451</v>
      </c>
      <c r="JRY124" t="s">
        <v>451</v>
      </c>
      <c r="JRZ124" t="s">
        <v>451</v>
      </c>
      <c r="JSA124" t="s">
        <v>451</v>
      </c>
      <c r="JSB124" t="s">
        <v>451</v>
      </c>
      <c r="JSC124" t="s">
        <v>451</v>
      </c>
      <c r="JSD124" t="s">
        <v>451</v>
      </c>
      <c r="JSE124" t="s">
        <v>451</v>
      </c>
      <c r="JSF124" t="s">
        <v>451</v>
      </c>
      <c r="JSG124" t="s">
        <v>451</v>
      </c>
      <c r="JSH124" t="s">
        <v>451</v>
      </c>
      <c r="JSI124" t="s">
        <v>451</v>
      </c>
      <c r="JSJ124" t="s">
        <v>451</v>
      </c>
      <c r="JSK124" t="s">
        <v>451</v>
      </c>
      <c r="JSL124" t="s">
        <v>451</v>
      </c>
      <c r="JSM124" t="s">
        <v>451</v>
      </c>
      <c r="JSN124" t="s">
        <v>451</v>
      </c>
      <c r="JSO124" t="s">
        <v>451</v>
      </c>
      <c r="JSP124" t="s">
        <v>451</v>
      </c>
      <c r="JSQ124" t="s">
        <v>451</v>
      </c>
      <c r="JSR124" t="s">
        <v>451</v>
      </c>
      <c r="JSS124" t="s">
        <v>451</v>
      </c>
      <c r="JST124" t="s">
        <v>451</v>
      </c>
      <c r="JSU124" t="s">
        <v>451</v>
      </c>
      <c r="JSV124" t="s">
        <v>451</v>
      </c>
      <c r="JSW124" t="s">
        <v>451</v>
      </c>
      <c r="JSX124" t="s">
        <v>451</v>
      </c>
      <c r="JSY124" t="s">
        <v>451</v>
      </c>
      <c r="JSZ124" t="s">
        <v>451</v>
      </c>
      <c r="JTA124" t="s">
        <v>451</v>
      </c>
      <c r="JTB124" t="s">
        <v>451</v>
      </c>
      <c r="JTC124" t="s">
        <v>451</v>
      </c>
      <c r="JTD124" t="s">
        <v>451</v>
      </c>
      <c r="JTE124" t="s">
        <v>451</v>
      </c>
      <c r="JTF124" t="s">
        <v>451</v>
      </c>
      <c r="JTG124" t="s">
        <v>451</v>
      </c>
      <c r="JTH124" t="s">
        <v>451</v>
      </c>
      <c r="JTI124" t="s">
        <v>451</v>
      </c>
      <c r="JTJ124" t="s">
        <v>451</v>
      </c>
      <c r="JTK124" t="s">
        <v>451</v>
      </c>
      <c r="JTL124" t="s">
        <v>451</v>
      </c>
      <c r="JTM124" t="s">
        <v>451</v>
      </c>
      <c r="JTN124" t="s">
        <v>451</v>
      </c>
      <c r="JTO124" t="s">
        <v>451</v>
      </c>
      <c r="JTP124" t="s">
        <v>451</v>
      </c>
      <c r="JTQ124" t="s">
        <v>451</v>
      </c>
      <c r="JTR124" t="s">
        <v>451</v>
      </c>
      <c r="JTS124" t="s">
        <v>451</v>
      </c>
      <c r="JTT124" t="s">
        <v>451</v>
      </c>
      <c r="JTU124" t="s">
        <v>451</v>
      </c>
      <c r="JTV124" t="s">
        <v>451</v>
      </c>
      <c r="JTW124" t="s">
        <v>451</v>
      </c>
      <c r="JTX124" t="s">
        <v>451</v>
      </c>
      <c r="JTY124" t="s">
        <v>451</v>
      </c>
      <c r="JTZ124" t="s">
        <v>451</v>
      </c>
      <c r="JUA124" t="s">
        <v>451</v>
      </c>
      <c r="JUB124" t="s">
        <v>451</v>
      </c>
      <c r="JUC124" t="s">
        <v>451</v>
      </c>
      <c r="JUD124" t="s">
        <v>451</v>
      </c>
      <c r="JUE124" t="s">
        <v>451</v>
      </c>
      <c r="JUF124" t="s">
        <v>451</v>
      </c>
      <c r="JUG124" t="s">
        <v>451</v>
      </c>
      <c r="JUH124" t="s">
        <v>451</v>
      </c>
      <c r="JUI124" t="s">
        <v>451</v>
      </c>
      <c r="JUJ124" t="s">
        <v>451</v>
      </c>
      <c r="JUK124" t="s">
        <v>451</v>
      </c>
      <c r="JUL124" t="s">
        <v>451</v>
      </c>
      <c r="JUM124" t="s">
        <v>451</v>
      </c>
      <c r="JUN124" t="s">
        <v>451</v>
      </c>
      <c r="JUO124" t="s">
        <v>451</v>
      </c>
      <c r="JUP124" t="s">
        <v>451</v>
      </c>
      <c r="JUQ124" t="s">
        <v>451</v>
      </c>
      <c r="JUR124" t="s">
        <v>451</v>
      </c>
      <c r="JUS124" t="s">
        <v>451</v>
      </c>
      <c r="JUT124" t="s">
        <v>451</v>
      </c>
      <c r="JUU124" t="s">
        <v>451</v>
      </c>
      <c r="JUV124" t="s">
        <v>451</v>
      </c>
      <c r="JUW124" t="s">
        <v>451</v>
      </c>
      <c r="JUX124" t="s">
        <v>451</v>
      </c>
      <c r="JUY124" t="s">
        <v>451</v>
      </c>
      <c r="JUZ124" t="s">
        <v>451</v>
      </c>
      <c r="JVA124" t="s">
        <v>451</v>
      </c>
      <c r="JVB124" t="s">
        <v>451</v>
      </c>
      <c r="JVC124" t="s">
        <v>451</v>
      </c>
      <c r="JVD124" t="s">
        <v>451</v>
      </c>
      <c r="JVE124" t="s">
        <v>451</v>
      </c>
      <c r="JVF124" t="s">
        <v>451</v>
      </c>
      <c r="JVG124" t="s">
        <v>451</v>
      </c>
      <c r="JVH124" t="s">
        <v>451</v>
      </c>
      <c r="JVI124" t="s">
        <v>451</v>
      </c>
      <c r="JVJ124" t="s">
        <v>451</v>
      </c>
      <c r="JVK124" t="s">
        <v>451</v>
      </c>
      <c r="JVL124" t="s">
        <v>451</v>
      </c>
      <c r="JVM124" t="s">
        <v>451</v>
      </c>
      <c r="JVN124" t="s">
        <v>451</v>
      </c>
      <c r="JVO124" t="s">
        <v>451</v>
      </c>
      <c r="JVP124" t="s">
        <v>451</v>
      </c>
      <c r="JVQ124" t="s">
        <v>451</v>
      </c>
      <c r="JVR124" t="s">
        <v>451</v>
      </c>
      <c r="JVS124" t="s">
        <v>451</v>
      </c>
      <c r="JVT124" t="s">
        <v>451</v>
      </c>
      <c r="JVU124" t="s">
        <v>451</v>
      </c>
      <c r="JVV124" t="s">
        <v>451</v>
      </c>
      <c r="JVW124" t="s">
        <v>451</v>
      </c>
      <c r="JVX124" t="s">
        <v>451</v>
      </c>
      <c r="JVY124" t="s">
        <v>451</v>
      </c>
      <c r="JVZ124" t="s">
        <v>451</v>
      </c>
      <c r="JWA124" t="s">
        <v>451</v>
      </c>
      <c r="JWB124" t="s">
        <v>451</v>
      </c>
      <c r="JWC124" t="s">
        <v>451</v>
      </c>
      <c r="JWD124" t="s">
        <v>451</v>
      </c>
      <c r="JWE124" t="s">
        <v>451</v>
      </c>
      <c r="JWF124" t="s">
        <v>451</v>
      </c>
      <c r="JWG124" t="s">
        <v>451</v>
      </c>
      <c r="JWH124" t="s">
        <v>451</v>
      </c>
      <c r="JWI124" t="s">
        <v>451</v>
      </c>
      <c r="JWJ124" t="s">
        <v>451</v>
      </c>
      <c r="JWK124" t="s">
        <v>451</v>
      </c>
      <c r="JWL124" t="s">
        <v>451</v>
      </c>
      <c r="JWM124" t="s">
        <v>451</v>
      </c>
      <c r="JWN124" t="s">
        <v>451</v>
      </c>
      <c r="JWO124" t="s">
        <v>451</v>
      </c>
      <c r="JWP124" t="s">
        <v>451</v>
      </c>
      <c r="JWQ124" t="s">
        <v>451</v>
      </c>
      <c r="JWR124" t="s">
        <v>451</v>
      </c>
      <c r="JWS124" t="s">
        <v>451</v>
      </c>
      <c r="JWT124" t="s">
        <v>451</v>
      </c>
      <c r="JWU124" t="s">
        <v>451</v>
      </c>
      <c r="JWV124" t="s">
        <v>451</v>
      </c>
      <c r="JWW124" t="s">
        <v>451</v>
      </c>
      <c r="JWX124" t="s">
        <v>451</v>
      </c>
      <c r="JWY124" t="s">
        <v>451</v>
      </c>
      <c r="JWZ124" t="s">
        <v>451</v>
      </c>
      <c r="JXA124" t="s">
        <v>451</v>
      </c>
      <c r="JXB124" t="s">
        <v>451</v>
      </c>
      <c r="JXC124" t="s">
        <v>451</v>
      </c>
      <c r="JXD124" t="s">
        <v>451</v>
      </c>
      <c r="JXE124" t="s">
        <v>451</v>
      </c>
      <c r="JXF124" t="s">
        <v>451</v>
      </c>
      <c r="JXG124" t="s">
        <v>451</v>
      </c>
      <c r="JXH124" t="s">
        <v>451</v>
      </c>
      <c r="JXI124" t="s">
        <v>451</v>
      </c>
      <c r="JXJ124" t="s">
        <v>451</v>
      </c>
      <c r="JXK124" t="s">
        <v>451</v>
      </c>
      <c r="JXL124" t="s">
        <v>451</v>
      </c>
      <c r="JXM124" t="s">
        <v>451</v>
      </c>
      <c r="JXN124" t="s">
        <v>451</v>
      </c>
      <c r="JXO124" t="s">
        <v>451</v>
      </c>
      <c r="JXP124" t="s">
        <v>451</v>
      </c>
      <c r="JXQ124" t="s">
        <v>451</v>
      </c>
      <c r="JXR124" t="s">
        <v>451</v>
      </c>
      <c r="JXS124" t="s">
        <v>451</v>
      </c>
      <c r="JXT124" t="s">
        <v>451</v>
      </c>
      <c r="JXU124" t="s">
        <v>451</v>
      </c>
      <c r="JXV124" t="s">
        <v>451</v>
      </c>
      <c r="JXW124" t="s">
        <v>451</v>
      </c>
      <c r="JXX124" t="s">
        <v>451</v>
      </c>
      <c r="JXY124" t="s">
        <v>451</v>
      </c>
      <c r="JXZ124" t="s">
        <v>451</v>
      </c>
      <c r="JYA124" t="s">
        <v>451</v>
      </c>
      <c r="JYB124" t="s">
        <v>451</v>
      </c>
      <c r="JYC124" t="s">
        <v>451</v>
      </c>
      <c r="JYD124" t="s">
        <v>451</v>
      </c>
      <c r="JYE124" t="s">
        <v>451</v>
      </c>
      <c r="JYF124" t="s">
        <v>451</v>
      </c>
      <c r="JYG124" t="s">
        <v>451</v>
      </c>
      <c r="JYH124" t="s">
        <v>451</v>
      </c>
      <c r="JYI124" t="s">
        <v>451</v>
      </c>
      <c r="JYJ124" t="s">
        <v>451</v>
      </c>
      <c r="JYK124" t="s">
        <v>451</v>
      </c>
      <c r="JYL124" t="s">
        <v>451</v>
      </c>
      <c r="JYM124" t="s">
        <v>451</v>
      </c>
      <c r="JYN124" t="s">
        <v>451</v>
      </c>
      <c r="JYO124" t="s">
        <v>451</v>
      </c>
      <c r="JYP124" t="s">
        <v>451</v>
      </c>
      <c r="JYQ124" t="s">
        <v>451</v>
      </c>
      <c r="JYR124" t="s">
        <v>451</v>
      </c>
      <c r="JYS124" t="s">
        <v>451</v>
      </c>
      <c r="JYT124" t="s">
        <v>451</v>
      </c>
      <c r="JYU124" t="s">
        <v>451</v>
      </c>
      <c r="JYV124" t="s">
        <v>451</v>
      </c>
      <c r="JYW124" t="s">
        <v>451</v>
      </c>
      <c r="JYX124" t="s">
        <v>451</v>
      </c>
      <c r="JYY124" t="s">
        <v>451</v>
      </c>
      <c r="JYZ124" t="s">
        <v>451</v>
      </c>
      <c r="JZA124" t="s">
        <v>451</v>
      </c>
      <c r="JZB124" t="s">
        <v>451</v>
      </c>
      <c r="JZC124" t="s">
        <v>451</v>
      </c>
      <c r="JZD124" t="s">
        <v>451</v>
      </c>
      <c r="JZE124" t="s">
        <v>451</v>
      </c>
      <c r="JZF124" t="s">
        <v>451</v>
      </c>
      <c r="JZG124" t="s">
        <v>451</v>
      </c>
      <c r="JZH124" t="s">
        <v>451</v>
      </c>
      <c r="JZI124" t="s">
        <v>451</v>
      </c>
      <c r="JZJ124" t="s">
        <v>451</v>
      </c>
      <c r="JZK124" t="s">
        <v>451</v>
      </c>
      <c r="JZL124" t="s">
        <v>451</v>
      </c>
      <c r="JZM124" t="s">
        <v>451</v>
      </c>
      <c r="JZN124" t="s">
        <v>451</v>
      </c>
      <c r="JZO124" t="s">
        <v>451</v>
      </c>
      <c r="JZP124" t="s">
        <v>451</v>
      </c>
      <c r="JZQ124" t="s">
        <v>451</v>
      </c>
      <c r="JZR124" t="s">
        <v>451</v>
      </c>
      <c r="JZS124" t="s">
        <v>451</v>
      </c>
      <c r="JZT124" t="s">
        <v>451</v>
      </c>
      <c r="JZU124" t="s">
        <v>451</v>
      </c>
      <c r="JZV124" t="s">
        <v>451</v>
      </c>
      <c r="JZW124" t="s">
        <v>451</v>
      </c>
      <c r="JZX124" t="s">
        <v>451</v>
      </c>
      <c r="JZY124" t="s">
        <v>451</v>
      </c>
      <c r="JZZ124" t="s">
        <v>451</v>
      </c>
      <c r="KAA124" t="s">
        <v>451</v>
      </c>
      <c r="KAB124" t="s">
        <v>451</v>
      </c>
      <c r="KAC124" t="s">
        <v>451</v>
      </c>
      <c r="KAD124" t="s">
        <v>451</v>
      </c>
      <c r="KAE124" t="s">
        <v>451</v>
      </c>
      <c r="KAF124" t="s">
        <v>451</v>
      </c>
      <c r="KAG124" t="s">
        <v>451</v>
      </c>
      <c r="KAH124" t="s">
        <v>451</v>
      </c>
      <c r="KAI124" t="s">
        <v>451</v>
      </c>
      <c r="KAJ124" t="s">
        <v>451</v>
      </c>
      <c r="KAK124" t="s">
        <v>451</v>
      </c>
      <c r="KAL124" t="s">
        <v>451</v>
      </c>
      <c r="KAM124" t="s">
        <v>451</v>
      </c>
      <c r="KAN124" t="s">
        <v>451</v>
      </c>
      <c r="KAO124" t="s">
        <v>451</v>
      </c>
      <c r="KAP124" t="s">
        <v>451</v>
      </c>
      <c r="KAQ124" t="s">
        <v>451</v>
      </c>
      <c r="KAR124" t="s">
        <v>451</v>
      </c>
      <c r="KAS124" t="s">
        <v>451</v>
      </c>
      <c r="KAT124" t="s">
        <v>451</v>
      </c>
      <c r="KAU124" t="s">
        <v>451</v>
      </c>
      <c r="KAV124" t="s">
        <v>451</v>
      </c>
      <c r="KAW124" t="s">
        <v>451</v>
      </c>
      <c r="KAX124" t="s">
        <v>451</v>
      </c>
      <c r="KAY124" t="s">
        <v>451</v>
      </c>
      <c r="KAZ124" t="s">
        <v>451</v>
      </c>
      <c r="KBA124" t="s">
        <v>451</v>
      </c>
      <c r="KBB124" t="s">
        <v>451</v>
      </c>
      <c r="KBC124" t="s">
        <v>451</v>
      </c>
      <c r="KBD124" t="s">
        <v>451</v>
      </c>
      <c r="KBE124" t="s">
        <v>451</v>
      </c>
      <c r="KBF124" t="s">
        <v>451</v>
      </c>
      <c r="KBG124" t="s">
        <v>451</v>
      </c>
      <c r="KBH124" t="s">
        <v>451</v>
      </c>
      <c r="KBI124" t="s">
        <v>451</v>
      </c>
      <c r="KBJ124" t="s">
        <v>451</v>
      </c>
      <c r="KBK124" t="s">
        <v>451</v>
      </c>
      <c r="KBL124" t="s">
        <v>451</v>
      </c>
      <c r="KBM124" t="s">
        <v>451</v>
      </c>
      <c r="KBN124" t="s">
        <v>451</v>
      </c>
      <c r="KBO124" t="s">
        <v>451</v>
      </c>
      <c r="KBP124" t="s">
        <v>451</v>
      </c>
      <c r="KBQ124" t="s">
        <v>451</v>
      </c>
      <c r="KBR124" t="s">
        <v>451</v>
      </c>
      <c r="KBS124" t="s">
        <v>451</v>
      </c>
      <c r="KBT124" t="s">
        <v>451</v>
      </c>
      <c r="KBU124" t="s">
        <v>451</v>
      </c>
      <c r="KBV124" t="s">
        <v>451</v>
      </c>
      <c r="KBW124" t="s">
        <v>451</v>
      </c>
      <c r="KBX124" t="s">
        <v>451</v>
      </c>
      <c r="KBY124" t="s">
        <v>451</v>
      </c>
      <c r="KBZ124" t="s">
        <v>451</v>
      </c>
      <c r="KCA124" t="s">
        <v>451</v>
      </c>
      <c r="KCB124" t="s">
        <v>451</v>
      </c>
      <c r="KCC124" t="s">
        <v>451</v>
      </c>
      <c r="KCD124" t="s">
        <v>451</v>
      </c>
      <c r="KCE124" t="s">
        <v>451</v>
      </c>
      <c r="KCF124" t="s">
        <v>451</v>
      </c>
      <c r="KCG124" t="s">
        <v>451</v>
      </c>
      <c r="KCH124" t="s">
        <v>451</v>
      </c>
      <c r="KCI124" t="s">
        <v>451</v>
      </c>
      <c r="KCJ124" t="s">
        <v>451</v>
      </c>
      <c r="KCK124" t="s">
        <v>451</v>
      </c>
      <c r="KCL124" t="s">
        <v>451</v>
      </c>
      <c r="KCM124" t="s">
        <v>451</v>
      </c>
      <c r="KCN124" t="s">
        <v>451</v>
      </c>
      <c r="KCO124" t="s">
        <v>451</v>
      </c>
      <c r="KCP124" t="s">
        <v>451</v>
      </c>
      <c r="KCQ124" t="s">
        <v>451</v>
      </c>
      <c r="KCR124" t="s">
        <v>451</v>
      </c>
      <c r="KCS124" t="s">
        <v>451</v>
      </c>
      <c r="KCT124" t="s">
        <v>451</v>
      </c>
      <c r="KCU124" t="s">
        <v>451</v>
      </c>
      <c r="KCV124" t="s">
        <v>451</v>
      </c>
      <c r="KCW124" t="s">
        <v>451</v>
      </c>
      <c r="KCX124" t="s">
        <v>451</v>
      </c>
      <c r="KCY124" t="s">
        <v>451</v>
      </c>
      <c r="KCZ124" t="s">
        <v>451</v>
      </c>
      <c r="KDA124" t="s">
        <v>451</v>
      </c>
      <c r="KDB124" t="s">
        <v>451</v>
      </c>
      <c r="KDC124" t="s">
        <v>451</v>
      </c>
      <c r="KDD124" t="s">
        <v>451</v>
      </c>
      <c r="KDE124" t="s">
        <v>451</v>
      </c>
      <c r="KDF124" t="s">
        <v>451</v>
      </c>
      <c r="KDG124" t="s">
        <v>451</v>
      </c>
      <c r="KDH124" t="s">
        <v>451</v>
      </c>
      <c r="KDI124" t="s">
        <v>451</v>
      </c>
      <c r="KDJ124" t="s">
        <v>451</v>
      </c>
      <c r="KDK124" t="s">
        <v>451</v>
      </c>
      <c r="KDL124" t="s">
        <v>451</v>
      </c>
      <c r="KDM124" t="s">
        <v>451</v>
      </c>
      <c r="KDN124" t="s">
        <v>451</v>
      </c>
      <c r="KDO124" t="s">
        <v>451</v>
      </c>
      <c r="KDP124" t="s">
        <v>451</v>
      </c>
      <c r="KDQ124" t="s">
        <v>451</v>
      </c>
      <c r="KDR124" t="s">
        <v>451</v>
      </c>
      <c r="KDS124" t="s">
        <v>451</v>
      </c>
      <c r="KDT124" t="s">
        <v>451</v>
      </c>
      <c r="KDU124" t="s">
        <v>451</v>
      </c>
      <c r="KDV124" t="s">
        <v>451</v>
      </c>
      <c r="KDW124" t="s">
        <v>451</v>
      </c>
      <c r="KDX124" t="s">
        <v>451</v>
      </c>
      <c r="KDY124" t="s">
        <v>451</v>
      </c>
      <c r="KDZ124" t="s">
        <v>451</v>
      </c>
      <c r="KEA124" t="s">
        <v>451</v>
      </c>
      <c r="KEB124" t="s">
        <v>451</v>
      </c>
      <c r="KEC124" t="s">
        <v>451</v>
      </c>
      <c r="KED124" t="s">
        <v>451</v>
      </c>
      <c r="KEE124" t="s">
        <v>451</v>
      </c>
      <c r="KEF124" t="s">
        <v>451</v>
      </c>
      <c r="KEG124" t="s">
        <v>451</v>
      </c>
      <c r="KEH124" t="s">
        <v>451</v>
      </c>
      <c r="KEI124" t="s">
        <v>451</v>
      </c>
      <c r="KEJ124" t="s">
        <v>451</v>
      </c>
      <c r="KEK124" t="s">
        <v>451</v>
      </c>
      <c r="KEL124" t="s">
        <v>451</v>
      </c>
      <c r="KEM124" t="s">
        <v>451</v>
      </c>
      <c r="KEN124" t="s">
        <v>451</v>
      </c>
      <c r="KEO124" t="s">
        <v>451</v>
      </c>
      <c r="KEP124" t="s">
        <v>451</v>
      </c>
      <c r="KEQ124" t="s">
        <v>451</v>
      </c>
      <c r="KER124" t="s">
        <v>451</v>
      </c>
      <c r="KES124" t="s">
        <v>451</v>
      </c>
      <c r="KET124" t="s">
        <v>451</v>
      </c>
      <c r="KEU124" t="s">
        <v>451</v>
      </c>
      <c r="KEV124" t="s">
        <v>451</v>
      </c>
      <c r="KEW124" t="s">
        <v>451</v>
      </c>
      <c r="KEX124" t="s">
        <v>451</v>
      </c>
      <c r="KEY124" t="s">
        <v>451</v>
      </c>
      <c r="KEZ124" t="s">
        <v>451</v>
      </c>
      <c r="KFA124" t="s">
        <v>451</v>
      </c>
      <c r="KFB124" t="s">
        <v>451</v>
      </c>
      <c r="KFC124" t="s">
        <v>451</v>
      </c>
      <c r="KFD124" t="s">
        <v>451</v>
      </c>
      <c r="KFE124" t="s">
        <v>451</v>
      </c>
      <c r="KFF124" t="s">
        <v>451</v>
      </c>
      <c r="KFG124" t="s">
        <v>451</v>
      </c>
      <c r="KFH124" t="s">
        <v>451</v>
      </c>
      <c r="KFI124" t="s">
        <v>451</v>
      </c>
      <c r="KFJ124" t="s">
        <v>451</v>
      </c>
      <c r="KFK124" t="s">
        <v>451</v>
      </c>
      <c r="KFL124" t="s">
        <v>451</v>
      </c>
      <c r="KFM124" t="s">
        <v>451</v>
      </c>
      <c r="KFN124" t="s">
        <v>451</v>
      </c>
      <c r="KFO124" t="s">
        <v>451</v>
      </c>
      <c r="KFP124" t="s">
        <v>451</v>
      </c>
      <c r="KFQ124" t="s">
        <v>451</v>
      </c>
      <c r="KFR124" t="s">
        <v>451</v>
      </c>
      <c r="KFS124" t="s">
        <v>451</v>
      </c>
      <c r="KFT124" t="s">
        <v>451</v>
      </c>
      <c r="KFU124" t="s">
        <v>451</v>
      </c>
      <c r="KFV124" t="s">
        <v>451</v>
      </c>
      <c r="KFW124" t="s">
        <v>451</v>
      </c>
      <c r="KFX124" t="s">
        <v>451</v>
      </c>
      <c r="KFY124" t="s">
        <v>451</v>
      </c>
      <c r="KFZ124" t="s">
        <v>451</v>
      </c>
      <c r="KGA124" t="s">
        <v>451</v>
      </c>
      <c r="KGB124" t="s">
        <v>451</v>
      </c>
      <c r="KGC124" t="s">
        <v>451</v>
      </c>
      <c r="KGD124" t="s">
        <v>451</v>
      </c>
      <c r="KGE124" t="s">
        <v>451</v>
      </c>
      <c r="KGF124" t="s">
        <v>451</v>
      </c>
      <c r="KGG124" t="s">
        <v>451</v>
      </c>
      <c r="KGH124" t="s">
        <v>451</v>
      </c>
      <c r="KGI124" t="s">
        <v>451</v>
      </c>
      <c r="KGJ124" t="s">
        <v>451</v>
      </c>
      <c r="KGK124" t="s">
        <v>451</v>
      </c>
      <c r="KGL124" t="s">
        <v>451</v>
      </c>
      <c r="KGM124" t="s">
        <v>451</v>
      </c>
      <c r="KGN124" t="s">
        <v>451</v>
      </c>
      <c r="KGO124" t="s">
        <v>451</v>
      </c>
      <c r="KGP124" t="s">
        <v>451</v>
      </c>
      <c r="KGQ124" t="s">
        <v>451</v>
      </c>
      <c r="KGR124" t="s">
        <v>451</v>
      </c>
      <c r="KGS124" t="s">
        <v>451</v>
      </c>
      <c r="KGT124" t="s">
        <v>451</v>
      </c>
      <c r="KGU124" t="s">
        <v>451</v>
      </c>
      <c r="KGV124" t="s">
        <v>451</v>
      </c>
      <c r="KGW124" t="s">
        <v>451</v>
      </c>
      <c r="KGX124" t="s">
        <v>451</v>
      </c>
      <c r="KGY124" t="s">
        <v>451</v>
      </c>
      <c r="KGZ124" t="s">
        <v>451</v>
      </c>
      <c r="KHA124" t="s">
        <v>451</v>
      </c>
      <c r="KHB124" t="s">
        <v>451</v>
      </c>
      <c r="KHC124" t="s">
        <v>451</v>
      </c>
      <c r="KHD124" t="s">
        <v>451</v>
      </c>
      <c r="KHE124" t="s">
        <v>451</v>
      </c>
      <c r="KHF124" t="s">
        <v>451</v>
      </c>
      <c r="KHG124" t="s">
        <v>451</v>
      </c>
      <c r="KHH124" t="s">
        <v>451</v>
      </c>
      <c r="KHI124" t="s">
        <v>451</v>
      </c>
      <c r="KHJ124" t="s">
        <v>451</v>
      </c>
      <c r="KHK124" t="s">
        <v>451</v>
      </c>
      <c r="KHL124" t="s">
        <v>451</v>
      </c>
      <c r="KHM124" t="s">
        <v>451</v>
      </c>
      <c r="KHN124" t="s">
        <v>451</v>
      </c>
      <c r="KHO124" t="s">
        <v>451</v>
      </c>
      <c r="KHP124" t="s">
        <v>451</v>
      </c>
      <c r="KHQ124" t="s">
        <v>451</v>
      </c>
      <c r="KHR124" t="s">
        <v>451</v>
      </c>
      <c r="KHS124" t="s">
        <v>451</v>
      </c>
      <c r="KHT124" t="s">
        <v>451</v>
      </c>
      <c r="KHU124" t="s">
        <v>451</v>
      </c>
      <c r="KHV124" t="s">
        <v>451</v>
      </c>
      <c r="KHW124" t="s">
        <v>451</v>
      </c>
      <c r="KHX124" t="s">
        <v>451</v>
      </c>
      <c r="KHY124" t="s">
        <v>451</v>
      </c>
      <c r="KHZ124" t="s">
        <v>451</v>
      </c>
      <c r="KIA124" t="s">
        <v>451</v>
      </c>
      <c r="KIB124" t="s">
        <v>451</v>
      </c>
      <c r="KIC124" t="s">
        <v>451</v>
      </c>
      <c r="KID124" t="s">
        <v>451</v>
      </c>
      <c r="KIE124" t="s">
        <v>451</v>
      </c>
      <c r="KIF124" t="s">
        <v>451</v>
      </c>
      <c r="KIG124" t="s">
        <v>451</v>
      </c>
      <c r="KIH124" t="s">
        <v>451</v>
      </c>
      <c r="KII124" t="s">
        <v>451</v>
      </c>
      <c r="KIJ124" t="s">
        <v>451</v>
      </c>
      <c r="KIK124" t="s">
        <v>451</v>
      </c>
      <c r="KIL124" t="s">
        <v>451</v>
      </c>
      <c r="KIM124" t="s">
        <v>451</v>
      </c>
      <c r="KIN124" t="s">
        <v>451</v>
      </c>
      <c r="KIO124" t="s">
        <v>451</v>
      </c>
      <c r="KIP124" t="s">
        <v>451</v>
      </c>
      <c r="KIQ124" t="s">
        <v>451</v>
      </c>
      <c r="KIR124" t="s">
        <v>451</v>
      </c>
      <c r="KIS124" t="s">
        <v>451</v>
      </c>
      <c r="KIT124" t="s">
        <v>451</v>
      </c>
      <c r="KIU124" t="s">
        <v>451</v>
      </c>
      <c r="KIV124" t="s">
        <v>451</v>
      </c>
      <c r="KIW124" t="s">
        <v>451</v>
      </c>
      <c r="KIX124" t="s">
        <v>451</v>
      </c>
      <c r="KIY124" t="s">
        <v>451</v>
      </c>
      <c r="KIZ124" t="s">
        <v>451</v>
      </c>
      <c r="KJA124" t="s">
        <v>451</v>
      </c>
      <c r="KJB124" t="s">
        <v>451</v>
      </c>
      <c r="KJC124" t="s">
        <v>451</v>
      </c>
      <c r="KJD124" t="s">
        <v>451</v>
      </c>
      <c r="KJE124" t="s">
        <v>451</v>
      </c>
      <c r="KJF124" t="s">
        <v>451</v>
      </c>
      <c r="KJG124" t="s">
        <v>451</v>
      </c>
      <c r="KJH124" t="s">
        <v>451</v>
      </c>
      <c r="KJI124" t="s">
        <v>451</v>
      </c>
      <c r="KJJ124" t="s">
        <v>451</v>
      </c>
      <c r="KJK124" t="s">
        <v>451</v>
      </c>
      <c r="KJL124" t="s">
        <v>451</v>
      </c>
      <c r="KJM124" t="s">
        <v>451</v>
      </c>
      <c r="KJN124" t="s">
        <v>451</v>
      </c>
      <c r="KJO124" t="s">
        <v>451</v>
      </c>
      <c r="KJP124" t="s">
        <v>451</v>
      </c>
      <c r="KJQ124" t="s">
        <v>451</v>
      </c>
      <c r="KJR124" t="s">
        <v>451</v>
      </c>
      <c r="KJS124" t="s">
        <v>451</v>
      </c>
      <c r="KJT124" t="s">
        <v>451</v>
      </c>
      <c r="KJU124" t="s">
        <v>451</v>
      </c>
      <c r="KJV124" t="s">
        <v>451</v>
      </c>
      <c r="KJW124" t="s">
        <v>451</v>
      </c>
      <c r="KJX124" t="s">
        <v>451</v>
      </c>
      <c r="KJY124" t="s">
        <v>451</v>
      </c>
      <c r="KJZ124" t="s">
        <v>451</v>
      </c>
      <c r="KKA124" t="s">
        <v>451</v>
      </c>
      <c r="KKB124" t="s">
        <v>451</v>
      </c>
      <c r="KKC124" t="s">
        <v>451</v>
      </c>
      <c r="KKD124" t="s">
        <v>451</v>
      </c>
      <c r="KKE124" t="s">
        <v>451</v>
      </c>
      <c r="KKF124" t="s">
        <v>451</v>
      </c>
      <c r="KKG124" t="s">
        <v>451</v>
      </c>
      <c r="KKH124" t="s">
        <v>451</v>
      </c>
      <c r="KKI124" t="s">
        <v>451</v>
      </c>
      <c r="KKJ124" t="s">
        <v>451</v>
      </c>
      <c r="KKK124" t="s">
        <v>451</v>
      </c>
      <c r="KKL124" t="s">
        <v>451</v>
      </c>
      <c r="KKM124" t="s">
        <v>451</v>
      </c>
      <c r="KKN124" t="s">
        <v>451</v>
      </c>
      <c r="KKO124" t="s">
        <v>451</v>
      </c>
      <c r="KKP124" t="s">
        <v>451</v>
      </c>
      <c r="KKQ124" t="s">
        <v>451</v>
      </c>
      <c r="KKR124" t="s">
        <v>451</v>
      </c>
      <c r="KKS124" t="s">
        <v>451</v>
      </c>
      <c r="KKT124" t="s">
        <v>451</v>
      </c>
      <c r="KKU124" t="s">
        <v>451</v>
      </c>
      <c r="KKV124" t="s">
        <v>451</v>
      </c>
      <c r="KKW124" t="s">
        <v>451</v>
      </c>
      <c r="KKX124" t="s">
        <v>451</v>
      </c>
      <c r="KKY124" t="s">
        <v>451</v>
      </c>
      <c r="KKZ124" t="s">
        <v>451</v>
      </c>
      <c r="KLA124" t="s">
        <v>451</v>
      </c>
      <c r="KLB124" t="s">
        <v>451</v>
      </c>
      <c r="KLC124" t="s">
        <v>451</v>
      </c>
      <c r="KLD124" t="s">
        <v>451</v>
      </c>
      <c r="KLE124" t="s">
        <v>451</v>
      </c>
      <c r="KLF124" t="s">
        <v>451</v>
      </c>
      <c r="KLG124" t="s">
        <v>451</v>
      </c>
      <c r="KLH124" t="s">
        <v>451</v>
      </c>
      <c r="KLI124" t="s">
        <v>451</v>
      </c>
      <c r="KLJ124" t="s">
        <v>451</v>
      </c>
      <c r="KLK124" t="s">
        <v>451</v>
      </c>
      <c r="KLL124" t="s">
        <v>451</v>
      </c>
      <c r="KLM124" t="s">
        <v>451</v>
      </c>
      <c r="KLN124" t="s">
        <v>451</v>
      </c>
      <c r="KLO124" t="s">
        <v>451</v>
      </c>
      <c r="KLP124" t="s">
        <v>451</v>
      </c>
      <c r="KLQ124" t="s">
        <v>451</v>
      </c>
      <c r="KLR124" t="s">
        <v>451</v>
      </c>
      <c r="KLS124" t="s">
        <v>451</v>
      </c>
      <c r="KLT124" t="s">
        <v>451</v>
      </c>
      <c r="KLU124" t="s">
        <v>451</v>
      </c>
      <c r="KLV124" t="s">
        <v>451</v>
      </c>
      <c r="KLW124" t="s">
        <v>451</v>
      </c>
      <c r="KLX124" t="s">
        <v>451</v>
      </c>
      <c r="KLY124" t="s">
        <v>451</v>
      </c>
      <c r="KLZ124" t="s">
        <v>451</v>
      </c>
      <c r="KMA124" t="s">
        <v>451</v>
      </c>
      <c r="KMB124" t="s">
        <v>451</v>
      </c>
      <c r="KMC124" t="s">
        <v>451</v>
      </c>
      <c r="KMD124" t="s">
        <v>451</v>
      </c>
      <c r="KME124" t="s">
        <v>451</v>
      </c>
      <c r="KMF124" t="s">
        <v>451</v>
      </c>
      <c r="KMG124" t="s">
        <v>451</v>
      </c>
      <c r="KMH124" t="s">
        <v>451</v>
      </c>
      <c r="KMI124" t="s">
        <v>451</v>
      </c>
      <c r="KMJ124" t="s">
        <v>451</v>
      </c>
      <c r="KMK124" t="s">
        <v>451</v>
      </c>
      <c r="KML124" t="s">
        <v>451</v>
      </c>
      <c r="KMM124" t="s">
        <v>451</v>
      </c>
      <c r="KMN124" t="s">
        <v>451</v>
      </c>
      <c r="KMO124" t="s">
        <v>451</v>
      </c>
      <c r="KMP124" t="s">
        <v>451</v>
      </c>
      <c r="KMQ124" t="s">
        <v>451</v>
      </c>
      <c r="KMR124" t="s">
        <v>451</v>
      </c>
      <c r="KMS124" t="s">
        <v>451</v>
      </c>
      <c r="KMT124" t="s">
        <v>451</v>
      </c>
      <c r="KMU124" t="s">
        <v>451</v>
      </c>
      <c r="KMV124" t="s">
        <v>451</v>
      </c>
      <c r="KMW124" t="s">
        <v>451</v>
      </c>
      <c r="KMX124" t="s">
        <v>451</v>
      </c>
      <c r="KMY124" t="s">
        <v>451</v>
      </c>
      <c r="KMZ124" t="s">
        <v>451</v>
      </c>
      <c r="KNA124" t="s">
        <v>451</v>
      </c>
      <c r="KNB124" t="s">
        <v>451</v>
      </c>
      <c r="KNC124" t="s">
        <v>451</v>
      </c>
      <c r="KND124" t="s">
        <v>451</v>
      </c>
      <c r="KNE124" t="s">
        <v>451</v>
      </c>
      <c r="KNF124" t="s">
        <v>451</v>
      </c>
      <c r="KNG124" t="s">
        <v>451</v>
      </c>
      <c r="KNH124" t="s">
        <v>451</v>
      </c>
      <c r="KNI124" t="s">
        <v>451</v>
      </c>
      <c r="KNJ124" t="s">
        <v>451</v>
      </c>
      <c r="KNK124" t="s">
        <v>451</v>
      </c>
      <c r="KNL124" t="s">
        <v>451</v>
      </c>
      <c r="KNM124" t="s">
        <v>451</v>
      </c>
      <c r="KNN124" t="s">
        <v>451</v>
      </c>
      <c r="KNO124" t="s">
        <v>451</v>
      </c>
      <c r="KNP124" t="s">
        <v>451</v>
      </c>
      <c r="KNQ124" t="s">
        <v>451</v>
      </c>
      <c r="KNR124" t="s">
        <v>451</v>
      </c>
      <c r="KNS124" t="s">
        <v>451</v>
      </c>
      <c r="KNT124" t="s">
        <v>451</v>
      </c>
      <c r="KNU124" t="s">
        <v>451</v>
      </c>
      <c r="KNV124" t="s">
        <v>451</v>
      </c>
      <c r="KNW124" t="s">
        <v>451</v>
      </c>
      <c r="KNX124" t="s">
        <v>451</v>
      </c>
      <c r="KNY124" t="s">
        <v>451</v>
      </c>
      <c r="KNZ124" t="s">
        <v>451</v>
      </c>
      <c r="KOA124" t="s">
        <v>451</v>
      </c>
      <c r="KOB124" t="s">
        <v>451</v>
      </c>
      <c r="KOC124" t="s">
        <v>451</v>
      </c>
      <c r="KOD124" t="s">
        <v>451</v>
      </c>
      <c r="KOE124" t="s">
        <v>451</v>
      </c>
      <c r="KOF124" t="s">
        <v>451</v>
      </c>
      <c r="KOG124" t="s">
        <v>451</v>
      </c>
      <c r="KOH124" t="s">
        <v>451</v>
      </c>
      <c r="KOI124" t="s">
        <v>451</v>
      </c>
      <c r="KOJ124" t="s">
        <v>451</v>
      </c>
      <c r="KOK124" t="s">
        <v>451</v>
      </c>
      <c r="KOL124" t="s">
        <v>451</v>
      </c>
      <c r="KOM124" t="s">
        <v>451</v>
      </c>
      <c r="KON124" t="s">
        <v>451</v>
      </c>
      <c r="KOO124" t="s">
        <v>451</v>
      </c>
      <c r="KOP124" t="s">
        <v>451</v>
      </c>
      <c r="KOQ124" t="s">
        <v>451</v>
      </c>
      <c r="KOR124" t="s">
        <v>451</v>
      </c>
      <c r="KOS124" t="s">
        <v>451</v>
      </c>
      <c r="KOT124" t="s">
        <v>451</v>
      </c>
      <c r="KOU124" t="s">
        <v>451</v>
      </c>
      <c r="KOV124" t="s">
        <v>451</v>
      </c>
      <c r="KOW124" t="s">
        <v>451</v>
      </c>
      <c r="KOX124" t="s">
        <v>451</v>
      </c>
      <c r="KOY124" t="s">
        <v>451</v>
      </c>
      <c r="KOZ124" t="s">
        <v>451</v>
      </c>
      <c r="KPA124" t="s">
        <v>451</v>
      </c>
      <c r="KPB124" t="s">
        <v>451</v>
      </c>
      <c r="KPC124" t="s">
        <v>451</v>
      </c>
      <c r="KPD124" t="s">
        <v>451</v>
      </c>
      <c r="KPE124" t="s">
        <v>451</v>
      </c>
      <c r="KPF124" t="s">
        <v>451</v>
      </c>
      <c r="KPG124" t="s">
        <v>451</v>
      </c>
      <c r="KPH124" t="s">
        <v>451</v>
      </c>
      <c r="KPI124" t="s">
        <v>451</v>
      </c>
      <c r="KPJ124" t="s">
        <v>451</v>
      </c>
      <c r="KPK124" t="s">
        <v>451</v>
      </c>
      <c r="KPL124" t="s">
        <v>451</v>
      </c>
      <c r="KPM124" t="s">
        <v>451</v>
      </c>
      <c r="KPN124" t="s">
        <v>451</v>
      </c>
      <c r="KPO124" t="s">
        <v>451</v>
      </c>
      <c r="KPP124" t="s">
        <v>451</v>
      </c>
      <c r="KPQ124" t="s">
        <v>451</v>
      </c>
      <c r="KPR124" t="s">
        <v>451</v>
      </c>
      <c r="KPS124" t="s">
        <v>451</v>
      </c>
      <c r="KPT124" t="s">
        <v>451</v>
      </c>
      <c r="KPU124" t="s">
        <v>451</v>
      </c>
      <c r="KPV124" t="s">
        <v>451</v>
      </c>
      <c r="KPW124" t="s">
        <v>451</v>
      </c>
      <c r="KPX124" t="s">
        <v>451</v>
      </c>
      <c r="KPY124" t="s">
        <v>451</v>
      </c>
      <c r="KPZ124" t="s">
        <v>451</v>
      </c>
      <c r="KQA124" t="s">
        <v>451</v>
      </c>
      <c r="KQB124" t="s">
        <v>451</v>
      </c>
      <c r="KQC124" t="s">
        <v>451</v>
      </c>
      <c r="KQD124" t="s">
        <v>451</v>
      </c>
      <c r="KQE124" t="s">
        <v>451</v>
      </c>
      <c r="KQF124" t="s">
        <v>451</v>
      </c>
      <c r="KQG124" t="s">
        <v>451</v>
      </c>
      <c r="KQH124" t="s">
        <v>451</v>
      </c>
      <c r="KQI124" t="s">
        <v>451</v>
      </c>
      <c r="KQJ124" t="s">
        <v>451</v>
      </c>
      <c r="KQK124" t="s">
        <v>451</v>
      </c>
      <c r="KQL124" t="s">
        <v>451</v>
      </c>
      <c r="KQM124" t="s">
        <v>451</v>
      </c>
      <c r="KQN124" t="s">
        <v>451</v>
      </c>
      <c r="KQO124" t="s">
        <v>451</v>
      </c>
      <c r="KQP124" t="s">
        <v>451</v>
      </c>
      <c r="KQQ124" t="s">
        <v>451</v>
      </c>
      <c r="KQR124" t="s">
        <v>451</v>
      </c>
      <c r="KQS124" t="s">
        <v>451</v>
      </c>
      <c r="KQT124" t="s">
        <v>451</v>
      </c>
      <c r="KQU124" t="s">
        <v>451</v>
      </c>
      <c r="KQV124" t="s">
        <v>451</v>
      </c>
      <c r="KQW124" t="s">
        <v>451</v>
      </c>
      <c r="KQX124" t="s">
        <v>451</v>
      </c>
      <c r="KQY124" t="s">
        <v>451</v>
      </c>
      <c r="KQZ124" t="s">
        <v>451</v>
      </c>
      <c r="KRA124" t="s">
        <v>451</v>
      </c>
      <c r="KRB124" t="s">
        <v>451</v>
      </c>
      <c r="KRC124" t="s">
        <v>451</v>
      </c>
      <c r="KRD124" t="s">
        <v>451</v>
      </c>
      <c r="KRE124" t="s">
        <v>451</v>
      </c>
      <c r="KRF124" t="s">
        <v>451</v>
      </c>
      <c r="KRG124" t="s">
        <v>451</v>
      </c>
      <c r="KRH124" t="s">
        <v>451</v>
      </c>
      <c r="KRI124" t="s">
        <v>451</v>
      </c>
      <c r="KRJ124" t="s">
        <v>451</v>
      </c>
      <c r="KRK124" t="s">
        <v>451</v>
      </c>
      <c r="KRL124" t="s">
        <v>451</v>
      </c>
      <c r="KRM124" t="s">
        <v>451</v>
      </c>
      <c r="KRN124" t="s">
        <v>451</v>
      </c>
      <c r="KRO124" t="s">
        <v>451</v>
      </c>
      <c r="KRP124" t="s">
        <v>451</v>
      </c>
      <c r="KRQ124" t="s">
        <v>451</v>
      </c>
      <c r="KRR124" t="s">
        <v>451</v>
      </c>
      <c r="KRS124" t="s">
        <v>451</v>
      </c>
      <c r="KRT124" t="s">
        <v>451</v>
      </c>
      <c r="KRU124" t="s">
        <v>451</v>
      </c>
      <c r="KRV124" t="s">
        <v>451</v>
      </c>
      <c r="KRW124" t="s">
        <v>451</v>
      </c>
      <c r="KRX124" t="s">
        <v>451</v>
      </c>
      <c r="KRY124" t="s">
        <v>451</v>
      </c>
      <c r="KRZ124" t="s">
        <v>451</v>
      </c>
      <c r="KSA124" t="s">
        <v>451</v>
      </c>
      <c r="KSB124" t="s">
        <v>451</v>
      </c>
      <c r="KSC124" t="s">
        <v>451</v>
      </c>
      <c r="KSD124" t="s">
        <v>451</v>
      </c>
      <c r="KSE124" t="s">
        <v>451</v>
      </c>
      <c r="KSF124" t="s">
        <v>451</v>
      </c>
      <c r="KSG124" t="s">
        <v>451</v>
      </c>
      <c r="KSH124" t="s">
        <v>451</v>
      </c>
      <c r="KSI124" t="s">
        <v>451</v>
      </c>
      <c r="KSJ124" t="s">
        <v>451</v>
      </c>
      <c r="KSK124" t="s">
        <v>451</v>
      </c>
      <c r="KSL124" t="s">
        <v>451</v>
      </c>
      <c r="KSM124" t="s">
        <v>451</v>
      </c>
      <c r="KSN124" t="s">
        <v>451</v>
      </c>
      <c r="KSO124" t="s">
        <v>451</v>
      </c>
      <c r="KSP124" t="s">
        <v>451</v>
      </c>
      <c r="KSQ124" t="s">
        <v>451</v>
      </c>
      <c r="KSR124" t="s">
        <v>451</v>
      </c>
      <c r="KSS124" t="s">
        <v>451</v>
      </c>
      <c r="KST124" t="s">
        <v>451</v>
      </c>
      <c r="KSU124" t="s">
        <v>451</v>
      </c>
      <c r="KSV124" t="s">
        <v>451</v>
      </c>
      <c r="KSW124" t="s">
        <v>451</v>
      </c>
      <c r="KSX124" t="s">
        <v>451</v>
      </c>
      <c r="KSY124" t="s">
        <v>451</v>
      </c>
      <c r="KSZ124" t="s">
        <v>451</v>
      </c>
      <c r="KTA124" t="s">
        <v>451</v>
      </c>
      <c r="KTB124" t="s">
        <v>451</v>
      </c>
      <c r="KTC124" t="s">
        <v>451</v>
      </c>
      <c r="KTD124" t="s">
        <v>451</v>
      </c>
      <c r="KTE124" t="s">
        <v>451</v>
      </c>
      <c r="KTF124" t="s">
        <v>451</v>
      </c>
      <c r="KTG124" t="s">
        <v>451</v>
      </c>
      <c r="KTH124" t="s">
        <v>451</v>
      </c>
      <c r="KTI124" t="s">
        <v>451</v>
      </c>
      <c r="KTJ124" t="s">
        <v>451</v>
      </c>
      <c r="KTK124" t="s">
        <v>451</v>
      </c>
      <c r="KTL124" t="s">
        <v>451</v>
      </c>
      <c r="KTM124" t="s">
        <v>451</v>
      </c>
      <c r="KTN124" t="s">
        <v>451</v>
      </c>
      <c r="KTO124" t="s">
        <v>451</v>
      </c>
      <c r="KTP124" t="s">
        <v>451</v>
      </c>
      <c r="KTQ124" t="s">
        <v>451</v>
      </c>
      <c r="KTR124" t="s">
        <v>451</v>
      </c>
      <c r="KTS124" t="s">
        <v>451</v>
      </c>
      <c r="KTT124" t="s">
        <v>451</v>
      </c>
      <c r="KTU124" t="s">
        <v>451</v>
      </c>
      <c r="KTV124" t="s">
        <v>451</v>
      </c>
      <c r="KTW124" t="s">
        <v>451</v>
      </c>
      <c r="KTX124" t="s">
        <v>451</v>
      </c>
      <c r="KTY124" t="s">
        <v>451</v>
      </c>
      <c r="KTZ124" t="s">
        <v>451</v>
      </c>
      <c r="KUA124" t="s">
        <v>451</v>
      </c>
      <c r="KUB124" t="s">
        <v>451</v>
      </c>
      <c r="KUC124" t="s">
        <v>451</v>
      </c>
      <c r="KUD124" t="s">
        <v>451</v>
      </c>
      <c r="KUE124" t="s">
        <v>451</v>
      </c>
      <c r="KUF124" t="s">
        <v>451</v>
      </c>
      <c r="KUG124" t="s">
        <v>451</v>
      </c>
      <c r="KUH124" t="s">
        <v>451</v>
      </c>
      <c r="KUI124" t="s">
        <v>451</v>
      </c>
      <c r="KUJ124" t="s">
        <v>451</v>
      </c>
      <c r="KUK124" t="s">
        <v>451</v>
      </c>
      <c r="KUL124" t="s">
        <v>451</v>
      </c>
      <c r="KUM124" t="s">
        <v>451</v>
      </c>
      <c r="KUN124" t="s">
        <v>451</v>
      </c>
      <c r="KUO124" t="s">
        <v>451</v>
      </c>
      <c r="KUP124" t="s">
        <v>451</v>
      </c>
      <c r="KUQ124" t="s">
        <v>451</v>
      </c>
      <c r="KUR124" t="s">
        <v>451</v>
      </c>
      <c r="KUS124" t="s">
        <v>451</v>
      </c>
      <c r="KUT124" t="s">
        <v>451</v>
      </c>
      <c r="KUU124" t="s">
        <v>451</v>
      </c>
      <c r="KUV124" t="s">
        <v>451</v>
      </c>
      <c r="KUW124" t="s">
        <v>451</v>
      </c>
      <c r="KUX124" t="s">
        <v>451</v>
      </c>
      <c r="KUY124" t="s">
        <v>451</v>
      </c>
      <c r="KUZ124" t="s">
        <v>451</v>
      </c>
      <c r="KVA124" t="s">
        <v>451</v>
      </c>
      <c r="KVB124" t="s">
        <v>451</v>
      </c>
      <c r="KVC124" t="s">
        <v>451</v>
      </c>
      <c r="KVD124" t="s">
        <v>451</v>
      </c>
      <c r="KVE124" t="s">
        <v>451</v>
      </c>
      <c r="KVF124" t="s">
        <v>451</v>
      </c>
      <c r="KVG124" t="s">
        <v>451</v>
      </c>
      <c r="KVH124" t="s">
        <v>451</v>
      </c>
      <c r="KVI124" t="s">
        <v>451</v>
      </c>
      <c r="KVJ124" t="s">
        <v>451</v>
      </c>
      <c r="KVK124" t="s">
        <v>451</v>
      </c>
      <c r="KVL124" t="s">
        <v>451</v>
      </c>
      <c r="KVM124" t="s">
        <v>451</v>
      </c>
      <c r="KVN124" t="s">
        <v>451</v>
      </c>
      <c r="KVO124" t="s">
        <v>451</v>
      </c>
      <c r="KVP124" t="s">
        <v>451</v>
      </c>
      <c r="KVQ124" t="s">
        <v>451</v>
      </c>
      <c r="KVR124" t="s">
        <v>451</v>
      </c>
      <c r="KVS124" t="s">
        <v>451</v>
      </c>
      <c r="KVT124" t="s">
        <v>451</v>
      </c>
      <c r="KVU124" t="s">
        <v>451</v>
      </c>
      <c r="KVV124" t="s">
        <v>451</v>
      </c>
      <c r="KVW124" t="s">
        <v>451</v>
      </c>
      <c r="KVX124" t="s">
        <v>451</v>
      </c>
      <c r="KVY124" t="s">
        <v>451</v>
      </c>
      <c r="KVZ124" t="s">
        <v>451</v>
      </c>
      <c r="KWA124" t="s">
        <v>451</v>
      </c>
      <c r="KWB124" t="s">
        <v>451</v>
      </c>
      <c r="KWC124" t="s">
        <v>451</v>
      </c>
      <c r="KWD124" t="s">
        <v>451</v>
      </c>
      <c r="KWE124" t="s">
        <v>451</v>
      </c>
      <c r="KWF124" t="s">
        <v>451</v>
      </c>
      <c r="KWG124" t="s">
        <v>451</v>
      </c>
      <c r="KWH124" t="s">
        <v>451</v>
      </c>
      <c r="KWI124" t="s">
        <v>451</v>
      </c>
      <c r="KWJ124" t="s">
        <v>451</v>
      </c>
      <c r="KWK124" t="s">
        <v>451</v>
      </c>
      <c r="KWL124" t="s">
        <v>451</v>
      </c>
      <c r="KWM124" t="s">
        <v>451</v>
      </c>
      <c r="KWN124" t="s">
        <v>451</v>
      </c>
      <c r="KWO124" t="s">
        <v>451</v>
      </c>
      <c r="KWP124" t="s">
        <v>451</v>
      </c>
      <c r="KWQ124" t="s">
        <v>451</v>
      </c>
      <c r="KWR124" t="s">
        <v>451</v>
      </c>
      <c r="KWS124" t="s">
        <v>451</v>
      </c>
      <c r="KWT124" t="s">
        <v>451</v>
      </c>
      <c r="KWU124" t="s">
        <v>451</v>
      </c>
      <c r="KWV124" t="s">
        <v>451</v>
      </c>
      <c r="KWW124" t="s">
        <v>451</v>
      </c>
      <c r="KWX124" t="s">
        <v>451</v>
      </c>
      <c r="KWY124" t="s">
        <v>451</v>
      </c>
      <c r="KWZ124" t="s">
        <v>451</v>
      </c>
      <c r="KXA124" t="s">
        <v>451</v>
      </c>
      <c r="KXB124" t="s">
        <v>451</v>
      </c>
      <c r="KXC124" t="s">
        <v>451</v>
      </c>
      <c r="KXD124" t="s">
        <v>451</v>
      </c>
      <c r="KXE124" t="s">
        <v>451</v>
      </c>
      <c r="KXF124" t="s">
        <v>451</v>
      </c>
      <c r="KXG124" t="s">
        <v>451</v>
      </c>
      <c r="KXH124" t="s">
        <v>451</v>
      </c>
      <c r="KXI124" t="s">
        <v>451</v>
      </c>
      <c r="KXJ124" t="s">
        <v>451</v>
      </c>
      <c r="KXK124" t="s">
        <v>451</v>
      </c>
      <c r="KXL124" t="s">
        <v>451</v>
      </c>
      <c r="KXM124" t="s">
        <v>451</v>
      </c>
      <c r="KXN124" t="s">
        <v>451</v>
      </c>
      <c r="KXO124" t="s">
        <v>451</v>
      </c>
      <c r="KXP124" t="s">
        <v>451</v>
      </c>
      <c r="KXQ124" t="s">
        <v>451</v>
      </c>
      <c r="KXR124" t="s">
        <v>451</v>
      </c>
      <c r="KXS124" t="s">
        <v>451</v>
      </c>
      <c r="KXT124" t="s">
        <v>451</v>
      </c>
      <c r="KXU124" t="s">
        <v>451</v>
      </c>
      <c r="KXV124" t="s">
        <v>451</v>
      </c>
      <c r="KXW124" t="s">
        <v>451</v>
      </c>
      <c r="KXX124" t="s">
        <v>451</v>
      </c>
      <c r="KXY124" t="s">
        <v>451</v>
      </c>
      <c r="KXZ124" t="s">
        <v>451</v>
      </c>
      <c r="KYA124" t="s">
        <v>451</v>
      </c>
      <c r="KYB124" t="s">
        <v>451</v>
      </c>
      <c r="KYC124" t="s">
        <v>451</v>
      </c>
      <c r="KYD124" t="s">
        <v>451</v>
      </c>
      <c r="KYE124" t="s">
        <v>451</v>
      </c>
      <c r="KYF124" t="s">
        <v>451</v>
      </c>
      <c r="KYG124" t="s">
        <v>451</v>
      </c>
      <c r="KYH124" t="s">
        <v>451</v>
      </c>
      <c r="KYI124" t="s">
        <v>451</v>
      </c>
      <c r="KYJ124" t="s">
        <v>451</v>
      </c>
      <c r="KYK124" t="s">
        <v>451</v>
      </c>
      <c r="KYL124" t="s">
        <v>451</v>
      </c>
      <c r="KYM124" t="s">
        <v>451</v>
      </c>
      <c r="KYN124" t="s">
        <v>451</v>
      </c>
      <c r="KYO124" t="s">
        <v>451</v>
      </c>
      <c r="KYP124" t="s">
        <v>451</v>
      </c>
      <c r="KYQ124" t="s">
        <v>451</v>
      </c>
      <c r="KYR124" t="s">
        <v>451</v>
      </c>
      <c r="KYS124" t="s">
        <v>451</v>
      </c>
      <c r="KYT124" t="s">
        <v>451</v>
      </c>
      <c r="KYU124" t="s">
        <v>451</v>
      </c>
      <c r="KYV124" t="s">
        <v>451</v>
      </c>
      <c r="KYW124" t="s">
        <v>451</v>
      </c>
      <c r="KYX124" t="s">
        <v>451</v>
      </c>
      <c r="KYY124" t="s">
        <v>451</v>
      </c>
      <c r="KYZ124" t="s">
        <v>451</v>
      </c>
      <c r="KZA124" t="s">
        <v>451</v>
      </c>
      <c r="KZB124" t="s">
        <v>451</v>
      </c>
      <c r="KZC124" t="s">
        <v>451</v>
      </c>
      <c r="KZD124" t="s">
        <v>451</v>
      </c>
      <c r="KZE124" t="s">
        <v>451</v>
      </c>
      <c r="KZF124" t="s">
        <v>451</v>
      </c>
      <c r="KZG124" t="s">
        <v>451</v>
      </c>
      <c r="KZH124" t="s">
        <v>451</v>
      </c>
      <c r="KZI124" t="s">
        <v>451</v>
      </c>
      <c r="KZJ124" t="s">
        <v>451</v>
      </c>
      <c r="KZK124" t="s">
        <v>451</v>
      </c>
      <c r="KZL124" t="s">
        <v>451</v>
      </c>
      <c r="KZM124" t="s">
        <v>451</v>
      </c>
      <c r="KZN124" t="s">
        <v>451</v>
      </c>
      <c r="KZO124" t="s">
        <v>451</v>
      </c>
      <c r="KZP124" t="s">
        <v>451</v>
      </c>
      <c r="KZQ124" t="s">
        <v>451</v>
      </c>
      <c r="KZR124" t="s">
        <v>451</v>
      </c>
      <c r="KZS124" t="s">
        <v>451</v>
      </c>
      <c r="KZT124" t="s">
        <v>451</v>
      </c>
      <c r="KZU124" t="s">
        <v>451</v>
      </c>
      <c r="KZV124" t="s">
        <v>451</v>
      </c>
      <c r="KZW124" t="s">
        <v>451</v>
      </c>
      <c r="KZX124" t="s">
        <v>451</v>
      </c>
      <c r="KZY124" t="s">
        <v>451</v>
      </c>
      <c r="KZZ124" t="s">
        <v>451</v>
      </c>
      <c r="LAA124" t="s">
        <v>451</v>
      </c>
      <c r="LAB124" t="s">
        <v>451</v>
      </c>
      <c r="LAC124" t="s">
        <v>451</v>
      </c>
      <c r="LAD124" t="s">
        <v>451</v>
      </c>
      <c r="LAE124" t="s">
        <v>451</v>
      </c>
      <c r="LAF124" t="s">
        <v>451</v>
      </c>
      <c r="LAG124" t="s">
        <v>451</v>
      </c>
      <c r="LAH124" t="s">
        <v>451</v>
      </c>
      <c r="LAI124" t="s">
        <v>451</v>
      </c>
      <c r="LAJ124" t="s">
        <v>451</v>
      </c>
      <c r="LAK124" t="s">
        <v>451</v>
      </c>
      <c r="LAL124" t="s">
        <v>451</v>
      </c>
      <c r="LAM124" t="s">
        <v>451</v>
      </c>
      <c r="LAN124" t="s">
        <v>451</v>
      </c>
      <c r="LAO124" t="s">
        <v>451</v>
      </c>
      <c r="LAP124" t="s">
        <v>451</v>
      </c>
      <c r="LAQ124" t="s">
        <v>451</v>
      </c>
      <c r="LAR124" t="s">
        <v>451</v>
      </c>
      <c r="LAS124" t="s">
        <v>451</v>
      </c>
      <c r="LAT124" t="s">
        <v>451</v>
      </c>
      <c r="LAU124" t="s">
        <v>451</v>
      </c>
      <c r="LAV124" t="s">
        <v>451</v>
      </c>
      <c r="LAW124" t="s">
        <v>451</v>
      </c>
      <c r="LAX124" t="s">
        <v>451</v>
      </c>
      <c r="LAY124" t="s">
        <v>451</v>
      </c>
      <c r="LAZ124" t="s">
        <v>451</v>
      </c>
      <c r="LBA124" t="s">
        <v>451</v>
      </c>
      <c r="LBB124" t="s">
        <v>451</v>
      </c>
      <c r="LBC124" t="s">
        <v>451</v>
      </c>
      <c r="LBD124" t="s">
        <v>451</v>
      </c>
      <c r="LBE124" t="s">
        <v>451</v>
      </c>
      <c r="LBF124" t="s">
        <v>451</v>
      </c>
      <c r="LBG124" t="s">
        <v>451</v>
      </c>
      <c r="LBH124" t="s">
        <v>451</v>
      </c>
      <c r="LBI124" t="s">
        <v>451</v>
      </c>
      <c r="LBJ124" t="s">
        <v>451</v>
      </c>
      <c r="LBK124" t="s">
        <v>451</v>
      </c>
      <c r="LBL124" t="s">
        <v>451</v>
      </c>
      <c r="LBM124" t="s">
        <v>451</v>
      </c>
      <c r="LBN124" t="s">
        <v>451</v>
      </c>
      <c r="LBO124" t="s">
        <v>451</v>
      </c>
      <c r="LBP124" t="s">
        <v>451</v>
      </c>
      <c r="LBQ124" t="s">
        <v>451</v>
      </c>
      <c r="LBR124" t="s">
        <v>451</v>
      </c>
      <c r="LBS124" t="s">
        <v>451</v>
      </c>
      <c r="LBT124" t="s">
        <v>451</v>
      </c>
      <c r="LBU124" t="s">
        <v>451</v>
      </c>
      <c r="LBV124" t="s">
        <v>451</v>
      </c>
      <c r="LBW124" t="s">
        <v>451</v>
      </c>
      <c r="LBX124" t="s">
        <v>451</v>
      </c>
      <c r="LBY124" t="s">
        <v>451</v>
      </c>
      <c r="LBZ124" t="s">
        <v>451</v>
      </c>
      <c r="LCA124" t="s">
        <v>451</v>
      </c>
      <c r="LCB124" t="s">
        <v>451</v>
      </c>
      <c r="LCC124" t="s">
        <v>451</v>
      </c>
      <c r="LCD124" t="s">
        <v>451</v>
      </c>
      <c r="LCE124" t="s">
        <v>451</v>
      </c>
      <c r="LCF124" t="s">
        <v>451</v>
      </c>
      <c r="LCG124" t="s">
        <v>451</v>
      </c>
      <c r="LCH124" t="s">
        <v>451</v>
      </c>
      <c r="LCI124" t="s">
        <v>451</v>
      </c>
      <c r="LCJ124" t="s">
        <v>451</v>
      </c>
      <c r="LCK124" t="s">
        <v>451</v>
      </c>
      <c r="LCL124" t="s">
        <v>451</v>
      </c>
      <c r="LCM124" t="s">
        <v>451</v>
      </c>
      <c r="LCN124" t="s">
        <v>451</v>
      </c>
      <c r="LCO124" t="s">
        <v>451</v>
      </c>
      <c r="LCP124" t="s">
        <v>451</v>
      </c>
      <c r="LCQ124" t="s">
        <v>451</v>
      </c>
      <c r="LCR124" t="s">
        <v>451</v>
      </c>
      <c r="LCS124" t="s">
        <v>451</v>
      </c>
      <c r="LCT124" t="s">
        <v>451</v>
      </c>
      <c r="LCU124" t="s">
        <v>451</v>
      </c>
      <c r="LCV124" t="s">
        <v>451</v>
      </c>
      <c r="LCW124" t="s">
        <v>451</v>
      </c>
      <c r="LCX124" t="s">
        <v>451</v>
      </c>
      <c r="LCY124" t="s">
        <v>451</v>
      </c>
      <c r="LCZ124" t="s">
        <v>451</v>
      </c>
      <c r="LDA124" t="s">
        <v>451</v>
      </c>
      <c r="LDB124" t="s">
        <v>451</v>
      </c>
      <c r="LDC124" t="s">
        <v>451</v>
      </c>
      <c r="LDD124" t="s">
        <v>451</v>
      </c>
      <c r="LDE124" t="s">
        <v>451</v>
      </c>
      <c r="LDF124" t="s">
        <v>451</v>
      </c>
      <c r="LDG124" t="s">
        <v>451</v>
      </c>
      <c r="LDH124" t="s">
        <v>451</v>
      </c>
      <c r="LDI124" t="s">
        <v>451</v>
      </c>
      <c r="LDJ124" t="s">
        <v>451</v>
      </c>
      <c r="LDK124" t="s">
        <v>451</v>
      </c>
      <c r="LDL124" t="s">
        <v>451</v>
      </c>
      <c r="LDM124" t="s">
        <v>451</v>
      </c>
      <c r="LDN124" t="s">
        <v>451</v>
      </c>
      <c r="LDO124" t="s">
        <v>451</v>
      </c>
      <c r="LDP124" t="s">
        <v>451</v>
      </c>
      <c r="LDQ124" t="s">
        <v>451</v>
      </c>
      <c r="LDR124" t="s">
        <v>451</v>
      </c>
      <c r="LDS124" t="s">
        <v>451</v>
      </c>
      <c r="LDT124" t="s">
        <v>451</v>
      </c>
      <c r="LDU124" t="s">
        <v>451</v>
      </c>
      <c r="LDV124" t="s">
        <v>451</v>
      </c>
      <c r="LDW124" t="s">
        <v>451</v>
      </c>
      <c r="LDX124" t="s">
        <v>451</v>
      </c>
      <c r="LDY124" t="s">
        <v>451</v>
      </c>
      <c r="LDZ124" t="s">
        <v>451</v>
      </c>
      <c r="LEA124" t="s">
        <v>451</v>
      </c>
      <c r="LEB124" t="s">
        <v>451</v>
      </c>
      <c r="LEC124" t="s">
        <v>451</v>
      </c>
      <c r="LED124" t="s">
        <v>451</v>
      </c>
      <c r="LEE124" t="s">
        <v>451</v>
      </c>
      <c r="LEF124" t="s">
        <v>451</v>
      </c>
      <c r="LEG124" t="s">
        <v>451</v>
      </c>
      <c r="LEH124" t="s">
        <v>451</v>
      </c>
      <c r="LEI124" t="s">
        <v>451</v>
      </c>
      <c r="LEJ124" t="s">
        <v>451</v>
      </c>
      <c r="LEK124" t="s">
        <v>451</v>
      </c>
      <c r="LEL124" t="s">
        <v>451</v>
      </c>
      <c r="LEM124" t="s">
        <v>451</v>
      </c>
      <c r="LEN124" t="s">
        <v>451</v>
      </c>
      <c r="LEO124" t="s">
        <v>451</v>
      </c>
      <c r="LEP124" t="s">
        <v>451</v>
      </c>
      <c r="LEQ124" t="s">
        <v>451</v>
      </c>
      <c r="LER124" t="s">
        <v>451</v>
      </c>
      <c r="LES124" t="s">
        <v>451</v>
      </c>
      <c r="LET124" t="s">
        <v>451</v>
      </c>
      <c r="LEU124" t="s">
        <v>451</v>
      </c>
      <c r="LEV124" t="s">
        <v>451</v>
      </c>
      <c r="LEW124" t="s">
        <v>451</v>
      </c>
      <c r="LEX124" t="s">
        <v>451</v>
      </c>
      <c r="LEY124" t="s">
        <v>451</v>
      </c>
      <c r="LEZ124" t="s">
        <v>451</v>
      </c>
      <c r="LFA124" t="s">
        <v>451</v>
      </c>
      <c r="LFB124" t="s">
        <v>451</v>
      </c>
      <c r="LFC124" t="s">
        <v>451</v>
      </c>
      <c r="LFD124" t="s">
        <v>451</v>
      </c>
      <c r="LFE124" t="s">
        <v>451</v>
      </c>
      <c r="LFF124" t="s">
        <v>451</v>
      </c>
      <c r="LFG124" t="s">
        <v>451</v>
      </c>
      <c r="LFH124" t="s">
        <v>451</v>
      </c>
      <c r="LFI124" t="s">
        <v>451</v>
      </c>
      <c r="LFJ124" t="s">
        <v>451</v>
      </c>
      <c r="LFK124" t="s">
        <v>451</v>
      </c>
      <c r="LFL124" t="s">
        <v>451</v>
      </c>
      <c r="LFM124" t="s">
        <v>451</v>
      </c>
      <c r="LFN124" t="s">
        <v>451</v>
      </c>
      <c r="LFO124" t="s">
        <v>451</v>
      </c>
      <c r="LFP124" t="s">
        <v>451</v>
      </c>
      <c r="LFQ124" t="s">
        <v>451</v>
      </c>
      <c r="LFR124" t="s">
        <v>451</v>
      </c>
      <c r="LFS124" t="s">
        <v>451</v>
      </c>
      <c r="LFT124" t="s">
        <v>451</v>
      </c>
      <c r="LFU124" t="s">
        <v>451</v>
      </c>
      <c r="LFV124" t="s">
        <v>451</v>
      </c>
      <c r="LFW124" t="s">
        <v>451</v>
      </c>
      <c r="LFX124" t="s">
        <v>451</v>
      </c>
      <c r="LFY124" t="s">
        <v>451</v>
      </c>
      <c r="LFZ124" t="s">
        <v>451</v>
      </c>
      <c r="LGA124" t="s">
        <v>451</v>
      </c>
      <c r="LGB124" t="s">
        <v>451</v>
      </c>
      <c r="LGC124" t="s">
        <v>451</v>
      </c>
      <c r="LGD124" t="s">
        <v>451</v>
      </c>
      <c r="LGE124" t="s">
        <v>451</v>
      </c>
      <c r="LGF124" t="s">
        <v>451</v>
      </c>
      <c r="LGG124" t="s">
        <v>451</v>
      </c>
      <c r="LGH124" t="s">
        <v>451</v>
      </c>
      <c r="LGI124" t="s">
        <v>451</v>
      </c>
      <c r="LGJ124" t="s">
        <v>451</v>
      </c>
      <c r="LGK124" t="s">
        <v>451</v>
      </c>
      <c r="LGL124" t="s">
        <v>451</v>
      </c>
      <c r="LGM124" t="s">
        <v>451</v>
      </c>
      <c r="LGN124" t="s">
        <v>451</v>
      </c>
      <c r="LGO124" t="s">
        <v>451</v>
      </c>
      <c r="LGP124" t="s">
        <v>451</v>
      </c>
      <c r="LGQ124" t="s">
        <v>451</v>
      </c>
      <c r="LGR124" t="s">
        <v>451</v>
      </c>
      <c r="LGS124" t="s">
        <v>451</v>
      </c>
      <c r="LGT124" t="s">
        <v>451</v>
      </c>
      <c r="LGU124" t="s">
        <v>451</v>
      </c>
      <c r="LGV124" t="s">
        <v>451</v>
      </c>
      <c r="LGW124" t="s">
        <v>451</v>
      </c>
      <c r="LGX124" t="s">
        <v>451</v>
      </c>
      <c r="LGY124" t="s">
        <v>451</v>
      </c>
      <c r="LGZ124" t="s">
        <v>451</v>
      </c>
      <c r="LHA124" t="s">
        <v>451</v>
      </c>
      <c r="LHB124" t="s">
        <v>451</v>
      </c>
      <c r="LHC124" t="s">
        <v>451</v>
      </c>
      <c r="LHD124" t="s">
        <v>451</v>
      </c>
      <c r="LHE124" t="s">
        <v>451</v>
      </c>
      <c r="LHF124" t="s">
        <v>451</v>
      </c>
      <c r="LHG124" t="s">
        <v>451</v>
      </c>
      <c r="LHH124" t="s">
        <v>451</v>
      </c>
      <c r="LHI124" t="s">
        <v>451</v>
      </c>
      <c r="LHJ124" t="s">
        <v>451</v>
      </c>
      <c r="LHK124" t="s">
        <v>451</v>
      </c>
      <c r="LHL124" t="s">
        <v>451</v>
      </c>
      <c r="LHM124" t="s">
        <v>451</v>
      </c>
      <c r="LHN124" t="s">
        <v>451</v>
      </c>
      <c r="LHO124" t="s">
        <v>451</v>
      </c>
      <c r="LHP124" t="s">
        <v>451</v>
      </c>
      <c r="LHQ124" t="s">
        <v>451</v>
      </c>
      <c r="LHR124" t="s">
        <v>451</v>
      </c>
      <c r="LHS124" t="s">
        <v>451</v>
      </c>
      <c r="LHT124" t="s">
        <v>451</v>
      </c>
      <c r="LHU124" t="s">
        <v>451</v>
      </c>
      <c r="LHV124" t="s">
        <v>451</v>
      </c>
      <c r="LHW124" t="s">
        <v>451</v>
      </c>
      <c r="LHX124" t="s">
        <v>451</v>
      </c>
      <c r="LHY124" t="s">
        <v>451</v>
      </c>
      <c r="LHZ124" t="s">
        <v>451</v>
      </c>
      <c r="LIA124" t="s">
        <v>451</v>
      </c>
      <c r="LIB124" t="s">
        <v>451</v>
      </c>
      <c r="LIC124" t="s">
        <v>451</v>
      </c>
      <c r="LID124" t="s">
        <v>451</v>
      </c>
      <c r="LIE124" t="s">
        <v>451</v>
      </c>
      <c r="LIF124" t="s">
        <v>451</v>
      </c>
      <c r="LIG124" t="s">
        <v>451</v>
      </c>
      <c r="LIH124" t="s">
        <v>451</v>
      </c>
      <c r="LII124" t="s">
        <v>451</v>
      </c>
      <c r="LIJ124" t="s">
        <v>451</v>
      </c>
      <c r="LIK124" t="s">
        <v>451</v>
      </c>
      <c r="LIL124" t="s">
        <v>451</v>
      </c>
      <c r="LIM124" t="s">
        <v>451</v>
      </c>
      <c r="LIN124" t="s">
        <v>451</v>
      </c>
      <c r="LIO124" t="s">
        <v>451</v>
      </c>
      <c r="LIP124" t="s">
        <v>451</v>
      </c>
      <c r="LIQ124" t="s">
        <v>451</v>
      </c>
      <c r="LIR124" t="s">
        <v>451</v>
      </c>
      <c r="LIS124" t="s">
        <v>451</v>
      </c>
      <c r="LIT124" t="s">
        <v>451</v>
      </c>
      <c r="LIU124" t="s">
        <v>451</v>
      </c>
      <c r="LIV124" t="s">
        <v>451</v>
      </c>
      <c r="LIW124" t="s">
        <v>451</v>
      </c>
      <c r="LIX124" t="s">
        <v>451</v>
      </c>
      <c r="LIY124" t="s">
        <v>451</v>
      </c>
      <c r="LIZ124" t="s">
        <v>451</v>
      </c>
      <c r="LJA124" t="s">
        <v>451</v>
      </c>
      <c r="LJB124" t="s">
        <v>451</v>
      </c>
      <c r="LJC124" t="s">
        <v>451</v>
      </c>
      <c r="LJD124" t="s">
        <v>451</v>
      </c>
      <c r="LJE124" t="s">
        <v>451</v>
      </c>
      <c r="LJF124" t="s">
        <v>451</v>
      </c>
      <c r="LJG124" t="s">
        <v>451</v>
      </c>
      <c r="LJH124" t="s">
        <v>451</v>
      </c>
      <c r="LJI124" t="s">
        <v>451</v>
      </c>
      <c r="LJJ124" t="s">
        <v>451</v>
      </c>
      <c r="LJK124" t="s">
        <v>451</v>
      </c>
      <c r="LJL124" t="s">
        <v>451</v>
      </c>
      <c r="LJM124" t="s">
        <v>451</v>
      </c>
      <c r="LJN124" t="s">
        <v>451</v>
      </c>
      <c r="LJO124" t="s">
        <v>451</v>
      </c>
      <c r="LJP124" t="s">
        <v>451</v>
      </c>
      <c r="LJQ124" t="s">
        <v>451</v>
      </c>
      <c r="LJR124" t="s">
        <v>451</v>
      </c>
      <c r="LJS124" t="s">
        <v>451</v>
      </c>
      <c r="LJT124" t="s">
        <v>451</v>
      </c>
      <c r="LJU124" t="s">
        <v>451</v>
      </c>
      <c r="LJV124" t="s">
        <v>451</v>
      </c>
      <c r="LJW124" t="s">
        <v>451</v>
      </c>
      <c r="LJX124" t="s">
        <v>451</v>
      </c>
      <c r="LJY124" t="s">
        <v>451</v>
      </c>
      <c r="LJZ124" t="s">
        <v>451</v>
      </c>
      <c r="LKA124" t="s">
        <v>451</v>
      </c>
      <c r="LKB124" t="s">
        <v>451</v>
      </c>
      <c r="LKC124" t="s">
        <v>451</v>
      </c>
      <c r="LKD124" t="s">
        <v>451</v>
      </c>
      <c r="LKE124" t="s">
        <v>451</v>
      </c>
      <c r="LKF124" t="s">
        <v>451</v>
      </c>
      <c r="LKG124" t="s">
        <v>451</v>
      </c>
      <c r="LKH124" t="s">
        <v>451</v>
      </c>
      <c r="LKI124" t="s">
        <v>451</v>
      </c>
      <c r="LKJ124" t="s">
        <v>451</v>
      </c>
      <c r="LKK124" t="s">
        <v>451</v>
      </c>
      <c r="LKL124" t="s">
        <v>451</v>
      </c>
      <c r="LKM124" t="s">
        <v>451</v>
      </c>
      <c r="LKN124" t="s">
        <v>451</v>
      </c>
      <c r="LKO124" t="s">
        <v>451</v>
      </c>
      <c r="LKP124" t="s">
        <v>451</v>
      </c>
      <c r="LKQ124" t="s">
        <v>451</v>
      </c>
      <c r="LKR124" t="s">
        <v>451</v>
      </c>
      <c r="LKS124" t="s">
        <v>451</v>
      </c>
      <c r="LKT124" t="s">
        <v>451</v>
      </c>
      <c r="LKU124" t="s">
        <v>451</v>
      </c>
      <c r="LKV124" t="s">
        <v>451</v>
      </c>
      <c r="LKW124" t="s">
        <v>451</v>
      </c>
      <c r="LKX124" t="s">
        <v>451</v>
      </c>
      <c r="LKY124" t="s">
        <v>451</v>
      </c>
      <c r="LKZ124" t="s">
        <v>451</v>
      </c>
      <c r="LLA124" t="s">
        <v>451</v>
      </c>
      <c r="LLB124" t="s">
        <v>451</v>
      </c>
      <c r="LLC124" t="s">
        <v>451</v>
      </c>
      <c r="LLD124" t="s">
        <v>451</v>
      </c>
      <c r="LLE124" t="s">
        <v>451</v>
      </c>
      <c r="LLF124" t="s">
        <v>451</v>
      </c>
      <c r="LLG124" t="s">
        <v>451</v>
      </c>
      <c r="LLH124" t="s">
        <v>451</v>
      </c>
      <c r="LLI124" t="s">
        <v>451</v>
      </c>
      <c r="LLJ124" t="s">
        <v>451</v>
      </c>
      <c r="LLK124" t="s">
        <v>451</v>
      </c>
      <c r="LLL124" t="s">
        <v>451</v>
      </c>
      <c r="LLM124" t="s">
        <v>451</v>
      </c>
      <c r="LLN124" t="s">
        <v>451</v>
      </c>
      <c r="LLO124" t="s">
        <v>451</v>
      </c>
      <c r="LLP124" t="s">
        <v>451</v>
      </c>
      <c r="LLQ124" t="s">
        <v>451</v>
      </c>
      <c r="LLR124" t="s">
        <v>451</v>
      </c>
      <c r="LLS124" t="s">
        <v>451</v>
      </c>
      <c r="LLT124" t="s">
        <v>451</v>
      </c>
      <c r="LLU124" t="s">
        <v>451</v>
      </c>
      <c r="LLV124" t="s">
        <v>451</v>
      </c>
      <c r="LLW124" t="s">
        <v>451</v>
      </c>
      <c r="LLX124" t="s">
        <v>451</v>
      </c>
      <c r="LLY124" t="s">
        <v>451</v>
      </c>
      <c r="LLZ124" t="s">
        <v>451</v>
      </c>
      <c r="LMA124" t="s">
        <v>451</v>
      </c>
      <c r="LMB124" t="s">
        <v>451</v>
      </c>
      <c r="LMC124" t="s">
        <v>451</v>
      </c>
      <c r="LMD124" t="s">
        <v>451</v>
      </c>
      <c r="LME124" t="s">
        <v>451</v>
      </c>
      <c r="LMF124" t="s">
        <v>451</v>
      </c>
      <c r="LMG124" t="s">
        <v>451</v>
      </c>
      <c r="LMH124" t="s">
        <v>451</v>
      </c>
      <c r="LMI124" t="s">
        <v>451</v>
      </c>
      <c r="LMJ124" t="s">
        <v>451</v>
      </c>
      <c r="LMK124" t="s">
        <v>451</v>
      </c>
      <c r="LML124" t="s">
        <v>451</v>
      </c>
      <c r="LMM124" t="s">
        <v>451</v>
      </c>
      <c r="LMN124" t="s">
        <v>451</v>
      </c>
      <c r="LMO124" t="s">
        <v>451</v>
      </c>
      <c r="LMP124" t="s">
        <v>451</v>
      </c>
      <c r="LMQ124" t="s">
        <v>451</v>
      </c>
      <c r="LMR124" t="s">
        <v>451</v>
      </c>
      <c r="LMS124" t="s">
        <v>451</v>
      </c>
      <c r="LMT124" t="s">
        <v>451</v>
      </c>
      <c r="LMU124" t="s">
        <v>451</v>
      </c>
      <c r="LMV124" t="s">
        <v>451</v>
      </c>
      <c r="LMW124" t="s">
        <v>451</v>
      </c>
      <c r="LMX124" t="s">
        <v>451</v>
      </c>
      <c r="LMY124" t="s">
        <v>451</v>
      </c>
      <c r="LMZ124" t="s">
        <v>451</v>
      </c>
      <c r="LNA124" t="s">
        <v>451</v>
      </c>
      <c r="LNB124" t="s">
        <v>451</v>
      </c>
      <c r="LNC124" t="s">
        <v>451</v>
      </c>
      <c r="LND124" t="s">
        <v>451</v>
      </c>
      <c r="LNE124" t="s">
        <v>451</v>
      </c>
      <c r="LNF124" t="s">
        <v>451</v>
      </c>
      <c r="LNG124" t="s">
        <v>451</v>
      </c>
      <c r="LNH124" t="s">
        <v>451</v>
      </c>
      <c r="LNI124" t="s">
        <v>451</v>
      </c>
      <c r="LNJ124" t="s">
        <v>451</v>
      </c>
      <c r="LNK124" t="s">
        <v>451</v>
      </c>
      <c r="LNL124" t="s">
        <v>451</v>
      </c>
      <c r="LNM124" t="s">
        <v>451</v>
      </c>
      <c r="LNN124" t="s">
        <v>451</v>
      </c>
      <c r="LNO124" t="s">
        <v>451</v>
      </c>
      <c r="LNP124" t="s">
        <v>451</v>
      </c>
      <c r="LNQ124" t="s">
        <v>451</v>
      </c>
      <c r="LNR124" t="s">
        <v>451</v>
      </c>
      <c r="LNS124" t="s">
        <v>451</v>
      </c>
      <c r="LNT124" t="s">
        <v>451</v>
      </c>
      <c r="LNU124" t="s">
        <v>451</v>
      </c>
      <c r="LNV124" t="s">
        <v>451</v>
      </c>
      <c r="LNW124" t="s">
        <v>451</v>
      </c>
      <c r="LNX124" t="s">
        <v>451</v>
      </c>
      <c r="LNY124" t="s">
        <v>451</v>
      </c>
      <c r="LNZ124" t="s">
        <v>451</v>
      </c>
      <c r="LOA124" t="s">
        <v>451</v>
      </c>
      <c r="LOB124" t="s">
        <v>451</v>
      </c>
      <c r="LOC124" t="s">
        <v>451</v>
      </c>
      <c r="LOD124" t="s">
        <v>451</v>
      </c>
      <c r="LOE124" t="s">
        <v>451</v>
      </c>
      <c r="LOF124" t="s">
        <v>451</v>
      </c>
      <c r="LOG124" t="s">
        <v>451</v>
      </c>
      <c r="LOH124" t="s">
        <v>451</v>
      </c>
      <c r="LOI124" t="s">
        <v>451</v>
      </c>
      <c r="LOJ124" t="s">
        <v>451</v>
      </c>
      <c r="LOK124" t="s">
        <v>451</v>
      </c>
      <c r="LOL124" t="s">
        <v>451</v>
      </c>
      <c r="LOM124" t="s">
        <v>451</v>
      </c>
      <c r="LON124" t="s">
        <v>451</v>
      </c>
      <c r="LOO124" t="s">
        <v>451</v>
      </c>
      <c r="LOP124" t="s">
        <v>451</v>
      </c>
      <c r="LOQ124" t="s">
        <v>451</v>
      </c>
      <c r="LOR124" t="s">
        <v>451</v>
      </c>
      <c r="LOS124" t="s">
        <v>451</v>
      </c>
      <c r="LOT124" t="s">
        <v>451</v>
      </c>
      <c r="LOU124" t="s">
        <v>451</v>
      </c>
      <c r="LOV124" t="s">
        <v>451</v>
      </c>
      <c r="LOW124" t="s">
        <v>451</v>
      </c>
      <c r="LOX124" t="s">
        <v>451</v>
      </c>
      <c r="LOY124" t="s">
        <v>451</v>
      </c>
      <c r="LOZ124" t="s">
        <v>451</v>
      </c>
      <c r="LPA124" t="s">
        <v>451</v>
      </c>
      <c r="LPB124" t="s">
        <v>451</v>
      </c>
      <c r="LPC124" t="s">
        <v>451</v>
      </c>
      <c r="LPD124" t="s">
        <v>451</v>
      </c>
      <c r="LPE124" t="s">
        <v>451</v>
      </c>
      <c r="LPF124" t="s">
        <v>451</v>
      </c>
      <c r="LPG124" t="s">
        <v>451</v>
      </c>
      <c r="LPH124" t="s">
        <v>451</v>
      </c>
      <c r="LPI124" t="s">
        <v>451</v>
      </c>
      <c r="LPJ124" t="s">
        <v>451</v>
      </c>
      <c r="LPK124" t="s">
        <v>451</v>
      </c>
      <c r="LPL124" t="s">
        <v>451</v>
      </c>
      <c r="LPM124" t="s">
        <v>451</v>
      </c>
      <c r="LPN124" t="s">
        <v>451</v>
      </c>
      <c r="LPO124" t="s">
        <v>451</v>
      </c>
      <c r="LPP124" t="s">
        <v>451</v>
      </c>
      <c r="LPQ124" t="s">
        <v>451</v>
      </c>
      <c r="LPR124" t="s">
        <v>451</v>
      </c>
      <c r="LPS124" t="s">
        <v>451</v>
      </c>
      <c r="LPT124" t="s">
        <v>451</v>
      </c>
      <c r="LPU124" t="s">
        <v>451</v>
      </c>
      <c r="LPV124" t="s">
        <v>451</v>
      </c>
      <c r="LPW124" t="s">
        <v>451</v>
      </c>
      <c r="LPX124" t="s">
        <v>451</v>
      </c>
      <c r="LPY124" t="s">
        <v>451</v>
      </c>
      <c r="LPZ124" t="s">
        <v>451</v>
      </c>
      <c r="LQA124" t="s">
        <v>451</v>
      </c>
      <c r="LQB124" t="s">
        <v>451</v>
      </c>
      <c r="LQC124" t="s">
        <v>451</v>
      </c>
      <c r="LQD124" t="s">
        <v>451</v>
      </c>
      <c r="LQE124" t="s">
        <v>451</v>
      </c>
      <c r="LQF124" t="s">
        <v>451</v>
      </c>
      <c r="LQG124" t="s">
        <v>451</v>
      </c>
      <c r="LQH124" t="s">
        <v>451</v>
      </c>
      <c r="LQI124" t="s">
        <v>451</v>
      </c>
      <c r="LQJ124" t="s">
        <v>451</v>
      </c>
      <c r="LQK124" t="s">
        <v>451</v>
      </c>
      <c r="LQL124" t="s">
        <v>451</v>
      </c>
      <c r="LQM124" t="s">
        <v>451</v>
      </c>
      <c r="LQN124" t="s">
        <v>451</v>
      </c>
      <c r="LQO124" t="s">
        <v>451</v>
      </c>
      <c r="LQP124" t="s">
        <v>451</v>
      </c>
      <c r="LQQ124" t="s">
        <v>451</v>
      </c>
      <c r="LQR124" t="s">
        <v>451</v>
      </c>
      <c r="LQS124" t="s">
        <v>451</v>
      </c>
      <c r="LQT124" t="s">
        <v>451</v>
      </c>
      <c r="LQU124" t="s">
        <v>451</v>
      </c>
      <c r="LQV124" t="s">
        <v>451</v>
      </c>
      <c r="LQW124" t="s">
        <v>451</v>
      </c>
      <c r="LQX124" t="s">
        <v>451</v>
      </c>
      <c r="LQY124" t="s">
        <v>451</v>
      </c>
      <c r="LQZ124" t="s">
        <v>451</v>
      </c>
      <c r="LRA124" t="s">
        <v>451</v>
      </c>
      <c r="LRB124" t="s">
        <v>451</v>
      </c>
      <c r="LRC124" t="s">
        <v>451</v>
      </c>
      <c r="LRD124" t="s">
        <v>451</v>
      </c>
      <c r="LRE124" t="s">
        <v>451</v>
      </c>
      <c r="LRF124" t="s">
        <v>451</v>
      </c>
      <c r="LRG124" t="s">
        <v>451</v>
      </c>
      <c r="LRH124" t="s">
        <v>451</v>
      </c>
      <c r="LRI124" t="s">
        <v>451</v>
      </c>
      <c r="LRJ124" t="s">
        <v>451</v>
      </c>
      <c r="LRK124" t="s">
        <v>451</v>
      </c>
      <c r="LRL124" t="s">
        <v>451</v>
      </c>
      <c r="LRM124" t="s">
        <v>451</v>
      </c>
      <c r="LRN124" t="s">
        <v>451</v>
      </c>
      <c r="LRO124" t="s">
        <v>451</v>
      </c>
      <c r="LRP124" t="s">
        <v>451</v>
      </c>
      <c r="LRQ124" t="s">
        <v>451</v>
      </c>
      <c r="LRR124" t="s">
        <v>451</v>
      </c>
      <c r="LRS124" t="s">
        <v>451</v>
      </c>
      <c r="LRT124" t="s">
        <v>451</v>
      </c>
      <c r="LRU124" t="s">
        <v>451</v>
      </c>
      <c r="LRV124" t="s">
        <v>451</v>
      </c>
      <c r="LRW124" t="s">
        <v>451</v>
      </c>
      <c r="LRX124" t="s">
        <v>451</v>
      </c>
      <c r="LRY124" t="s">
        <v>451</v>
      </c>
      <c r="LRZ124" t="s">
        <v>451</v>
      </c>
      <c r="LSA124" t="s">
        <v>451</v>
      </c>
      <c r="LSB124" t="s">
        <v>451</v>
      </c>
      <c r="LSC124" t="s">
        <v>451</v>
      </c>
      <c r="LSD124" t="s">
        <v>451</v>
      </c>
      <c r="LSE124" t="s">
        <v>451</v>
      </c>
      <c r="LSF124" t="s">
        <v>451</v>
      </c>
      <c r="LSG124" t="s">
        <v>451</v>
      </c>
      <c r="LSH124" t="s">
        <v>451</v>
      </c>
      <c r="LSI124" t="s">
        <v>451</v>
      </c>
      <c r="LSJ124" t="s">
        <v>451</v>
      </c>
      <c r="LSK124" t="s">
        <v>451</v>
      </c>
      <c r="LSL124" t="s">
        <v>451</v>
      </c>
      <c r="LSM124" t="s">
        <v>451</v>
      </c>
      <c r="LSN124" t="s">
        <v>451</v>
      </c>
      <c r="LSO124" t="s">
        <v>451</v>
      </c>
      <c r="LSP124" t="s">
        <v>451</v>
      </c>
      <c r="LSQ124" t="s">
        <v>451</v>
      </c>
      <c r="LSR124" t="s">
        <v>451</v>
      </c>
      <c r="LSS124" t="s">
        <v>451</v>
      </c>
      <c r="LST124" t="s">
        <v>451</v>
      </c>
      <c r="LSU124" t="s">
        <v>451</v>
      </c>
      <c r="LSV124" t="s">
        <v>451</v>
      </c>
      <c r="LSW124" t="s">
        <v>451</v>
      </c>
      <c r="LSX124" t="s">
        <v>451</v>
      </c>
      <c r="LSY124" t="s">
        <v>451</v>
      </c>
      <c r="LSZ124" t="s">
        <v>451</v>
      </c>
      <c r="LTA124" t="s">
        <v>451</v>
      </c>
      <c r="LTB124" t="s">
        <v>451</v>
      </c>
      <c r="LTC124" t="s">
        <v>451</v>
      </c>
      <c r="LTD124" t="s">
        <v>451</v>
      </c>
      <c r="LTE124" t="s">
        <v>451</v>
      </c>
      <c r="LTF124" t="s">
        <v>451</v>
      </c>
      <c r="LTG124" t="s">
        <v>451</v>
      </c>
      <c r="LTH124" t="s">
        <v>451</v>
      </c>
      <c r="LTI124" t="s">
        <v>451</v>
      </c>
      <c r="LTJ124" t="s">
        <v>451</v>
      </c>
      <c r="LTK124" t="s">
        <v>451</v>
      </c>
      <c r="LTL124" t="s">
        <v>451</v>
      </c>
      <c r="LTM124" t="s">
        <v>451</v>
      </c>
      <c r="LTN124" t="s">
        <v>451</v>
      </c>
      <c r="LTO124" t="s">
        <v>451</v>
      </c>
      <c r="LTP124" t="s">
        <v>451</v>
      </c>
      <c r="LTQ124" t="s">
        <v>451</v>
      </c>
      <c r="LTR124" t="s">
        <v>451</v>
      </c>
      <c r="LTS124" t="s">
        <v>451</v>
      </c>
      <c r="LTT124" t="s">
        <v>451</v>
      </c>
      <c r="LTU124" t="s">
        <v>451</v>
      </c>
      <c r="LTV124" t="s">
        <v>451</v>
      </c>
      <c r="LTW124" t="s">
        <v>451</v>
      </c>
      <c r="LTX124" t="s">
        <v>451</v>
      </c>
      <c r="LTY124" t="s">
        <v>451</v>
      </c>
      <c r="LTZ124" t="s">
        <v>451</v>
      </c>
      <c r="LUA124" t="s">
        <v>451</v>
      </c>
      <c r="LUB124" t="s">
        <v>451</v>
      </c>
      <c r="LUC124" t="s">
        <v>451</v>
      </c>
      <c r="LUD124" t="s">
        <v>451</v>
      </c>
      <c r="LUE124" t="s">
        <v>451</v>
      </c>
      <c r="LUF124" t="s">
        <v>451</v>
      </c>
      <c r="LUG124" t="s">
        <v>451</v>
      </c>
      <c r="LUH124" t="s">
        <v>451</v>
      </c>
      <c r="LUI124" t="s">
        <v>451</v>
      </c>
      <c r="LUJ124" t="s">
        <v>451</v>
      </c>
      <c r="LUK124" t="s">
        <v>451</v>
      </c>
      <c r="LUL124" t="s">
        <v>451</v>
      </c>
      <c r="LUM124" t="s">
        <v>451</v>
      </c>
      <c r="LUN124" t="s">
        <v>451</v>
      </c>
      <c r="LUO124" t="s">
        <v>451</v>
      </c>
      <c r="LUP124" t="s">
        <v>451</v>
      </c>
      <c r="LUQ124" t="s">
        <v>451</v>
      </c>
      <c r="LUR124" t="s">
        <v>451</v>
      </c>
      <c r="LUS124" t="s">
        <v>451</v>
      </c>
      <c r="LUT124" t="s">
        <v>451</v>
      </c>
      <c r="LUU124" t="s">
        <v>451</v>
      </c>
      <c r="LUV124" t="s">
        <v>451</v>
      </c>
      <c r="LUW124" t="s">
        <v>451</v>
      </c>
      <c r="LUX124" t="s">
        <v>451</v>
      </c>
      <c r="LUY124" t="s">
        <v>451</v>
      </c>
      <c r="LUZ124" t="s">
        <v>451</v>
      </c>
      <c r="LVA124" t="s">
        <v>451</v>
      </c>
      <c r="LVB124" t="s">
        <v>451</v>
      </c>
      <c r="LVC124" t="s">
        <v>451</v>
      </c>
      <c r="LVD124" t="s">
        <v>451</v>
      </c>
      <c r="LVE124" t="s">
        <v>451</v>
      </c>
      <c r="LVF124" t="s">
        <v>451</v>
      </c>
      <c r="LVG124" t="s">
        <v>451</v>
      </c>
      <c r="LVH124" t="s">
        <v>451</v>
      </c>
      <c r="LVI124" t="s">
        <v>451</v>
      </c>
      <c r="LVJ124" t="s">
        <v>451</v>
      </c>
      <c r="LVK124" t="s">
        <v>451</v>
      </c>
      <c r="LVL124" t="s">
        <v>451</v>
      </c>
      <c r="LVM124" t="s">
        <v>451</v>
      </c>
      <c r="LVN124" t="s">
        <v>451</v>
      </c>
      <c r="LVO124" t="s">
        <v>451</v>
      </c>
      <c r="LVP124" t="s">
        <v>451</v>
      </c>
      <c r="LVQ124" t="s">
        <v>451</v>
      </c>
      <c r="LVR124" t="s">
        <v>451</v>
      </c>
      <c r="LVS124" t="s">
        <v>451</v>
      </c>
      <c r="LVT124" t="s">
        <v>451</v>
      </c>
      <c r="LVU124" t="s">
        <v>451</v>
      </c>
      <c r="LVV124" t="s">
        <v>451</v>
      </c>
      <c r="LVW124" t="s">
        <v>451</v>
      </c>
      <c r="LVX124" t="s">
        <v>451</v>
      </c>
      <c r="LVY124" t="s">
        <v>451</v>
      </c>
      <c r="LVZ124" t="s">
        <v>451</v>
      </c>
      <c r="LWA124" t="s">
        <v>451</v>
      </c>
      <c r="LWB124" t="s">
        <v>451</v>
      </c>
      <c r="LWC124" t="s">
        <v>451</v>
      </c>
      <c r="LWD124" t="s">
        <v>451</v>
      </c>
      <c r="LWE124" t="s">
        <v>451</v>
      </c>
      <c r="LWF124" t="s">
        <v>451</v>
      </c>
      <c r="LWG124" t="s">
        <v>451</v>
      </c>
      <c r="LWH124" t="s">
        <v>451</v>
      </c>
      <c r="LWI124" t="s">
        <v>451</v>
      </c>
      <c r="LWJ124" t="s">
        <v>451</v>
      </c>
      <c r="LWK124" t="s">
        <v>451</v>
      </c>
      <c r="LWL124" t="s">
        <v>451</v>
      </c>
      <c r="LWM124" t="s">
        <v>451</v>
      </c>
      <c r="LWN124" t="s">
        <v>451</v>
      </c>
      <c r="LWO124" t="s">
        <v>451</v>
      </c>
      <c r="LWP124" t="s">
        <v>451</v>
      </c>
      <c r="LWQ124" t="s">
        <v>451</v>
      </c>
      <c r="LWR124" t="s">
        <v>451</v>
      </c>
      <c r="LWS124" t="s">
        <v>451</v>
      </c>
      <c r="LWT124" t="s">
        <v>451</v>
      </c>
      <c r="LWU124" t="s">
        <v>451</v>
      </c>
      <c r="LWV124" t="s">
        <v>451</v>
      </c>
      <c r="LWW124" t="s">
        <v>451</v>
      </c>
      <c r="LWX124" t="s">
        <v>451</v>
      </c>
      <c r="LWY124" t="s">
        <v>451</v>
      </c>
      <c r="LWZ124" t="s">
        <v>451</v>
      </c>
      <c r="LXA124" t="s">
        <v>451</v>
      </c>
      <c r="LXB124" t="s">
        <v>451</v>
      </c>
      <c r="LXC124" t="s">
        <v>451</v>
      </c>
      <c r="LXD124" t="s">
        <v>451</v>
      </c>
      <c r="LXE124" t="s">
        <v>451</v>
      </c>
      <c r="LXF124" t="s">
        <v>451</v>
      </c>
      <c r="LXG124" t="s">
        <v>451</v>
      </c>
      <c r="LXH124" t="s">
        <v>451</v>
      </c>
      <c r="LXI124" t="s">
        <v>451</v>
      </c>
      <c r="LXJ124" t="s">
        <v>451</v>
      </c>
      <c r="LXK124" t="s">
        <v>451</v>
      </c>
      <c r="LXL124" t="s">
        <v>451</v>
      </c>
      <c r="LXM124" t="s">
        <v>451</v>
      </c>
      <c r="LXN124" t="s">
        <v>451</v>
      </c>
      <c r="LXO124" t="s">
        <v>451</v>
      </c>
      <c r="LXP124" t="s">
        <v>451</v>
      </c>
      <c r="LXQ124" t="s">
        <v>451</v>
      </c>
      <c r="LXR124" t="s">
        <v>451</v>
      </c>
      <c r="LXS124" t="s">
        <v>451</v>
      </c>
      <c r="LXT124" t="s">
        <v>451</v>
      </c>
      <c r="LXU124" t="s">
        <v>451</v>
      </c>
      <c r="LXV124" t="s">
        <v>451</v>
      </c>
      <c r="LXW124" t="s">
        <v>451</v>
      </c>
      <c r="LXX124" t="s">
        <v>451</v>
      </c>
      <c r="LXY124" t="s">
        <v>451</v>
      </c>
      <c r="LXZ124" t="s">
        <v>451</v>
      </c>
      <c r="LYA124" t="s">
        <v>451</v>
      </c>
      <c r="LYB124" t="s">
        <v>451</v>
      </c>
      <c r="LYC124" t="s">
        <v>451</v>
      </c>
      <c r="LYD124" t="s">
        <v>451</v>
      </c>
      <c r="LYE124" t="s">
        <v>451</v>
      </c>
      <c r="LYF124" t="s">
        <v>451</v>
      </c>
      <c r="LYG124" t="s">
        <v>451</v>
      </c>
      <c r="LYH124" t="s">
        <v>451</v>
      </c>
      <c r="LYI124" t="s">
        <v>451</v>
      </c>
      <c r="LYJ124" t="s">
        <v>451</v>
      </c>
      <c r="LYK124" t="s">
        <v>451</v>
      </c>
      <c r="LYL124" t="s">
        <v>451</v>
      </c>
      <c r="LYM124" t="s">
        <v>451</v>
      </c>
      <c r="LYN124" t="s">
        <v>451</v>
      </c>
      <c r="LYO124" t="s">
        <v>451</v>
      </c>
      <c r="LYP124" t="s">
        <v>451</v>
      </c>
      <c r="LYQ124" t="s">
        <v>451</v>
      </c>
      <c r="LYR124" t="s">
        <v>451</v>
      </c>
      <c r="LYS124" t="s">
        <v>451</v>
      </c>
      <c r="LYT124" t="s">
        <v>451</v>
      </c>
      <c r="LYU124" t="s">
        <v>451</v>
      </c>
      <c r="LYV124" t="s">
        <v>451</v>
      </c>
      <c r="LYW124" t="s">
        <v>451</v>
      </c>
      <c r="LYX124" t="s">
        <v>451</v>
      </c>
      <c r="LYY124" t="s">
        <v>451</v>
      </c>
      <c r="LYZ124" t="s">
        <v>451</v>
      </c>
      <c r="LZA124" t="s">
        <v>451</v>
      </c>
      <c r="LZB124" t="s">
        <v>451</v>
      </c>
      <c r="LZC124" t="s">
        <v>451</v>
      </c>
      <c r="LZD124" t="s">
        <v>451</v>
      </c>
      <c r="LZE124" t="s">
        <v>451</v>
      </c>
      <c r="LZF124" t="s">
        <v>451</v>
      </c>
      <c r="LZG124" t="s">
        <v>451</v>
      </c>
      <c r="LZH124" t="s">
        <v>451</v>
      </c>
      <c r="LZI124" t="s">
        <v>451</v>
      </c>
      <c r="LZJ124" t="s">
        <v>451</v>
      </c>
      <c r="LZK124" t="s">
        <v>451</v>
      </c>
      <c r="LZL124" t="s">
        <v>451</v>
      </c>
      <c r="LZM124" t="s">
        <v>451</v>
      </c>
      <c r="LZN124" t="s">
        <v>451</v>
      </c>
      <c r="LZO124" t="s">
        <v>451</v>
      </c>
      <c r="LZP124" t="s">
        <v>451</v>
      </c>
      <c r="LZQ124" t="s">
        <v>451</v>
      </c>
      <c r="LZR124" t="s">
        <v>451</v>
      </c>
      <c r="LZS124" t="s">
        <v>451</v>
      </c>
      <c r="LZT124" t="s">
        <v>451</v>
      </c>
      <c r="LZU124" t="s">
        <v>451</v>
      </c>
      <c r="LZV124" t="s">
        <v>451</v>
      </c>
      <c r="LZW124" t="s">
        <v>451</v>
      </c>
      <c r="LZX124" t="s">
        <v>451</v>
      </c>
      <c r="LZY124" t="s">
        <v>451</v>
      </c>
      <c r="LZZ124" t="s">
        <v>451</v>
      </c>
      <c r="MAA124" t="s">
        <v>451</v>
      </c>
      <c r="MAB124" t="s">
        <v>451</v>
      </c>
      <c r="MAC124" t="s">
        <v>451</v>
      </c>
      <c r="MAD124" t="s">
        <v>451</v>
      </c>
      <c r="MAE124" t="s">
        <v>451</v>
      </c>
      <c r="MAF124" t="s">
        <v>451</v>
      </c>
      <c r="MAG124" t="s">
        <v>451</v>
      </c>
      <c r="MAH124" t="s">
        <v>451</v>
      </c>
      <c r="MAI124" t="s">
        <v>451</v>
      </c>
      <c r="MAJ124" t="s">
        <v>451</v>
      </c>
      <c r="MAK124" t="s">
        <v>451</v>
      </c>
      <c r="MAL124" t="s">
        <v>451</v>
      </c>
      <c r="MAM124" t="s">
        <v>451</v>
      </c>
      <c r="MAN124" t="s">
        <v>451</v>
      </c>
      <c r="MAO124" t="s">
        <v>451</v>
      </c>
      <c r="MAP124" t="s">
        <v>451</v>
      </c>
      <c r="MAQ124" t="s">
        <v>451</v>
      </c>
      <c r="MAR124" t="s">
        <v>451</v>
      </c>
      <c r="MAS124" t="s">
        <v>451</v>
      </c>
      <c r="MAT124" t="s">
        <v>451</v>
      </c>
      <c r="MAU124" t="s">
        <v>451</v>
      </c>
      <c r="MAV124" t="s">
        <v>451</v>
      </c>
      <c r="MAW124" t="s">
        <v>451</v>
      </c>
      <c r="MAX124" t="s">
        <v>451</v>
      </c>
      <c r="MAY124" t="s">
        <v>451</v>
      </c>
      <c r="MAZ124" t="s">
        <v>451</v>
      </c>
      <c r="MBA124" t="s">
        <v>451</v>
      </c>
      <c r="MBB124" t="s">
        <v>451</v>
      </c>
      <c r="MBC124" t="s">
        <v>451</v>
      </c>
      <c r="MBD124" t="s">
        <v>451</v>
      </c>
      <c r="MBE124" t="s">
        <v>451</v>
      </c>
      <c r="MBF124" t="s">
        <v>451</v>
      </c>
      <c r="MBG124" t="s">
        <v>451</v>
      </c>
      <c r="MBH124" t="s">
        <v>451</v>
      </c>
      <c r="MBI124" t="s">
        <v>451</v>
      </c>
      <c r="MBJ124" t="s">
        <v>451</v>
      </c>
      <c r="MBK124" t="s">
        <v>451</v>
      </c>
      <c r="MBL124" t="s">
        <v>451</v>
      </c>
      <c r="MBM124" t="s">
        <v>451</v>
      </c>
      <c r="MBN124" t="s">
        <v>451</v>
      </c>
      <c r="MBO124" t="s">
        <v>451</v>
      </c>
      <c r="MBP124" t="s">
        <v>451</v>
      </c>
      <c r="MBQ124" t="s">
        <v>451</v>
      </c>
      <c r="MBR124" t="s">
        <v>451</v>
      </c>
      <c r="MBS124" t="s">
        <v>451</v>
      </c>
      <c r="MBT124" t="s">
        <v>451</v>
      </c>
      <c r="MBU124" t="s">
        <v>451</v>
      </c>
      <c r="MBV124" t="s">
        <v>451</v>
      </c>
      <c r="MBW124" t="s">
        <v>451</v>
      </c>
      <c r="MBX124" t="s">
        <v>451</v>
      </c>
      <c r="MBY124" t="s">
        <v>451</v>
      </c>
      <c r="MBZ124" t="s">
        <v>451</v>
      </c>
      <c r="MCA124" t="s">
        <v>451</v>
      </c>
      <c r="MCB124" t="s">
        <v>451</v>
      </c>
      <c r="MCC124" t="s">
        <v>451</v>
      </c>
      <c r="MCD124" t="s">
        <v>451</v>
      </c>
      <c r="MCE124" t="s">
        <v>451</v>
      </c>
      <c r="MCF124" t="s">
        <v>451</v>
      </c>
      <c r="MCG124" t="s">
        <v>451</v>
      </c>
      <c r="MCH124" t="s">
        <v>451</v>
      </c>
      <c r="MCI124" t="s">
        <v>451</v>
      </c>
      <c r="MCJ124" t="s">
        <v>451</v>
      </c>
      <c r="MCK124" t="s">
        <v>451</v>
      </c>
      <c r="MCL124" t="s">
        <v>451</v>
      </c>
      <c r="MCM124" t="s">
        <v>451</v>
      </c>
      <c r="MCN124" t="s">
        <v>451</v>
      </c>
      <c r="MCO124" t="s">
        <v>451</v>
      </c>
      <c r="MCP124" t="s">
        <v>451</v>
      </c>
      <c r="MCQ124" t="s">
        <v>451</v>
      </c>
      <c r="MCR124" t="s">
        <v>451</v>
      </c>
      <c r="MCS124" t="s">
        <v>451</v>
      </c>
      <c r="MCT124" t="s">
        <v>451</v>
      </c>
      <c r="MCU124" t="s">
        <v>451</v>
      </c>
      <c r="MCV124" t="s">
        <v>451</v>
      </c>
      <c r="MCW124" t="s">
        <v>451</v>
      </c>
      <c r="MCX124" t="s">
        <v>451</v>
      </c>
      <c r="MCY124" t="s">
        <v>451</v>
      </c>
      <c r="MCZ124" t="s">
        <v>451</v>
      </c>
      <c r="MDA124" t="s">
        <v>451</v>
      </c>
      <c r="MDB124" t="s">
        <v>451</v>
      </c>
      <c r="MDC124" t="s">
        <v>451</v>
      </c>
      <c r="MDD124" t="s">
        <v>451</v>
      </c>
      <c r="MDE124" t="s">
        <v>451</v>
      </c>
      <c r="MDF124" t="s">
        <v>451</v>
      </c>
      <c r="MDG124" t="s">
        <v>451</v>
      </c>
      <c r="MDH124" t="s">
        <v>451</v>
      </c>
      <c r="MDI124" t="s">
        <v>451</v>
      </c>
      <c r="MDJ124" t="s">
        <v>451</v>
      </c>
      <c r="MDK124" t="s">
        <v>451</v>
      </c>
      <c r="MDL124" t="s">
        <v>451</v>
      </c>
      <c r="MDM124" t="s">
        <v>451</v>
      </c>
      <c r="MDN124" t="s">
        <v>451</v>
      </c>
      <c r="MDO124" t="s">
        <v>451</v>
      </c>
      <c r="MDP124" t="s">
        <v>451</v>
      </c>
      <c r="MDQ124" t="s">
        <v>451</v>
      </c>
      <c r="MDR124" t="s">
        <v>451</v>
      </c>
      <c r="MDS124" t="s">
        <v>451</v>
      </c>
      <c r="MDT124" t="s">
        <v>451</v>
      </c>
      <c r="MDU124" t="s">
        <v>451</v>
      </c>
      <c r="MDV124" t="s">
        <v>451</v>
      </c>
      <c r="MDW124" t="s">
        <v>451</v>
      </c>
      <c r="MDX124" t="s">
        <v>451</v>
      </c>
      <c r="MDY124" t="s">
        <v>451</v>
      </c>
      <c r="MDZ124" t="s">
        <v>451</v>
      </c>
      <c r="MEA124" t="s">
        <v>451</v>
      </c>
      <c r="MEB124" t="s">
        <v>451</v>
      </c>
      <c r="MEC124" t="s">
        <v>451</v>
      </c>
      <c r="MED124" t="s">
        <v>451</v>
      </c>
      <c r="MEE124" t="s">
        <v>451</v>
      </c>
      <c r="MEF124" t="s">
        <v>451</v>
      </c>
      <c r="MEG124" t="s">
        <v>451</v>
      </c>
      <c r="MEH124" t="s">
        <v>451</v>
      </c>
      <c r="MEI124" t="s">
        <v>451</v>
      </c>
      <c r="MEJ124" t="s">
        <v>451</v>
      </c>
      <c r="MEK124" t="s">
        <v>451</v>
      </c>
      <c r="MEL124" t="s">
        <v>451</v>
      </c>
      <c r="MEM124" t="s">
        <v>451</v>
      </c>
      <c r="MEN124" t="s">
        <v>451</v>
      </c>
      <c r="MEO124" t="s">
        <v>451</v>
      </c>
      <c r="MEP124" t="s">
        <v>451</v>
      </c>
      <c r="MEQ124" t="s">
        <v>451</v>
      </c>
      <c r="MER124" t="s">
        <v>451</v>
      </c>
      <c r="MES124" t="s">
        <v>451</v>
      </c>
      <c r="MET124" t="s">
        <v>451</v>
      </c>
      <c r="MEU124" t="s">
        <v>451</v>
      </c>
      <c r="MEV124" t="s">
        <v>451</v>
      </c>
      <c r="MEW124" t="s">
        <v>451</v>
      </c>
      <c r="MEX124" t="s">
        <v>451</v>
      </c>
      <c r="MEY124" t="s">
        <v>451</v>
      </c>
      <c r="MEZ124" t="s">
        <v>451</v>
      </c>
      <c r="MFA124" t="s">
        <v>451</v>
      </c>
      <c r="MFB124" t="s">
        <v>451</v>
      </c>
      <c r="MFC124" t="s">
        <v>451</v>
      </c>
      <c r="MFD124" t="s">
        <v>451</v>
      </c>
      <c r="MFE124" t="s">
        <v>451</v>
      </c>
      <c r="MFF124" t="s">
        <v>451</v>
      </c>
      <c r="MFG124" t="s">
        <v>451</v>
      </c>
      <c r="MFH124" t="s">
        <v>451</v>
      </c>
      <c r="MFI124" t="s">
        <v>451</v>
      </c>
      <c r="MFJ124" t="s">
        <v>451</v>
      </c>
      <c r="MFK124" t="s">
        <v>451</v>
      </c>
      <c r="MFL124" t="s">
        <v>451</v>
      </c>
      <c r="MFM124" t="s">
        <v>451</v>
      </c>
      <c r="MFN124" t="s">
        <v>451</v>
      </c>
      <c r="MFO124" t="s">
        <v>451</v>
      </c>
      <c r="MFP124" t="s">
        <v>451</v>
      </c>
      <c r="MFQ124" t="s">
        <v>451</v>
      </c>
      <c r="MFR124" t="s">
        <v>451</v>
      </c>
      <c r="MFS124" t="s">
        <v>451</v>
      </c>
      <c r="MFT124" t="s">
        <v>451</v>
      </c>
      <c r="MFU124" t="s">
        <v>451</v>
      </c>
      <c r="MFV124" t="s">
        <v>451</v>
      </c>
      <c r="MFW124" t="s">
        <v>451</v>
      </c>
      <c r="MFX124" t="s">
        <v>451</v>
      </c>
      <c r="MFY124" t="s">
        <v>451</v>
      </c>
      <c r="MFZ124" t="s">
        <v>451</v>
      </c>
      <c r="MGA124" t="s">
        <v>451</v>
      </c>
      <c r="MGB124" t="s">
        <v>451</v>
      </c>
      <c r="MGC124" t="s">
        <v>451</v>
      </c>
      <c r="MGD124" t="s">
        <v>451</v>
      </c>
      <c r="MGE124" t="s">
        <v>451</v>
      </c>
      <c r="MGF124" t="s">
        <v>451</v>
      </c>
      <c r="MGG124" t="s">
        <v>451</v>
      </c>
      <c r="MGH124" t="s">
        <v>451</v>
      </c>
      <c r="MGI124" t="s">
        <v>451</v>
      </c>
      <c r="MGJ124" t="s">
        <v>451</v>
      </c>
      <c r="MGK124" t="s">
        <v>451</v>
      </c>
      <c r="MGL124" t="s">
        <v>451</v>
      </c>
      <c r="MGM124" t="s">
        <v>451</v>
      </c>
      <c r="MGN124" t="s">
        <v>451</v>
      </c>
      <c r="MGO124" t="s">
        <v>451</v>
      </c>
      <c r="MGP124" t="s">
        <v>451</v>
      </c>
      <c r="MGQ124" t="s">
        <v>451</v>
      </c>
      <c r="MGR124" t="s">
        <v>451</v>
      </c>
      <c r="MGS124" t="s">
        <v>451</v>
      </c>
      <c r="MGT124" t="s">
        <v>451</v>
      </c>
      <c r="MGU124" t="s">
        <v>451</v>
      </c>
      <c r="MGV124" t="s">
        <v>451</v>
      </c>
      <c r="MGW124" t="s">
        <v>451</v>
      </c>
      <c r="MGX124" t="s">
        <v>451</v>
      </c>
      <c r="MGY124" t="s">
        <v>451</v>
      </c>
      <c r="MGZ124" t="s">
        <v>451</v>
      </c>
      <c r="MHA124" t="s">
        <v>451</v>
      </c>
      <c r="MHB124" t="s">
        <v>451</v>
      </c>
      <c r="MHC124" t="s">
        <v>451</v>
      </c>
      <c r="MHD124" t="s">
        <v>451</v>
      </c>
      <c r="MHE124" t="s">
        <v>451</v>
      </c>
      <c r="MHF124" t="s">
        <v>451</v>
      </c>
      <c r="MHG124" t="s">
        <v>451</v>
      </c>
      <c r="MHH124" t="s">
        <v>451</v>
      </c>
      <c r="MHI124" t="s">
        <v>451</v>
      </c>
      <c r="MHJ124" t="s">
        <v>451</v>
      </c>
      <c r="MHK124" t="s">
        <v>451</v>
      </c>
      <c r="MHL124" t="s">
        <v>451</v>
      </c>
      <c r="MHM124" t="s">
        <v>451</v>
      </c>
      <c r="MHN124" t="s">
        <v>451</v>
      </c>
      <c r="MHO124" t="s">
        <v>451</v>
      </c>
      <c r="MHP124" t="s">
        <v>451</v>
      </c>
      <c r="MHQ124" t="s">
        <v>451</v>
      </c>
      <c r="MHR124" t="s">
        <v>451</v>
      </c>
      <c r="MHS124" t="s">
        <v>451</v>
      </c>
      <c r="MHT124" t="s">
        <v>451</v>
      </c>
      <c r="MHU124" t="s">
        <v>451</v>
      </c>
      <c r="MHV124" t="s">
        <v>451</v>
      </c>
      <c r="MHW124" t="s">
        <v>451</v>
      </c>
      <c r="MHX124" t="s">
        <v>451</v>
      </c>
      <c r="MHY124" t="s">
        <v>451</v>
      </c>
      <c r="MHZ124" t="s">
        <v>451</v>
      </c>
      <c r="MIA124" t="s">
        <v>451</v>
      </c>
      <c r="MIB124" t="s">
        <v>451</v>
      </c>
      <c r="MIC124" t="s">
        <v>451</v>
      </c>
      <c r="MID124" t="s">
        <v>451</v>
      </c>
      <c r="MIE124" t="s">
        <v>451</v>
      </c>
      <c r="MIF124" t="s">
        <v>451</v>
      </c>
      <c r="MIG124" t="s">
        <v>451</v>
      </c>
      <c r="MIH124" t="s">
        <v>451</v>
      </c>
      <c r="MII124" t="s">
        <v>451</v>
      </c>
      <c r="MIJ124" t="s">
        <v>451</v>
      </c>
      <c r="MIK124" t="s">
        <v>451</v>
      </c>
      <c r="MIL124" t="s">
        <v>451</v>
      </c>
      <c r="MIM124" t="s">
        <v>451</v>
      </c>
      <c r="MIN124" t="s">
        <v>451</v>
      </c>
      <c r="MIO124" t="s">
        <v>451</v>
      </c>
      <c r="MIP124" t="s">
        <v>451</v>
      </c>
      <c r="MIQ124" t="s">
        <v>451</v>
      </c>
      <c r="MIR124" t="s">
        <v>451</v>
      </c>
      <c r="MIS124" t="s">
        <v>451</v>
      </c>
      <c r="MIT124" t="s">
        <v>451</v>
      </c>
      <c r="MIU124" t="s">
        <v>451</v>
      </c>
      <c r="MIV124" t="s">
        <v>451</v>
      </c>
      <c r="MIW124" t="s">
        <v>451</v>
      </c>
      <c r="MIX124" t="s">
        <v>451</v>
      </c>
      <c r="MIY124" t="s">
        <v>451</v>
      </c>
      <c r="MIZ124" t="s">
        <v>451</v>
      </c>
      <c r="MJA124" t="s">
        <v>451</v>
      </c>
      <c r="MJB124" t="s">
        <v>451</v>
      </c>
      <c r="MJC124" t="s">
        <v>451</v>
      </c>
      <c r="MJD124" t="s">
        <v>451</v>
      </c>
      <c r="MJE124" t="s">
        <v>451</v>
      </c>
      <c r="MJF124" t="s">
        <v>451</v>
      </c>
      <c r="MJG124" t="s">
        <v>451</v>
      </c>
      <c r="MJH124" t="s">
        <v>451</v>
      </c>
      <c r="MJI124" t="s">
        <v>451</v>
      </c>
      <c r="MJJ124" t="s">
        <v>451</v>
      </c>
      <c r="MJK124" t="s">
        <v>451</v>
      </c>
      <c r="MJL124" t="s">
        <v>451</v>
      </c>
      <c r="MJM124" t="s">
        <v>451</v>
      </c>
      <c r="MJN124" t="s">
        <v>451</v>
      </c>
      <c r="MJO124" t="s">
        <v>451</v>
      </c>
      <c r="MJP124" t="s">
        <v>451</v>
      </c>
      <c r="MJQ124" t="s">
        <v>451</v>
      </c>
      <c r="MJR124" t="s">
        <v>451</v>
      </c>
      <c r="MJS124" t="s">
        <v>451</v>
      </c>
      <c r="MJT124" t="s">
        <v>451</v>
      </c>
      <c r="MJU124" t="s">
        <v>451</v>
      </c>
      <c r="MJV124" t="s">
        <v>451</v>
      </c>
      <c r="MJW124" t="s">
        <v>451</v>
      </c>
      <c r="MJX124" t="s">
        <v>451</v>
      </c>
      <c r="MJY124" t="s">
        <v>451</v>
      </c>
      <c r="MJZ124" t="s">
        <v>451</v>
      </c>
      <c r="MKA124" t="s">
        <v>451</v>
      </c>
      <c r="MKB124" t="s">
        <v>451</v>
      </c>
      <c r="MKC124" t="s">
        <v>451</v>
      </c>
      <c r="MKD124" t="s">
        <v>451</v>
      </c>
      <c r="MKE124" t="s">
        <v>451</v>
      </c>
      <c r="MKF124" t="s">
        <v>451</v>
      </c>
      <c r="MKG124" t="s">
        <v>451</v>
      </c>
      <c r="MKH124" t="s">
        <v>451</v>
      </c>
      <c r="MKI124" t="s">
        <v>451</v>
      </c>
      <c r="MKJ124" t="s">
        <v>451</v>
      </c>
      <c r="MKK124" t="s">
        <v>451</v>
      </c>
      <c r="MKL124" t="s">
        <v>451</v>
      </c>
      <c r="MKM124" t="s">
        <v>451</v>
      </c>
      <c r="MKN124" t="s">
        <v>451</v>
      </c>
      <c r="MKO124" t="s">
        <v>451</v>
      </c>
      <c r="MKP124" t="s">
        <v>451</v>
      </c>
      <c r="MKQ124" t="s">
        <v>451</v>
      </c>
      <c r="MKR124" t="s">
        <v>451</v>
      </c>
      <c r="MKS124" t="s">
        <v>451</v>
      </c>
      <c r="MKT124" t="s">
        <v>451</v>
      </c>
      <c r="MKU124" t="s">
        <v>451</v>
      </c>
      <c r="MKV124" t="s">
        <v>451</v>
      </c>
      <c r="MKW124" t="s">
        <v>451</v>
      </c>
      <c r="MKX124" t="s">
        <v>451</v>
      </c>
      <c r="MKY124" t="s">
        <v>451</v>
      </c>
      <c r="MKZ124" t="s">
        <v>451</v>
      </c>
      <c r="MLA124" t="s">
        <v>451</v>
      </c>
      <c r="MLB124" t="s">
        <v>451</v>
      </c>
      <c r="MLC124" t="s">
        <v>451</v>
      </c>
      <c r="MLD124" t="s">
        <v>451</v>
      </c>
      <c r="MLE124" t="s">
        <v>451</v>
      </c>
      <c r="MLF124" t="s">
        <v>451</v>
      </c>
      <c r="MLG124" t="s">
        <v>451</v>
      </c>
      <c r="MLH124" t="s">
        <v>451</v>
      </c>
      <c r="MLI124" t="s">
        <v>451</v>
      </c>
      <c r="MLJ124" t="s">
        <v>451</v>
      </c>
      <c r="MLK124" t="s">
        <v>451</v>
      </c>
      <c r="MLL124" t="s">
        <v>451</v>
      </c>
      <c r="MLM124" t="s">
        <v>451</v>
      </c>
      <c r="MLN124" t="s">
        <v>451</v>
      </c>
      <c r="MLO124" t="s">
        <v>451</v>
      </c>
      <c r="MLP124" t="s">
        <v>451</v>
      </c>
      <c r="MLQ124" t="s">
        <v>451</v>
      </c>
      <c r="MLR124" t="s">
        <v>451</v>
      </c>
      <c r="MLS124" t="s">
        <v>451</v>
      </c>
      <c r="MLT124" t="s">
        <v>451</v>
      </c>
      <c r="MLU124" t="s">
        <v>451</v>
      </c>
      <c r="MLV124" t="s">
        <v>451</v>
      </c>
      <c r="MLW124" t="s">
        <v>451</v>
      </c>
      <c r="MLX124" t="s">
        <v>451</v>
      </c>
      <c r="MLY124" t="s">
        <v>451</v>
      </c>
      <c r="MLZ124" t="s">
        <v>451</v>
      </c>
      <c r="MMA124" t="s">
        <v>451</v>
      </c>
      <c r="MMB124" t="s">
        <v>451</v>
      </c>
      <c r="MMC124" t="s">
        <v>451</v>
      </c>
      <c r="MMD124" t="s">
        <v>451</v>
      </c>
      <c r="MME124" t="s">
        <v>451</v>
      </c>
      <c r="MMF124" t="s">
        <v>451</v>
      </c>
      <c r="MMG124" t="s">
        <v>451</v>
      </c>
      <c r="MMH124" t="s">
        <v>451</v>
      </c>
      <c r="MMI124" t="s">
        <v>451</v>
      </c>
      <c r="MMJ124" t="s">
        <v>451</v>
      </c>
      <c r="MMK124" t="s">
        <v>451</v>
      </c>
      <c r="MML124" t="s">
        <v>451</v>
      </c>
      <c r="MMM124" t="s">
        <v>451</v>
      </c>
      <c r="MMN124" t="s">
        <v>451</v>
      </c>
      <c r="MMO124" t="s">
        <v>451</v>
      </c>
      <c r="MMP124" t="s">
        <v>451</v>
      </c>
      <c r="MMQ124" t="s">
        <v>451</v>
      </c>
      <c r="MMR124" t="s">
        <v>451</v>
      </c>
      <c r="MMS124" t="s">
        <v>451</v>
      </c>
      <c r="MMT124" t="s">
        <v>451</v>
      </c>
      <c r="MMU124" t="s">
        <v>451</v>
      </c>
      <c r="MMV124" t="s">
        <v>451</v>
      </c>
      <c r="MMW124" t="s">
        <v>451</v>
      </c>
      <c r="MMX124" t="s">
        <v>451</v>
      </c>
      <c r="MMY124" t="s">
        <v>451</v>
      </c>
      <c r="MMZ124" t="s">
        <v>451</v>
      </c>
      <c r="MNA124" t="s">
        <v>451</v>
      </c>
      <c r="MNB124" t="s">
        <v>451</v>
      </c>
      <c r="MNC124" t="s">
        <v>451</v>
      </c>
      <c r="MND124" t="s">
        <v>451</v>
      </c>
      <c r="MNE124" t="s">
        <v>451</v>
      </c>
      <c r="MNF124" t="s">
        <v>451</v>
      </c>
      <c r="MNG124" t="s">
        <v>451</v>
      </c>
      <c r="MNH124" t="s">
        <v>451</v>
      </c>
      <c r="MNI124" t="s">
        <v>451</v>
      </c>
      <c r="MNJ124" t="s">
        <v>451</v>
      </c>
      <c r="MNK124" t="s">
        <v>451</v>
      </c>
      <c r="MNL124" t="s">
        <v>451</v>
      </c>
      <c r="MNM124" t="s">
        <v>451</v>
      </c>
      <c r="MNN124" t="s">
        <v>451</v>
      </c>
      <c r="MNO124" t="s">
        <v>451</v>
      </c>
      <c r="MNP124" t="s">
        <v>451</v>
      </c>
      <c r="MNQ124" t="s">
        <v>451</v>
      </c>
      <c r="MNR124" t="s">
        <v>451</v>
      </c>
      <c r="MNS124" t="s">
        <v>451</v>
      </c>
      <c r="MNT124" t="s">
        <v>451</v>
      </c>
      <c r="MNU124" t="s">
        <v>451</v>
      </c>
      <c r="MNV124" t="s">
        <v>451</v>
      </c>
      <c r="MNW124" t="s">
        <v>451</v>
      </c>
      <c r="MNX124" t="s">
        <v>451</v>
      </c>
      <c r="MNY124" t="s">
        <v>451</v>
      </c>
      <c r="MNZ124" t="s">
        <v>451</v>
      </c>
      <c r="MOA124" t="s">
        <v>451</v>
      </c>
      <c r="MOB124" t="s">
        <v>451</v>
      </c>
      <c r="MOC124" t="s">
        <v>451</v>
      </c>
      <c r="MOD124" t="s">
        <v>451</v>
      </c>
      <c r="MOE124" t="s">
        <v>451</v>
      </c>
      <c r="MOF124" t="s">
        <v>451</v>
      </c>
      <c r="MOG124" t="s">
        <v>451</v>
      </c>
      <c r="MOH124" t="s">
        <v>451</v>
      </c>
      <c r="MOI124" t="s">
        <v>451</v>
      </c>
      <c r="MOJ124" t="s">
        <v>451</v>
      </c>
      <c r="MOK124" t="s">
        <v>451</v>
      </c>
      <c r="MOL124" t="s">
        <v>451</v>
      </c>
      <c r="MOM124" t="s">
        <v>451</v>
      </c>
      <c r="MON124" t="s">
        <v>451</v>
      </c>
      <c r="MOO124" t="s">
        <v>451</v>
      </c>
      <c r="MOP124" t="s">
        <v>451</v>
      </c>
      <c r="MOQ124" t="s">
        <v>451</v>
      </c>
      <c r="MOR124" t="s">
        <v>451</v>
      </c>
      <c r="MOS124" t="s">
        <v>451</v>
      </c>
      <c r="MOT124" t="s">
        <v>451</v>
      </c>
      <c r="MOU124" t="s">
        <v>451</v>
      </c>
      <c r="MOV124" t="s">
        <v>451</v>
      </c>
      <c r="MOW124" t="s">
        <v>451</v>
      </c>
      <c r="MOX124" t="s">
        <v>451</v>
      </c>
      <c r="MOY124" t="s">
        <v>451</v>
      </c>
      <c r="MOZ124" t="s">
        <v>451</v>
      </c>
      <c r="MPA124" t="s">
        <v>451</v>
      </c>
      <c r="MPB124" t="s">
        <v>451</v>
      </c>
      <c r="MPC124" t="s">
        <v>451</v>
      </c>
      <c r="MPD124" t="s">
        <v>451</v>
      </c>
      <c r="MPE124" t="s">
        <v>451</v>
      </c>
      <c r="MPF124" t="s">
        <v>451</v>
      </c>
      <c r="MPG124" t="s">
        <v>451</v>
      </c>
      <c r="MPH124" t="s">
        <v>451</v>
      </c>
      <c r="MPI124" t="s">
        <v>451</v>
      </c>
      <c r="MPJ124" t="s">
        <v>451</v>
      </c>
      <c r="MPK124" t="s">
        <v>451</v>
      </c>
      <c r="MPL124" t="s">
        <v>451</v>
      </c>
      <c r="MPM124" t="s">
        <v>451</v>
      </c>
      <c r="MPN124" t="s">
        <v>451</v>
      </c>
      <c r="MPO124" t="s">
        <v>451</v>
      </c>
      <c r="MPP124" t="s">
        <v>451</v>
      </c>
      <c r="MPQ124" t="s">
        <v>451</v>
      </c>
      <c r="MPR124" t="s">
        <v>451</v>
      </c>
      <c r="MPS124" t="s">
        <v>451</v>
      </c>
      <c r="MPT124" t="s">
        <v>451</v>
      </c>
      <c r="MPU124" t="s">
        <v>451</v>
      </c>
      <c r="MPV124" t="s">
        <v>451</v>
      </c>
      <c r="MPW124" t="s">
        <v>451</v>
      </c>
      <c r="MPX124" t="s">
        <v>451</v>
      </c>
      <c r="MPY124" t="s">
        <v>451</v>
      </c>
      <c r="MPZ124" t="s">
        <v>451</v>
      </c>
      <c r="MQA124" t="s">
        <v>451</v>
      </c>
      <c r="MQB124" t="s">
        <v>451</v>
      </c>
      <c r="MQC124" t="s">
        <v>451</v>
      </c>
      <c r="MQD124" t="s">
        <v>451</v>
      </c>
      <c r="MQE124" t="s">
        <v>451</v>
      </c>
      <c r="MQF124" t="s">
        <v>451</v>
      </c>
      <c r="MQG124" t="s">
        <v>451</v>
      </c>
      <c r="MQH124" t="s">
        <v>451</v>
      </c>
      <c r="MQI124" t="s">
        <v>451</v>
      </c>
      <c r="MQJ124" t="s">
        <v>451</v>
      </c>
      <c r="MQK124" t="s">
        <v>451</v>
      </c>
      <c r="MQL124" t="s">
        <v>451</v>
      </c>
      <c r="MQM124" t="s">
        <v>451</v>
      </c>
      <c r="MQN124" t="s">
        <v>451</v>
      </c>
      <c r="MQO124" t="s">
        <v>451</v>
      </c>
      <c r="MQP124" t="s">
        <v>451</v>
      </c>
      <c r="MQQ124" t="s">
        <v>451</v>
      </c>
      <c r="MQR124" t="s">
        <v>451</v>
      </c>
      <c r="MQS124" t="s">
        <v>451</v>
      </c>
      <c r="MQT124" t="s">
        <v>451</v>
      </c>
      <c r="MQU124" t="s">
        <v>451</v>
      </c>
      <c r="MQV124" t="s">
        <v>451</v>
      </c>
      <c r="MQW124" t="s">
        <v>451</v>
      </c>
      <c r="MQX124" t="s">
        <v>451</v>
      </c>
      <c r="MQY124" t="s">
        <v>451</v>
      </c>
      <c r="MQZ124" t="s">
        <v>451</v>
      </c>
      <c r="MRA124" t="s">
        <v>451</v>
      </c>
      <c r="MRB124" t="s">
        <v>451</v>
      </c>
      <c r="MRC124" t="s">
        <v>451</v>
      </c>
      <c r="MRD124" t="s">
        <v>451</v>
      </c>
      <c r="MRE124" t="s">
        <v>451</v>
      </c>
      <c r="MRF124" t="s">
        <v>451</v>
      </c>
      <c r="MRG124" t="s">
        <v>451</v>
      </c>
      <c r="MRH124" t="s">
        <v>451</v>
      </c>
      <c r="MRI124" t="s">
        <v>451</v>
      </c>
      <c r="MRJ124" t="s">
        <v>451</v>
      </c>
      <c r="MRK124" t="s">
        <v>451</v>
      </c>
      <c r="MRL124" t="s">
        <v>451</v>
      </c>
      <c r="MRM124" t="s">
        <v>451</v>
      </c>
      <c r="MRN124" t="s">
        <v>451</v>
      </c>
      <c r="MRO124" t="s">
        <v>451</v>
      </c>
      <c r="MRP124" t="s">
        <v>451</v>
      </c>
      <c r="MRQ124" t="s">
        <v>451</v>
      </c>
      <c r="MRR124" t="s">
        <v>451</v>
      </c>
      <c r="MRS124" t="s">
        <v>451</v>
      </c>
      <c r="MRT124" t="s">
        <v>451</v>
      </c>
      <c r="MRU124" t="s">
        <v>451</v>
      </c>
      <c r="MRV124" t="s">
        <v>451</v>
      </c>
      <c r="MRW124" t="s">
        <v>451</v>
      </c>
      <c r="MRX124" t="s">
        <v>451</v>
      </c>
      <c r="MRY124" t="s">
        <v>451</v>
      </c>
      <c r="MRZ124" t="s">
        <v>451</v>
      </c>
      <c r="MSA124" t="s">
        <v>451</v>
      </c>
      <c r="MSB124" t="s">
        <v>451</v>
      </c>
      <c r="MSC124" t="s">
        <v>451</v>
      </c>
      <c r="MSD124" t="s">
        <v>451</v>
      </c>
      <c r="MSE124" t="s">
        <v>451</v>
      </c>
      <c r="MSF124" t="s">
        <v>451</v>
      </c>
      <c r="MSG124" t="s">
        <v>451</v>
      </c>
      <c r="MSH124" t="s">
        <v>451</v>
      </c>
      <c r="MSI124" t="s">
        <v>451</v>
      </c>
      <c r="MSJ124" t="s">
        <v>451</v>
      </c>
      <c r="MSK124" t="s">
        <v>451</v>
      </c>
      <c r="MSL124" t="s">
        <v>451</v>
      </c>
      <c r="MSM124" t="s">
        <v>451</v>
      </c>
      <c r="MSN124" t="s">
        <v>451</v>
      </c>
      <c r="MSO124" t="s">
        <v>451</v>
      </c>
      <c r="MSP124" t="s">
        <v>451</v>
      </c>
      <c r="MSQ124" t="s">
        <v>451</v>
      </c>
      <c r="MSR124" t="s">
        <v>451</v>
      </c>
      <c r="MSS124" t="s">
        <v>451</v>
      </c>
      <c r="MST124" t="s">
        <v>451</v>
      </c>
      <c r="MSU124" t="s">
        <v>451</v>
      </c>
      <c r="MSV124" t="s">
        <v>451</v>
      </c>
      <c r="MSW124" t="s">
        <v>451</v>
      </c>
      <c r="MSX124" t="s">
        <v>451</v>
      </c>
      <c r="MSY124" t="s">
        <v>451</v>
      </c>
      <c r="MSZ124" t="s">
        <v>451</v>
      </c>
      <c r="MTA124" t="s">
        <v>451</v>
      </c>
      <c r="MTB124" t="s">
        <v>451</v>
      </c>
      <c r="MTC124" t="s">
        <v>451</v>
      </c>
      <c r="MTD124" t="s">
        <v>451</v>
      </c>
      <c r="MTE124" t="s">
        <v>451</v>
      </c>
      <c r="MTF124" t="s">
        <v>451</v>
      </c>
      <c r="MTG124" t="s">
        <v>451</v>
      </c>
      <c r="MTH124" t="s">
        <v>451</v>
      </c>
      <c r="MTI124" t="s">
        <v>451</v>
      </c>
      <c r="MTJ124" t="s">
        <v>451</v>
      </c>
      <c r="MTK124" t="s">
        <v>451</v>
      </c>
      <c r="MTL124" t="s">
        <v>451</v>
      </c>
      <c r="MTM124" t="s">
        <v>451</v>
      </c>
      <c r="MTN124" t="s">
        <v>451</v>
      </c>
      <c r="MTO124" t="s">
        <v>451</v>
      </c>
      <c r="MTP124" t="s">
        <v>451</v>
      </c>
      <c r="MTQ124" t="s">
        <v>451</v>
      </c>
      <c r="MTR124" t="s">
        <v>451</v>
      </c>
      <c r="MTS124" t="s">
        <v>451</v>
      </c>
      <c r="MTT124" t="s">
        <v>451</v>
      </c>
      <c r="MTU124" t="s">
        <v>451</v>
      </c>
      <c r="MTV124" t="s">
        <v>451</v>
      </c>
      <c r="MTW124" t="s">
        <v>451</v>
      </c>
      <c r="MTX124" t="s">
        <v>451</v>
      </c>
      <c r="MTY124" t="s">
        <v>451</v>
      </c>
      <c r="MTZ124" t="s">
        <v>451</v>
      </c>
      <c r="MUA124" t="s">
        <v>451</v>
      </c>
      <c r="MUB124" t="s">
        <v>451</v>
      </c>
      <c r="MUC124" t="s">
        <v>451</v>
      </c>
      <c r="MUD124" t="s">
        <v>451</v>
      </c>
      <c r="MUE124" t="s">
        <v>451</v>
      </c>
      <c r="MUF124" t="s">
        <v>451</v>
      </c>
      <c r="MUG124" t="s">
        <v>451</v>
      </c>
      <c r="MUH124" t="s">
        <v>451</v>
      </c>
      <c r="MUI124" t="s">
        <v>451</v>
      </c>
      <c r="MUJ124" t="s">
        <v>451</v>
      </c>
      <c r="MUK124" t="s">
        <v>451</v>
      </c>
      <c r="MUL124" t="s">
        <v>451</v>
      </c>
      <c r="MUM124" t="s">
        <v>451</v>
      </c>
      <c r="MUN124" t="s">
        <v>451</v>
      </c>
      <c r="MUO124" t="s">
        <v>451</v>
      </c>
      <c r="MUP124" t="s">
        <v>451</v>
      </c>
      <c r="MUQ124" t="s">
        <v>451</v>
      </c>
      <c r="MUR124" t="s">
        <v>451</v>
      </c>
      <c r="MUS124" t="s">
        <v>451</v>
      </c>
      <c r="MUT124" t="s">
        <v>451</v>
      </c>
      <c r="MUU124" t="s">
        <v>451</v>
      </c>
      <c r="MUV124" t="s">
        <v>451</v>
      </c>
      <c r="MUW124" t="s">
        <v>451</v>
      </c>
      <c r="MUX124" t="s">
        <v>451</v>
      </c>
      <c r="MUY124" t="s">
        <v>451</v>
      </c>
      <c r="MUZ124" t="s">
        <v>451</v>
      </c>
      <c r="MVA124" t="s">
        <v>451</v>
      </c>
      <c r="MVB124" t="s">
        <v>451</v>
      </c>
      <c r="MVC124" t="s">
        <v>451</v>
      </c>
      <c r="MVD124" t="s">
        <v>451</v>
      </c>
      <c r="MVE124" t="s">
        <v>451</v>
      </c>
      <c r="MVF124" t="s">
        <v>451</v>
      </c>
      <c r="MVG124" t="s">
        <v>451</v>
      </c>
      <c r="MVH124" t="s">
        <v>451</v>
      </c>
      <c r="MVI124" t="s">
        <v>451</v>
      </c>
      <c r="MVJ124" t="s">
        <v>451</v>
      </c>
      <c r="MVK124" t="s">
        <v>451</v>
      </c>
      <c r="MVL124" t="s">
        <v>451</v>
      </c>
      <c r="MVM124" t="s">
        <v>451</v>
      </c>
      <c r="MVN124" t="s">
        <v>451</v>
      </c>
      <c r="MVO124" t="s">
        <v>451</v>
      </c>
      <c r="MVP124" t="s">
        <v>451</v>
      </c>
      <c r="MVQ124" t="s">
        <v>451</v>
      </c>
      <c r="MVR124" t="s">
        <v>451</v>
      </c>
      <c r="MVS124" t="s">
        <v>451</v>
      </c>
      <c r="MVT124" t="s">
        <v>451</v>
      </c>
      <c r="MVU124" t="s">
        <v>451</v>
      </c>
      <c r="MVV124" t="s">
        <v>451</v>
      </c>
      <c r="MVW124" t="s">
        <v>451</v>
      </c>
      <c r="MVX124" t="s">
        <v>451</v>
      </c>
      <c r="MVY124" t="s">
        <v>451</v>
      </c>
      <c r="MVZ124" t="s">
        <v>451</v>
      </c>
      <c r="MWA124" t="s">
        <v>451</v>
      </c>
      <c r="MWB124" t="s">
        <v>451</v>
      </c>
      <c r="MWC124" t="s">
        <v>451</v>
      </c>
      <c r="MWD124" t="s">
        <v>451</v>
      </c>
      <c r="MWE124" t="s">
        <v>451</v>
      </c>
      <c r="MWF124" t="s">
        <v>451</v>
      </c>
      <c r="MWG124" t="s">
        <v>451</v>
      </c>
      <c r="MWH124" t="s">
        <v>451</v>
      </c>
      <c r="MWI124" t="s">
        <v>451</v>
      </c>
      <c r="MWJ124" t="s">
        <v>451</v>
      </c>
      <c r="MWK124" t="s">
        <v>451</v>
      </c>
      <c r="MWL124" t="s">
        <v>451</v>
      </c>
      <c r="MWM124" t="s">
        <v>451</v>
      </c>
      <c r="MWN124" t="s">
        <v>451</v>
      </c>
      <c r="MWO124" t="s">
        <v>451</v>
      </c>
      <c r="MWP124" t="s">
        <v>451</v>
      </c>
      <c r="MWQ124" t="s">
        <v>451</v>
      </c>
      <c r="MWR124" t="s">
        <v>451</v>
      </c>
      <c r="MWS124" t="s">
        <v>451</v>
      </c>
      <c r="MWT124" t="s">
        <v>451</v>
      </c>
      <c r="MWU124" t="s">
        <v>451</v>
      </c>
      <c r="MWV124" t="s">
        <v>451</v>
      </c>
      <c r="MWW124" t="s">
        <v>451</v>
      </c>
      <c r="MWX124" t="s">
        <v>451</v>
      </c>
      <c r="MWY124" t="s">
        <v>451</v>
      </c>
      <c r="MWZ124" t="s">
        <v>451</v>
      </c>
      <c r="MXA124" t="s">
        <v>451</v>
      </c>
      <c r="MXB124" t="s">
        <v>451</v>
      </c>
      <c r="MXC124" t="s">
        <v>451</v>
      </c>
      <c r="MXD124" t="s">
        <v>451</v>
      </c>
      <c r="MXE124" t="s">
        <v>451</v>
      </c>
      <c r="MXF124" t="s">
        <v>451</v>
      </c>
      <c r="MXG124" t="s">
        <v>451</v>
      </c>
      <c r="MXH124" t="s">
        <v>451</v>
      </c>
      <c r="MXI124" t="s">
        <v>451</v>
      </c>
      <c r="MXJ124" t="s">
        <v>451</v>
      </c>
      <c r="MXK124" t="s">
        <v>451</v>
      </c>
      <c r="MXL124" t="s">
        <v>451</v>
      </c>
      <c r="MXM124" t="s">
        <v>451</v>
      </c>
      <c r="MXN124" t="s">
        <v>451</v>
      </c>
      <c r="MXO124" t="s">
        <v>451</v>
      </c>
      <c r="MXP124" t="s">
        <v>451</v>
      </c>
      <c r="MXQ124" t="s">
        <v>451</v>
      </c>
      <c r="MXR124" t="s">
        <v>451</v>
      </c>
      <c r="MXS124" t="s">
        <v>451</v>
      </c>
      <c r="MXT124" t="s">
        <v>451</v>
      </c>
      <c r="MXU124" t="s">
        <v>451</v>
      </c>
      <c r="MXV124" t="s">
        <v>451</v>
      </c>
      <c r="MXW124" t="s">
        <v>451</v>
      </c>
      <c r="MXX124" t="s">
        <v>451</v>
      </c>
      <c r="MXY124" t="s">
        <v>451</v>
      </c>
      <c r="MXZ124" t="s">
        <v>451</v>
      </c>
      <c r="MYA124" t="s">
        <v>451</v>
      </c>
      <c r="MYB124" t="s">
        <v>451</v>
      </c>
      <c r="MYC124" t="s">
        <v>451</v>
      </c>
      <c r="MYD124" t="s">
        <v>451</v>
      </c>
      <c r="MYE124" t="s">
        <v>451</v>
      </c>
      <c r="MYF124" t="s">
        <v>451</v>
      </c>
      <c r="MYG124" t="s">
        <v>451</v>
      </c>
      <c r="MYH124" t="s">
        <v>451</v>
      </c>
      <c r="MYI124" t="s">
        <v>451</v>
      </c>
      <c r="MYJ124" t="s">
        <v>451</v>
      </c>
      <c r="MYK124" t="s">
        <v>451</v>
      </c>
      <c r="MYL124" t="s">
        <v>451</v>
      </c>
      <c r="MYM124" t="s">
        <v>451</v>
      </c>
      <c r="MYN124" t="s">
        <v>451</v>
      </c>
      <c r="MYO124" t="s">
        <v>451</v>
      </c>
      <c r="MYP124" t="s">
        <v>451</v>
      </c>
      <c r="MYQ124" t="s">
        <v>451</v>
      </c>
      <c r="MYR124" t="s">
        <v>451</v>
      </c>
      <c r="MYS124" t="s">
        <v>451</v>
      </c>
      <c r="MYT124" t="s">
        <v>451</v>
      </c>
      <c r="MYU124" t="s">
        <v>451</v>
      </c>
      <c r="MYV124" t="s">
        <v>451</v>
      </c>
      <c r="MYW124" t="s">
        <v>451</v>
      </c>
      <c r="MYX124" t="s">
        <v>451</v>
      </c>
      <c r="MYY124" t="s">
        <v>451</v>
      </c>
      <c r="MYZ124" t="s">
        <v>451</v>
      </c>
      <c r="MZA124" t="s">
        <v>451</v>
      </c>
      <c r="MZB124" t="s">
        <v>451</v>
      </c>
      <c r="MZC124" t="s">
        <v>451</v>
      </c>
      <c r="MZD124" t="s">
        <v>451</v>
      </c>
      <c r="MZE124" t="s">
        <v>451</v>
      </c>
      <c r="MZF124" t="s">
        <v>451</v>
      </c>
      <c r="MZG124" t="s">
        <v>451</v>
      </c>
      <c r="MZH124" t="s">
        <v>451</v>
      </c>
      <c r="MZI124" t="s">
        <v>451</v>
      </c>
      <c r="MZJ124" t="s">
        <v>451</v>
      </c>
      <c r="MZK124" t="s">
        <v>451</v>
      </c>
      <c r="MZL124" t="s">
        <v>451</v>
      </c>
      <c r="MZM124" t="s">
        <v>451</v>
      </c>
      <c r="MZN124" t="s">
        <v>451</v>
      </c>
      <c r="MZO124" t="s">
        <v>451</v>
      </c>
      <c r="MZP124" t="s">
        <v>451</v>
      </c>
      <c r="MZQ124" t="s">
        <v>451</v>
      </c>
      <c r="MZR124" t="s">
        <v>451</v>
      </c>
      <c r="MZS124" t="s">
        <v>451</v>
      </c>
      <c r="MZT124" t="s">
        <v>451</v>
      </c>
      <c r="MZU124" t="s">
        <v>451</v>
      </c>
      <c r="MZV124" t="s">
        <v>451</v>
      </c>
      <c r="MZW124" t="s">
        <v>451</v>
      </c>
      <c r="MZX124" t="s">
        <v>451</v>
      </c>
      <c r="MZY124" t="s">
        <v>451</v>
      </c>
      <c r="MZZ124" t="s">
        <v>451</v>
      </c>
      <c r="NAA124" t="s">
        <v>451</v>
      </c>
      <c r="NAB124" t="s">
        <v>451</v>
      </c>
      <c r="NAC124" t="s">
        <v>451</v>
      </c>
      <c r="NAD124" t="s">
        <v>451</v>
      </c>
      <c r="NAE124" t="s">
        <v>451</v>
      </c>
      <c r="NAF124" t="s">
        <v>451</v>
      </c>
      <c r="NAG124" t="s">
        <v>451</v>
      </c>
      <c r="NAH124" t="s">
        <v>451</v>
      </c>
      <c r="NAI124" t="s">
        <v>451</v>
      </c>
      <c r="NAJ124" t="s">
        <v>451</v>
      </c>
      <c r="NAK124" t="s">
        <v>451</v>
      </c>
      <c r="NAL124" t="s">
        <v>451</v>
      </c>
      <c r="NAM124" t="s">
        <v>451</v>
      </c>
      <c r="NAN124" t="s">
        <v>451</v>
      </c>
      <c r="NAO124" t="s">
        <v>451</v>
      </c>
      <c r="NAP124" t="s">
        <v>451</v>
      </c>
      <c r="NAQ124" t="s">
        <v>451</v>
      </c>
      <c r="NAR124" t="s">
        <v>451</v>
      </c>
      <c r="NAS124" t="s">
        <v>451</v>
      </c>
      <c r="NAT124" t="s">
        <v>451</v>
      </c>
      <c r="NAU124" t="s">
        <v>451</v>
      </c>
      <c r="NAV124" t="s">
        <v>451</v>
      </c>
      <c r="NAW124" t="s">
        <v>451</v>
      </c>
      <c r="NAX124" t="s">
        <v>451</v>
      </c>
      <c r="NAY124" t="s">
        <v>451</v>
      </c>
      <c r="NAZ124" t="s">
        <v>451</v>
      </c>
      <c r="NBA124" t="s">
        <v>451</v>
      </c>
      <c r="NBB124" t="s">
        <v>451</v>
      </c>
      <c r="NBC124" t="s">
        <v>451</v>
      </c>
      <c r="NBD124" t="s">
        <v>451</v>
      </c>
      <c r="NBE124" t="s">
        <v>451</v>
      </c>
      <c r="NBF124" t="s">
        <v>451</v>
      </c>
      <c r="NBG124" t="s">
        <v>451</v>
      </c>
      <c r="NBH124" t="s">
        <v>451</v>
      </c>
      <c r="NBI124" t="s">
        <v>451</v>
      </c>
      <c r="NBJ124" t="s">
        <v>451</v>
      </c>
      <c r="NBK124" t="s">
        <v>451</v>
      </c>
      <c r="NBL124" t="s">
        <v>451</v>
      </c>
      <c r="NBM124" t="s">
        <v>451</v>
      </c>
      <c r="NBN124" t="s">
        <v>451</v>
      </c>
      <c r="NBO124" t="s">
        <v>451</v>
      </c>
      <c r="NBP124" t="s">
        <v>451</v>
      </c>
      <c r="NBQ124" t="s">
        <v>451</v>
      </c>
      <c r="NBR124" t="s">
        <v>451</v>
      </c>
      <c r="NBS124" t="s">
        <v>451</v>
      </c>
      <c r="NBT124" t="s">
        <v>451</v>
      </c>
      <c r="NBU124" t="s">
        <v>451</v>
      </c>
      <c r="NBV124" t="s">
        <v>451</v>
      </c>
      <c r="NBW124" t="s">
        <v>451</v>
      </c>
      <c r="NBX124" t="s">
        <v>451</v>
      </c>
      <c r="NBY124" t="s">
        <v>451</v>
      </c>
      <c r="NBZ124" t="s">
        <v>451</v>
      </c>
      <c r="NCA124" t="s">
        <v>451</v>
      </c>
      <c r="NCB124" t="s">
        <v>451</v>
      </c>
      <c r="NCC124" t="s">
        <v>451</v>
      </c>
      <c r="NCD124" t="s">
        <v>451</v>
      </c>
      <c r="NCE124" t="s">
        <v>451</v>
      </c>
      <c r="NCF124" t="s">
        <v>451</v>
      </c>
      <c r="NCG124" t="s">
        <v>451</v>
      </c>
      <c r="NCH124" t="s">
        <v>451</v>
      </c>
      <c r="NCI124" t="s">
        <v>451</v>
      </c>
      <c r="NCJ124" t="s">
        <v>451</v>
      </c>
      <c r="NCK124" t="s">
        <v>451</v>
      </c>
      <c r="NCL124" t="s">
        <v>451</v>
      </c>
      <c r="NCM124" t="s">
        <v>451</v>
      </c>
      <c r="NCN124" t="s">
        <v>451</v>
      </c>
      <c r="NCO124" t="s">
        <v>451</v>
      </c>
      <c r="NCP124" t="s">
        <v>451</v>
      </c>
      <c r="NCQ124" t="s">
        <v>451</v>
      </c>
      <c r="NCR124" t="s">
        <v>451</v>
      </c>
      <c r="NCS124" t="s">
        <v>451</v>
      </c>
      <c r="NCT124" t="s">
        <v>451</v>
      </c>
      <c r="NCU124" t="s">
        <v>451</v>
      </c>
      <c r="NCV124" t="s">
        <v>451</v>
      </c>
      <c r="NCW124" t="s">
        <v>451</v>
      </c>
      <c r="NCX124" t="s">
        <v>451</v>
      </c>
      <c r="NCY124" t="s">
        <v>451</v>
      </c>
      <c r="NCZ124" t="s">
        <v>451</v>
      </c>
      <c r="NDA124" t="s">
        <v>451</v>
      </c>
      <c r="NDB124" t="s">
        <v>451</v>
      </c>
      <c r="NDC124" t="s">
        <v>451</v>
      </c>
      <c r="NDD124" t="s">
        <v>451</v>
      </c>
      <c r="NDE124" t="s">
        <v>451</v>
      </c>
      <c r="NDF124" t="s">
        <v>451</v>
      </c>
      <c r="NDG124" t="s">
        <v>451</v>
      </c>
      <c r="NDH124" t="s">
        <v>451</v>
      </c>
      <c r="NDI124" t="s">
        <v>451</v>
      </c>
      <c r="NDJ124" t="s">
        <v>451</v>
      </c>
      <c r="NDK124" t="s">
        <v>451</v>
      </c>
      <c r="NDL124" t="s">
        <v>451</v>
      </c>
      <c r="NDM124" t="s">
        <v>451</v>
      </c>
      <c r="NDN124" t="s">
        <v>451</v>
      </c>
      <c r="NDO124" t="s">
        <v>451</v>
      </c>
      <c r="NDP124" t="s">
        <v>451</v>
      </c>
      <c r="NDQ124" t="s">
        <v>451</v>
      </c>
      <c r="NDR124" t="s">
        <v>451</v>
      </c>
      <c r="NDS124" t="s">
        <v>451</v>
      </c>
      <c r="NDT124" t="s">
        <v>451</v>
      </c>
      <c r="NDU124" t="s">
        <v>451</v>
      </c>
      <c r="NDV124" t="s">
        <v>451</v>
      </c>
      <c r="NDW124" t="s">
        <v>451</v>
      </c>
      <c r="NDX124" t="s">
        <v>451</v>
      </c>
      <c r="NDY124" t="s">
        <v>451</v>
      </c>
      <c r="NDZ124" t="s">
        <v>451</v>
      </c>
      <c r="NEA124" t="s">
        <v>451</v>
      </c>
      <c r="NEB124" t="s">
        <v>451</v>
      </c>
      <c r="NEC124" t="s">
        <v>451</v>
      </c>
      <c r="NED124" t="s">
        <v>451</v>
      </c>
      <c r="NEE124" t="s">
        <v>451</v>
      </c>
      <c r="NEF124" t="s">
        <v>451</v>
      </c>
      <c r="NEG124" t="s">
        <v>451</v>
      </c>
      <c r="NEH124" t="s">
        <v>451</v>
      </c>
      <c r="NEI124" t="s">
        <v>451</v>
      </c>
      <c r="NEJ124" t="s">
        <v>451</v>
      </c>
      <c r="NEK124" t="s">
        <v>451</v>
      </c>
      <c r="NEL124" t="s">
        <v>451</v>
      </c>
      <c r="NEM124" t="s">
        <v>451</v>
      </c>
      <c r="NEN124" t="s">
        <v>451</v>
      </c>
      <c r="NEO124" t="s">
        <v>451</v>
      </c>
      <c r="NEP124" t="s">
        <v>451</v>
      </c>
      <c r="NEQ124" t="s">
        <v>451</v>
      </c>
      <c r="NER124" t="s">
        <v>451</v>
      </c>
      <c r="NES124" t="s">
        <v>451</v>
      </c>
      <c r="NET124" t="s">
        <v>451</v>
      </c>
      <c r="NEU124" t="s">
        <v>451</v>
      </c>
      <c r="NEV124" t="s">
        <v>451</v>
      </c>
      <c r="NEW124" t="s">
        <v>451</v>
      </c>
      <c r="NEX124" t="s">
        <v>451</v>
      </c>
      <c r="NEY124" t="s">
        <v>451</v>
      </c>
      <c r="NEZ124" t="s">
        <v>451</v>
      </c>
      <c r="NFA124" t="s">
        <v>451</v>
      </c>
      <c r="NFB124" t="s">
        <v>451</v>
      </c>
      <c r="NFC124" t="s">
        <v>451</v>
      </c>
      <c r="NFD124" t="s">
        <v>451</v>
      </c>
      <c r="NFE124" t="s">
        <v>451</v>
      </c>
      <c r="NFF124" t="s">
        <v>451</v>
      </c>
      <c r="NFG124" t="s">
        <v>451</v>
      </c>
      <c r="NFH124" t="s">
        <v>451</v>
      </c>
      <c r="NFI124" t="s">
        <v>451</v>
      </c>
      <c r="NFJ124" t="s">
        <v>451</v>
      </c>
      <c r="NFK124" t="s">
        <v>451</v>
      </c>
      <c r="NFL124" t="s">
        <v>451</v>
      </c>
      <c r="NFM124" t="s">
        <v>451</v>
      </c>
      <c r="NFN124" t="s">
        <v>451</v>
      </c>
      <c r="NFO124" t="s">
        <v>451</v>
      </c>
      <c r="NFP124" t="s">
        <v>451</v>
      </c>
      <c r="NFQ124" t="s">
        <v>451</v>
      </c>
      <c r="NFR124" t="s">
        <v>451</v>
      </c>
      <c r="NFS124" t="s">
        <v>451</v>
      </c>
      <c r="NFT124" t="s">
        <v>451</v>
      </c>
      <c r="NFU124" t="s">
        <v>451</v>
      </c>
      <c r="NFV124" t="s">
        <v>451</v>
      </c>
      <c r="NFW124" t="s">
        <v>451</v>
      </c>
      <c r="NFX124" t="s">
        <v>451</v>
      </c>
      <c r="NFY124" t="s">
        <v>451</v>
      </c>
      <c r="NFZ124" t="s">
        <v>451</v>
      </c>
      <c r="NGA124" t="s">
        <v>451</v>
      </c>
      <c r="NGB124" t="s">
        <v>451</v>
      </c>
      <c r="NGC124" t="s">
        <v>451</v>
      </c>
      <c r="NGD124" t="s">
        <v>451</v>
      </c>
      <c r="NGE124" t="s">
        <v>451</v>
      </c>
      <c r="NGF124" t="s">
        <v>451</v>
      </c>
      <c r="NGG124" t="s">
        <v>451</v>
      </c>
      <c r="NGH124" t="s">
        <v>451</v>
      </c>
      <c r="NGI124" t="s">
        <v>451</v>
      </c>
      <c r="NGJ124" t="s">
        <v>451</v>
      </c>
      <c r="NGK124" t="s">
        <v>451</v>
      </c>
      <c r="NGL124" t="s">
        <v>451</v>
      </c>
      <c r="NGM124" t="s">
        <v>451</v>
      </c>
      <c r="NGN124" t="s">
        <v>451</v>
      </c>
      <c r="NGO124" t="s">
        <v>451</v>
      </c>
      <c r="NGP124" t="s">
        <v>451</v>
      </c>
      <c r="NGQ124" t="s">
        <v>451</v>
      </c>
      <c r="NGR124" t="s">
        <v>451</v>
      </c>
      <c r="NGS124" t="s">
        <v>451</v>
      </c>
      <c r="NGT124" t="s">
        <v>451</v>
      </c>
      <c r="NGU124" t="s">
        <v>451</v>
      </c>
      <c r="NGV124" t="s">
        <v>451</v>
      </c>
      <c r="NGW124" t="s">
        <v>451</v>
      </c>
      <c r="NGX124" t="s">
        <v>451</v>
      </c>
      <c r="NGY124" t="s">
        <v>451</v>
      </c>
      <c r="NGZ124" t="s">
        <v>451</v>
      </c>
      <c r="NHA124" t="s">
        <v>451</v>
      </c>
      <c r="NHB124" t="s">
        <v>451</v>
      </c>
      <c r="NHC124" t="s">
        <v>451</v>
      </c>
      <c r="NHD124" t="s">
        <v>451</v>
      </c>
      <c r="NHE124" t="s">
        <v>451</v>
      </c>
      <c r="NHF124" t="s">
        <v>451</v>
      </c>
      <c r="NHG124" t="s">
        <v>451</v>
      </c>
      <c r="NHH124" t="s">
        <v>451</v>
      </c>
      <c r="NHI124" t="s">
        <v>451</v>
      </c>
      <c r="NHJ124" t="s">
        <v>451</v>
      </c>
      <c r="NHK124" t="s">
        <v>451</v>
      </c>
      <c r="NHL124" t="s">
        <v>451</v>
      </c>
      <c r="NHM124" t="s">
        <v>451</v>
      </c>
      <c r="NHN124" t="s">
        <v>451</v>
      </c>
      <c r="NHO124" t="s">
        <v>451</v>
      </c>
      <c r="NHP124" t="s">
        <v>451</v>
      </c>
      <c r="NHQ124" t="s">
        <v>451</v>
      </c>
      <c r="NHR124" t="s">
        <v>451</v>
      </c>
      <c r="NHS124" t="s">
        <v>451</v>
      </c>
      <c r="NHT124" t="s">
        <v>451</v>
      </c>
      <c r="NHU124" t="s">
        <v>451</v>
      </c>
      <c r="NHV124" t="s">
        <v>451</v>
      </c>
      <c r="NHW124" t="s">
        <v>451</v>
      </c>
      <c r="NHX124" t="s">
        <v>451</v>
      </c>
      <c r="NHY124" t="s">
        <v>451</v>
      </c>
      <c r="NHZ124" t="s">
        <v>451</v>
      </c>
      <c r="NIA124" t="s">
        <v>451</v>
      </c>
      <c r="NIB124" t="s">
        <v>451</v>
      </c>
      <c r="NIC124" t="s">
        <v>451</v>
      </c>
      <c r="NID124" t="s">
        <v>451</v>
      </c>
      <c r="NIE124" t="s">
        <v>451</v>
      </c>
      <c r="NIF124" t="s">
        <v>451</v>
      </c>
      <c r="NIG124" t="s">
        <v>451</v>
      </c>
      <c r="NIH124" t="s">
        <v>451</v>
      </c>
      <c r="NII124" t="s">
        <v>451</v>
      </c>
      <c r="NIJ124" t="s">
        <v>451</v>
      </c>
      <c r="NIK124" t="s">
        <v>451</v>
      </c>
      <c r="NIL124" t="s">
        <v>451</v>
      </c>
      <c r="NIM124" t="s">
        <v>451</v>
      </c>
      <c r="NIN124" t="s">
        <v>451</v>
      </c>
      <c r="NIO124" t="s">
        <v>451</v>
      </c>
      <c r="NIP124" t="s">
        <v>451</v>
      </c>
      <c r="NIQ124" t="s">
        <v>451</v>
      </c>
      <c r="NIR124" t="s">
        <v>451</v>
      </c>
      <c r="NIS124" t="s">
        <v>451</v>
      </c>
      <c r="NIT124" t="s">
        <v>451</v>
      </c>
      <c r="NIU124" t="s">
        <v>451</v>
      </c>
      <c r="NIV124" t="s">
        <v>451</v>
      </c>
      <c r="NIW124" t="s">
        <v>451</v>
      </c>
      <c r="NIX124" t="s">
        <v>451</v>
      </c>
      <c r="NIY124" t="s">
        <v>451</v>
      </c>
      <c r="NIZ124" t="s">
        <v>451</v>
      </c>
      <c r="NJA124" t="s">
        <v>451</v>
      </c>
      <c r="NJB124" t="s">
        <v>451</v>
      </c>
      <c r="NJC124" t="s">
        <v>451</v>
      </c>
      <c r="NJD124" t="s">
        <v>451</v>
      </c>
      <c r="NJE124" t="s">
        <v>451</v>
      </c>
      <c r="NJF124" t="s">
        <v>451</v>
      </c>
      <c r="NJG124" t="s">
        <v>451</v>
      </c>
      <c r="NJH124" t="s">
        <v>451</v>
      </c>
      <c r="NJI124" t="s">
        <v>451</v>
      </c>
      <c r="NJJ124" t="s">
        <v>451</v>
      </c>
      <c r="NJK124" t="s">
        <v>451</v>
      </c>
      <c r="NJL124" t="s">
        <v>451</v>
      </c>
      <c r="NJM124" t="s">
        <v>451</v>
      </c>
      <c r="NJN124" t="s">
        <v>451</v>
      </c>
      <c r="NJO124" t="s">
        <v>451</v>
      </c>
      <c r="NJP124" t="s">
        <v>451</v>
      </c>
      <c r="NJQ124" t="s">
        <v>451</v>
      </c>
      <c r="NJR124" t="s">
        <v>451</v>
      </c>
      <c r="NJS124" t="s">
        <v>451</v>
      </c>
      <c r="NJT124" t="s">
        <v>451</v>
      </c>
      <c r="NJU124" t="s">
        <v>451</v>
      </c>
      <c r="NJV124" t="s">
        <v>451</v>
      </c>
      <c r="NJW124" t="s">
        <v>451</v>
      </c>
      <c r="NJX124" t="s">
        <v>451</v>
      </c>
      <c r="NJY124" t="s">
        <v>451</v>
      </c>
      <c r="NJZ124" t="s">
        <v>451</v>
      </c>
      <c r="NKA124" t="s">
        <v>451</v>
      </c>
      <c r="NKB124" t="s">
        <v>451</v>
      </c>
      <c r="NKC124" t="s">
        <v>451</v>
      </c>
      <c r="NKD124" t="s">
        <v>451</v>
      </c>
      <c r="NKE124" t="s">
        <v>451</v>
      </c>
      <c r="NKF124" t="s">
        <v>451</v>
      </c>
      <c r="NKG124" t="s">
        <v>451</v>
      </c>
      <c r="NKH124" t="s">
        <v>451</v>
      </c>
      <c r="NKI124" t="s">
        <v>451</v>
      </c>
      <c r="NKJ124" t="s">
        <v>451</v>
      </c>
      <c r="NKK124" t="s">
        <v>451</v>
      </c>
      <c r="NKL124" t="s">
        <v>451</v>
      </c>
      <c r="NKM124" t="s">
        <v>451</v>
      </c>
      <c r="NKN124" t="s">
        <v>451</v>
      </c>
      <c r="NKO124" t="s">
        <v>451</v>
      </c>
      <c r="NKP124" t="s">
        <v>451</v>
      </c>
      <c r="NKQ124" t="s">
        <v>451</v>
      </c>
      <c r="NKR124" t="s">
        <v>451</v>
      </c>
      <c r="NKS124" t="s">
        <v>451</v>
      </c>
      <c r="NKT124" t="s">
        <v>451</v>
      </c>
      <c r="NKU124" t="s">
        <v>451</v>
      </c>
      <c r="NKV124" t="s">
        <v>451</v>
      </c>
      <c r="NKW124" t="s">
        <v>451</v>
      </c>
      <c r="NKX124" t="s">
        <v>451</v>
      </c>
      <c r="NKY124" t="s">
        <v>451</v>
      </c>
      <c r="NKZ124" t="s">
        <v>451</v>
      </c>
      <c r="NLA124" t="s">
        <v>451</v>
      </c>
      <c r="NLB124" t="s">
        <v>451</v>
      </c>
      <c r="NLC124" t="s">
        <v>451</v>
      </c>
      <c r="NLD124" t="s">
        <v>451</v>
      </c>
      <c r="NLE124" t="s">
        <v>451</v>
      </c>
      <c r="NLF124" t="s">
        <v>451</v>
      </c>
      <c r="NLG124" t="s">
        <v>451</v>
      </c>
      <c r="NLH124" t="s">
        <v>451</v>
      </c>
      <c r="NLI124" t="s">
        <v>451</v>
      </c>
      <c r="NLJ124" t="s">
        <v>451</v>
      </c>
      <c r="NLK124" t="s">
        <v>451</v>
      </c>
      <c r="NLL124" t="s">
        <v>451</v>
      </c>
      <c r="NLM124" t="s">
        <v>451</v>
      </c>
      <c r="NLN124" t="s">
        <v>451</v>
      </c>
      <c r="NLO124" t="s">
        <v>451</v>
      </c>
      <c r="NLP124" t="s">
        <v>451</v>
      </c>
      <c r="NLQ124" t="s">
        <v>451</v>
      </c>
      <c r="NLR124" t="s">
        <v>451</v>
      </c>
      <c r="NLS124" t="s">
        <v>451</v>
      </c>
      <c r="NLT124" t="s">
        <v>451</v>
      </c>
      <c r="NLU124" t="s">
        <v>451</v>
      </c>
      <c r="NLV124" t="s">
        <v>451</v>
      </c>
      <c r="NLW124" t="s">
        <v>451</v>
      </c>
      <c r="NLX124" t="s">
        <v>451</v>
      </c>
      <c r="NLY124" t="s">
        <v>451</v>
      </c>
      <c r="NLZ124" t="s">
        <v>451</v>
      </c>
      <c r="NMA124" t="s">
        <v>451</v>
      </c>
      <c r="NMB124" t="s">
        <v>451</v>
      </c>
      <c r="NMC124" t="s">
        <v>451</v>
      </c>
      <c r="NMD124" t="s">
        <v>451</v>
      </c>
      <c r="NME124" t="s">
        <v>451</v>
      </c>
      <c r="NMF124" t="s">
        <v>451</v>
      </c>
      <c r="NMG124" t="s">
        <v>451</v>
      </c>
      <c r="NMH124" t="s">
        <v>451</v>
      </c>
      <c r="NMI124" t="s">
        <v>451</v>
      </c>
      <c r="NMJ124" t="s">
        <v>451</v>
      </c>
      <c r="NMK124" t="s">
        <v>451</v>
      </c>
      <c r="NML124" t="s">
        <v>451</v>
      </c>
      <c r="NMM124" t="s">
        <v>451</v>
      </c>
      <c r="NMN124" t="s">
        <v>451</v>
      </c>
      <c r="NMO124" t="s">
        <v>451</v>
      </c>
      <c r="NMP124" t="s">
        <v>451</v>
      </c>
      <c r="NMQ124" t="s">
        <v>451</v>
      </c>
      <c r="NMR124" t="s">
        <v>451</v>
      </c>
      <c r="NMS124" t="s">
        <v>451</v>
      </c>
      <c r="NMT124" t="s">
        <v>451</v>
      </c>
      <c r="NMU124" t="s">
        <v>451</v>
      </c>
      <c r="NMV124" t="s">
        <v>451</v>
      </c>
      <c r="NMW124" t="s">
        <v>451</v>
      </c>
      <c r="NMX124" t="s">
        <v>451</v>
      </c>
      <c r="NMY124" t="s">
        <v>451</v>
      </c>
      <c r="NMZ124" t="s">
        <v>451</v>
      </c>
      <c r="NNA124" t="s">
        <v>451</v>
      </c>
      <c r="NNB124" t="s">
        <v>451</v>
      </c>
      <c r="NNC124" t="s">
        <v>451</v>
      </c>
      <c r="NND124" t="s">
        <v>451</v>
      </c>
      <c r="NNE124" t="s">
        <v>451</v>
      </c>
      <c r="NNF124" t="s">
        <v>451</v>
      </c>
      <c r="NNG124" t="s">
        <v>451</v>
      </c>
      <c r="NNH124" t="s">
        <v>451</v>
      </c>
      <c r="NNI124" t="s">
        <v>451</v>
      </c>
      <c r="NNJ124" t="s">
        <v>451</v>
      </c>
      <c r="NNK124" t="s">
        <v>451</v>
      </c>
      <c r="NNL124" t="s">
        <v>451</v>
      </c>
      <c r="NNM124" t="s">
        <v>451</v>
      </c>
      <c r="NNN124" t="s">
        <v>451</v>
      </c>
      <c r="NNO124" t="s">
        <v>451</v>
      </c>
      <c r="NNP124" t="s">
        <v>451</v>
      </c>
      <c r="NNQ124" t="s">
        <v>451</v>
      </c>
      <c r="NNR124" t="s">
        <v>451</v>
      </c>
      <c r="NNS124" t="s">
        <v>451</v>
      </c>
      <c r="NNT124" t="s">
        <v>451</v>
      </c>
      <c r="NNU124" t="s">
        <v>451</v>
      </c>
      <c r="NNV124" t="s">
        <v>451</v>
      </c>
      <c r="NNW124" t="s">
        <v>451</v>
      </c>
      <c r="NNX124" t="s">
        <v>451</v>
      </c>
      <c r="NNY124" t="s">
        <v>451</v>
      </c>
      <c r="NNZ124" t="s">
        <v>451</v>
      </c>
      <c r="NOA124" t="s">
        <v>451</v>
      </c>
      <c r="NOB124" t="s">
        <v>451</v>
      </c>
      <c r="NOC124" t="s">
        <v>451</v>
      </c>
      <c r="NOD124" t="s">
        <v>451</v>
      </c>
      <c r="NOE124" t="s">
        <v>451</v>
      </c>
      <c r="NOF124" t="s">
        <v>451</v>
      </c>
      <c r="NOG124" t="s">
        <v>451</v>
      </c>
      <c r="NOH124" t="s">
        <v>451</v>
      </c>
      <c r="NOI124" t="s">
        <v>451</v>
      </c>
      <c r="NOJ124" t="s">
        <v>451</v>
      </c>
      <c r="NOK124" t="s">
        <v>451</v>
      </c>
      <c r="NOL124" t="s">
        <v>451</v>
      </c>
      <c r="NOM124" t="s">
        <v>451</v>
      </c>
      <c r="NON124" t="s">
        <v>451</v>
      </c>
      <c r="NOO124" t="s">
        <v>451</v>
      </c>
      <c r="NOP124" t="s">
        <v>451</v>
      </c>
      <c r="NOQ124" t="s">
        <v>451</v>
      </c>
      <c r="NOR124" t="s">
        <v>451</v>
      </c>
      <c r="NOS124" t="s">
        <v>451</v>
      </c>
      <c r="NOT124" t="s">
        <v>451</v>
      </c>
      <c r="NOU124" t="s">
        <v>451</v>
      </c>
      <c r="NOV124" t="s">
        <v>451</v>
      </c>
      <c r="NOW124" t="s">
        <v>451</v>
      </c>
      <c r="NOX124" t="s">
        <v>451</v>
      </c>
      <c r="NOY124" t="s">
        <v>451</v>
      </c>
      <c r="NOZ124" t="s">
        <v>451</v>
      </c>
      <c r="NPA124" t="s">
        <v>451</v>
      </c>
      <c r="NPB124" t="s">
        <v>451</v>
      </c>
      <c r="NPC124" t="s">
        <v>451</v>
      </c>
      <c r="NPD124" t="s">
        <v>451</v>
      </c>
      <c r="NPE124" t="s">
        <v>451</v>
      </c>
      <c r="NPF124" t="s">
        <v>451</v>
      </c>
      <c r="NPG124" t="s">
        <v>451</v>
      </c>
      <c r="NPH124" t="s">
        <v>451</v>
      </c>
      <c r="NPI124" t="s">
        <v>451</v>
      </c>
      <c r="NPJ124" t="s">
        <v>451</v>
      </c>
      <c r="NPK124" t="s">
        <v>451</v>
      </c>
      <c r="NPL124" t="s">
        <v>451</v>
      </c>
      <c r="NPM124" t="s">
        <v>451</v>
      </c>
      <c r="NPN124" t="s">
        <v>451</v>
      </c>
      <c r="NPO124" t="s">
        <v>451</v>
      </c>
      <c r="NPP124" t="s">
        <v>451</v>
      </c>
      <c r="NPQ124" t="s">
        <v>451</v>
      </c>
      <c r="NPR124" t="s">
        <v>451</v>
      </c>
      <c r="NPS124" t="s">
        <v>451</v>
      </c>
      <c r="NPT124" t="s">
        <v>451</v>
      </c>
      <c r="NPU124" t="s">
        <v>451</v>
      </c>
      <c r="NPV124" t="s">
        <v>451</v>
      </c>
      <c r="NPW124" t="s">
        <v>451</v>
      </c>
      <c r="NPX124" t="s">
        <v>451</v>
      </c>
      <c r="NPY124" t="s">
        <v>451</v>
      </c>
      <c r="NPZ124" t="s">
        <v>451</v>
      </c>
      <c r="NQA124" t="s">
        <v>451</v>
      </c>
      <c r="NQB124" t="s">
        <v>451</v>
      </c>
      <c r="NQC124" t="s">
        <v>451</v>
      </c>
      <c r="NQD124" t="s">
        <v>451</v>
      </c>
      <c r="NQE124" t="s">
        <v>451</v>
      </c>
      <c r="NQF124" t="s">
        <v>451</v>
      </c>
      <c r="NQG124" t="s">
        <v>451</v>
      </c>
      <c r="NQH124" t="s">
        <v>451</v>
      </c>
      <c r="NQI124" t="s">
        <v>451</v>
      </c>
      <c r="NQJ124" t="s">
        <v>451</v>
      </c>
      <c r="NQK124" t="s">
        <v>451</v>
      </c>
      <c r="NQL124" t="s">
        <v>451</v>
      </c>
      <c r="NQM124" t="s">
        <v>451</v>
      </c>
      <c r="NQN124" t="s">
        <v>451</v>
      </c>
      <c r="NQO124" t="s">
        <v>451</v>
      </c>
      <c r="NQP124" t="s">
        <v>451</v>
      </c>
      <c r="NQQ124" t="s">
        <v>451</v>
      </c>
      <c r="NQR124" t="s">
        <v>451</v>
      </c>
      <c r="NQS124" t="s">
        <v>451</v>
      </c>
      <c r="NQT124" t="s">
        <v>451</v>
      </c>
      <c r="NQU124" t="s">
        <v>451</v>
      </c>
      <c r="NQV124" t="s">
        <v>451</v>
      </c>
      <c r="NQW124" t="s">
        <v>451</v>
      </c>
      <c r="NQX124" t="s">
        <v>451</v>
      </c>
      <c r="NQY124" t="s">
        <v>451</v>
      </c>
      <c r="NQZ124" t="s">
        <v>451</v>
      </c>
      <c r="NRA124" t="s">
        <v>451</v>
      </c>
      <c r="NRB124" t="s">
        <v>451</v>
      </c>
      <c r="NRC124" t="s">
        <v>451</v>
      </c>
      <c r="NRD124" t="s">
        <v>451</v>
      </c>
      <c r="NRE124" t="s">
        <v>451</v>
      </c>
      <c r="NRF124" t="s">
        <v>451</v>
      </c>
      <c r="NRG124" t="s">
        <v>451</v>
      </c>
      <c r="NRH124" t="s">
        <v>451</v>
      </c>
      <c r="NRI124" t="s">
        <v>451</v>
      </c>
      <c r="NRJ124" t="s">
        <v>451</v>
      </c>
      <c r="NRK124" t="s">
        <v>451</v>
      </c>
      <c r="NRL124" t="s">
        <v>451</v>
      </c>
      <c r="NRM124" t="s">
        <v>451</v>
      </c>
      <c r="NRN124" t="s">
        <v>451</v>
      </c>
      <c r="NRO124" t="s">
        <v>451</v>
      </c>
      <c r="NRP124" t="s">
        <v>451</v>
      </c>
      <c r="NRQ124" t="s">
        <v>451</v>
      </c>
      <c r="NRR124" t="s">
        <v>451</v>
      </c>
      <c r="NRS124" t="s">
        <v>451</v>
      </c>
      <c r="NRT124" t="s">
        <v>451</v>
      </c>
      <c r="NRU124" t="s">
        <v>451</v>
      </c>
      <c r="NRV124" t="s">
        <v>451</v>
      </c>
      <c r="NRW124" t="s">
        <v>451</v>
      </c>
      <c r="NRX124" t="s">
        <v>451</v>
      </c>
      <c r="NRY124" t="s">
        <v>451</v>
      </c>
      <c r="NRZ124" t="s">
        <v>451</v>
      </c>
      <c r="NSA124" t="s">
        <v>451</v>
      </c>
      <c r="NSB124" t="s">
        <v>451</v>
      </c>
      <c r="NSC124" t="s">
        <v>451</v>
      </c>
      <c r="NSD124" t="s">
        <v>451</v>
      </c>
      <c r="NSE124" t="s">
        <v>451</v>
      </c>
      <c r="NSF124" t="s">
        <v>451</v>
      </c>
      <c r="NSG124" t="s">
        <v>451</v>
      </c>
      <c r="NSH124" t="s">
        <v>451</v>
      </c>
      <c r="NSI124" t="s">
        <v>451</v>
      </c>
      <c r="NSJ124" t="s">
        <v>451</v>
      </c>
      <c r="NSK124" t="s">
        <v>451</v>
      </c>
      <c r="NSL124" t="s">
        <v>451</v>
      </c>
      <c r="NSM124" t="s">
        <v>451</v>
      </c>
      <c r="NSN124" t="s">
        <v>451</v>
      </c>
      <c r="NSO124" t="s">
        <v>451</v>
      </c>
      <c r="NSP124" t="s">
        <v>451</v>
      </c>
      <c r="NSQ124" t="s">
        <v>451</v>
      </c>
      <c r="NSR124" t="s">
        <v>451</v>
      </c>
      <c r="NSS124" t="s">
        <v>451</v>
      </c>
      <c r="NST124" t="s">
        <v>451</v>
      </c>
      <c r="NSU124" t="s">
        <v>451</v>
      </c>
      <c r="NSV124" t="s">
        <v>451</v>
      </c>
      <c r="NSW124" t="s">
        <v>451</v>
      </c>
      <c r="NSX124" t="s">
        <v>451</v>
      </c>
      <c r="NSY124" t="s">
        <v>451</v>
      </c>
      <c r="NSZ124" t="s">
        <v>451</v>
      </c>
      <c r="NTA124" t="s">
        <v>451</v>
      </c>
      <c r="NTB124" t="s">
        <v>451</v>
      </c>
      <c r="NTC124" t="s">
        <v>451</v>
      </c>
      <c r="NTD124" t="s">
        <v>451</v>
      </c>
      <c r="NTE124" t="s">
        <v>451</v>
      </c>
      <c r="NTF124" t="s">
        <v>451</v>
      </c>
      <c r="NTG124" t="s">
        <v>451</v>
      </c>
      <c r="NTH124" t="s">
        <v>451</v>
      </c>
      <c r="NTI124" t="s">
        <v>451</v>
      </c>
      <c r="NTJ124" t="s">
        <v>451</v>
      </c>
      <c r="NTK124" t="s">
        <v>451</v>
      </c>
      <c r="NTL124" t="s">
        <v>451</v>
      </c>
      <c r="NTM124" t="s">
        <v>451</v>
      </c>
      <c r="NTN124" t="s">
        <v>451</v>
      </c>
      <c r="NTO124" t="s">
        <v>451</v>
      </c>
      <c r="NTP124" t="s">
        <v>451</v>
      </c>
      <c r="NTQ124" t="s">
        <v>451</v>
      </c>
      <c r="NTR124" t="s">
        <v>451</v>
      </c>
      <c r="NTS124" t="s">
        <v>451</v>
      </c>
      <c r="NTT124" t="s">
        <v>451</v>
      </c>
      <c r="NTU124" t="s">
        <v>451</v>
      </c>
      <c r="NTV124" t="s">
        <v>451</v>
      </c>
      <c r="NTW124" t="s">
        <v>451</v>
      </c>
      <c r="NTX124" t="s">
        <v>451</v>
      </c>
      <c r="NTY124" t="s">
        <v>451</v>
      </c>
      <c r="NTZ124" t="s">
        <v>451</v>
      </c>
      <c r="NUA124" t="s">
        <v>451</v>
      </c>
      <c r="NUB124" t="s">
        <v>451</v>
      </c>
      <c r="NUC124" t="s">
        <v>451</v>
      </c>
      <c r="NUD124" t="s">
        <v>451</v>
      </c>
      <c r="NUE124" t="s">
        <v>451</v>
      </c>
      <c r="NUF124" t="s">
        <v>451</v>
      </c>
      <c r="NUG124" t="s">
        <v>451</v>
      </c>
      <c r="NUH124" t="s">
        <v>451</v>
      </c>
      <c r="NUI124" t="s">
        <v>451</v>
      </c>
      <c r="NUJ124" t="s">
        <v>451</v>
      </c>
      <c r="NUK124" t="s">
        <v>451</v>
      </c>
      <c r="NUL124" t="s">
        <v>451</v>
      </c>
      <c r="NUM124" t="s">
        <v>451</v>
      </c>
      <c r="NUN124" t="s">
        <v>451</v>
      </c>
      <c r="NUO124" t="s">
        <v>451</v>
      </c>
      <c r="NUP124" t="s">
        <v>451</v>
      </c>
      <c r="NUQ124" t="s">
        <v>451</v>
      </c>
      <c r="NUR124" t="s">
        <v>451</v>
      </c>
      <c r="NUS124" t="s">
        <v>451</v>
      </c>
      <c r="NUT124" t="s">
        <v>451</v>
      </c>
      <c r="NUU124" t="s">
        <v>451</v>
      </c>
      <c r="NUV124" t="s">
        <v>451</v>
      </c>
      <c r="NUW124" t="s">
        <v>451</v>
      </c>
      <c r="NUX124" t="s">
        <v>451</v>
      </c>
      <c r="NUY124" t="s">
        <v>451</v>
      </c>
      <c r="NUZ124" t="s">
        <v>451</v>
      </c>
      <c r="NVA124" t="s">
        <v>451</v>
      </c>
      <c r="NVB124" t="s">
        <v>451</v>
      </c>
      <c r="NVC124" t="s">
        <v>451</v>
      </c>
      <c r="NVD124" t="s">
        <v>451</v>
      </c>
      <c r="NVE124" t="s">
        <v>451</v>
      </c>
      <c r="NVF124" t="s">
        <v>451</v>
      </c>
      <c r="NVG124" t="s">
        <v>451</v>
      </c>
      <c r="NVH124" t="s">
        <v>451</v>
      </c>
      <c r="NVI124" t="s">
        <v>451</v>
      </c>
      <c r="NVJ124" t="s">
        <v>451</v>
      </c>
      <c r="NVK124" t="s">
        <v>451</v>
      </c>
      <c r="NVL124" t="s">
        <v>451</v>
      </c>
      <c r="NVM124" t="s">
        <v>451</v>
      </c>
      <c r="NVN124" t="s">
        <v>451</v>
      </c>
      <c r="NVO124" t="s">
        <v>451</v>
      </c>
      <c r="NVP124" t="s">
        <v>451</v>
      </c>
      <c r="NVQ124" t="s">
        <v>451</v>
      </c>
      <c r="NVR124" t="s">
        <v>451</v>
      </c>
      <c r="NVS124" t="s">
        <v>451</v>
      </c>
      <c r="NVT124" t="s">
        <v>451</v>
      </c>
      <c r="NVU124" t="s">
        <v>451</v>
      </c>
      <c r="NVV124" t="s">
        <v>451</v>
      </c>
      <c r="NVW124" t="s">
        <v>451</v>
      </c>
      <c r="NVX124" t="s">
        <v>451</v>
      </c>
      <c r="NVY124" t="s">
        <v>451</v>
      </c>
      <c r="NVZ124" t="s">
        <v>451</v>
      </c>
      <c r="NWA124" t="s">
        <v>451</v>
      </c>
      <c r="NWB124" t="s">
        <v>451</v>
      </c>
      <c r="NWC124" t="s">
        <v>451</v>
      </c>
      <c r="NWD124" t="s">
        <v>451</v>
      </c>
      <c r="NWE124" t="s">
        <v>451</v>
      </c>
      <c r="NWF124" t="s">
        <v>451</v>
      </c>
      <c r="NWG124" t="s">
        <v>451</v>
      </c>
      <c r="NWH124" t="s">
        <v>451</v>
      </c>
      <c r="NWI124" t="s">
        <v>451</v>
      </c>
      <c r="NWJ124" t="s">
        <v>451</v>
      </c>
      <c r="NWK124" t="s">
        <v>451</v>
      </c>
      <c r="NWL124" t="s">
        <v>451</v>
      </c>
      <c r="NWM124" t="s">
        <v>451</v>
      </c>
      <c r="NWN124" t="s">
        <v>451</v>
      </c>
      <c r="NWO124" t="s">
        <v>451</v>
      </c>
      <c r="NWP124" t="s">
        <v>451</v>
      </c>
      <c r="NWQ124" t="s">
        <v>451</v>
      </c>
      <c r="NWR124" t="s">
        <v>451</v>
      </c>
      <c r="NWS124" t="s">
        <v>451</v>
      </c>
      <c r="NWT124" t="s">
        <v>451</v>
      </c>
      <c r="NWU124" t="s">
        <v>451</v>
      </c>
      <c r="NWV124" t="s">
        <v>451</v>
      </c>
      <c r="NWW124" t="s">
        <v>451</v>
      </c>
      <c r="NWX124" t="s">
        <v>451</v>
      </c>
      <c r="NWY124" t="s">
        <v>451</v>
      </c>
      <c r="NWZ124" t="s">
        <v>451</v>
      </c>
      <c r="NXA124" t="s">
        <v>451</v>
      </c>
      <c r="NXB124" t="s">
        <v>451</v>
      </c>
      <c r="NXC124" t="s">
        <v>451</v>
      </c>
      <c r="NXD124" t="s">
        <v>451</v>
      </c>
      <c r="NXE124" t="s">
        <v>451</v>
      </c>
      <c r="NXF124" t="s">
        <v>451</v>
      </c>
      <c r="NXG124" t="s">
        <v>451</v>
      </c>
      <c r="NXH124" t="s">
        <v>451</v>
      </c>
      <c r="NXI124" t="s">
        <v>451</v>
      </c>
      <c r="NXJ124" t="s">
        <v>451</v>
      </c>
      <c r="NXK124" t="s">
        <v>451</v>
      </c>
      <c r="NXL124" t="s">
        <v>451</v>
      </c>
      <c r="NXM124" t="s">
        <v>451</v>
      </c>
      <c r="NXN124" t="s">
        <v>451</v>
      </c>
      <c r="NXO124" t="s">
        <v>451</v>
      </c>
      <c r="NXP124" t="s">
        <v>451</v>
      </c>
      <c r="NXQ124" t="s">
        <v>451</v>
      </c>
      <c r="NXR124" t="s">
        <v>451</v>
      </c>
      <c r="NXS124" t="s">
        <v>451</v>
      </c>
      <c r="NXT124" t="s">
        <v>451</v>
      </c>
      <c r="NXU124" t="s">
        <v>451</v>
      </c>
      <c r="NXV124" t="s">
        <v>451</v>
      </c>
      <c r="NXW124" t="s">
        <v>451</v>
      </c>
      <c r="NXX124" t="s">
        <v>451</v>
      </c>
      <c r="NXY124" t="s">
        <v>451</v>
      </c>
      <c r="NXZ124" t="s">
        <v>451</v>
      </c>
      <c r="NYA124" t="s">
        <v>451</v>
      </c>
      <c r="NYB124" t="s">
        <v>451</v>
      </c>
      <c r="NYC124" t="s">
        <v>451</v>
      </c>
      <c r="NYD124" t="s">
        <v>451</v>
      </c>
      <c r="NYE124" t="s">
        <v>451</v>
      </c>
      <c r="NYF124" t="s">
        <v>451</v>
      </c>
      <c r="NYG124" t="s">
        <v>451</v>
      </c>
      <c r="NYH124" t="s">
        <v>451</v>
      </c>
      <c r="NYI124" t="s">
        <v>451</v>
      </c>
      <c r="NYJ124" t="s">
        <v>451</v>
      </c>
      <c r="NYK124" t="s">
        <v>451</v>
      </c>
      <c r="NYL124" t="s">
        <v>451</v>
      </c>
      <c r="NYM124" t="s">
        <v>451</v>
      </c>
      <c r="NYN124" t="s">
        <v>451</v>
      </c>
      <c r="NYO124" t="s">
        <v>451</v>
      </c>
      <c r="NYP124" t="s">
        <v>451</v>
      </c>
      <c r="NYQ124" t="s">
        <v>451</v>
      </c>
      <c r="NYR124" t="s">
        <v>451</v>
      </c>
      <c r="NYS124" t="s">
        <v>451</v>
      </c>
      <c r="NYT124" t="s">
        <v>451</v>
      </c>
      <c r="NYU124" t="s">
        <v>451</v>
      </c>
      <c r="NYV124" t="s">
        <v>451</v>
      </c>
      <c r="NYW124" t="s">
        <v>451</v>
      </c>
      <c r="NYX124" t="s">
        <v>451</v>
      </c>
      <c r="NYY124" t="s">
        <v>451</v>
      </c>
      <c r="NYZ124" t="s">
        <v>451</v>
      </c>
      <c r="NZA124" t="s">
        <v>451</v>
      </c>
      <c r="NZB124" t="s">
        <v>451</v>
      </c>
      <c r="NZC124" t="s">
        <v>451</v>
      </c>
      <c r="NZD124" t="s">
        <v>451</v>
      </c>
      <c r="NZE124" t="s">
        <v>451</v>
      </c>
      <c r="NZF124" t="s">
        <v>451</v>
      </c>
      <c r="NZG124" t="s">
        <v>451</v>
      </c>
      <c r="NZH124" t="s">
        <v>451</v>
      </c>
      <c r="NZI124" t="s">
        <v>451</v>
      </c>
      <c r="NZJ124" t="s">
        <v>451</v>
      </c>
      <c r="NZK124" t="s">
        <v>451</v>
      </c>
      <c r="NZL124" t="s">
        <v>451</v>
      </c>
      <c r="NZM124" t="s">
        <v>451</v>
      </c>
      <c r="NZN124" t="s">
        <v>451</v>
      </c>
      <c r="NZO124" t="s">
        <v>451</v>
      </c>
      <c r="NZP124" t="s">
        <v>451</v>
      </c>
      <c r="NZQ124" t="s">
        <v>451</v>
      </c>
      <c r="NZR124" t="s">
        <v>451</v>
      </c>
      <c r="NZS124" t="s">
        <v>451</v>
      </c>
      <c r="NZT124" t="s">
        <v>451</v>
      </c>
      <c r="NZU124" t="s">
        <v>451</v>
      </c>
      <c r="NZV124" t="s">
        <v>451</v>
      </c>
      <c r="NZW124" t="s">
        <v>451</v>
      </c>
      <c r="NZX124" t="s">
        <v>451</v>
      </c>
      <c r="NZY124" t="s">
        <v>451</v>
      </c>
      <c r="NZZ124" t="s">
        <v>451</v>
      </c>
      <c r="OAA124" t="s">
        <v>451</v>
      </c>
      <c r="OAB124" t="s">
        <v>451</v>
      </c>
      <c r="OAC124" t="s">
        <v>451</v>
      </c>
      <c r="OAD124" t="s">
        <v>451</v>
      </c>
      <c r="OAE124" t="s">
        <v>451</v>
      </c>
      <c r="OAF124" t="s">
        <v>451</v>
      </c>
      <c r="OAG124" t="s">
        <v>451</v>
      </c>
      <c r="OAH124" t="s">
        <v>451</v>
      </c>
      <c r="OAI124" t="s">
        <v>451</v>
      </c>
      <c r="OAJ124" t="s">
        <v>451</v>
      </c>
      <c r="OAK124" t="s">
        <v>451</v>
      </c>
      <c r="OAL124" t="s">
        <v>451</v>
      </c>
      <c r="OAM124" t="s">
        <v>451</v>
      </c>
      <c r="OAN124" t="s">
        <v>451</v>
      </c>
      <c r="OAO124" t="s">
        <v>451</v>
      </c>
      <c r="OAP124" t="s">
        <v>451</v>
      </c>
      <c r="OAQ124" t="s">
        <v>451</v>
      </c>
      <c r="OAR124" t="s">
        <v>451</v>
      </c>
      <c r="OAS124" t="s">
        <v>451</v>
      </c>
      <c r="OAT124" t="s">
        <v>451</v>
      </c>
      <c r="OAU124" t="s">
        <v>451</v>
      </c>
      <c r="OAV124" t="s">
        <v>451</v>
      </c>
      <c r="OAW124" t="s">
        <v>451</v>
      </c>
      <c r="OAX124" t="s">
        <v>451</v>
      </c>
      <c r="OAY124" t="s">
        <v>451</v>
      </c>
      <c r="OAZ124" t="s">
        <v>451</v>
      </c>
      <c r="OBA124" t="s">
        <v>451</v>
      </c>
      <c r="OBB124" t="s">
        <v>451</v>
      </c>
      <c r="OBC124" t="s">
        <v>451</v>
      </c>
      <c r="OBD124" t="s">
        <v>451</v>
      </c>
      <c r="OBE124" t="s">
        <v>451</v>
      </c>
      <c r="OBF124" t="s">
        <v>451</v>
      </c>
      <c r="OBG124" t="s">
        <v>451</v>
      </c>
      <c r="OBH124" t="s">
        <v>451</v>
      </c>
      <c r="OBI124" t="s">
        <v>451</v>
      </c>
      <c r="OBJ124" t="s">
        <v>451</v>
      </c>
      <c r="OBK124" t="s">
        <v>451</v>
      </c>
      <c r="OBL124" t="s">
        <v>451</v>
      </c>
      <c r="OBM124" t="s">
        <v>451</v>
      </c>
      <c r="OBN124" t="s">
        <v>451</v>
      </c>
      <c r="OBO124" t="s">
        <v>451</v>
      </c>
      <c r="OBP124" t="s">
        <v>451</v>
      </c>
      <c r="OBQ124" t="s">
        <v>451</v>
      </c>
      <c r="OBR124" t="s">
        <v>451</v>
      </c>
      <c r="OBS124" t="s">
        <v>451</v>
      </c>
      <c r="OBT124" t="s">
        <v>451</v>
      </c>
      <c r="OBU124" t="s">
        <v>451</v>
      </c>
      <c r="OBV124" t="s">
        <v>451</v>
      </c>
      <c r="OBW124" t="s">
        <v>451</v>
      </c>
      <c r="OBX124" t="s">
        <v>451</v>
      </c>
      <c r="OBY124" t="s">
        <v>451</v>
      </c>
      <c r="OBZ124" t="s">
        <v>451</v>
      </c>
      <c r="OCA124" t="s">
        <v>451</v>
      </c>
      <c r="OCB124" t="s">
        <v>451</v>
      </c>
      <c r="OCC124" t="s">
        <v>451</v>
      </c>
      <c r="OCD124" t="s">
        <v>451</v>
      </c>
      <c r="OCE124" t="s">
        <v>451</v>
      </c>
      <c r="OCF124" t="s">
        <v>451</v>
      </c>
      <c r="OCG124" t="s">
        <v>451</v>
      </c>
      <c r="OCH124" t="s">
        <v>451</v>
      </c>
      <c r="OCI124" t="s">
        <v>451</v>
      </c>
      <c r="OCJ124" t="s">
        <v>451</v>
      </c>
      <c r="OCK124" t="s">
        <v>451</v>
      </c>
      <c r="OCL124" t="s">
        <v>451</v>
      </c>
      <c r="OCM124" t="s">
        <v>451</v>
      </c>
      <c r="OCN124" t="s">
        <v>451</v>
      </c>
      <c r="OCO124" t="s">
        <v>451</v>
      </c>
      <c r="OCP124" t="s">
        <v>451</v>
      </c>
      <c r="OCQ124" t="s">
        <v>451</v>
      </c>
      <c r="OCR124" t="s">
        <v>451</v>
      </c>
      <c r="OCS124" t="s">
        <v>451</v>
      </c>
      <c r="OCT124" t="s">
        <v>451</v>
      </c>
      <c r="OCU124" t="s">
        <v>451</v>
      </c>
      <c r="OCV124" t="s">
        <v>451</v>
      </c>
      <c r="OCW124" t="s">
        <v>451</v>
      </c>
      <c r="OCX124" t="s">
        <v>451</v>
      </c>
      <c r="OCY124" t="s">
        <v>451</v>
      </c>
      <c r="OCZ124" t="s">
        <v>451</v>
      </c>
      <c r="ODA124" t="s">
        <v>451</v>
      </c>
      <c r="ODB124" t="s">
        <v>451</v>
      </c>
      <c r="ODC124" t="s">
        <v>451</v>
      </c>
      <c r="ODD124" t="s">
        <v>451</v>
      </c>
      <c r="ODE124" t="s">
        <v>451</v>
      </c>
      <c r="ODF124" t="s">
        <v>451</v>
      </c>
      <c r="ODG124" t="s">
        <v>451</v>
      </c>
      <c r="ODH124" t="s">
        <v>451</v>
      </c>
      <c r="ODI124" t="s">
        <v>451</v>
      </c>
      <c r="ODJ124" t="s">
        <v>451</v>
      </c>
      <c r="ODK124" t="s">
        <v>451</v>
      </c>
      <c r="ODL124" t="s">
        <v>451</v>
      </c>
      <c r="ODM124" t="s">
        <v>451</v>
      </c>
      <c r="ODN124" t="s">
        <v>451</v>
      </c>
      <c r="ODO124" t="s">
        <v>451</v>
      </c>
      <c r="ODP124" t="s">
        <v>451</v>
      </c>
      <c r="ODQ124" t="s">
        <v>451</v>
      </c>
      <c r="ODR124" t="s">
        <v>451</v>
      </c>
      <c r="ODS124" t="s">
        <v>451</v>
      </c>
      <c r="ODT124" t="s">
        <v>451</v>
      </c>
      <c r="ODU124" t="s">
        <v>451</v>
      </c>
      <c r="ODV124" t="s">
        <v>451</v>
      </c>
      <c r="ODW124" t="s">
        <v>451</v>
      </c>
      <c r="ODX124" t="s">
        <v>451</v>
      </c>
      <c r="ODY124" t="s">
        <v>451</v>
      </c>
      <c r="ODZ124" t="s">
        <v>451</v>
      </c>
      <c r="OEA124" t="s">
        <v>451</v>
      </c>
      <c r="OEB124" t="s">
        <v>451</v>
      </c>
      <c r="OEC124" t="s">
        <v>451</v>
      </c>
      <c r="OED124" t="s">
        <v>451</v>
      </c>
      <c r="OEE124" t="s">
        <v>451</v>
      </c>
      <c r="OEF124" t="s">
        <v>451</v>
      </c>
      <c r="OEG124" t="s">
        <v>451</v>
      </c>
      <c r="OEH124" t="s">
        <v>451</v>
      </c>
      <c r="OEI124" t="s">
        <v>451</v>
      </c>
      <c r="OEJ124" t="s">
        <v>451</v>
      </c>
      <c r="OEK124" t="s">
        <v>451</v>
      </c>
      <c r="OEL124" t="s">
        <v>451</v>
      </c>
      <c r="OEM124" t="s">
        <v>451</v>
      </c>
      <c r="OEN124" t="s">
        <v>451</v>
      </c>
      <c r="OEO124" t="s">
        <v>451</v>
      </c>
      <c r="OEP124" t="s">
        <v>451</v>
      </c>
      <c r="OEQ124" t="s">
        <v>451</v>
      </c>
      <c r="OER124" t="s">
        <v>451</v>
      </c>
      <c r="OES124" t="s">
        <v>451</v>
      </c>
      <c r="OET124" t="s">
        <v>451</v>
      </c>
      <c r="OEU124" t="s">
        <v>451</v>
      </c>
      <c r="OEV124" t="s">
        <v>451</v>
      </c>
      <c r="OEW124" t="s">
        <v>451</v>
      </c>
      <c r="OEX124" t="s">
        <v>451</v>
      </c>
      <c r="OEY124" t="s">
        <v>451</v>
      </c>
      <c r="OEZ124" t="s">
        <v>451</v>
      </c>
      <c r="OFA124" t="s">
        <v>451</v>
      </c>
      <c r="OFB124" t="s">
        <v>451</v>
      </c>
      <c r="OFC124" t="s">
        <v>451</v>
      </c>
      <c r="OFD124" t="s">
        <v>451</v>
      </c>
      <c r="OFE124" t="s">
        <v>451</v>
      </c>
      <c r="OFF124" t="s">
        <v>451</v>
      </c>
      <c r="OFG124" t="s">
        <v>451</v>
      </c>
      <c r="OFH124" t="s">
        <v>451</v>
      </c>
      <c r="OFI124" t="s">
        <v>451</v>
      </c>
      <c r="OFJ124" t="s">
        <v>451</v>
      </c>
      <c r="OFK124" t="s">
        <v>451</v>
      </c>
      <c r="OFL124" t="s">
        <v>451</v>
      </c>
      <c r="OFM124" t="s">
        <v>451</v>
      </c>
      <c r="OFN124" t="s">
        <v>451</v>
      </c>
      <c r="OFO124" t="s">
        <v>451</v>
      </c>
      <c r="OFP124" t="s">
        <v>451</v>
      </c>
      <c r="OFQ124" t="s">
        <v>451</v>
      </c>
      <c r="OFR124" t="s">
        <v>451</v>
      </c>
      <c r="OFS124" t="s">
        <v>451</v>
      </c>
      <c r="OFT124" t="s">
        <v>451</v>
      </c>
      <c r="OFU124" t="s">
        <v>451</v>
      </c>
      <c r="OFV124" t="s">
        <v>451</v>
      </c>
      <c r="OFW124" t="s">
        <v>451</v>
      </c>
      <c r="OFX124" t="s">
        <v>451</v>
      </c>
      <c r="OFY124" t="s">
        <v>451</v>
      </c>
      <c r="OFZ124" t="s">
        <v>451</v>
      </c>
      <c r="OGA124" t="s">
        <v>451</v>
      </c>
      <c r="OGB124" t="s">
        <v>451</v>
      </c>
      <c r="OGC124" t="s">
        <v>451</v>
      </c>
      <c r="OGD124" t="s">
        <v>451</v>
      </c>
      <c r="OGE124" t="s">
        <v>451</v>
      </c>
      <c r="OGF124" t="s">
        <v>451</v>
      </c>
      <c r="OGG124" t="s">
        <v>451</v>
      </c>
      <c r="OGH124" t="s">
        <v>451</v>
      </c>
      <c r="OGI124" t="s">
        <v>451</v>
      </c>
      <c r="OGJ124" t="s">
        <v>451</v>
      </c>
      <c r="OGK124" t="s">
        <v>451</v>
      </c>
      <c r="OGL124" t="s">
        <v>451</v>
      </c>
      <c r="OGM124" t="s">
        <v>451</v>
      </c>
      <c r="OGN124" t="s">
        <v>451</v>
      </c>
      <c r="OGO124" t="s">
        <v>451</v>
      </c>
      <c r="OGP124" t="s">
        <v>451</v>
      </c>
      <c r="OGQ124" t="s">
        <v>451</v>
      </c>
      <c r="OGR124" t="s">
        <v>451</v>
      </c>
      <c r="OGS124" t="s">
        <v>451</v>
      </c>
      <c r="OGT124" t="s">
        <v>451</v>
      </c>
      <c r="OGU124" t="s">
        <v>451</v>
      </c>
      <c r="OGV124" t="s">
        <v>451</v>
      </c>
      <c r="OGW124" t="s">
        <v>451</v>
      </c>
      <c r="OGX124" t="s">
        <v>451</v>
      </c>
      <c r="OGY124" t="s">
        <v>451</v>
      </c>
      <c r="OGZ124" t="s">
        <v>451</v>
      </c>
      <c r="OHA124" t="s">
        <v>451</v>
      </c>
      <c r="OHB124" t="s">
        <v>451</v>
      </c>
      <c r="OHC124" t="s">
        <v>451</v>
      </c>
      <c r="OHD124" t="s">
        <v>451</v>
      </c>
      <c r="OHE124" t="s">
        <v>451</v>
      </c>
      <c r="OHF124" t="s">
        <v>451</v>
      </c>
      <c r="OHG124" t="s">
        <v>451</v>
      </c>
      <c r="OHH124" t="s">
        <v>451</v>
      </c>
      <c r="OHI124" t="s">
        <v>451</v>
      </c>
      <c r="OHJ124" t="s">
        <v>451</v>
      </c>
      <c r="OHK124" t="s">
        <v>451</v>
      </c>
      <c r="OHL124" t="s">
        <v>451</v>
      </c>
      <c r="OHM124" t="s">
        <v>451</v>
      </c>
      <c r="OHN124" t="s">
        <v>451</v>
      </c>
      <c r="OHO124" t="s">
        <v>451</v>
      </c>
      <c r="OHP124" t="s">
        <v>451</v>
      </c>
      <c r="OHQ124" t="s">
        <v>451</v>
      </c>
      <c r="OHR124" t="s">
        <v>451</v>
      </c>
      <c r="OHS124" t="s">
        <v>451</v>
      </c>
      <c r="OHT124" t="s">
        <v>451</v>
      </c>
      <c r="OHU124" t="s">
        <v>451</v>
      </c>
      <c r="OHV124" t="s">
        <v>451</v>
      </c>
      <c r="OHW124" t="s">
        <v>451</v>
      </c>
      <c r="OHX124" t="s">
        <v>451</v>
      </c>
      <c r="OHY124" t="s">
        <v>451</v>
      </c>
      <c r="OHZ124" t="s">
        <v>451</v>
      </c>
      <c r="OIA124" t="s">
        <v>451</v>
      </c>
      <c r="OIB124" t="s">
        <v>451</v>
      </c>
      <c r="OIC124" t="s">
        <v>451</v>
      </c>
      <c r="OID124" t="s">
        <v>451</v>
      </c>
      <c r="OIE124" t="s">
        <v>451</v>
      </c>
      <c r="OIF124" t="s">
        <v>451</v>
      </c>
      <c r="OIG124" t="s">
        <v>451</v>
      </c>
      <c r="OIH124" t="s">
        <v>451</v>
      </c>
      <c r="OII124" t="s">
        <v>451</v>
      </c>
      <c r="OIJ124" t="s">
        <v>451</v>
      </c>
      <c r="OIK124" t="s">
        <v>451</v>
      </c>
      <c r="OIL124" t="s">
        <v>451</v>
      </c>
      <c r="OIM124" t="s">
        <v>451</v>
      </c>
      <c r="OIN124" t="s">
        <v>451</v>
      </c>
      <c r="OIO124" t="s">
        <v>451</v>
      </c>
      <c r="OIP124" t="s">
        <v>451</v>
      </c>
      <c r="OIQ124" t="s">
        <v>451</v>
      </c>
      <c r="OIR124" t="s">
        <v>451</v>
      </c>
      <c r="OIS124" t="s">
        <v>451</v>
      </c>
      <c r="OIT124" t="s">
        <v>451</v>
      </c>
      <c r="OIU124" t="s">
        <v>451</v>
      </c>
      <c r="OIV124" t="s">
        <v>451</v>
      </c>
      <c r="OIW124" t="s">
        <v>451</v>
      </c>
      <c r="OIX124" t="s">
        <v>451</v>
      </c>
      <c r="OIY124" t="s">
        <v>451</v>
      </c>
      <c r="OIZ124" t="s">
        <v>451</v>
      </c>
      <c r="OJA124" t="s">
        <v>451</v>
      </c>
      <c r="OJB124" t="s">
        <v>451</v>
      </c>
      <c r="OJC124" t="s">
        <v>451</v>
      </c>
      <c r="OJD124" t="s">
        <v>451</v>
      </c>
      <c r="OJE124" t="s">
        <v>451</v>
      </c>
      <c r="OJF124" t="s">
        <v>451</v>
      </c>
      <c r="OJG124" t="s">
        <v>451</v>
      </c>
      <c r="OJH124" t="s">
        <v>451</v>
      </c>
      <c r="OJI124" t="s">
        <v>451</v>
      </c>
      <c r="OJJ124" t="s">
        <v>451</v>
      </c>
      <c r="OJK124" t="s">
        <v>451</v>
      </c>
      <c r="OJL124" t="s">
        <v>451</v>
      </c>
      <c r="OJM124" t="s">
        <v>451</v>
      </c>
      <c r="OJN124" t="s">
        <v>451</v>
      </c>
      <c r="OJO124" t="s">
        <v>451</v>
      </c>
      <c r="OJP124" t="s">
        <v>451</v>
      </c>
      <c r="OJQ124" t="s">
        <v>451</v>
      </c>
      <c r="OJR124" t="s">
        <v>451</v>
      </c>
      <c r="OJS124" t="s">
        <v>451</v>
      </c>
      <c r="OJT124" t="s">
        <v>451</v>
      </c>
      <c r="OJU124" t="s">
        <v>451</v>
      </c>
      <c r="OJV124" t="s">
        <v>451</v>
      </c>
      <c r="OJW124" t="s">
        <v>451</v>
      </c>
      <c r="OJX124" t="s">
        <v>451</v>
      </c>
      <c r="OJY124" t="s">
        <v>451</v>
      </c>
      <c r="OJZ124" t="s">
        <v>451</v>
      </c>
      <c r="OKA124" t="s">
        <v>451</v>
      </c>
      <c r="OKB124" t="s">
        <v>451</v>
      </c>
      <c r="OKC124" t="s">
        <v>451</v>
      </c>
      <c r="OKD124" t="s">
        <v>451</v>
      </c>
      <c r="OKE124" t="s">
        <v>451</v>
      </c>
      <c r="OKF124" t="s">
        <v>451</v>
      </c>
      <c r="OKG124" t="s">
        <v>451</v>
      </c>
      <c r="OKH124" t="s">
        <v>451</v>
      </c>
      <c r="OKI124" t="s">
        <v>451</v>
      </c>
      <c r="OKJ124" t="s">
        <v>451</v>
      </c>
      <c r="OKK124" t="s">
        <v>451</v>
      </c>
      <c r="OKL124" t="s">
        <v>451</v>
      </c>
      <c r="OKM124" t="s">
        <v>451</v>
      </c>
      <c r="OKN124" t="s">
        <v>451</v>
      </c>
      <c r="OKO124" t="s">
        <v>451</v>
      </c>
      <c r="OKP124" t="s">
        <v>451</v>
      </c>
      <c r="OKQ124" t="s">
        <v>451</v>
      </c>
      <c r="OKR124" t="s">
        <v>451</v>
      </c>
      <c r="OKS124" t="s">
        <v>451</v>
      </c>
      <c r="OKT124" t="s">
        <v>451</v>
      </c>
      <c r="OKU124" t="s">
        <v>451</v>
      </c>
      <c r="OKV124" t="s">
        <v>451</v>
      </c>
      <c r="OKW124" t="s">
        <v>451</v>
      </c>
      <c r="OKX124" t="s">
        <v>451</v>
      </c>
      <c r="OKY124" t="s">
        <v>451</v>
      </c>
      <c r="OKZ124" t="s">
        <v>451</v>
      </c>
      <c r="OLA124" t="s">
        <v>451</v>
      </c>
      <c r="OLB124" t="s">
        <v>451</v>
      </c>
      <c r="OLC124" t="s">
        <v>451</v>
      </c>
      <c r="OLD124" t="s">
        <v>451</v>
      </c>
      <c r="OLE124" t="s">
        <v>451</v>
      </c>
      <c r="OLF124" t="s">
        <v>451</v>
      </c>
      <c r="OLG124" t="s">
        <v>451</v>
      </c>
      <c r="OLH124" t="s">
        <v>451</v>
      </c>
      <c r="OLI124" t="s">
        <v>451</v>
      </c>
      <c r="OLJ124" t="s">
        <v>451</v>
      </c>
      <c r="OLK124" t="s">
        <v>451</v>
      </c>
      <c r="OLL124" t="s">
        <v>451</v>
      </c>
      <c r="OLM124" t="s">
        <v>451</v>
      </c>
      <c r="OLN124" t="s">
        <v>451</v>
      </c>
      <c r="OLO124" t="s">
        <v>451</v>
      </c>
      <c r="OLP124" t="s">
        <v>451</v>
      </c>
      <c r="OLQ124" t="s">
        <v>451</v>
      </c>
      <c r="OLR124" t="s">
        <v>451</v>
      </c>
      <c r="OLS124" t="s">
        <v>451</v>
      </c>
      <c r="OLT124" t="s">
        <v>451</v>
      </c>
      <c r="OLU124" t="s">
        <v>451</v>
      </c>
      <c r="OLV124" t="s">
        <v>451</v>
      </c>
      <c r="OLW124" t="s">
        <v>451</v>
      </c>
      <c r="OLX124" t="s">
        <v>451</v>
      </c>
      <c r="OLY124" t="s">
        <v>451</v>
      </c>
      <c r="OLZ124" t="s">
        <v>451</v>
      </c>
      <c r="OMA124" t="s">
        <v>451</v>
      </c>
      <c r="OMB124" t="s">
        <v>451</v>
      </c>
      <c r="OMC124" t="s">
        <v>451</v>
      </c>
      <c r="OMD124" t="s">
        <v>451</v>
      </c>
      <c r="OME124" t="s">
        <v>451</v>
      </c>
      <c r="OMF124" t="s">
        <v>451</v>
      </c>
      <c r="OMG124" t="s">
        <v>451</v>
      </c>
      <c r="OMH124" t="s">
        <v>451</v>
      </c>
      <c r="OMI124" t="s">
        <v>451</v>
      </c>
      <c r="OMJ124" t="s">
        <v>451</v>
      </c>
      <c r="OMK124" t="s">
        <v>451</v>
      </c>
      <c r="OML124" t="s">
        <v>451</v>
      </c>
      <c r="OMM124" t="s">
        <v>451</v>
      </c>
      <c r="OMN124" t="s">
        <v>451</v>
      </c>
      <c r="OMO124" t="s">
        <v>451</v>
      </c>
      <c r="OMP124" t="s">
        <v>451</v>
      </c>
      <c r="OMQ124" t="s">
        <v>451</v>
      </c>
      <c r="OMR124" t="s">
        <v>451</v>
      </c>
      <c r="OMS124" t="s">
        <v>451</v>
      </c>
      <c r="OMT124" t="s">
        <v>451</v>
      </c>
      <c r="OMU124" t="s">
        <v>451</v>
      </c>
      <c r="OMV124" t="s">
        <v>451</v>
      </c>
      <c r="OMW124" t="s">
        <v>451</v>
      </c>
      <c r="OMX124" t="s">
        <v>451</v>
      </c>
      <c r="OMY124" t="s">
        <v>451</v>
      </c>
      <c r="OMZ124" t="s">
        <v>451</v>
      </c>
      <c r="ONA124" t="s">
        <v>451</v>
      </c>
      <c r="ONB124" t="s">
        <v>451</v>
      </c>
      <c r="ONC124" t="s">
        <v>451</v>
      </c>
      <c r="OND124" t="s">
        <v>451</v>
      </c>
      <c r="ONE124" t="s">
        <v>451</v>
      </c>
      <c r="ONF124" t="s">
        <v>451</v>
      </c>
      <c r="ONG124" t="s">
        <v>451</v>
      </c>
      <c r="ONH124" t="s">
        <v>451</v>
      </c>
      <c r="ONI124" t="s">
        <v>451</v>
      </c>
      <c r="ONJ124" t="s">
        <v>451</v>
      </c>
      <c r="ONK124" t="s">
        <v>451</v>
      </c>
      <c r="ONL124" t="s">
        <v>451</v>
      </c>
      <c r="ONM124" t="s">
        <v>451</v>
      </c>
      <c r="ONN124" t="s">
        <v>451</v>
      </c>
      <c r="ONO124" t="s">
        <v>451</v>
      </c>
      <c r="ONP124" t="s">
        <v>451</v>
      </c>
      <c r="ONQ124" t="s">
        <v>451</v>
      </c>
      <c r="ONR124" t="s">
        <v>451</v>
      </c>
      <c r="ONS124" t="s">
        <v>451</v>
      </c>
      <c r="ONT124" t="s">
        <v>451</v>
      </c>
      <c r="ONU124" t="s">
        <v>451</v>
      </c>
      <c r="ONV124" t="s">
        <v>451</v>
      </c>
      <c r="ONW124" t="s">
        <v>451</v>
      </c>
      <c r="ONX124" t="s">
        <v>451</v>
      </c>
      <c r="ONY124" t="s">
        <v>451</v>
      </c>
      <c r="ONZ124" t="s">
        <v>451</v>
      </c>
      <c r="OOA124" t="s">
        <v>451</v>
      </c>
      <c r="OOB124" t="s">
        <v>451</v>
      </c>
      <c r="OOC124" t="s">
        <v>451</v>
      </c>
      <c r="OOD124" t="s">
        <v>451</v>
      </c>
      <c r="OOE124" t="s">
        <v>451</v>
      </c>
      <c r="OOF124" t="s">
        <v>451</v>
      </c>
      <c r="OOG124" t="s">
        <v>451</v>
      </c>
      <c r="OOH124" t="s">
        <v>451</v>
      </c>
      <c r="OOI124" t="s">
        <v>451</v>
      </c>
      <c r="OOJ124" t="s">
        <v>451</v>
      </c>
      <c r="OOK124" t="s">
        <v>451</v>
      </c>
      <c r="OOL124" t="s">
        <v>451</v>
      </c>
      <c r="OOM124" t="s">
        <v>451</v>
      </c>
      <c r="OON124" t="s">
        <v>451</v>
      </c>
      <c r="OOO124" t="s">
        <v>451</v>
      </c>
      <c r="OOP124" t="s">
        <v>451</v>
      </c>
      <c r="OOQ124" t="s">
        <v>451</v>
      </c>
      <c r="OOR124" t="s">
        <v>451</v>
      </c>
      <c r="OOS124" t="s">
        <v>451</v>
      </c>
      <c r="OOT124" t="s">
        <v>451</v>
      </c>
      <c r="OOU124" t="s">
        <v>451</v>
      </c>
      <c r="OOV124" t="s">
        <v>451</v>
      </c>
      <c r="OOW124" t="s">
        <v>451</v>
      </c>
      <c r="OOX124" t="s">
        <v>451</v>
      </c>
      <c r="OOY124" t="s">
        <v>451</v>
      </c>
      <c r="OOZ124" t="s">
        <v>451</v>
      </c>
      <c r="OPA124" t="s">
        <v>451</v>
      </c>
      <c r="OPB124" t="s">
        <v>451</v>
      </c>
      <c r="OPC124" t="s">
        <v>451</v>
      </c>
      <c r="OPD124" t="s">
        <v>451</v>
      </c>
      <c r="OPE124" t="s">
        <v>451</v>
      </c>
      <c r="OPF124" t="s">
        <v>451</v>
      </c>
      <c r="OPG124" t="s">
        <v>451</v>
      </c>
      <c r="OPH124" t="s">
        <v>451</v>
      </c>
      <c r="OPI124" t="s">
        <v>451</v>
      </c>
      <c r="OPJ124" t="s">
        <v>451</v>
      </c>
      <c r="OPK124" t="s">
        <v>451</v>
      </c>
      <c r="OPL124" t="s">
        <v>451</v>
      </c>
      <c r="OPM124" t="s">
        <v>451</v>
      </c>
      <c r="OPN124" t="s">
        <v>451</v>
      </c>
      <c r="OPO124" t="s">
        <v>451</v>
      </c>
      <c r="OPP124" t="s">
        <v>451</v>
      </c>
      <c r="OPQ124" t="s">
        <v>451</v>
      </c>
      <c r="OPR124" t="s">
        <v>451</v>
      </c>
      <c r="OPS124" t="s">
        <v>451</v>
      </c>
      <c r="OPT124" t="s">
        <v>451</v>
      </c>
      <c r="OPU124" t="s">
        <v>451</v>
      </c>
      <c r="OPV124" t="s">
        <v>451</v>
      </c>
      <c r="OPW124" t="s">
        <v>451</v>
      </c>
      <c r="OPX124" t="s">
        <v>451</v>
      </c>
      <c r="OPY124" t="s">
        <v>451</v>
      </c>
      <c r="OPZ124" t="s">
        <v>451</v>
      </c>
      <c r="OQA124" t="s">
        <v>451</v>
      </c>
      <c r="OQB124" t="s">
        <v>451</v>
      </c>
      <c r="OQC124" t="s">
        <v>451</v>
      </c>
      <c r="OQD124" t="s">
        <v>451</v>
      </c>
      <c r="OQE124" t="s">
        <v>451</v>
      </c>
      <c r="OQF124" t="s">
        <v>451</v>
      </c>
      <c r="OQG124" t="s">
        <v>451</v>
      </c>
      <c r="OQH124" t="s">
        <v>451</v>
      </c>
      <c r="OQI124" t="s">
        <v>451</v>
      </c>
      <c r="OQJ124" t="s">
        <v>451</v>
      </c>
      <c r="OQK124" t="s">
        <v>451</v>
      </c>
      <c r="OQL124" t="s">
        <v>451</v>
      </c>
      <c r="OQM124" t="s">
        <v>451</v>
      </c>
      <c r="OQN124" t="s">
        <v>451</v>
      </c>
      <c r="OQO124" t="s">
        <v>451</v>
      </c>
      <c r="OQP124" t="s">
        <v>451</v>
      </c>
      <c r="OQQ124" t="s">
        <v>451</v>
      </c>
      <c r="OQR124" t="s">
        <v>451</v>
      </c>
      <c r="OQS124" t="s">
        <v>451</v>
      </c>
      <c r="OQT124" t="s">
        <v>451</v>
      </c>
      <c r="OQU124" t="s">
        <v>451</v>
      </c>
      <c r="OQV124" t="s">
        <v>451</v>
      </c>
      <c r="OQW124" t="s">
        <v>451</v>
      </c>
      <c r="OQX124" t="s">
        <v>451</v>
      </c>
      <c r="OQY124" t="s">
        <v>451</v>
      </c>
      <c r="OQZ124" t="s">
        <v>451</v>
      </c>
      <c r="ORA124" t="s">
        <v>451</v>
      </c>
      <c r="ORB124" t="s">
        <v>451</v>
      </c>
      <c r="ORC124" t="s">
        <v>451</v>
      </c>
      <c r="ORD124" t="s">
        <v>451</v>
      </c>
      <c r="ORE124" t="s">
        <v>451</v>
      </c>
      <c r="ORF124" t="s">
        <v>451</v>
      </c>
      <c r="ORG124" t="s">
        <v>451</v>
      </c>
      <c r="ORH124" t="s">
        <v>451</v>
      </c>
      <c r="ORI124" t="s">
        <v>451</v>
      </c>
      <c r="ORJ124" t="s">
        <v>451</v>
      </c>
      <c r="ORK124" t="s">
        <v>451</v>
      </c>
      <c r="ORL124" t="s">
        <v>451</v>
      </c>
      <c r="ORM124" t="s">
        <v>451</v>
      </c>
      <c r="ORN124" t="s">
        <v>451</v>
      </c>
      <c r="ORO124" t="s">
        <v>451</v>
      </c>
      <c r="ORP124" t="s">
        <v>451</v>
      </c>
      <c r="ORQ124" t="s">
        <v>451</v>
      </c>
      <c r="ORR124" t="s">
        <v>451</v>
      </c>
      <c r="ORS124" t="s">
        <v>451</v>
      </c>
      <c r="ORT124" t="s">
        <v>451</v>
      </c>
      <c r="ORU124" t="s">
        <v>451</v>
      </c>
      <c r="ORV124" t="s">
        <v>451</v>
      </c>
      <c r="ORW124" t="s">
        <v>451</v>
      </c>
      <c r="ORX124" t="s">
        <v>451</v>
      </c>
      <c r="ORY124" t="s">
        <v>451</v>
      </c>
      <c r="ORZ124" t="s">
        <v>451</v>
      </c>
      <c r="OSA124" t="s">
        <v>451</v>
      </c>
      <c r="OSB124" t="s">
        <v>451</v>
      </c>
      <c r="OSC124" t="s">
        <v>451</v>
      </c>
      <c r="OSD124" t="s">
        <v>451</v>
      </c>
      <c r="OSE124" t="s">
        <v>451</v>
      </c>
      <c r="OSF124" t="s">
        <v>451</v>
      </c>
      <c r="OSG124" t="s">
        <v>451</v>
      </c>
      <c r="OSH124" t="s">
        <v>451</v>
      </c>
      <c r="OSI124" t="s">
        <v>451</v>
      </c>
      <c r="OSJ124" t="s">
        <v>451</v>
      </c>
      <c r="OSK124" t="s">
        <v>451</v>
      </c>
      <c r="OSL124" t="s">
        <v>451</v>
      </c>
      <c r="OSM124" t="s">
        <v>451</v>
      </c>
      <c r="OSN124" t="s">
        <v>451</v>
      </c>
      <c r="OSO124" t="s">
        <v>451</v>
      </c>
      <c r="OSP124" t="s">
        <v>451</v>
      </c>
      <c r="OSQ124" t="s">
        <v>451</v>
      </c>
      <c r="OSR124" t="s">
        <v>451</v>
      </c>
      <c r="OSS124" t="s">
        <v>451</v>
      </c>
      <c r="OST124" t="s">
        <v>451</v>
      </c>
      <c r="OSU124" t="s">
        <v>451</v>
      </c>
      <c r="OSV124" t="s">
        <v>451</v>
      </c>
      <c r="OSW124" t="s">
        <v>451</v>
      </c>
      <c r="OSX124" t="s">
        <v>451</v>
      </c>
      <c r="OSY124" t="s">
        <v>451</v>
      </c>
      <c r="OSZ124" t="s">
        <v>451</v>
      </c>
      <c r="OTA124" t="s">
        <v>451</v>
      </c>
      <c r="OTB124" t="s">
        <v>451</v>
      </c>
      <c r="OTC124" t="s">
        <v>451</v>
      </c>
      <c r="OTD124" t="s">
        <v>451</v>
      </c>
      <c r="OTE124" t="s">
        <v>451</v>
      </c>
      <c r="OTF124" t="s">
        <v>451</v>
      </c>
      <c r="OTG124" t="s">
        <v>451</v>
      </c>
      <c r="OTH124" t="s">
        <v>451</v>
      </c>
      <c r="OTI124" t="s">
        <v>451</v>
      </c>
      <c r="OTJ124" t="s">
        <v>451</v>
      </c>
      <c r="OTK124" t="s">
        <v>451</v>
      </c>
      <c r="OTL124" t="s">
        <v>451</v>
      </c>
      <c r="OTM124" t="s">
        <v>451</v>
      </c>
      <c r="OTN124" t="s">
        <v>451</v>
      </c>
      <c r="OTO124" t="s">
        <v>451</v>
      </c>
      <c r="OTP124" t="s">
        <v>451</v>
      </c>
      <c r="OTQ124" t="s">
        <v>451</v>
      </c>
      <c r="OTR124" t="s">
        <v>451</v>
      </c>
      <c r="OTS124" t="s">
        <v>451</v>
      </c>
      <c r="OTT124" t="s">
        <v>451</v>
      </c>
      <c r="OTU124" t="s">
        <v>451</v>
      </c>
      <c r="OTV124" t="s">
        <v>451</v>
      </c>
      <c r="OTW124" t="s">
        <v>451</v>
      </c>
      <c r="OTX124" t="s">
        <v>451</v>
      </c>
      <c r="OTY124" t="s">
        <v>451</v>
      </c>
      <c r="OTZ124" t="s">
        <v>451</v>
      </c>
      <c r="OUA124" t="s">
        <v>451</v>
      </c>
      <c r="OUB124" t="s">
        <v>451</v>
      </c>
      <c r="OUC124" t="s">
        <v>451</v>
      </c>
      <c r="OUD124" t="s">
        <v>451</v>
      </c>
      <c r="OUE124" t="s">
        <v>451</v>
      </c>
      <c r="OUF124" t="s">
        <v>451</v>
      </c>
      <c r="OUG124" t="s">
        <v>451</v>
      </c>
      <c r="OUH124" t="s">
        <v>451</v>
      </c>
      <c r="OUI124" t="s">
        <v>451</v>
      </c>
      <c r="OUJ124" t="s">
        <v>451</v>
      </c>
      <c r="OUK124" t="s">
        <v>451</v>
      </c>
      <c r="OUL124" t="s">
        <v>451</v>
      </c>
      <c r="OUM124" t="s">
        <v>451</v>
      </c>
      <c r="OUN124" t="s">
        <v>451</v>
      </c>
      <c r="OUO124" t="s">
        <v>451</v>
      </c>
      <c r="OUP124" t="s">
        <v>451</v>
      </c>
      <c r="OUQ124" t="s">
        <v>451</v>
      </c>
      <c r="OUR124" t="s">
        <v>451</v>
      </c>
      <c r="OUS124" t="s">
        <v>451</v>
      </c>
      <c r="OUT124" t="s">
        <v>451</v>
      </c>
      <c r="OUU124" t="s">
        <v>451</v>
      </c>
      <c r="OUV124" t="s">
        <v>451</v>
      </c>
      <c r="OUW124" t="s">
        <v>451</v>
      </c>
      <c r="OUX124" t="s">
        <v>451</v>
      </c>
      <c r="OUY124" t="s">
        <v>451</v>
      </c>
      <c r="OUZ124" t="s">
        <v>451</v>
      </c>
      <c r="OVA124" t="s">
        <v>451</v>
      </c>
      <c r="OVB124" t="s">
        <v>451</v>
      </c>
      <c r="OVC124" t="s">
        <v>451</v>
      </c>
      <c r="OVD124" t="s">
        <v>451</v>
      </c>
      <c r="OVE124" t="s">
        <v>451</v>
      </c>
      <c r="OVF124" t="s">
        <v>451</v>
      </c>
      <c r="OVG124" t="s">
        <v>451</v>
      </c>
      <c r="OVH124" t="s">
        <v>451</v>
      </c>
      <c r="OVI124" t="s">
        <v>451</v>
      </c>
      <c r="OVJ124" t="s">
        <v>451</v>
      </c>
      <c r="OVK124" t="s">
        <v>451</v>
      </c>
      <c r="OVL124" t="s">
        <v>451</v>
      </c>
      <c r="OVM124" t="s">
        <v>451</v>
      </c>
      <c r="OVN124" t="s">
        <v>451</v>
      </c>
      <c r="OVO124" t="s">
        <v>451</v>
      </c>
      <c r="OVP124" t="s">
        <v>451</v>
      </c>
      <c r="OVQ124" t="s">
        <v>451</v>
      </c>
      <c r="OVR124" t="s">
        <v>451</v>
      </c>
      <c r="OVS124" t="s">
        <v>451</v>
      </c>
      <c r="OVT124" t="s">
        <v>451</v>
      </c>
      <c r="OVU124" t="s">
        <v>451</v>
      </c>
      <c r="OVV124" t="s">
        <v>451</v>
      </c>
      <c r="OVW124" t="s">
        <v>451</v>
      </c>
      <c r="OVX124" t="s">
        <v>451</v>
      </c>
      <c r="OVY124" t="s">
        <v>451</v>
      </c>
      <c r="OVZ124" t="s">
        <v>451</v>
      </c>
      <c r="OWA124" t="s">
        <v>451</v>
      </c>
      <c r="OWB124" t="s">
        <v>451</v>
      </c>
      <c r="OWC124" t="s">
        <v>451</v>
      </c>
      <c r="OWD124" t="s">
        <v>451</v>
      </c>
      <c r="OWE124" t="s">
        <v>451</v>
      </c>
      <c r="OWF124" t="s">
        <v>451</v>
      </c>
      <c r="OWG124" t="s">
        <v>451</v>
      </c>
      <c r="OWH124" t="s">
        <v>451</v>
      </c>
      <c r="OWI124" t="s">
        <v>451</v>
      </c>
      <c r="OWJ124" t="s">
        <v>451</v>
      </c>
      <c r="OWK124" t="s">
        <v>451</v>
      </c>
      <c r="OWL124" t="s">
        <v>451</v>
      </c>
      <c r="OWM124" t="s">
        <v>451</v>
      </c>
      <c r="OWN124" t="s">
        <v>451</v>
      </c>
      <c r="OWO124" t="s">
        <v>451</v>
      </c>
      <c r="OWP124" t="s">
        <v>451</v>
      </c>
      <c r="OWQ124" t="s">
        <v>451</v>
      </c>
      <c r="OWR124" t="s">
        <v>451</v>
      </c>
      <c r="OWS124" t="s">
        <v>451</v>
      </c>
      <c r="OWT124" t="s">
        <v>451</v>
      </c>
      <c r="OWU124" t="s">
        <v>451</v>
      </c>
      <c r="OWV124" t="s">
        <v>451</v>
      </c>
      <c r="OWW124" t="s">
        <v>451</v>
      </c>
      <c r="OWX124" t="s">
        <v>451</v>
      </c>
      <c r="OWY124" t="s">
        <v>451</v>
      </c>
      <c r="OWZ124" t="s">
        <v>451</v>
      </c>
      <c r="OXA124" t="s">
        <v>451</v>
      </c>
      <c r="OXB124" t="s">
        <v>451</v>
      </c>
      <c r="OXC124" t="s">
        <v>451</v>
      </c>
      <c r="OXD124" t="s">
        <v>451</v>
      </c>
      <c r="OXE124" t="s">
        <v>451</v>
      </c>
      <c r="OXF124" t="s">
        <v>451</v>
      </c>
      <c r="OXG124" t="s">
        <v>451</v>
      </c>
      <c r="OXH124" t="s">
        <v>451</v>
      </c>
      <c r="OXI124" t="s">
        <v>451</v>
      </c>
      <c r="OXJ124" t="s">
        <v>451</v>
      </c>
      <c r="OXK124" t="s">
        <v>451</v>
      </c>
      <c r="OXL124" t="s">
        <v>451</v>
      </c>
      <c r="OXM124" t="s">
        <v>451</v>
      </c>
      <c r="OXN124" t="s">
        <v>451</v>
      </c>
      <c r="OXO124" t="s">
        <v>451</v>
      </c>
      <c r="OXP124" t="s">
        <v>451</v>
      </c>
      <c r="OXQ124" t="s">
        <v>451</v>
      </c>
      <c r="OXR124" t="s">
        <v>451</v>
      </c>
      <c r="OXS124" t="s">
        <v>451</v>
      </c>
      <c r="OXT124" t="s">
        <v>451</v>
      </c>
      <c r="OXU124" t="s">
        <v>451</v>
      </c>
      <c r="OXV124" t="s">
        <v>451</v>
      </c>
      <c r="OXW124" t="s">
        <v>451</v>
      </c>
      <c r="OXX124" t="s">
        <v>451</v>
      </c>
      <c r="OXY124" t="s">
        <v>451</v>
      </c>
      <c r="OXZ124" t="s">
        <v>451</v>
      </c>
      <c r="OYA124" t="s">
        <v>451</v>
      </c>
      <c r="OYB124" t="s">
        <v>451</v>
      </c>
      <c r="OYC124" t="s">
        <v>451</v>
      </c>
      <c r="OYD124" t="s">
        <v>451</v>
      </c>
      <c r="OYE124" t="s">
        <v>451</v>
      </c>
      <c r="OYF124" t="s">
        <v>451</v>
      </c>
      <c r="OYG124" t="s">
        <v>451</v>
      </c>
      <c r="OYH124" t="s">
        <v>451</v>
      </c>
      <c r="OYI124" t="s">
        <v>451</v>
      </c>
      <c r="OYJ124" t="s">
        <v>451</v>
      </c>
      <c r="OYK124" t="s">
        <v>451</v>
      </c>
      <c r="OYL124" t="s">
        <v>451</v>
      </c>
      <c r="OYM124" t="s">
        <v>451</v>
      </c>
      <c r="OYN124" t="s">
        <v>451</v>
      </c>
      <c r="OYO124" t="s">
        <v>451</v>
      </c>
      <c r="OYP124" t="s">
        <v>451</v>
      </c>
      <c r="OYQ124" t="s">
        <v>451</v>
      </c>
      <c r="OYR124" t="s">
        <v>451</v>
      </c>
      <c r="OYS124" t="s">
        <v>451</v>
      </c>
      <c r="OYT124" t="s">
        <v>451</v>
      </c>
      <c r="OYU124" t="s">
        <v>451</v>
      </c>
      <c r="OYV124" t="s">
        <v>451</v>
      </c>
      <c r="OYW124" t="s">
        <v>451</v>
      </c>
      <c r="OYX124" t="s">
        <v>451</v>
      </c>
      <c r="OYY124" t="s">
        <v>451</v>
      </c>
      <c r="OYZ124" t="s">
        <v>451</v>
      </c>
      <c r="OZA124" t="s">
        <v>451</v>
      </c>
      <c r="OZB124" t="s">
        <v>451</v>
      </c>
      <c r="OZC124" t="s">
        <v>451</v>
      </c>
      <c r="OZD124" t="s">
        <v>451</v>
      </c>
      <c r="OZE124" t="s">
        <v>451</v>
      </c>
      <c r="OZF124" t="s">
        <v>451</v>
      </c>
      <c r="OZG124" t="s">
        <v>451</v>
      </c>
      <c r="OZH124" t="s">
        <v>451</v>
      </c>
      <c r="OZI124" t="s">
        <v>451</v>
      </c>
      <c r="OZJ124" t="s">
        <v>451</v>
      </c>
      <c r="OZK124" t="s">
        <v>451</v>
      </c>
      <c r="OZL124" t="s">
        <v>451</v>
      </c>
      <c r="OZM124" t="s">
        <v>451</v>
      </c>
      <c r="OZN124" t="s">
        <v>451</v>
      </c>
      <c r="OZO124" t="s">
        <v>451</v>
      </c>
      <c r="OZP124" t="s">
        <v>451</v>
      </c>
      <c r="OZQ124" t="s">
        <v>451</v>
      </c>
      <c r="OZR124" t="s">
        <v>451</v>
      </c>
      <c r="OZS124" t="s">
        <v>451</v>
      </c>
      <c r="OZT124" t="s">
        <v>451</v>
      </c>
      <c r="OZU124" t="s">
        <v>451</v>
      </c>
      <c r="OZV124" t="s">
        <v>451</v>
      </c>
      <c r="OZW124" t="s">
        <v>451</v>
      </c>
      <c r="OZX124" t="s">
        <v>451</v>
      </c>
      <c r="OZY124" t="s">
        <v>451</v>
      </c>
      <c r="OZZ124" t="s">
        <v>451</v>
      </c>
      <c r="PAA124" t="s">
        <v>451</v>
      </c>
      <c r="PAB124" t="s">
        <v>451</v>
      </c>
      <c r="PAC124" t="s">
        <v>451</v>
      </c>
      <c r="PAD124" t="s">
        <v>451</v>
      </c>
      <c r="PAE124" t="s">
        <v>451</v>
      </c>
      <c r="PAF124" t="s">
        <v>451</v>
      </c>
      <c r="PAG124" t="s">
        <v>451</v>
      </c>
      <c r="PAH124" t="s">
        <v>451</v>
      </c>
      <c r="PAI124" t="s">
        <v>451</v>
      </c>
      <c r="PAJ124" t="s">
        <v>451</v>
      </c>
      <c r="PAK124" t="s">
        <v>451</v>
      </c>
      <c r="PAL124" t="s">
        <v>451</v>
      </c>
      <c r="PAM124" t="s">
        <v>451</v>
      </c>
      <c r="PAN124" t="s">
        <v>451</v>
      </c>
      <c r="PAO124" t="s">
        <v>451</v>
      </c>
      <c r="PAP124" t="s">
        <v>451</v>
      </c>
      <c r="PAQ124" t="s">
        <v>451</v>
      </c>
      <c r="PAR124" t="s">
        <v>451</v>
      </c>
      <c r="PAS124" t="s">
        <v>451</v>
      </c>
      <c r="PAT124" t="s">
        <v>451</v>
      </c>
      <c r="PAU124" t="s">
        <v>451</v>
      </c>
      <c r="PAV124" t="s">
        <v>451</v>
      </c>
      <c r="PAW124" t="s">
        <v>451</v>
      </c>
      <c r="PAX124" t="s">
        <v>451</v>
      </c>
      <c r="PAY124" t="s">
        <v>451</v>
      </c>
      <c r="PAZ124" t="s">
        <v>451</v>
      </c>
      <c r="PBA124" t="s">
        <v>451</v>
      </c>
      <c r="PBB124" t="s">
        <v>451</v>
      </c>
      <c r="PBC124" t="s">
        <v>451</v>
      </c>
      <c r="PBD124" t="s">
        <v>451</v>
      </c>
      <c r="PBE124" t="s">
        <v>451</v>
      </c>
      <c r="PBF124" t="s">
        <v>451</v>
      </c>
      <c r="PBG124" t="s">
        <v>451</v>
      </c>
      <c r="PBH124" t="s">
        <v>451</v>
      </c>
      <c r="PBI124" t="s">
        <v>451</v>
      </c>
      <c r="PBJ124" t="s">
        <v>451</v>
      </c>
      <c r="PBK124" t="s">
        <v>451</v>
      </c>
      <c r="PBL124" t="s">
        <v>451</v>
      </c>
      <c r="PBM124" t="s">
        <v>451</v>
      </c>
      <c r="PBN124" t="s">
        <v>451</v>
      </c>
      <c r="PBO124" t="s">
        <v>451</v>
      </c>
      <c r="PBP124" t="s">
        <v>451</v>
      </c>
      <c r="PBQ124" t="s">
        <v>451</v>
      </c>
      <c r="PBR124" t="s">
        <v>451</v>
      </c>
      <c r="PBS124" t="s">
        <v>451</v>
      </c>
      <c r="PBT124" t="s">
        <v>451</v>
      </c>
      <c r="PBU124" t="s">
        <v>451</v>
      </c>
      <c r="PBV124" t="s">
        <v>451</v>
      </c>
      <c r="PBW124" t="s">
        <v>451</v>
      </c>
      <c r="PBX124" t="s">
        <v>451</v>
      </c>
      <c r="PBY124" t="s">
        <v>451</v>
      </c>
      <c r="PBZ124" t="s">
        <v>451</v>
      </c>
      <c r="PCA124" t="s">
        <v>451</v>
      </c>
      <c r="PCB124" t="s">
        <v>451</v>
      </c>
      <c r="PCC124" t="s">
        <v>451</v>
      </c>
      <c r="PCD124" t="s">
        <v>451</v>
      </c>
      <c r="PCE124" t="s">
        <v>451</v>
      </c>
      <c r="PCF124" t="s">
        <v>451</v>
      </c>
      <c r="PCG124" t="s">
        <v>451</v>
      </c>
      <c r="PCH124" t="s">
        <v>451</v>
      </c>
      <c r="PCI124" t="s">
        <v>451</v>
      </c>
      <c r="PCJ124" t="s">
        <v>451</v>
      </c>
      <c r="PCK124" t="s">
        <v>451</v>
      </c>
      <c r="PCL124" t="s">
        <v>451</v>
      </c>
      <c r="PCM124" t="s">
        <v>451</v>
      </c>
      <c r="PCN124" t="s">
        <v>451</v>
      </c>
      <c r="PCO124" t="s">
        <v>451</v>
      </c>
      <c r="PCP124" t="s">
        <v>451</v>
      </c>
      <c r="PCQ124" t="s">
        <v>451</v>
      </c>
      <c r="PCR124" t="s">
        <v>451</v>
      </c>
      <c r="PCS124" t="s">
        <v>451</v>
      </c>
      <c r="PCT124" t="s">
        <v>451</v>
      </c>
      <c r="PCU124" t="s">
        <v>451</v>
      </c>
      <c r="PCV124" t="s">
        <v>451</v>
      </c>
      <c r="PCW124" t="s">
        <v>451</v>
      </c>
      <c r="PCX124" t="s">
        <v>451</v>
      </c>
      <c r="PCY124" t="s">
        <v>451</v>
      </c>
      <c r="PCZ124" t="s">
        <v>451</v>
      </c>
      <c r="PDA124" t="s">
        <v>451</v>
      </c>
      <c r="PDB124" t="s">
        <v>451</v>
      </c>
      <c r="PDC124" t="s">
        <v>451</v>
      </c>
      <c r="PDD124" t="s">
        <v>451</v>
      </c>
      <c r="PDE124" t="s">
        <v>451</v>
      </c>
      <c r="PDF124" t="s">
        <v>451</v>
      </c>
      <c r="PDG124" t="s">
        <v>451</v>
      </c>
      <c r="PDH124" t="s">
        <v>451</v>
      </c>
      <c r="PDI124" t="s">
        <v>451</v>
      </c>
      <c r="PDJ124" t="s">
        <v>451</v>
      </c>
      <c r="PDK124" t="s">
        <v>451</v>
      </c>
      <c r="PDL124" t="s">
        <v>451</v>
      </c>
      <c r="PDM124" t="s">
        <v>451</v>
      </c>
      <c r="PDN124" t="s">
        <v>451</v>
      </c>
      <c r="PDO124" t="s">
        <v>451</v>
      </c>
      <c r="PDP124" t="s">
        <v>451</v>
      </c>
      <c r="PDQ124" t="s">
        <v>451</v>
      </c>
      <c r="PDR124" t="s">
        <v>451</v>
      </c>
      <c r="PDS124" t="s">
        <v>451</v>
      </c>
      <c r="PDT124" t="s">
        <v>451</v>
      </c>
      <c r="PDU124" t="s">
        <v>451</v>
      </c>
      <c r="PDV124" t="s">
        <v>451</v>
      </c>
      <c r="PDW124" t="s">
        <v>451</v>
      </c>
      <c r="PDX124" t="s">
        <v>451</v>
      </c>
      <c r="PDY124" t="s">
        <v>451</v>
      </c>
      <c r="PDZ124" t="s">
        <v>451</v>
      </c>
      <c r="PEA124" t="s">
        <v>451</v>
      </c>
      <c r="PEB124" t="s">
        <v>451</v>
      </c>
      <c r="PEC124" t="s">
        <v>451</v>
      </c>
      <c r="PED124" t="s">
        <v>451</v>
      </c>
      <c r="PEE124" t="s">
        <v>451</v>
      </c>
      <c r="PEF124" t="s">
        <v>451</v>
      </c>
      <c r="PEG124" t="s">
        <v>451</v>
      </c>
      <c r="PEH124" t="s">
        <v>451</v>
      </c>
      <c r="PEI124" t="s">
        <v>451</v>
      </c>
      <c r="PEJ124" t="s">
        <v>451</v>
      </c>
      <c r="PEK124" t="s">
        <v>451</v>
      </c>
      <c r="PEL124" t="s">
        <v>451</v>
      </c>
      <c r="PEM124" t="s">
        <v>451</v>
      </c>
      <c r="PEN124" t="s">
        <v>451</v>
      </c>
      <c r="PEO124" t="s">
        <v>451</v>
      </c>
      <c r="PEP124" t="s">
        <v>451</v>
      </c>
      <c r="PEQ124" t="s">
        <v>451</v>
      </c>
      <c r="PER124" t="s">
        <v>451</v>
      </c>
      <c r="PES124" t="s">
        <v>451</v>
      </c>
      <c r="PET124" t="s">
        <v>451</v>
      </c>
      <c r="PEU124" t="s">
        <v>451</v>
      </c>
      <c r="PEV124" t="s">
        <v>451</v>
      </c>
      <c r="PEW124" t="s">
        <v>451</v>
      </c>
      <c r="PEX124" t="s">
        <v>451</v>
      </c>
      <c r="PEY124" t="s">
        <v>451</v>
      </c>
      <c r="PEZ124" t="s">
        <v>451</v>
      </c>
      <c r="PFA124" t="s">
        <v>451</v>
      </c>
      <c r="PFB124" t="s">
        <v>451</v>
      </c>
      <c r="PFC124" t="s">
        <v>451</v>
      </c>
      <c r="PFD124" t="s">
        <v>451</v>
      </c>
      <c r="PFE124" t="s">
        <v>451</v>
      </c>
      <c r="PFF124" t="s">
        <v>451</v>
      </c>
      <c r="PFG124" t="s">
        <v>451</v>
      </c>
      <c r="PFH124" t="s">
        <v>451</v>
      </c>
      <c r="PFI124" t="s">
        <v>451</v>
      </c>
      <c r="PFJ124" t="s">
        <v>451</v>
      </c>
      <c r="PFK124" t="s">
        <v>451</v>
      </c>
      <c r="PFL124" t="s">
        <v>451</v>
      </c>
      <c r="PFM124" t="s">
        <v>451</v>
      </c>
      <c r="PFN124" t="s">
        <v>451</v>
      </c>
      <c r="PFO124" t="s">
        <v>451</v>
      </c>
      <c r="PFP124" t="s">
        <v>451</v>
      </c>
      <c r="PFQ124" t="s">
        <v>451</v>
      </c>
      <c r="PFR124" t="s">
        <v>451</v>
      </c>
      <c r="PFS124" t="s">
        <v>451</v>
      </c>
      <c r="PFT124" t="s">
        <v>451</v>
      </c>
      <c r="PFU124" t="s">
        <v>451</v>
      </c>
      <c r="PFV124" t="s">
        <v>451</v>
      </c>
      <c r="PFW124" t="s">
        <v>451</v>
      </c>
      <c r="PFX124" t="s">
        <v>451</v>
      </c>
      <c r="PFY124" t="s">
        <v>451</v>
      </c>
      <c r="PFZ124" t="s">
        <v>451</v>
      </c>
      <c r="PGA124" t="s">
        <v>451</v>
      </c>
      <c r="PGB124" t="s">
        <v>451</v>
      </c>
      <c r="PGC124" t="s">
        <v>451</v>
      </c>
      <c r="PGD124" t="s">
        <v>451</v>
      </c>
      <c r="PGE124" t="s">
        <v>451</v>
      </c>
      <c r="PGF124" t="s">
        <v>451</v>
      </c>
      <c r="PGG124" t="s">
        <v>451</v>
      </c>
      <c r="PGH124" t="s">
        <v>451</v>
      </c>
      <c r="PGI124" t="s">
        <v>451</v>
      </c>
      <c r="PGJ124" t="s">
        <v>451</v>
      </c>
      <c r="PGK124" t="s">
        <v>451</v>
      </c>
      <c r="PGL124" t="s">
        <v>451</v>
      </c>
      <c r="PGM124" t="s">
        <v>451</v>
      </c>
      <c r="PGN124" t="s">
        <v>451</v>
      </c>
      <c r="PGO124" t="s">
        <v>451</v>
      </c>
      <c r="PGP124" t="s">
        <v>451</v>
      </c>
      <c r="PGQ124" t="s">
        <v>451</v>
      </c>
      <c r="PGR124" t="s">
        <v>451</v>
      </c>
      <c r="PGS124" t="s">
        <v>451</v>
      </c>
      <c r="PGT124" t="s">
        <v>451</v>
      </c>
      <c r="PGU124" t="s">
        <v>451</v>
      </c>
      <c r="PGV124" t="s">
        <v>451</v>
      </c>
      <c r="PGW124" t="s">
        <v>451</v>
      </c>
      <c r="PGX124" t="s">
        <v>451</v>
      </c>
      <c r="PGY124" t="s">
        <v>451</v>
      </c>
      <c r="PGZ124" t="s">
        <v>451</v>
      </c>
      <c r="PHA124" t="s">
        <v>451</v>
      </c>
      <c r="PHB124" t="s">
        <v>451</v>
      </c>
      <c r="PHC124" t="s">
        <v>451</v>
      </c>
      <c r="PHD124" t="s">
        <v>451</v>
      </c>
      <c r="PHE124" t="s">
        <v>451</v>
      </c>
      <c r="PHF124" t="s">
        <v>451</v>
      </c>
      <c r="PHG124" t="s">
        <v>451</v>
      </c>
      <c r="PHH124" t="s">
        <v>451</v>
      </c>
      <c r="PHI124" t="s">
        <v>451</v>
      </c>
      <c r="PHJ124" t="s">
        <v>451</v>
      </c>
      <c r="PHK124" t="s">
        <v>451</v>
      </c>
      <c r="PHL124" t="s">
        <v>451</v>
      </c>
      <c r="PHM124" t="s">
        <v>451</v>
      </c>
      <c r="PHN124" t="s">
        <v>451</v>
      </c>
      <c r="PHO124" t="s">
        <v>451</v>
      </c>
      <c r="PHP124" t="s">
        <v>451</v>
      </c>
      <c r="PHQ124" t="s">
        <v>451</v>
      </c>
      <c r="PHR124" t="s">
        <v>451</v>
      </c>
      <c r="PHS124" t="s">
        <v>451</v>
      </c>
      <c r="PHT124" t="s">
        <v>451</v>
      </c>
      <c r="PHU124" t="s">
        <v>451</v>
      </c>
      <c r="PHV124" t="s">
        <v>451</v>
      </c>
      <c r="PHW124" t="s">
        <v>451</v>
      </c>
      <c r="PHX124" t="s">
        <v>451</v>
      </c>
      <c r="PHY124" t="s">
        <v>451</v>
      </c>
      <c r="PHZ124" t="s">
        <v>451</v>
      </c>
      <c r="PIA124" t="s">
        <v>451</v>
      </c>
      <c r="PIB124" t="s">
        <v>451</v>
      </c>
      <c r="PIC124" t="s">
        <v>451</v>
      </c>
      <c r="PID124" t="s">
        <v>451</v>
      </c>
      <c r="PIE124" t="s">
        <v>451</v>
      </c>
      <c r="PIF124" t="s">
        <v>451</v>
      </c>
      <c r="PIG124" t="s">
        <v>451</v>
      </c>
      <c r="PIH124" t="s">
        <v>451</v>
      </c>
      <c r="PII124" t="s">
        <v>451</v>
      </c>
      <c r="PIJ124" t="s">
        <v>451</v>
      </c>
      <c r="PIK124" t="s">
        <v>451</v>
      </c>
      <c r="PIL124" t="s">
        <v>451</v>
      </c>
      <c r="PIM124" t="s">
        <v>451</v>
      </c>
      <c r="PIN124" t="s">
        <v>451</v>
      </c>
      <c r="PIO124" t="s">
        <v>451</v>
      </c>
      <c r="PIP124" t="s">
        <v>451</v>
      </c>
      <c r="PIQ124" t="s">
        <v>451</v>
      </c>
      <c r="PIR124" t="s">
        <v>451</v>
      </c>
      <c r="PIS124" t="s">
        <v>451</v>
      </c>
      <c r="PIT124" t="s">
        <v>451</v>
      </c>
      <c r="PIU124" t="s">
        <v>451</v>
      </c>
      <c r="PIV124" t="s">
        <v>451</v>
      </c>
      <c r="PIW124" t="s">
        <v>451</v>
      </c>
      <c r="PIX124" t="s">
        <v>451</v>
      </c>
      <c r="PIY124" t="s">
        <v>451</v>
      </c>
      <c r="PIZ124" t="s">
        <v>451</v>
      </c>
      <c r="PJA124" t="s">
        <v>451</v>
      </c>
      <c r="PJB124" t="s">
        <v>451</v>
      </c>
      <c r="PJC124" t="s">
        <v>451</v>
      </c>
      <c r="PJD124" t="s">
        <v>451</v>
      </c>
      <c r="PJE124" t="s">
        <v>451</v>
      </c>
      <c r="PJF124" t="s">
        <v>451</v>
      </c>
      <c r="PJG124" t="s">
        <v>451</v>
      </c>
      <c r="PJH124" t="s">
        <v>451</v>
      </c>
      <c r="PJI124" t="s">
        <v>451</v>
      </c>
      <c r="PJJ124" t="s">
        <v>451</v>
      </c>
      <c r="PJK124" t="s">
        <v>451</v>
      </c>
      <c r="PJL124" t="s">
        <v>451</v>
      </c>
      <c r="PJM124" t="s">
        <v>451</v>
      </c>
      <c r="PJN124" t="s">
        <v>451</v>
      </c>
      <c r="PJO124" t="s">
        <v>451</v>
      </c>
      <c r="PJP124" t="s">
        <v>451</v>
      </c>
      <c r="PJQ124" t="s">
        <v>451</v>
      </c>
      <c r="PJR124" t="s">
        <v>451</v>
      </c>
      <c r="PJS124" t="s">
        <v>451</v>
      </c>
      <c r="PJT124" t="s">
        <v>451</v>
      </c>
      <c r="PJU124" t="s">
        <v>451</v>
      </c>
      <c r="PJV124" t="s">
        <v>451</v>
      </c>
      <c r="PJW124" t="s">
        <v>451</v>
      </c>
      <c r="PJX124" t="s">
        <v>451</v>
      </c>
      <c r="PJY124" t="s">
        <v>451</v>
      </c>
      <c r="PJZ124" t="s">
        <v>451</v>
      </c>
      <c r="PKA124" t="s">
        <v>451</v>
      </c>
      <c r="PKB124" t="s">
        <v>451</v>
      </c>
      <c r="PKC124" t="s">
        <v>451</v>
      </c>
      <c r="PKD124" t="s">
        <v>451</v>
      </c>
      <c r="PKE124" t="s">
        <v>451</v>
      </c>
      <c r="PKF124" t="s">
        <v>451</v>
      </c>
      <c r="PKG124" t="s">
        <v>451</v>
      </c>
      <c r="PKH124" t="s">
        <v>451</v>
      </c>
      <c r="PKI124" t="s">
        <v>451</v>
      </c>
      <c r="PKJ124" t="s">
        <v>451</v>
      </c>
      <c r="PKK124" t="s">
        <v>451</v>
      </c>
      <c r="PKL124" t="s">
        <v>451</v>
      </c>
      <c r="PKM124" t="s">
        <v>451</v>
      </c>
      <c r="PKN124" t="s">
        <v>451</v>
      </c>
      <c r="PKO124" t="s">
        <v>451</v>
      </c>
      <c r="PKP124" t="s">
        <v>451</v>
      </c>
      <c r="PKQ124" t="s">
        <v>451</v>
      </c>
      <c r="PKR124" t="s">
        <v>451</v>
      </c>
      <c r="PKS124" t="s">
        <v>451</v>
      </c>
      <c r="PKT124" t="s">
        <v>451</v>
      </c>
      <c r="PKU124" t="s">
        <v>451</v>
      </c>
      <c r="PKV124" t="s">
        <v>451</v>
      </c>
      <c r="PKW124" t="s">
        <v>451</v>
      </c>
      <c r="PKX124" t="s">
        <v>451</v>
      </c>
      <c r="PKY124" t="s">
        <v>451</v>
      </c>
      <c r="PKZ124" t="s">
        <v>451</v>
      </c>
      <c r="PLA124" t="s">
        <v>451</v>
      </c>
      <c r="PLB124" t="s">
        <v>451</v>
      </c>
      <c r="PLC124" t="s">
        <v>451</v>
      </c>
      <c r="PLD124" t="s">
        <v>451</v>
      </c>
      <c r="PLE124" t="s">
        <v>451</v>
      </c>
      <c r="PLF124" t="s">
        <v>451</v>
      </c>
      <c r="PLG124" t="s">
        <v>451</v>
      </c>
      <c r="PLH124" t="s">
        <v>451</v>
      </c>
      <c r="PLI124" t="s">
        <v>451</v>
      </c>
      <c r="PLJ124" t="s">
        <v>451</v>
      </c>
      <c r="PLK124" t="s">
        <v>451</v>
      </c>
      <c r="PLL124" t="s">
        <v>451</v>
      </c>
      <c r="PLM124" t="s">
        <v>451</v>
      </c>
      <c r="PLN124" t="s">
        <v>451</v>
      </c>
      <c r="PLO124" t="s">
        <v>451</v>
      </c>
      <c r="PLP124" t="s">
        <v>451</v>
      </c>
      <c r="PLQ124" t="s">
        <v>451</v>
      </c>
      <c r="PLR124" t="s">
        <v>451</v>
      </c>
      <c r="PLS124" t="s">
        <v>451</v>
      </c>
      <c r="PLT124" t="s">
        <v>451</v>
      </c>
      <c r="PLU124" t="s">
        <v>451</v>
      </c>
      <c r="PLV124" t="s">
        <v>451</v>
      </c>
      <c r="PLW124" t="s">
        <v>451</v>
      </c>
      <c r="PLX124" t="s">
        <v>451</v>
      </c>
      <c r="PLY124" t="s">
        <v>451</v>
      </c>
      <c r="PLZ124" t="s">
        <v>451</v>
      </c>
      <c r="PMA124" t="s">
        <v>451</v>
      </c>
      <c r="PMB124" t="s">
        <v>451</v>
      </c>
      <c r="PMC124" t="s">
        <v>451</v>
      </c>
      <c r="PMD124" t="s">
        <v>451</v>
      </c>
      <c r="PME124" t="s">
        <v>451</v>
      </c>
      <c r="PMF124" t="s">
        <v>451</v>
      </c>
      <c r="PMG124" t="s">
        <v>451</v>
      </c>
      <c r="PMH124" t="s">
        <v>451</v>
      </c>
      <c r="PMI124" t="s">
        <v>451</v>
      </c>
      <c r="PMJ124" t="s">
        <v>451</v>
      </c>
      <c r="PMK124" t="s">
        <v>451</v>
      </c>
      <c r="PML124" t="s">
        <v>451</v>
      </c>
      <c r="PMM124" t="s">
        <v>451</v>
      </c>
      <c r="PMN124" t="s">
        <v>451</v>
      </c>
      <c r="PMO124" t="s">
        <v>451</v>
      </c>
      <c r="PMP124" t="s">
        <v>451</v>
      </c>
      <c r="PMQ124" t="s">
        <v>451</v>
      </c>
      <c r="PMR124" t="s">
        <v>451</v>
      </c>
      <c r="PMS124" t="s">
        <v>451</v>
      </c>
      <c r="PMT124" t="s">
        <v>451</v>
      </c>
      <c r="PMU124" t="s">
        <v>451</v>
      </c>
      <c r="PMV124" t="s">
        <v>451</v>
      </c>
      <c r="PMW124" t="s">
        <v>451</v>
      </c>
      <c r="PMX124" t="s">
        <v>451</v>
      </c>
      <c r="PMY124" t="s">
        <v>451</v>
      </c>
      <c r="PMZ124" t="s">
        <v>451</v>
      </c>
      <c r="PNA124" t="s">
        <v>451</v>
      </c>
      <c r="PNB124" t="s">
        <v>451</v>
      </c>
      <c r="PNC124" t="s">
        <v>451</v>
      </c>
      <c r="PND124" t="s">
        <v>451</v>
      </c>
      <c r="PNE124" t="s">
        <v>451</v>
      </c>
      <c r="PNF124" t="s">
        <v>451</v>
      </c>
      <c r="PNG124" t="s">
        <v>451</v>
      </c>
      <c r="PNH124" t="s">
        <v>451</v>
      </c>
      <c r="PNI124" t="s">
        <v>451</v>
      </c>
      <c r="PNJ124" t="s">
        <v>451</v>
      </c>
      <c r="PNK124" t="s">
        <v>451</v>
      </c>
      <c r="PNL124" t="s">
        <v>451</v>
      </c>
      <c r="PNM124" t="s">
        <v>451</v>
      </c>
      <c r="PNN124" t="s">
        <v>451</v>
      </c>
      <c r="PNO124" t="s">
        <v>451</v>
      </c>
      <c r="PNP124" t="s">
        <v>451</v>
      </c>
      <c r="PNQ124" t="s">
        <v>451</v>
      </c>
      <c r="PNR124" t="s">
        <v>451</v>
      </c>
      <c r="PNS124" t="s">
        <v>451</v>
      </c>
      <c r="PNT124" t="s">
        <v>451</v>
      </c>
      <c r="PNU124" t="s">
        <v>451</v>
      </c>
      <c r="PNV124" t="s">
        <v>451</v>
      </c>
      <c r="PNW124" t="s">
        <v>451</v>
      </c>
      <c r="PNX124" t="s">
        <v>451</v>
      </c>
      <c r="PNY124" t="s">
        <v>451</v>
      </c>
      <c r="PNZ124" t="s">
        <v>451</v>
      </c>
      <c r="POA124" t="s">
        <v>451</v>
      </c>
      <c r="POB124" t="s">
        <v>451</v>
      </c>
      <c r="POC124" t="s">
        <v>451</v>
      </c>
      <c r="POD124" t="s">
        <v>451</v>
      </c>
      <c r="POE124" t="s">
        <v>451</v>
      </c>
      <c r="POF124" t="s">
        <v>451</v>
      </c>
      <c r="POG124" t="s">
        <v>451</v>
      </c>
      <c r="POH124" t="s">
        <v>451</v>
      </c>
      <c r="POI124" t="s">
        <v>451</v>
      </c>
      <c r="POJ124" t="s">
        <v>451</v>
      </c>
      <c r="POK124" t="s">
        <v>451</v>
      </c>
      <c r="POL124" t="s">
        <v>451</v>
      </c>
      <c r="POM124" t="s">
        <v>451</v>
      </c>
      <c r="PON124" t="s">
        <v>451</v>
      </c>
      <c r="POO124" t="s">
        <v>451</v>
      </c>
      <c r="POP124" t="s">
        <v>451</v>
      </c>
      <c r="POQ124" t="s">
        <v>451</v>
      </c>
      <c r="POR124" t="s">
        <v>451</v>
      </c>
      <c r="POS124" t="s">
        <v>451</v>
      </c>
      <c r="POT124" t="s">
        <v>451</v>
      </c>
      <c r="POU124" t="s">
        <v>451</v>
      </c>
      <c r="POV124" t="s">
        <v>451</v>
      </c>
      <c r="POW124" t="s">
        <v>451</v>
      </c>
      <c r="POX124" t="s">
        <v>451</v>
      </c>
      <c r="POY124" t="s">
        <v>451</v>
      </c>
      <c r="POZ124" t="s">
        <v>451</v>
      </c>
      <c r="PPA124" t="s">
        <v>451</v>
      </c>
      <c r="PPB124" t="s">
        <v>451</v>
      </c>
      <c r="PPC124" t="s">
        <v>451</v>
      </c>
      <c r="PPD124" t="s">
        <v>451</v>
      </c>
      <c r="PPE124" t="s">
        <v>451</v>
      </c>
      <c r="PPF124" t="s">
        <v>451</v>
      </c>
      <c r="PPG124" t="s">
        <v>451</v>
      </c>
      <c r="PPH124" t="s">
        <v>451</v>
      </c>
      <c r="PPI124" t="s">
        <v>451</v>
      </c>
      <c r="PPJ124" t="s">
        <v>451</v>
      </c>
      <c r="PPK124" t="s">
        <v>451</v>
      </c>
      <c r="PPL124" t="s">
        <v>451</v>
      </c>
      <c r="PPM124" t="s">
        <v>451</v>
      </c>
      <c r="PPN124" t="s">
        <v>451</v>
      </c>
      <c r="PPO124" t="s">
        <v>451</v>
      </c>
      <c r="PPP124" t="s">
        <v>451</v>
      </c>
      <c r="PPQ124" t="s">
        <v>451</v>
      </c>
      <c r="PPR124" t="s">
        <v>451</v>
      </c>
      <c r="PPS124" t="s">
        <v>451</v>
      </c>
      <c r="PPT124" t="s">
        <v>451</v>
      </c>
      <c r="PPU124" t="s">
        <v>451</v>
      </c>
      <c r="PPV124" t="s">
        <v>451</v>
      </c>
      <c r="PPW124" t="s">
        <v>451</v>
      </c>
      <c r="PPX124" t="s">
        <v>451</v>
      </c>
      <c r="PPY124" t="s">
        <v>451</v>
      </c>
      <c r="PPZ124" t="s">
        <v>451</v>
      </c>
      <c r="PQA124" t="s">
        <v>451</v>
      </c>
      <c r="PQB124" t="s">
        <v>451</v>
      </c>
      <c r="PQC124" t="s">
        <v>451</v>
      </c>
      <c r="PQD124" t="s">
        <v>451</v>
      </c>
      <c r="PQE124" t="s">
        <v>451</v>
      </c>
      <c r="PQF124" t="s">
        <v>451</v>
      </c>
      <c r="PQG124" t="s">
        <v>451</v>
      </c>
      <c r="PQH124" t="s">
        <v>451</v>
      </c>
      <c r="PQI124" t="s">
        <v>451</v>
      </c>
      <c r="PQJ124" t="s">
        <v>451</v>
      </c>
      <c r="PQK124" t="s">
        <v>451</v>
      </c>
      <c r="PQL124" t="s">
        <v>451</v>
      </c>
      <c r="PQM124" t="s">
        <v>451</v>
      </c>
      <c r="PQN124" t="s">
        <v>451</v>
      </c>
      <c r="PQO124" t="s">
        <v>451</v>
      </c>
      <c r="PQP124" t="s">
        <v>451</v>
      </c>
      <c r="PQQ124" t="s">
        <v>451</v>
      </c>
      <c r="PQR124" t="s">
        <v>451</v>
      </c>
      <c r="PQS124" t="s">
        <v>451</v>
      </c>
      <c r="PQT124" t="s">
        <v>451</v>
      </c>
      <c r="PQU124" t="s">
        <v>451</v>
      </c>
      <c r="PQV124" t="s">
        <v>451</v>
      </c>
      <c r="PQW124" t="s">
        <v>451</v>
      </c>
      <c r="PQX124" t="s">
        <v>451</v>
      </c>
      <c r="PQY124" t="s">
        <v>451</v>
      </c>
      <c r="PQZ124" t="s">
        <v>451</v>
      </c>
      <c r="PRA124" t="s">
        <v>451</v>
      </c>
      <c r="PRB124" t="s">
        <v>451</v>
      </c>
      <c r="PRC124" t="s">
        <v>451</v>
      </c>
      <c r="PRD124" t="s">
        <v>451</v>
      </c>
      <c r="PRE124" t="s">
        <v>451</v>
      </c>
      <c r="PRF124" t="s">
        <v>451</v>
      </c>
      <c r="PRG124" t="s">
        <v>451</v>
      </c>
      <c r="PRH124" t="s">
        <v>451</v>
      </c>
      <c r="PRI124" t="s">
        <v>451</v>
      </c>
      <c r="PRJ124" t="s">
        <v>451</v>
      </c>
      <c r="PRK124" t="s">
        <v>451</v>
      </c>
      <c r="PRL124" t="s">
        <v>451</v>
      </c>
      <c r="PRM124" t="s">
        <v>451</v>
      </c>
      <c r="PRN124" t="s">
        <v>451</v>
      </c>
      <c r="PRO124" t="s">
        <v>451</v>
      </c>
      <c r="PRP124" t="s">
        <v>451</v>
      </c>
      <c r="PRQ124" t="s">
        <v>451</v>
      </c>
      <c r="PRR124" t="s">
        <v>451</v>
      </c>
      <c r="PRS124" t="s">
        <v>451</v>
      </c>
      <c r="PRT124" t="s">
        <v>451</v>
      </c>
      <c r="PRU124" t="s">
        <v>451</v>
      </c>
      <c r="PRV124" t="s">
        <v>451</v>
      </c>
      <c r="PRW124" t="s">
        <v>451</v>
      </c>
      <c r="PRX124" t="s">
        <v>451</v>
      </c>
      <c r="PRY124" t="s">
        <v>451</v>
      </c>
      <c r="PRZ124" t="s">
        <v>451</v>
      </c>
      <c r="PSA124" t="s">
        <v>451</v>
      </c>
      <c r="PSB124" t="s">
        <v>451</v>
      </c>
      <c r="PSC124" t="s">
        <v>451</v>
      </c>
      <c r="PSD124" t="s">
        <v>451</v>
      </c>
      <c r="PSE124" t="s">
        <v>451</v>
      </c>
      <c r="PSF124" t="s">
        <v>451</v>
      </c>
      <c r="PSG124" t="s">
        <v>451</v>
      </c>
      <c r="PSH124" t="s">
        <v>451</v>
      </c>
      <c r="PSI124" t="s">
        <v>451</v>
      </c>
      <c r="PSJ124" t="s">
        <v>451</v>
      </c>
      <c r="PSK124" t="s">
        <v>451</v>
      </c>
      <c r="PSL124" t="s">
        <v>451</v>
      </c>
      <c r="PSM124" t="s">
        <v>451</v>
      </c>
      <c r="PSN124" t="s">
        <v>451</v>
      </c>
      <c r="PSO124" t="s">
        <v>451</v>
      </c>
      <c r="PSP124" t="s">
        <v>451</v>
      </c>
      <c r="PSQ124" t="s">
        <v>451</v>
      </c>
      <c r="PSR124" t="s">
        <v>451</v>
      </c>
      <c r="PSS124" t="s">
        <v>451</v>
      </c>
      <c r="PST124" t="s">
        <v>451</v>
      </c>
      <c r="PSU124" t="s">
        <v>451</v>
      </c>
      <c r="PSV124" t="s">
        <v>451</v>
      </c>
      <c r="PSW124" t="s">
        <v>451</v>
      </c>
      <c r="PSX124" t="s">
        <v>451</v>
      </c>
      <c r="PSY124" t="s">
        <v>451</v>
      </c>
      <c r="PSZ124" t="s">
        <v>451</v>
      </c>
      <c r="PTA124" t="s">
        <v>451</v>
      </c>
      <c r="PTB124" t="s">
        <v>451</v>
      </c>
      <c r="PTC124" t="s">
        <v>451</v>
      </c>
      <c r="PTD124" t="s">
        <v>451</v>
      </c>
      <c r="PTE124" t="s">
        <v>451</v>
      </c>
      <c r="PTF124" t="s">
        <v>451</v>
      </c>
      <c r="PTG124" t="s">
        <v>451</v>
      </c>
      <c r="PTH124" t="s">
        <v>451</v>
      </c>
      <c r="PTI124" t="s">
        <v>451</v>
      </c>
      <c r="PTJ124" t="s">
        <v>451</v>
      </c>
      <c r="PTK124" t="s">
        <v>451</v>
      </c>
      <c r="PTL124" t="s">
        <v>451</v>
      </c>
      <c r="PTM124" t="s">
        <v>451</v>
      </c>
      <c r="PTN124" t="s">
        <v>451</v>
      </c>
      <c r="PTO124" t="s">
        <v>451</v>
      </c>
      <c r="PTP124" t="s">
        <v>451</v>
      </c>
      <c r="PTQ124" t="s">
        <v>451</v>
      </c>
      <c r="PTR124" t="s">
        <v>451</v>
      </c>
      <c r="PTS124" t="s">
        <v>451</v>
      </c>
      <c r="PTT124" t="s">
        <v>451</v>
      </c>
      <c r="PTU124" t="s">
        <v>451</v>
      </c>
      <c r="PTV124" t="s">
        <v>451</v>
      </c>
      <c r="PTW124" t="s">
        <v>451</v>
      </c>
      <c r="PTX124" t="s">
        <v>451</v>
      </c>
      <c r="PTY124" t="s">
        <v>451</v>
      </c>
      <c r="PTZ124" t="s">
        <v>451</v>
      </c>
      <c r="PUA124" t="s">
        <v>451</v>
      </c>
      <c r="PUB124" t="s">
        <v>451</v>
      </c>
      <c r="PUC124" t="s">
        <v>451</v>
      </c>
      <c r="PUD124" t="s">
        <v>451</v>
      </c>
      <c r="PUE124" t="s">
        <v>451</v>
      </c>
      <c r="PUF124" t="s">
        <v>451</v>
      </c>
      <c r="PUG124" t="s">
        <v>451</v>
      </c>
      <c r="PUH124" t="s">
        <v>451</v>
      </c>
      <c r="PUI124" t="s">
        <v>451</v>
      </c>
      <c r="PUJ124" t="s">
        <v>451</v>
      </c>
      <c r="PUK124" t="s">
        <v>451</v>
      </c>
      <c r="PUL124" t="s">
        <v>451</v>
      </c>
      <c r="PUM124" t="s">
        <v>451</v>
      </c>
      <c r="PUN124" t="s">
        <v>451</v>
      </c>
      <c r="PUO124" t="s">
        <v>451</v>
      </c>
      <c r="PUP124" t="s">
        <v>451</v>
      </c>
      <c r="PUQ124" t="s">
        <v>451</v>
      </c>
      <c r="PUR124" t="s">
        <v>451</v>
      </c>
      <c r="PUS124" t="s">
        <v>451</v>
      </c>
      <c r="PUT124" t="s">
        <v>451</v>
      </c>
      <c r="PUU124" t="s">
        <v>451</v>
      </c>
      <c r="PUV124" t="s">
        <v>451</v>
      </c>
      <c r="PUW124" t="s">
        <v>451</v>
      </c>
      <c r="PUX124" t="s">
        <v>451</v>
      </c>
      <c r="PUY124" t="s">
        <v>451</v>
      </c>
      <c r="PUZ124" t="s">
        <v>451</v>
      </c>
      <c r="PVA124" t="s">
        <v>451</v>
      </c>
      <c r="PVB124" t="s">
        <v>451</v>
      </c>
      <c r="PVC124" t="s">
        <v>451</v>
      </c>
      <c r="PVD124" t="s">
        <v>451</v>
      </c>
      <c r="PVE124" t="s">
        <v>451</v>
      </c>
      <c r="PVF124" t="s">
        <v>451</v>
      </c>
      <c r="PVG124" t="s">
        <v>451</v>
      </c>
      <c r="PVH124" t="s">
        <v>451</v>
      </c>
      <c r="PVI124" t="s">
        <v>451</v>
      </c>
      <c r="PVJ124" t="s">
        <v>451</v>
      </c>
      <c r="PVK124" t="s">
        <v>451</v>
      </c>
      <c r="PVL124" t="s">
        <v>451</v>
      </c>
      <c r="PVM124" t="s">
        <v>451</v>
      </c>
      <c r="PVN124" t="s">
        <v>451</v>
      </c>
      <c r="PVO124" t="s">
        <v>451</v>
      </c>
      <c r="PVP124" t="s">
        <v>451</v>
      </c>
      <c r="PVQ124" t="s">
        <v>451</v>
      </c>
      <c r="PVR124" t="s">
        <v>451</v>
      </c>
      <c r="PVS124" t="s">
        <v>451</v>
      </c>
      <c r="PVT124" t="s">
        <v>451</v>
      </c>
      <c r="PVU124" t="s">
        <v>451</v>
      </c>
      <c r="PVV124" t="s">
        <v>451</v>
      </c>
      <c r="PVW124" t="s">
        <v>451</v>
      </c>
      <c r="PVX124" t="s">
        <v>451</v>
      </c>
      <c r="PVY124" t="s">
        <v>451</v>
      </c>
      <c r="PVZ124" t="s">
        <v>451</v>
      </c>
      <c r="PWA124" t="s">
        <v>451</v>
      </c>
      <c r="PWB124" t="s">
        <v>451</v>
      </c>
      <c r="PWC124" t="s">
        <v>451</v>
      </c>
      <c r="PWD124" t="s">
        <v>451</v>
      </c>
      <c r="PWE124" t="s">
        <v>451</v>
      </c>
      <c r="PWF124" t="s">
        <v>451</v>
      </c>
      <c r="PWG124" t="s">
        <v>451</v>
      </c>
      <c r="PWH124" t="s">
        <v>451</v>
      </c>
      <c r="PWI124" t="s">
        <v>451</v>
      </c>
      <c r="PWJ124" t="s">
        <v>451</v>
      </c>
      <c r="PWK124" t="s">
        <v>451</v>
      </c>
      <c r="PWL124" t="s">
        <v>451</v>
      </c>
      <c r="PWM124" t="s">
        <v>451</v>
      </c>
      <c r="PWN124" t="s">
        <v>451</v>
      </c>
      <c r="PWO124" t="s">
        <v>451</v>
      </c>
      <c r="PWP124" t="s">
        <v>451</v>
      </c>
      <c r="PWQ124" t="s">
        <v>451</v>
      </c>
      <c r="PWR124" t="s">
        <v>451</v>
      </c>
      <c r="PWS124" t="s">
        <v>451</v>
      </c>
      <c r="PWT124" t="s">
        <v>451</v>
      </c>
      <c r="PWU124" t="s">
        <v>451</v>
      </c>
      <c r="PWV124" t="s">
        <v>451</v>
      </c>
      <c r="PWW124" t="s">
        <v>451</v>
      </c>
      <c r="PWX124" t="s">
        <v>451</v>
      </c>
      <c r="PWY124" t="s">
        <v>451</v>
      </c>
      <c r="PWZ124" t="s">
        <v>451</v>
      </c>
      <c r="PXA124" t="s">
        <v>451</v>
      </c>
      <c r="PXB124" t="s">
        <v>451</v>
      </c>
      <c r="PXC124" t="s">
        <v>451</v>
      </c>
      <c r="PXD124" t="s">
        <v>451</v>
      </c>
      <c r="PXE124" t="s">
        <v>451</v>
      </c>
      <c r="PXF124" t="s">
        <v>451</v>
      </c>
      <c r="PXG124" t="s">
        <v>451</v>
      </c>
      <c r="PXH124" t="s">
        <v>451</v>
      </c>
      <c r="PXI124" t="s">
        <v>451</v>
      </c>
      <c r="PXJ124" t="s">
        <v>451</v>
      </c>
      <c r="PXK124" t="s">
        <v>451</v>
      </c>
      <c r="PXL124" t="s">
        <v>451</v>
      </c>
      <c r="PXM124" t="s">
        <v>451</v>
      </c>
      <c r="PXN124" t="s">
        <v>451</v>
      </c>
      <c r="PXO124" t="s">
        <v>451</v>
      </c>
      <c r="PXP124" t="s">
        <v>451</v>
      </c>
      <c r="PXQ124" t="s">
        <v>451</v>
      </c>
      <c r="PXR124" t="s">
        <v>451</v>
      </c>
      <c r="PXS124" t="s">
        <v>451</v>
      </c>
      <c r="PXT124" t="s">
        <v>451</v>
      </c>
      <c r="PXU124" t="s">
        <v>451</v>
      </c>
      <c r="PXV124" t="s">
        <v>451</v>
      </c>
      <c r="PXW124" t="s">
        <v>451</v>
      </c>
      <c r="PXX124" t="s">
        <v>451</v>
      </c>
      <c r="PXY124" t="s">
        <v>451</v>
      </c>
      <c r="PXZ124" t="s">
        <v>451</v>
      </c>
      <c r="PYA124" t="s">
        <v>451</v>
      </c>
      <c r="PYB124" t="s">
        <v>451</v>
      </c>
      <c r="PYC124" t="s">
        <v>451</v>
      </c>
      <c r="PYD124" t="s">
        <v>451</v>
      </c>
      <c r="PYE124" t="s">
        <v>451</v>
      </c>
      <c r="PYF124" t="s">
        <v>451</v>
      </c>
      <c r="PYG124" t="s">
        <v>451</v>
      </c>
      <c r="PYH124" t="s">
        <v>451</v>
      </c>
      <c r="PYI124" t="s">
        <v>451</v>
      </c>
      <c r="PYJ124" t="s">
        <v>451</v>
      </c>
      <c r="PYK124" t="s">
        <v>451</v>
      </c>
      <c r="PYL124" t="s">
        <v>451</v>
      </c>
      <c r="PYM124" t="s">
        <v>451</v>
      </c>
      <c r="PYN124" t="s">
        <v>451</v>
      </c>
      <c r="PYO124" t="s">
        <v>451</v>
      </c>
      <c r="PYP124" t="s">
        <v>451</v>
      </c>
      <c r="PYQ124" t="s">
        <v>451</v>
      </c>
      <c r="PYR124" t="s">
        <v>451</v>
      </c>
      <c r="PYS124" t="s">
        <v>451</v>
      </c>
      <c r="PYT124" t="s">
        <v>451</v>
      </c>
      <c r="PYU124" t="s">
        <v>451</v>
      </c>
      <c r="PYV124" t="s">
        <v>451</v>
      </c>
      <c r="PYW124" t="s">
        <v>451</v>
      </c>
      <c r="PYX124" t="s">
        <v>451</v>
      </c>
      <c r="PYY124" t="s">
        <v>451</v>
      </c>
      <c r="PYZ124" t="s">
        <v>451</v>
      </c>
      <c r="PZA124" t="s">
        <v>451</v>
      </c>
      <c r="PZB124" t="s">
        <v>451</v>
      </c>
      <c r="PZC124" t="s">
        <v>451</v>
      </c>
      <c r="PZD124" t="s">
        <v>451</v>
      </c>
      <c r="PZE124" t="s">
        <v>451</v>
      </c>
      <c r="PZF124" t="s">
        <v>451</v>
      </c>
      <c r="PZG124" t="s">
        <v>451</v>
      </c>
      <c r="PZH124" t="s">
        <v>451</v>
      </c>
      <c r="PZI124" t="s">
        <v>451</v>
      </c>
      <c r="PZJ124" t="s">
        <v>451</v>
      </c>
      <c r="PZK124" t="s">
        <v>451</v>
      </c>
      <c r="PZL124" t="s">
        <v>451</v>
      </c>
      <c r="PZM124" t="s">
        <v>451</v>
      </c>
      <c r="PZN124" t="s">
        <v>451</v>
      </c>
      <c r="PZO124" t="s">
        <v>451</v>
      </c>
      <c r="PZP124" t="s">
        <v>451</v>
      </c>
      <c r="PZQ124" t="s">
        <v>451</v>
      </c>
      <c r="PZR124" t="s">
        <v>451</v>
      </c>
      <c r="PZS124" t="s">
        <v>451</v>
      </c>
      <c r="PZT124" t="s">
        <v>451</v>
      </c>
      <c r="PZU124" t="s">
        <v>451</v>
      </c>
      <c r="PZV124" t="s">
        <v>451</v>
      </c>
      <c r="PZW124" t="s">
        <v>451</v>
      </c>
      <c r="PZX124" t="s">
        <v>451</v>
      </c>
      <c r="PZY124" t="s">
        <v>451</v>
      </c>
      <c r="PZZ124" t="s">
        <v>451</v>
      </c>
      <c r="QAA124" t="s">
        <v>451</v>
      </c>
      <c r="QAB124" t="s">
        <v>451</v>
      </c>
      <c r="QAC124" t="s">
        <v>451</v>
      </c>
      <c r="QAD124" t="s">
        <v>451</v>
      </c>
      <c r="QAE124" t="s">
        <v>451</v>
      </c>
      <c r="QAF124" t="s">
        <v>451</v>
      </c>
      <c r="QAG124" t="s">
        <v>451</v>
      </c>
      <c r="QAH124" t="s">
        <v>451</v>
      </c>
      <c r="QAI124" t="s">
        <v>451</v>
      </c>
      <c r="QAJ124" t="s">
        <v>451</v>
      </c>
      <c r="QAK124" t="s">
        <v>451</v>
      </c>
      <c r="QAL124" t="s">
        <v>451</v>
      </c>
      <c r="QAM124" t="s">
        <v>451</v>
      </c>
      <c r="QAN124" t="s">
        <v>451</v>
      </c>
      <c r="QAO124" t="s">
        <v>451</v>
      </c>
      <c r="QAP124" t="s">
        <v>451</v>
      </c>
      <c r="QAQ124" t="s">
        <v>451</v>
      </c>
      <c r="QAR124" t="s">
        <v>451</v>
      </c>
      <c r="QAS124" t="s">
        <v>451</v>
      </c>
      <c r="QAT124" t="s">
        <v>451</v>
      </c>
      <c r="QAU124" t="s">
        <v>451</v>
      </c>
      <c r="QAV124" t="s">
        <v>451</v>
      </c>
      <c r="QAW124" t="s">
        <v>451</v>
      </c>
      <c r="QAX124" t="s">
        <v>451</v>
      </c>
      <c r="QAY124" t="s">
        <v>451</v>
      </c>
      <c r="QAZ124" t="s">
        <v>451</v>
      </c>
      <c r="QBA124" t="s">
        <v>451</v>
      </c>
      <c r="QBB124" t="s">
        <v>451</v>
      </c>
      <c r="QBC124" t="s">
        <v>451</v>
      </c>
      <c r="QBD124" t="s">
        <v>451</v>
      </c>
      <c r="QBE124" t="s">
        <v>451</v>
      </c>
      <c r="QBF124" t="s">
        <v>451</v>
      </c>
      <c r="QBG124" t="s">
        <v>451</v>
      </c>
      <c r="QBH124" t="s">
        <v>451</v>
      </c>
      <c r="QBI124" t="s">
        <v>451</v>
      </c>
      <c r="QBJ124" t="s">
        <v>451</v>
      </c>
      <c r="QBK124" t="s">
        <v>451</v>
      </c>
      <c r="QBL124" t="s">
        <v>451</v>
      </c>
      <c r="QBM124" t="s">
        <v>451</v>
      </c>
      <c r="QBN124" t="s">
        <v>451</v>
      </c>
      <c r="QBO124" t="s">
        <v>451</v>
      </c>
      <c r="QBP124" t="s">
        <v>451</v>
      </c>
      <c r="QBQ124" t="s">
        <v>451</v>
      </c>
      <c r="QBR124" t="s">
        <v>451</v>
      </c>
      <c r="QBS124" t="s">
        <v>451</v>
      </c>
      <c r="QBT124" t="s">
        <v>451</v>
      </c>
      <c r="QBU124" t="s">
        <v>451</v>
      </c>
      <c r="QBV124" t="s">
        <v>451</v>
      </c>
      <c r="QBW124" t="s">
        <v>451</v>
      </c>
      <c r="QBX124" t="s">
        <v>451</v>
      </c>
      <c r="QBY124" t="s">
        <v>451</v>
      </c>
      <c r="QBZ124" t="s">
        <v>451</v>
      </c>
      <c r="QCA124" t="s">
        <v>451</v>
      </c>
      <c r="QCB124" t="s">
        <v>451</v>
      </c>
      <c r="QCC124" t="s">
        <v>451</v>
      </c>
      <c r="QCD124" t="s">
        <v>451</v>
      </c>
      <c r="QCE124" t="s">
        <v>451</v>
      </c>
      <c r="QCF124" t="s">
        <v>451</v>
      </c>
      <c r="QCG124" t="s">
        <v>451</v>
      </c>
      <c r="QCH124" t="s">
        <v>451</v>
      </c>
      <c r="QCI124" t="s">
        <v>451</v>
      </c>
      <c r="QCJ124" t="s">
        <v>451</v>
      </c>
      <c r="QCK124" t="s">
        <v>451</v>
      </c>
      <c r="QCL124" t="s">
        <v>451</v>
      </c>
      <c r="QCM124" t="s">
        <v>451</v>
      </c>
      <c r="QCN124" t="s">
        <v>451</v>
      </c>
      <c r="QCO124" t="s">
        <v>451</v>
      </c>
      <c r="QCP124" t="s">
        <v>451</v>
      </c>
      <c r="QCQ124" t="s">
        <v>451</v>
      </c>
      <c r="QCR124" t="s">
        <v>451</v>
      </c>
      <c r="QCS124" t="s">
        <v>451</v>
      </c>
      <c r="QCT124" t="s">
        <v>451</v>
      </c>
      <c r="QCU124" t="s">
        <v>451</v>
      </c>
      <c r="QCV124" t="s">
        <v>451</v>
      </c>
      <c r="QCW124" t="s">
        <v>451</v>
      </c>
      <c r="QCX124" t="s">
        <v>451</v>
      </c>
      <c r="QCY124" t="s">
        <v>451</v>
      </c>
      <c r="QCZ124" t="s">
        <v>451</v>
      </c>
      <c r="QDA124" t="s">
        <v>451</v>
      </c>
      <c r="QDB124" t="s">
        <v>451</v>
      </c>
      <c r="QDC124" t="s">
        <v>451</v>
      </c>
      <c r="QDD124" t="s">
        <v>451</v>
      </c>
      <c r="QDE124" t="s">
        <v>451</v>
      </c>
      <c r="QDF124" t="s">
        <v>451</v>
      </c>
      <c r="QDG124" t="s">
        <v>451</v>
      </c>
      <c r="QDH124" t="s">
        <v>451</v>
      </c>
      <c r="QDI124" t="s">
        <v>451</v>
      </c>
      <c r="QDJ124" t="s">
        <v>451</v>
      </c>
      <c r="QDK124" t="s">
        <v>451</v>
      </c>
      <c r="QDL124" t="s">
        <v>451</v>
      </c>
      <c r="QDM124" t="s">
        <v>451</v>
      </c>
      <c r="QDN124" t="s">
        <v>451</v>
      </c>
      <c r="QDO124" t="s">
        <v>451</v>
      </c>
      <c r="QDP124" t="s">
        <v>451</v>
      </c>
      <c r="QDQ124" t="s">
        <v>451</v>
      </c>
      <c r="QDR124" t="s">
        <v>451</v>
      </c>
      <c r="QDS124" t="s">
        <v>451</v>
      </c>
      <c r="QDT124" t="s">
        <v>451</v>
      </c>
      <c r="QDU124" t="s">
        <v>451</v>
      </c>
      <c r="QDV124" t="s">
        <v>451</v>
      </c>
      <c r="QDW124" t="s">
        <v>451</v>
      </c>
      <c r="QDX124" t="s">
        <v>451</v>
      </c>
      <c r="QDY124" t="s">
        <v>451</v>
      </c>
      <c r="QDZ124" t="s">
        <v>451</v>
      </c>
      <c r="QEA124" t="s">
        <v>451</v>
      </c>
      <c r="QEB124" t="s">
        <v>451</v>
      </c>
      <c r="QEC124" t="s">
        <v>451</v>
      </c>
      <c r="QED124" t="s">
        <v>451</v>
      </c>
      <c r="QEE124" t="s">
        <v>451</v>
      </c>
      <c r="QEF124" t="s">
        <v>451</v>
      </c>
      <c r="QEG124" t="s">
        <v>451</v>
      </c>
      <c r="QEH124" t="s">
        <v>451</v>
      </c>
      <c r="QEI124" t="s">
        <v>451</v>
      </c>
      <c r="QEJ124" t="s">
        <v>451</v>
      </c>
      <c r="QEK124" t="s">
        <v>451</v>
      </c>
      <c r="QEL124" t="s">
        <v>451</v>
      </c>
      <c r="QEM124" t="s">
        <v>451</v>
      </c>
      <c r="QEN124" t="s">
        <v>451</v>
      </c>
      <c r="QEO124" t="s">
        <v>451</v>
      </c>
      <c r="QEP124" t="s">
        <v>451</v>
      </c>
      <c r="QEQ124" t="s">
        <v>451</v>
      </c>
      <c r="QER124" t="s">
        <v>451</v>
      </c>
      <c r="QES124" t="s">
        <v>451</v>
      </c>
      <c r="QET124" t="s">
        <v>451</v>
      </c>
      <c r="QEU124" t="s">
        <v>451</v>
      </c>
      <c r="QEV124" t="s">
        <v>451</v>
      </c>
      <c r="QEW124" t="s">
        <v>451</v>
      </c>
      <c r="QEX124" t="s">
        <v>451</v>
      </c>
      <c r="QEY124" t="s">
        <v>451</v>
      </c>
      <c r="QEZ124" t="s">
        <v>451</v>
      </c>
      <c r="QFA124" t="s">
        <v>451</v>
      </c>
      <c r="QFB124" t="s">
        <v>451</v>
      </c>
      <c r="QFC124" t="s">
        <v>451</v>
      </c>
      <c r="QFD124" t="s">
        <v>451</v>
      </c>
      <c r="QFE124" t="s">
        <v>451</v>
      </c>
      <c r="QFF124" t="s">
        <v>451</v>
      </c>
      <c r="QFG124" t="s">
        <v>451</v>
      </c>
      <c r="QFH124" t="s">
        <v>451</v>
      </c>
      <c r="QFI124" t="s">
        <v>451</v>
      </c>
      <c r="QFJ124" t="s">
        <v>451</v>
      </c>
      <c r="QFK124" t="s">
        <v>451</v>
      </c>
      <c r="QFL124" t="s">
        <v>451</v>
      </c>
      <c r="QFM124" t="s">
        <v>451</v>
      </c>
      <c r="QFN124" t="s">
        <v>451</v>
      </c>
      <c r="QFO124" t="s">
        <v>451</v>
      </c>
      <c r="QFP124" t="s">
        <v>451</v>
      </c>
      <c r="QFQ124" t="s">
        <v>451</v>
      </c>
      <c r="QFR124" t="s">
        <v>451</v>
      </c>
      <c r="QFS124" t="s">
        <v>451</v>
      </c>
      <c r="QFT124" t="s">
        <v>451</v>
      </c>
      <c r="QFU124" t="s">
        <v>451</v>
      </c>
      <c r="QFV124" t="s">
        <v>451</v>
      </c>
      <c r="QFW124" t="s">
        <v>451</v>
      </c>
      <c r="QFX124" t="s">
        <v>451</v>
      </c>
      <c r="QFY124" t="s">
        <v>451</v>
      </c>
      <c r="QFZ124" t="s">
        <v>451</v>
      </c>
      <c r="QGA124" t="s">
        <v>451</v>
      </c>
      <c r="QGB124" t="s">
        <v>451</v>
      </c>
      <c r="QGC124" t="s">
        <v>451</v>
      </c>
      <c r="QGD124" t="s">
        <v>451</v>
      </c>
      <c r="QGE124" t="s">
        <v>451</v>
      </c>
      <c r="QGF124" t="s">
        <v>451</v>
      </c>
      <c r="QGG124" t="s">
        <v>451</v>
      </c>
      <c r="QGH124" t="s">
        <v>451</v>
      </c>
      <c r="QGI124" t="s">
        <v>451</v>
      </c>
      <c r="QGJ124" t="s">
        <v>451</v>
      </c>
      <c r="QGK124" t="s">
        <v>451</v>
      </c>
      <c r="QGL124" t="s">
        <v>451</v>
      </c>
      <c r="QGM124" t="s">
        <v>451</v>
      </c>
      <c r="QGN124" t="s">
        <v>451</v>
      </c>
      <c r="QGO124" t="s">
        <v>451</v>
      </c>
      <c r="QGP124" t="s">
        <v>451</v>
      </c>
      <c r="QGQ124" t="s">
        <v>451</v>
      </c>
      <c r="QGR124" t="s">
        <v>451</v>
      </c>
      <c r="QGS124" t="s">
        <v>451</v>
      </c>
      <c r="QGT124" t="s">
        <v>451</v>
      </c>
      <c r="QGU124" t="s">
        <v>451</v>
      </c>
      <c r="QGV124" t="s">
        <v>451</v>
      </c>
      <c r="QGW124" t="s">
        <v>451</v>
      </c>
      <c r="QGX124" t="s">
        <v>451</v>
      </c>
      <c r="QGY124" t="s">
        <v>451</v>
      </c>
      <c r="QGZ124" t="s">
        <v>451</v>
      </c>
      <c r="QHA124" t="s">
        <v>451</v>
      </c>
      <c r="QHB124" t="s">
        <v>451</v>
      </c>
      <c r="QHC124" t="s">
        <v>451</v>
      </c>
      <c r="QHD124" t="s">
        <v>451</v>
      </c>
      <c r="QHE124" t="s">
        <v>451</v>
      </c>
      <c r="QHF124" t="s">
        <v>451</v>
      </c>
      <c r="QHG124" t="s">
        <v>451</v>
      </c>
      <c r="QHH124" t="s">
        <v>451</v>
      </c>
      <c r="QHI124" t="s">
        <v>451</v>
      </c>
      <c r="QHJ124" t="s">
        <v>451</v>
      </c>
      <c r="QHK124" t="s">
        <v>451</v>
      </c>
      <c r="QHL124" t="s">
        <v>451</v>
      </c>
      <c r="QHM124" t="s">
        <v>451</v>
      </c>
      <c r="QHN124" t="s">
        <v>451</v>
      </c>
      <c r="QHO124" t="s">
        <v>451</v>
      </c>
      <c r="QHP124" t="s">
        <v>451</v>
      </c>
      <c r="QHQ124" t="s">
        <v>451</v>
      </c>
      <c r="QHR124" t="s">
        <v>451</v>
      </c>
      <c r="QHS124" t="s">
        <v>451</v>
      </c>
      <c r="QHT124" t="s">
        <v>451</v>
      </c>
      <c r="QHU124" t="s">
        <v>451</v>
      </c>
      <c r="QHV124" t="s">
        <v>451</v>
      </c>
      <c r="QHW124" t="s">
        <v>451</v>
      </c>
      <c r="QHX124" t="s">
        <v>451</v>
      </c>
      <c r="QHY124" t="s">
        <v>451</v>
      </c>
      <c r="QHZ124" t="s">
        <v>451</v>
      </c>
      <c r="QIA124" t="s">
        <v>451</v>
      </c>
      <c r="QIB124" t="s">
        <v>451</v>
      </c>
      <c r="QIC124" t="s">
        <v>451</v>
      </c>
      <c r="QID124" t="s">
        <v>451</v>
      </c>
      <c r="QIE124" t="s">
        <v>451</v>
      </c>
      <c r="QIF124" t="s">
        <v>451</v>
      </c>
      <c r="QIG124" t="s">
        <v>451</v>
      </c>
      <c r="QIH124" t="s">
        <v>451</v>
      </c>
      <c r="QII124" t="s">
        <v>451</v>
      </c>
      <c r="QIJ124" t="s">
        <v>451</v>
      </c>
      <c r="QIK124" t="s">
        <v>451</v>
      </c>
      <c r="QIL124" t="s">
        <v>451</v>
      </c>
      <c r="QIM124" t="s">
        <v>451</v>
      </c>
      <c r="QIN124" t="s">
        <v>451</v>
      </c>
      <c r="QIO124" t="s">
        <v>451</v>
      </c>
      <c r="QIP124" t="s">
        <v>451</v>
      </c>
      <c r="QIQ124" t="s">
        <v>451</v>
      </c>
      <c r="QIR124" t="s">
        <v>451</v>
      </c>
      <c r="QIS124" t="s">
        <v>451</v>
      </c>
      <c r="QIT124" t="s">
        <v>451</v>
      </c>
      <c r="QIU124" t="s">
        <v>451</v>
      </c>
      <c r="QIV124" t="s">
        <v>451</v>
      </c>
      <c r="QIW124" t="s">
        <v>451</v>
      </c>
      <c r="QIX124" t="s">
        <v>451</v>
      </c>
      <c r="QIY124" t="s">
        <v>451</v>
      </c>
      <c r="QIZ124" t="s">
        <v>451</v>
      </c>
      <c r="QJA124" t="s">
        <v>451</v>
      </c>
      <c r="QJB124" t="s">
        <v>451</v>
      </c>
      <c r="QJC124" t="s">
        <v>451</v>
      </c>
      <c r="QJD124" t="s">
        <v>451</v>
      </c>
      <c r="QJE124" t="s">
        <v>451</v>
      </c>
      <c r="QJF124" t="s">
        <v>451</v>
      </c>
      <c r="QJG124" t="s">
        <v>451</v>
      </c>
      <c r="QJH124" t="s">
        <v>451</v>
      </c>
      <c r="QJI124" t="s">
        <v>451</v>
      </c>
      <c r="QJJ124" t="s">
        <v>451</v>
      </c>
      <c r="QJK124" t="s">
        <v>451</v>
      </c>
      <c r="QJL124" t="s">
        <v>451</v>
      </c>
      <c r="QJM124" t="s">
        <v>451</v>
      </c>
      <c r="QJN124" t="s">
        <v>451</v>
      </c>
      <c r="QJO124" t="s">
        <v>451</v>
      </c>
      <c r="QJP124" t="s">
        <v>451</v>
      </c>
      <c r="QJQ124" t="s">
        <v>451</v>
      </c>
      <c r="QJR124" t="s">
        <v>451</v>
      </c>
      <c r="QJS124" t="s">
        <v>451</v>
      </c>
      <c r="QJT124" t="s">
        <v>451</v>
      </c>
      <c r="QJU124" t="s">
        <v>451</v>
      </c>
      <c r="QJV124" t="s">
        <v>451</v>
      </c>
      <c r="QJW124" t="s">
        <v>451</v>
      </c>
      <c r="QJX124" t="s">
        <v>451</v>
      </c>
      <c r="QJY124" t="s">
        <v>451</v>
      </c>
      <c r="QJZ124" t="s">
        <v>451</v>
      </c>
      <c r="QKA124" t="s">
        <v>451</v>
      </c>
      <c r="QKB124" t="s">
        <v>451</v>
      </c>
      <c r="QKC124" t="s">
        <v>451</v>
      </c>
      <c r="QKD124" t="s">
        <v>451</v>
      </c>
      <c r="QKE124" t="s">
        <v>451</v>
      </c>
      <c r="QKF124" t="s">
        <v>451</v>
      </c>
      <c r="QKG124" t="s">
        <v>451</v>
      </c>
      <c r="QKH124" t="s">
        <v>451</v>
      </c>
      <c r="QKI124" t="s">
        <v>451</v>
      </c>
      <c r="QKJ124" t="s">
        <v>451</v>
      </c>
      <c r="QKK124" t="s">
        <v>451</v>
      </c>
      <c r="QKL124" t="s">
        <v>451</v>
      </c>
      <c r="QKM124" t="s">
        <v>451</v>
      </c>
      <c r="QKN124" t="s">
        <v>451</v>
      </c>
      <c r="QKO124" t="s">
        <v>451</v>
      </c>
      <c r="QKP124" t="s">
        <v>451</v>
      </c>
      <c r="QKQ124" t="s">
        <v>451</v>
      </c>
      <c r="QKR124" t="s">
        <v>451</v>
      </c>
      <c r="QKS124" t="s">
        <v>451</v>
      </c>
      <c r="QKT124" t="s">
        <v>451</v>
      </c>
      <c r="QKU124" t="s">
        <v>451</v>
      </c>
      <c r="QKV124" t="s">
        <v>451</v>
      </c>
      <c r="QKW124" t="s">
        <v>451</v>
      </c>
      <c r="QKX124" t="s">
        <v>451</v>
      </c>
      <c r="QKY124" t="s">
        <v>451</v>
      </c>
      <c r="QKZ124" t="s">
        <v>451</v>
      </c>
      <c r="QLA124" t="s">
        <v>451</v>
      </c>
      <c r="QLB124" t="s">
        <v>451</v>
      </c>
      <c r="QLC124" t="s">
        <v>451</v>
      </c>
      <c r="QLD124" t="s">
        <v>451</v>
      </c>
      <c r="QLE124" t="s">
        <v>451</v>
      </c>
      <c r="QLF124" t="s">
        <v>451</v>
      </c>
      <c r="QLG124" t="s">
        <v>451</v>
      </c>
      <c r="QLH124" t="s">
        <v>451</v>
      </c>
      <c r="QLI124" t="s">
        <v>451</v>
      </c>
      <c r="QLJ124" t="s">
        <v>451</v>
      </c>
      <c r="QLK124" t="s">
        <v>451</v>
      </c>
      <c r="QLL124" t="s">
        <v>451</v>
      </c>
      <c r="QLM124" t="s">
        <v>451</v>
      </c>
      <c r="QLN124" t="s">
        <v>451</v>
      </c>
      <c r="QLO124" t="s">
        <v>451</v>
      </c>
      <c r="QLP124" t="s">
        <v>451</v>
      </c>
      <c r="QLQ124" t="s">
        <v>451</v>
      </c>
      <c r="QLR124" t="s">
        <v>451</v>
      </c>
      <c r="QLS124" t="s">
        <v>451</v>
      </c>
      <c r="QLT124" t="s">
        <v>451</v>
      </c>
      <c r="QLU124" t="s">
        <v>451</v>
      </c>
      <c r="QLV124" t="s">
        <v>451</v>
      </c>
      <c r="QLW124" t="s">
        <v>451</v>
      </c>
      <c r="QLX124" t="s">
        <v>451</v>
      </c>
      <c r="QLY124" t="s">
        <v>451</v>
      </c>
      <c r="QLZ124" t="s">
        <v>451</v>
      </c>
      <c r="QMA124" t="s">
        <v>451</v>
      </c>
      <c r="QMB124" t="s">
        <v>451</v>
      </c>
      <c r="QMC124" t="s">
        <v>451</v>
      </c>
      <c r="QMD124" t="s">
        <v>451</v>
      </c>
      <c r="QME124" t="s">
        <v>451</v>
      </c>
      <c r="QMF124" t="s">
        <v>451</v>
      </c>
      <c r="QMG124" t="s">
        <v>451</v>
      </c>
      <c r="QMH124" t="s">
        <v>451</v>
      </c>
      <c r="QMI124" t="s">
        <v>451</v>
      </c>
      <c r="QMJ124" t="s">
        <v>451</v>
      </c>
      <c r="QMK124" t="s">
        <v>451</v>
      </c>
      <c r="QML124" t="s">
        <v>451</v>
      </c>
      <c r="QMM124" t="s">
        <v>451</v>
      </c>
      <c r="QMN124" t="s">
        <v>451</v>
      </c>
      <c r="QMO124" t="s">
        <v>451</v>
      </c>
      <c r="QMP124" t="s">
        <v>451</v>
      </c>
      <c r="QMQ124" t="s">
        <v>451</v>
      </c>
      <c r="QMR124" t="s">
        <v>451</v>
      </c>
      <c r="QMS124" t="s">
        <v>451</v>
      </c>
      <c r="QMT124" t="s">
        <v>451</v>
      </c>
      <c r="QMU124" t="s">
        <v>451</v>
      </c>
      <c r="QMV124" t="s">
        <v>451</v>
      </c>
      <c r="QMW124" t="s">
        <v>451</v>
      </c>
      <c r="QMX124" t="s">
        <v>451</v>
      </c>
      <c r="QMY124" t="s">
        <v>451</v>
      </c>
      <c r="QMZ124" t="s">
        <v>451</v>
      </c>
      <c r="QNA124" t="s">
        <v>451</v>
      </c>
      <c r="QNB124" t="s">
        <v>451</v>
      </c>
      <c r="QNC124" t="s">
        <v>451</v>
      </c>
      <c r="QND124" t="s">
        <v>451</v>
      </c>
      <c r="QNE124" t="s">
        <v>451</v>
      </c>
      <c r="QNF124" t="s">
        <v>451</v>
      </c>
      <c r="QNG124" t="s">
        <v>451</v>
      </c>
      <c r="QNH124" t="s">
        <v>451</v>
      </c>
      <c r="QNI124" t="s">
        <v>451</v>
      </c>
      <c r="QNJ124" t="s">
        <v>451</v>
      </c>
      <c r="QNK124" t="s">
        <v>451</v>
      </c>
      <c r="QNL124" t="s">
        <v>451</v>
      </c>
      <c r="QNM124" t="s">
        <v>451</v>
      </c>
      <c r="QNN124" t="s">
        <v>451</v>
      </c>
      <c r="QNO124" t="s">
        <v>451</v>
      </c>
      <c r="QNP124" t="s">
        <v>451</v>
      </c>
      <c r="QNQ124" t="s">
        <v>451</v>
      </c>
      <c r="QNR124" t="s">
        <v>451</v>
      </c>
      <c r="QNS124" t="s">
        <v>451</v>
      </c>
      <c r="QNT124" t="s">
        <v>451</v>
      </c>
      <c r="QNU124" t="s">
        <v>451</v>
      </c>
      <c r="QNV124" t="s">
        <v>451</v>
      </c>
      <c r="QNW124" t="s">
        <v>451</v>
      </c>
      <c r="QNX124" t="s">
        <v>451</v>
      </c>
      <c r="QNY124" t="s">
        <v>451</v>
      </c>
      <c r="QNZ124" t="s">
        <v>451</v>
      </c>
      <c r="QOA124" t="s">
        <v>451</v>
      </c>
      <c r="QOB124" t="s">
        <v>451</v>
      </c>
      <c r="QOC124" t="s">
        <v>451</v>
      </c>
      <c r="QOD124" t="s">
        <v>451</v>
      </c>
      <c r="QOE124" t="s">
        <v>451</v>
      </c>
      <c r="QOF124" t="s">
        <v>451</v>
      </c>
      <c r="QOG124" t="s">
        <v>451</v>
      </c>
      <c r="QOH124" t="s">
        <v>451</v>
      </c>
      <c r="QOI124" t="s">
        <v>451</v>
      </c>
      <c r="QOJ124" t="s">
        <v>451</v>
      </c>
      <c r="QOK124" t="s">
        <v>451</v>
      </c>
      <c r="QOL124" t="s">
        <v>451</v>
      </c>
      <c r="QOM124" t="s">
        <v>451</v>
      </c>
      <c r="QON124" t="s">
        <v>451</v>
      </c>
      <c r="QOO124" t="s">
        <v>451</v>
      </c>
      <c r="QOP124" t="s">
        <v>451</v>
      </c>
      <c r="QOQ124" t="s">
        <v>451</v>
      </c>
      <c r="QOR124" t="s">
        <v>451</v>
      </c>
      <c r="QOS124" t="s">
        <v>451</v>
      </c>
      <c r="QOT124" t="s">
        <v>451</v>
      </c>
      <c r="QOU124" t="s">
        <v>451</v>
      </c>
      <c r="QOV124" t="s">
        <v>451</v>
      </c>
      <c r="QOW124" t="s">
        <v>451</v>
      </c>
      <c r="QOX124" t="s">
        <v>451</v>
      </c>
      <c r="QOY124" t="s">
        <v>451</v>
      </c>
      <c r="QOZ124" t="s">
        <v>451</v>
      </c>
      <c r="QPA124" t="s">
        <v>451</v>
      </c>
      <c r="QPB124" t="s">
        <v>451</v>
      </c>
      <c r="QPC124" t="s">
        <v>451</v>
      </c>
      <c r="QPD124" t="s">
        <v>451</v>
      </c>
      <c r="QPE124" t="s">
        <v>451</v>
      </c>
      <c r="QPF124" t="s">
        <v>451</v>
      </c>
      <c r="QPG124" t="s">
        <v>451</v>
      </c>
      <c r="QPH124" t="s">
        <v>451</v>
      </c>
      <c r="QPI124" t="s">
        <v>451</v>
      </c>
      <c r="QPJ124" t="s">
        <v>451</v>
      </c>
      <c r="QPK124" t="s">
        <v>451</v>
      </c>
      <c r="QPL124" t="s">
        <v>451</v>
      </c>
      <c r="QPM124" t="s">
        <v>451</v>
      </c>
      <c r="QPN124" t="s">
        <v>451</v>
      </c>
      <c r="QPO124" t="s">
        <v>451</v>
      </c>
      <c r="QPP124" t="s">
        <v>451</v>
      </c>
      <c r="QPQ124" t="s">
        <v>451</v>
      </c>
      <c r="QPR124" t="s">
        <v>451</v>
      </c>
      <c r="QPS124" t="s">
        <v>451</v>
      </c>
      <c r="QPT124" t="s">
        <v>451</v>
      </c>
      <c r="QPU124" t="s">
        <v>451</v>
      </c>
      <c r="QPV124" t="s">
        <v>451</v>
      </c>
      <c r="QPW124" t="s">
        <v>451</v>
      </c>
      <c r="QPX124" t="s">
        <v>451</v>
      </c>
      <c r="QPY124" t="s">
        <v>451</v>
      </c>
      <c r="QPZ124" t="s">
        <v>451</v>
      </c>
      <c r="QQA124" t="s">
        <v>451</v>
      </c>
      <c r="QQB124" t="s">
        <v>451</v>
      </c>
      <c r="QQC124" t="s">
        <v>451</v>
      </c>
      <c r="QQD124" t="s">
        <v>451</v>
      </c>
      <c r="QQE124" t="s">
        <v>451</v>
      </c>
      <c r="QQF124" t="s">
        <v>451</v>
      </c>
      <c r="QQG124" t="s">
        <v>451</v>
      </c>
      <c r="QQH124" t="s">
        <v>451</v>
      </c>
      <c r="QQI124" t="s">
        <v>451</v>
      </c>
      <c r="QQJ124" t="s">
        <v>451</v>
      </c>
      <c r="QQK124" t="s">
        <v>451</v>
      </c>
      <c r="QQL124" t="s">
        <v>451</v>
      </c>
      <c r="QQM124" t="s">
        <v>451</v>
      </c>
      <c r="QQN124" t="s">
        <v>451</v>
      </c>
      <c r="QQO124" t="s">
        <v>451</v>
      </c>
      <c r="QQP124" t="s">
        <v>451</v>
      </c>
      <c r="QQQ124" t="s">
        <v>451</v>
      </c>
      <c r="QQR124" t="s">
        <v>451</v>
      </c>
      <c r="QQS124" t="s">
        <v>451</v>
      </c>
      <c r="QQT124" t="s">
        <v>451</v>
      </c>
      <c r="QQU124" t="s">
        <v>451</v>
      </c>
      <c r="QQV124" t="s">
        <v>451</v>
      </c>
      <c r="QQW124" t="s">
        <v>451</v>
      </c>
      <c r="QQX124" t="s">
        <v>451</v>
      </c>
      <c r="QQY124" t="s">
        <v>451</v>
      </c>
      <c r="QQZ124" t="s">
        <v>451</v>
      </c>
      <c r="QRA124" t="s">
        <v>451</v>
      </c>
      <c r="QRB124" t="s">
        <v>451</v>
      </c>
      <c r="QRC124" t="s">
        <v>451</v>
      </c>
      <c r="QRD124" t="s">
        <v>451</v>
      </c>
      <c r="QRE124" t="s">
        <v>451</v>
      </c>
      <c r="QRF124" t="s">
        <v>451</v>
      </c>
      <c r="QRG124" t="s">
        <v>451</v>
      </c>
      <c r="QRH124" t="s">
        <v>451</v>
      </c>
      <c r="QRI124" t="s">
        <v>451</v>
      </c>
      <c r="QRJ124" t="s">
        <v>451</v>
      </c>
      <c r="QRK124" t="s">
        <v>451</v>
      </c>
      <c r="QRL124" t="s">
        <v>451</v>
      </c>
      <c r="QRM124" t="s">
        <v>451</v>
      </c>
      <c r="QRN124" t="s">
        <v>451</v>
      </c>
      <c r="QRO124" t="s">
        <v>451</v>
      </c>
      <c r="QRP124" t="s">
        <v>451</v>
      </c>
      <c r="QRQ124" t="s">
        <v>451</v>
      </c>
      <c r="QRR124" t="s">
        <v>451</v>
      </c>
      <c r="QRS124" t="s">
        <v>451</v>
      </c>
      <c r="QRT124" t="s">
        <v>451</v>
      </c>
      <c r="QRU124" t="s">
        <v>451</v>
      </c>
      <c r="QRV124" t="s">
        <v>451</v>
      </c>
      <c r="QRW124" t="s">
        <v>451</v>
      </c>
      <c r="QRX124" t="s">
        <v>451</v>
      </c>
      <c r="QRY124" t="s">
        <v>451</v>
      </c>
      <c r="QRZ124" t="s">
        <v>451</v>
      </c>
      <c r="QSA124" t="s">
        <v>451</v>
      </c>
      <c r="QSB124" t="s">
        <v>451</v>
      </c>
      <c r="QSC124" t="s">
        <v>451</v>
      </c>
      <c r="QSD124" t="s">
        <v>451</v>
      </c>
      <c r="QSE124" t="s">
        <v>451</v>
      </c>
      <c r="QSF124" t="s">
        <v>451</v>
      </c>
      <c r="QSG124" t="s">
        <v>451</v>
      </c>
      <c r="QSH124" t="s">
        <v>451</v>
      </c>
      <c r="QSI124" t="s">
        <v>451</v>
      </c>
      <c r="QSJ124" t="s">
        <v>451</v>
      </c>
      <c r="QSK124" t="s">
        <v>451</v>
      </c>
      <c r="QSL124" t="s">
        <v>451</v>
      </c>
      <c r="QSM124" t="s">
        <v>451</v>
      </c>
      <c r="QSN124" t="s">
        <v>451</v>
      </c>
      <c r="QSO124" t="s">
        <v>451</v>
      </c>
      <c r="QSP124" t="s">
        <v>451</v>
      </c>
      <c r="QSQ124" t="s">
        <v>451</v>
      </c>
      <c r="QSR124" t="s">
        <v>451</v>
      </c>
      <c r="QSS124" t="s">
        <v>451</v>
      </c>
      <c r="QST124" t="s">
        <v>451</v>
      </c>
      <c r="QSU124" t="s">
        <v>451</v>
      </c>
      <c r="QSV124" t="s">
        <v>451</v>
      </c>
      <c r="QSW124" t="s">
        <v>451</v>
      </c>
      <c r="QSX124" t="s">
        <v>451</v>
      </c>
      <c r="QSY124" t="s">
        <v>451</v>
      </c>
      <c r="QSZ124" t="s">
        <v>451</v>
      </c>
      <c r="QTA124" t="s">
        <v>451</v>
      </c>
      <c r="QTB124" t="s">
        <v>451</v>
      </c>
      <c r="QTC124" t="s">
        <v>451</v>
      </c>
      <c r="QTD124" t="s">
        <v>451</v>
      </c>
      <c r="QTE124" t="s">
        <v>451</v>
      </c>
      <c r="QTF124" t="s">
        <v>451</v>
      </c>
      <c r="QTG124" t="s">
        <v>451</v>
      </c>
      <c r="QTH124" t="s">
        <v>451</v>
      </c>
      <c r="QTI124" t="s">
        <v>451</v>
      </c>
      <c r="QTJ124" t="s">
        <v>451</v>
      </c>
      <c r="QTK124" t="s">
        <v>451</v>
      </c>
      <c r="QTL124" t="s">
        <v>451</v>
      </c>
      <c r="QTM124" t="s">
        <v>451</v>
      </c>
      <c r="QTN124" t="s">
        <v>451</v>
      </c>
      <c r="QTO124" t="s">
        <v>451</v>
      </c>
      <c r="QTP124" t="s">
        <v>451</v>
      </c>
      <c r="QTQ124" t="s">
        <v>451</v>
      </c>
      <c r="QTR124" t="s">
        <v>451</v>
      </c>
      <c r="QTS124" t="s">
        <v>451</v>
      </c>
      <c r="QTT124" t="s">
        <v>451</v>
      </c>
      <c r="QTU124" t="s">
        <v>451</v>
      </c>
      <c r="QTV124" t="s">
        <v>451</v>
      </c>
      <c r="QTW124" t="s">
        <v>451</v>
      </c>
      <c r="QTX124" t="s">
        <v>451</v>
      </c>
      <c r="QTY124" t="s">
        <v>451</v>
      </c>
      <c r="QTZ124" t="s">
        <v>451</v>
      </c>
      <c r="QUA124" t="s">
        <v>451</v>
      </c>
      <c r="QUB124" t="s">
        <v>451</v>
      </c>
      <c r="QUC124" t="s">
        <v>451</v>
      </c>
      <c r="QUD124" t="s">
        <v>451</v>
      </c>
      <c r="QUE124" t="s">
        <v>451</v>
      </c>
      <c r="QUF124" t="s">
        <v>451</v>
      </c>
      <c r="QUG124" t="s">
        <v>451</v>
      </c>
      <c r="QUH124" t="s">
        <v>451</v>
      </c>
      <c r="QUI124" t="s">
        <v>451</v>
      </c>
      <c r="QUJ124" t="s">
        <v>451</v>
      </c>
      <c r="QUK124" t="s">
        <v>451</v>
      </c>
      <c r="QUL124" t="s">
        <v>451</v>
      </c>
      <c r="QUM124" t="s">
        <v>451</v>
      </c>
      <c r="QUN124" t="s">
        <v>451</v>
      </c>
      <c r="QUO124" t="s">
        <v>451</v>
      </c>
      <c r="QUP124" t="s">
        <v>451</v>
      </c>
      <c r="QUQ124" t="s">
        <v>451</v>
      </c>
      <c r="QUR124" t="s">
        <v>451</v>
      </c>
      <c r="QUS124" t="s">
        <v>451</v>
      </c>
      <c r="QUT124" t="s">
        <v>451</v>
      </c>
      <c r="QUU124" t="s">
        <v>451</v>
      </c>
      <c r="QUV124" t="s">
        <v>451</v>
      </c>
      <c r="QUW124" t="s">
        <v>451</v>
      </c>
      <c r="QUX124" t="s">
        <v>451</v>
      </c>
      <c r="QUY124" t="s">
        <v>451</v>
      </c>
      <c r="QUZ124" t="s">
        <v>451</v>
      </c>
      <c r="QVA124" t="s">
        <v>451</v>
      </c>
      <c r="QVB124" t="s">
        <v>451</v>
      </c>
      <c r="QVC124" t="s">
        <v>451</v>
      </c>
      <c r="QVD124" t="s">
        <v>451</v>
      </c>
      <c r="QVE124" t="s">
        <v>451</v>
      </c>
      <c r="QVF124" t="s">
        <v>451</v>
      </c>
      <c r="QVG124" t="s">
        <v>451</v>
      </c>
      <c r="QVH124" t="s">
        <v>451</v>
      </c>
      <c r="QVI124" t="s">
        <v>451</v>
      </c>
      <c r="QVJ124" t="s">
        <v>451</v>
      </c>
      <c r="QVK124" t="s">
        <v>451</v>
      </c>
      <c r="QVL124" t="s">
        <v>451</v>
      </c>
      <c r="QVM124" t="s">
        <v>451</v>
      </c>
      <c r="QVN124" t="s">
        <v>451</v>
      </c>
      <c r="QVO124" t="s">
        <v>451</v>
      </c>
      <c r="QVP124" t="s">
        <v>451</v>
      </c>
      <c r="QVQ124" t="s">
        <v>451</v>
      </c>
      <c r="QVR124" t="s">
        <v>451</v>
      </c>
      <c r="QVS124" t="s">
        <v>451</v>
      </c>
      <c r="QVT124" t="s">
        <v>451</v>
      </c>
      <c r="QVU124" t="s">
        <v>451</v>
      </c>
      <c r="QVV124" t="s">
        <v>451</v>
      </c>
      <c r="QVW124" t="s">
        <v>451</v>
      </c>
      <c r="QVX124" t="s">
        <v>451</v>
      </c>
      <c r="QVY124" t="s">
        <v>451</v>
      </c>
      <c r="QVZ124" t="s">
        <v>451</v>
      </c>
      <c r="QWA124" t="s">
        <v>451</v>
      </c>
      <c r="QWB124" t="s">
        <v>451</v>
      </c>
      <c r="QWC124" t="s">
        <v>451</v>
      </c>
      <c r="QWD124" t="s">
        <v>451</v>
      </c>
      <c r="QWE124" t="s">
        <v>451</v>
      </c>
      <c r="QWF124" t="s">
        <v>451</v>
      </c>
      <c r="QWG124" t="s">
        <v>451</v>
      </c>
      <c r="QWH124" t="s">
        <v>451</v>
      </c>
      <c r="QWI124" t="s">
        <v>451</v>
      </c>
      <c r="QWJ124" t="s">
        <v>451</v>
      </c>
      <c r="QWK124" t="s">
        <v>451</v>
      </c>
      <c r="QWL124" t="s">
        <v>451</v>
      </c>
      <c r="QWM124" t="s">
        <v>451</v>
      </c>
      <c r="QWN124" t="s">
        <v>451</v>
      </c>
      <c r="QWO124" t="s">
        <v>451</v>
      </c>
      <c r="QWP124" t="s">
        <v>451</v>
      </c>
      <c r="QWQ124" t="s">
        <v>451</v>
      </c>
      <c r="QWR124" t="s">
        <v>451</v>
      </c>
      <c r="QWS124" t="s">
        <v>451</v>
      </c>
      <c r="QWT124" t="s">
        <v>451</v>
      </c>
      <c r="QWU124" t="s">
        <v>451</v>
      </c>
      <c r="QWV124" t="s">
        <v>451</v>
      </c>
      <c r="QWW124" t="s">
        <v>451</v>
      </c>
      <c r="QWX124" t="s">
        <v>451</v>
      </c>
      <c r="QWY124" t="s">
        <v>451</v>
      </c>
      <c r="QWZ124" t="s">
        <v>451</v>
      </c>
      <c r="QXA124" t="s">
        <v>451</v>
      </c>
      <c r="QXB124" t="s">
        <v>451</v>
      </c>
      <c r="QXC124" t="s">
        <v>451</v>
      </c>
      <c r="QXD124" t="s">
        <v>451</v>
      </c>
      <c r="QXE124" t="s">
        <v>451</v>
      </c>
      <c r="QXF124" t="s">
        <v>451</v>
      </c>
      <c r="QXG124" t="s">
        <v>451</v>
      </c>
      <c r="QXH124" t="s">
        <v>451</v>
      </c>
      <c r="QXI124" t="s">
        <v>451</v>
      </c>
      <c r="QXJ124" t="s">
        <v>451</v>
      </c>
      <c r="QXK124" t="s">
        <v>451</v>
      </c>
      <c r="QXL124" t="s">
        <v>451</v>
      </c>
      <c r="QXM124" t="s">
        <v>451</v>
      </c>
      <c r="QXN124" t="s">
        <v>451</v>
      </c>
      <c r="QXO124" t="s">
        <v>451</v>
      </c>
      <c r="QXP124" t="s">
        <v>451</v>
      </c>
      <c r="QXQ124" t="s">
        <v>451</v>
      </c>
      <c r="QXR124" t="s">
        <v>451</v>
      </c>
      <c r="QXS124" t="s">
        <v>451</v>
      </c>
      <c r="QXT124" t="s">
        <v>451</v>
      </c>
      <c r="QXU124" t="s">
        <v>451</v>
      </c>
      <c r="QXV124" t="s">
        <v>451</v>
      </c>
      <c r="QXW124" t="s">
        <v>451</v>
      </c>
      <c r="QXX124" t="s">
        <v>451</v>
      </c>
      <c r="QXY124" t="s">
        <v>451</v>
      </c>
      <c r="QXZ124" t="s">
        <v>451</v>
      </c>
      <c r="QYA124" t="s">
        <v>451</v>
      </c>
      <c r="QYB124" t="s">
        <v>451</v>
      </c>
      <c r="QYC124" t="s">
        <v>451</v>
      </c>
      <c r="QYD124" t="s">
        <v>451</v>
      </c>
      <c r="QYE124" t="s">
        <v>451</v>
      </c>
      <c r="QYF124" t="s">
        <v>451</v>
      </c>
      <c r="QYG124" t="s">
        <v>451</v>
      </c>
      <c r="QYH124" t="s">
        <v>451</v>
      </c>
      <c r="QYI124" t="s">
        <v>451</v>
      </c>
      <c r="QYJ124" t="s">
        <v>451</v>
      </c>
      <c r="QYK124" t="s">
        <v>451</v>
      </c>
      <c r="QYL124" t="s">
        <v>451</v>
      </c>
      <c r="QYM124" t="s">
        <v>451</v>
      </c>
      <c r="QYN124" t="s">
        <v>451</v>
      </c>
      <c r="QYO124" t="s">
        <v>451</v>
      </c>
      <c r="QYP124" t="s">
        <v>451</v>
      </c>
      <c r="QYQ124" t="s">
        <v>451</v>
      </c>
      <c r="QYR124" t="s">
        <v>451</v>
      </c>
      <c r="QYS124" t="s">
        <v>451</v>
      </c>
      <c r="QYT124" t="s">
        <v>451</v>
      </c>
      <c r="QYU124" t="s">
        <v>451</v>
      </c>
      <c r="QYV124" t="s">
        <v>451</v>
      </c>
      <c r="QYW124" t="s">
        <v>451</v>
      </c>
      <c r="QYX124" t="s">
        <v>451</v>
      </c>
      <c r="QYY124" t="s">
        <v>451</v>
      </c>
      <c r="QYZ124" t="s">
        <v>451</v>
      </c>
      <c r="QZA124" t="s">
        <v>451</v>
      </c>
      <c r="QZB124" t="s">
        <v>451</v>
      </c>
      <c r="QZC124" t="s">
        <v>451</v>
      </c>
      <c r="QZD124" t="s">
        <v>451</v>
      </c>
      <c r="QZE124" t="s">
        <v>451</v>
      </c>
      <c r="QZF124" t="s">
        <v>451</v>
      </c>
      <c r="QZG124" t="s">
        <v>451</v>
      </c>
      <c r="QZH124" t="s">
        <v>451</v>
      </c>
      <c r="QZI124" t="s">
        <v>451</v>
      </c>
      <c r="QZJ124" t="s">
        <v>451</v>
      </c>
      <c r="QZK124" t="s">
        <v>451</v>
      </c>
      <c r="QZL124" t="s">
        <v>451</v>
      </c>
      <c r="QZM124" t="s">
        <v>451</v>
      </c>
      <c r="QZN124" t="s">
        <v>451</v>
      </c>
      <c r="QZO124" t="s">
        <v>451</v>
      </c>
      <c r="QZP124" t="s">
        <v>451</v>
      </c>
      <c r="QZQ124" t="s">
        <v>451</v>
      </c>
      <c r="QZR124" t="s">
        <v>451</v>
      </c>
      <c r="QZS124" t="s">
        <v>451</v>
      </c>
      <c r="QZT124" t="s">
        <v>451</v>
      </c>
      <c r="QZU124" t="s">
        <v>451</v>
      </c>
      <c r="QZV124" t="s">
        <v>451</v>
      </c>
      <c r="QZW124" t="s">
        <v>451</v>
      </c>
      <c r="QZX124" t="s">
        <v>451</v>
      </c>
      <c r="QZY124" t="s">
        <v>451</v>
      </c>
      <c r="QZZ124" t="s">
        <v>451</v>
      </c>
      <c r="RAA124" t="s">
        <v>451</v>
      </c>
      <c r="RAB124" t="s">
        <v>451</v>
      </c>
      <c r="RAC124" t="s">
        <v>451</v>
      </c>
      <c r="RAD124" t="s">
        <v>451</v>
      </c>
      <c r="RAE124" t="s">
        <v>451</v>
      </c>
      <c r="RAF124" t="s">
        <v>451</v>
      </c>
      <c r="RAG124" t="s">
        <v>451</v>
      </c>
      <c r="RAH124" t="s">
        <v>451</v>
      </c>
      <c r="RAI124" t="s">
        <v>451</v>
      </c>
      <c r="RAJ124" t="s">
        <v>451</v>
      </c>
      <c r="RAK124" t="s">
        <v>451</v>
      </c>
      <c r="RAL124" t="s">
        <v>451</v>
      </c>
      <c r="RAM124" t="s">
        <v>451</v>
      </c>
      <c r="RAN124" t="s">
        <v>451</v>
      </c>
      <c r="RAO124" t="s">
        <v>451</v>
      </c>
      <c r="RAP124" t="s">
        <v>451</v>
      </c>
      <c r="RAQ124" t="s">
        <v>451</v>
      </c>
      <c r="RAR124" t="s">
        <v>451</v>
      </c>
      <c r="RAS124" t="s">
        <v>451</v>
      </c>
      <c r="RAT124" t="s">
        <v>451</v>
      </c>
      <c r="RAU124" t="s">
        <v>451</v>
      </c>
      <c r="RAV124" t="s">
        <v>451</v>
      </c>
      <c r="RAW124" t="s">
        <v>451</v>
      </c>
      <c r="RAX124" t="s">
        <v>451</v>
      </c>
      <c r="RAY124" t="s">
        <v>451</v>
      </c>
      <c r="RAZ124" t="s">
        <v>451</v>
      </c>
      <c r="RBA124" t="s">
        <v>451</v>
      </c>
      <c r="RBB124" t="s">
        <v>451</v>
      </c>
      <c r="RBC124" t="s">
        <v>451</v>
      </c>
      <c r="RBD124" t="s">
        <v>451</v>
      </c>
      <c r="RBE124" t="s">
        <v>451</v>
      </c>
      <c r="RBF124" t="s">
        <v>451</v>
      </c>
      <c r="RBG124" t="s">
        <v>451</v>
      </c>
      <c r="RBH124" t="s">
        <v>451</v>
      </c>
      <c r="RBI124" t="s">
        <v>451</v>
      </c>
      <c r="RBJ124" t="s">
        <v>451</v>
      </c>
      <c r="RBK124" t="s">
        <v>451</v>
      </c>
      <c r="RBL124" t="s">
        <v>451</v>
      </c>
      <c r="RBM124" t="s">
        <v>451</v>
      </c>
      <c r="RBN124" t="s">
        <v>451</v>
      </c>
      <c r="RBO124" t="s">
        <v>451</v>
      </c>
      <c r="RBP124" t="s">
        <v>451</v>
      </c>
      <c r="RBQ124" t="s">
        <v>451</v>
      </c>
      <c r="RBR124" t="s">
        <v>451</v>
      </c>
      <c r="RBS124" t="s">
        <v>451</v>
      </c>
      <c r="RBT124" t="s">
        <v>451</v>
      </c>
      <c r="RBU124" t="s">
        <v>451</v>
      </c>
      <c r="RBV124" t="s">
        <v>451</v>
      </c>
      <c r="RBW124" t="s">
        <v>451</v>
      </c>
      <c r="RBX124" t="s">
        <v>451</v>
      </c>
      <c r="RBY124" t="s">
        <v>451</v>
      </c>
      <c r="RBZ124" t="s">
        <v>451</v>
      </c>
      <c r="RCA124" t="s">
        <v>451</v>
      </c>
      <c r="RCB124" t="s">
        <v>451</v>
      </c>
      <c r="RCC124" t="s">
        <v>451</v>
      </c>
      <c r="RCD124" t="s">
        <v>451</v>
      </c>
      <c r="RCE124" t="s">
        <v>451</v>
      </c>
      <c r="RCF124" t="s">
        <v>451</v>
      </c>
      <c r="RCG124" t="s">
        <v>451</v>
      </c>
      <c r="RCH124" t="s">
        <v>451</v>
      </c>
      <c r="RCI124" t="s">
        <v>451</v>
      </c>
      <c r="RCJ124" t="s">
        <v>451</v>
      </c>
      <c r="RCK124" t="s">
        <v>451</v>
      </c>
      <c r="RCL124" t="s">
        <v>451</v>
      </c>
      <c r="RCM124" t="s">
        <v>451</v>
      </c>
      <c r="RCN124" t="s">
        <v>451</v>
      </c>
      <c r="RCO124" t="s">
        <v>451</v>
      </c>
      <c r="RCP124" t="s">
        <v>451</v>
      </c>
      <c r="RCQ124" t="s">
        <v>451</v>
      </c>
      <c r="RCR124" t="s">
        <v>451</v>
      </c>
      <c r="RCS124" t="s">
        <v>451</v>
      </c>
      <c r="RCT124" t="s">
        <v>451</v>
      </c>
      <c r="RCU124" t="s">
        <v>451</v>
      </c>
      <c r="RCV124" t="s">
        <v>451</v>
      </c>
      <c r="RCW124" t="s">
        <v>451</v>
      </c>
      <c r="RCX124" t="s">
        <v>451</v>
      </c>
      <c r="RCY124" t="s">
        <v>451</v>
      </c>
      <c r="RCZ124" t="s">
        <v>451</v>
      </c>
      <c r="RDA124" t="s">
        <v>451</v>
      </c>
      <c r="RDB124" t="s">
        <v>451</v>
      </c>
      <c r="RDC124" t="s">
        <v>451</v>
      </c>
      <c r="RDD124" t="s">
        <v>451</v>
      </c>
      <c r="RDE124" t="s">
        <v>451</v>
      </c>
      <c r="RDF124" t="s">
        <v>451</v>
      </c>
      <c r="RDG124" t="s">
        <v>451</v>
      </c>
      <c r="RDH124" t="s">
        <v>451</v>
      </c>
      <c r="RDI124" t="s">
        <v>451</v>
      </c>
      <c r="RDJ124" t="s">
        <v>451</v>
      </c>
      <c r="RDK124" t="s">
        <v>451</v>
      </c>
      <c r="RDL124" t="s">
        <v>451</v>
      </c>
      <c r="RDM124" t="s">
        <v>451</v>
      </c>
      <c r="RDN124" t="s">
        <v>451</v>
      </c>
      <c r="RDO124" t="s">
        <v>451</v>
      </c>
      <c r="RDP124" t="s">
        <v>451</v>
      </c>
      <c r="RDQ124" t="s">
        <v>451</v>
      </c>
      <c r="RDR124" t="s">
        <v>451</v>
      </c>
      <c r="RDS124" t="s">
        <v>451</v>
      </c>
      <c r="RDT124" t="s">
        <v>451</v>
      </c>
      <c r="RDU124" t="s">
        <v>451</v>
      </c>
      <c r="RDV124" t="s">
        <v>451</v>
      </c>
      <c r="RDW124" t="s">
        <v>451</v>
      </c>
      <c r="RDX124" t="s">
        <v>451</v>
      </c>
      <c r="RDY124" t="s">
        <v>451</v>
      </c>
      <c r="RDZ124" t="s">
        <v>451</v>
      </c>
      <c r="REA124" t="s">
        <v>451</v>
      </c>
      <c r="REB124" t="s">
        <v>451</v>
      </c>
      <c r="REC124" t="s">
        <v>451</v>
      </c>
      <c r="RED124" t="s">
        <v>451</v>
      </c>
      <c r="REE124" t="s">
        <v>451</v>
      </c>
      <c r="REF124" t="s">
        <v>451</v>
      </c>
      <c r="REG124" t="s">
        <v>451</v>
      </c>
      <c r="REH124" t="s">
        <v>451</v>
      </c>
      <c r="REI124" t="s">
        <v>451</v>
      </c>
      <c r="REJ124" t="s">
        <v>451</v>
      </c>
      <c r="REK124" t="s">
        <v>451</v>
      </c>
      <c r="REL124" t="s">
        <v>451</v>
      </c>
      <c r="REM124" t="s">
        <v>451</v>
      </c>
      <c r="REN124" t="s">
        <v>451</v>
      </c>
      <c r="REO124" t="s">
        <v>451</v>
      </c>
      <c r="REP124" t="s">
        <v>451</v>
      </c>
      <c r="REQ124" t="s">
        <v>451</v>
      </c>
      <c r="RER124" t="s">
        <v>451</v>
      </c>
      <c r="RES124" t="s">
        <v>451</v>
      </c>
      <c r="RET124" t="s">
        <v>451</v>
      </c>
      <c r="REU124" t="s">
        <v>451</v>
      </c>
      <c r="REV124" t="s">
        <v>451</v>
      </c>
      <c r="REW124" t="s">
        <v>451</v>
      </c>
      <c r="REX124" t="s">
        <v>451</v>
      </c>
      <c r="REY124" t="s">
        <v>451</v>
      </c>
      <c r="REZ124" t="s">
        <v>451</v>
      </c>
      <c r="RFA124" t="s">
        <v>451</v>
      </c>
      <c r="RFB124" t="s">
        <v>451</v>
      </c>
      <c r="RFC124" t="s">
        <v>451</v>
      </c>
      <c r="RFD124" t="s">
        <v>451</v>
      </c>
      <c r="RFE124" t="s">
        <v>451</v>
      </c>
      <c r="RFF124" t="s">
        <v>451</v>
      </c>
      <c r="RFG124" t="s">
        <v>451</v>
      </c>
      <c r="RFH124" t="s">
        <v>451</v>
      </c>
      <c r="RFI124" t="s">
        <v>451</v>
      </c>
      <c r="RFJ124" t="s">
        <v>451</v>
      </c>
      <c r="RFK124" t="s">
        <v>451</v>
      </c>
      <c r="RFL124" t="s">
        <v>451</v>
      </c>
      <c r="RFM124" t="s">
        <v>451</v>
      </c>
      <c r="RFN124" t="s">
        <v>451</v>
      </c>
      <c r="RFO124" t="s">
        <v>451</v>
      </c>
      <c r="RFP124" t="s">
        <v>451</v>
      </c>
      <c r="RFQ124" t="s">
        <v>451</v>
      </c>
      <c r="RFR124" t="s">
        <v>451</v>
      </c>
      <c r="RFS124" t="s">
        <v>451</v>
      </c>
      <c r="RFT124" t="s">
        <v>451</v>
      </c>
      <c r="RFU124" t="s">
        <v>451</v>
      </c>
      <c r="RFV124" t="s">
        <v>451</v>
      </c>
      <c r="RFW124" t="s">
        <v>451</v>
      </c>
      <c r="RFX124" t="s">
        <v>451</v>
      </c>
      <c r="RFY124" t="s">
        <v>451</v>
      </c>
      <c r="RFZ124" t="s">
        <v>451</v>
      </c>
      <c r="RGA124" t="s">
        <v>451</v>
      </c>
      <c r="RGB124" t="s">
        <v>451</v>
      </c>
      <c r="RGC124" t="s">
        <v>451</v>
      </c>
      <c r="RGD124" t="s">
        <v>451</v>
      </c>
      <c r="RGE124" t="s">
        <v>451</v>
      </c>
      <c r="RGF124" t="s">
        <v>451</v>
      </c>
      <c r="RGG124" t="s">
        <v>451</v>
      </c>
      <c r="RGH124" t="s">
        <v>451</v>
      </c>
      <c r="RGI124" t="s">
        <v>451</v>
      </c>
      <c r="RGJ124" t="s">
        <v>451</v>
      </c>
      <c r="RGK124" t="s">
        <v>451</v>
      </c>
      <c r="RGL124" t="s">
        <v>451</v>
      </c>
      <c r="RGM124" t="s">
        <v>451</v>
      </c>
      <c r="RGN124" t="s">
        <v>451</v>
      </c>
      <c r="RGO124" t="s">
        <v>451</v>
      </c>
      <c r="RGP124" t="s">
        <v>451</v>
      </c>
      <c r="RGQ124" t="s">
        <v>451</v>
      </c>
      <c r="RGR124" t="s">
        <v>451</v>
      </c>
      <c r="RGS124" t="s">
        <v>451</v>
      </c>
      <c r="RGT124" t="s">
        <v>451</v>
      </c>
      <c r="RGU124" t="s">
        <v>451</v>
      </c>
      <c r="RGV124" t="s">
        <v>451</v>
      </c>
      <c r="RGW124" t="s">
        <v>451</v>
      </c>
      <c r="RGX124" t="s">
        <v>451</v>
      </c>
      <c r="RGY124" t="s">
        <v>451</v>
      </c>
      <c r="RGZ124" t="s">
        <v>451</v>
      </c>
      <c r="RHA124" t="s">
        <v>451</v>
      </c>
      <c r="RHB124" t="s">
        <v>451</v>
      </c>
      <c r="RHC124" t="s">
        <v>451</v>
      </c>
      <c r="RHD124" t="s">
        <v>451</v>
      </c>
      <c r="RHE124" t="s">
        <v>451</v>
      </c>
      <c r="RHF124" t="s">
        <v>451</v>
      </c>
      <c r="RHG124" t="s">
        <v>451</v>
      </c>
      <c r="RHH124" t="s">
        <v>451</v>
      </c>
      <c r="RHI124" t="s">
        <v>451</v>
      </c>
      <c r="RHJ124" t="s">
        <v>451</v>
      </c>
      <c r="RHK124" t="s">
        <v>451</v>
      </c>
      <c r="RHL124" t="s">
        <v>451</v>
      </c>
      <c r="RHM124" t="s">
        <v>451</v>
      </c>
      <c r="RHN124" t="s">
        <v>451</v>
      </c>
      <c r="RHO124" t="s">
        <v>451</v>
      </c>
      <c r="RHP124" t="s">
        <v>451</v>
      </c>
      <c r="RHQ124" t="s">
        <v>451</v>
      </c>
      <c r="RHR124" t="s">
        <v>451</v>
      </c>
      <c r="RHS124" t="s">
        <v>451</v>
      </c>
      <c r="RHT124" t="s">
        <v>451</v>
      </c>
      <c r="RHU124" t="s">
        <v>451</v>
      </c>
      <c r="RHV124" t="s">
        <v>451</v>
      </c>
      <c r="RHW124" t="s">
        <v>451</v>
      </c>
      <c r="RHX124" t="s">
        <v>451</v>
      </c>
      <c r="RHY124" t="s">
        <v>451</v>
      </c>
      <c r="RHZ124" t="s">
        <v>451</v>
      </c>
      <c r="RIA124" t="s">
        <v>451</v>
      </c>
      <c r="RIB124" t="s">
        <v>451</v>
      </c>
      <c r="RIC124" t="s">
        <v>451</v>
      </c>
      <c r="RID124" t="s">
        <v>451</v>
      </c>
      <c r="RIE124" t="s">
        <v>451</v>
      </c>
      <c r="RIF124" t="s">
        <v>451</v>
      </c>
      <c r="RIG124" t="s">
        <v>451</v>
      </c>
      <c r="RIH124" t="s">
        <v>451</v>
      </c>
      <c r="RII124" t="s">
        <v>451</v>
      </c>
      <c r="RIJ124" t="s">
        <v>451</v>
      </c>
      <c r="RIK124" t="s">
        <v>451</v>
      </c>
      <c r="RIL124" t="s">
        <v>451</v>
      </c>
      <c r="RIM124" t="s">
        <v>451</v>
      </c>
      <c r="RIN124" t="s">
        <v>451</v>
      </c>
      <c r="RIO124" t="s">
        <v>451</v>
      </c>
      <c r="RIP124" t="s">
        <v>451</v>
      </c>
      <c r="RIQ124" t="s">
        <v>451</v>
      </c>
      <c r="RIR124" t="s">
        <v>451</v>
      </c>
      <c r="RIS124" t="s">
        <v>451</v>
      </c>
      <c r="RIT124" t="s">
        <v>451</v>
      </c>
      <c r="RIU124" t="s">
        <v>451</v>
      </c>
      <c r="RIV124" t="s">
        <v>451</v>
      </c>
      <c r="RIW124" t="s">
        <v>451</v>
      </c>
      <c r="RIX124" t="s">
        <v>451</v>
      </c>
      <c r="RIY124" t="s">
        <v>451</v>
      </c>
      <c r="RIZ124" t="s">
        <v>451</v>
      </c>
      <c r="RJA124" t="s">
        <v>451</v>
      </c>
      <c r="RJB124" t="s">
        <v>451</v>
      </c>
      <c r="RJC124" t="s">
        <v>451</v>
      </c>
      <c r="RJD124" t="s">
        <v>451</v>
      </c>
      <c r="RJE124" t="s">
        <v>451</v>
      </c>
      <c r="RJF124" t="s">
        <v>451</v>
      </c>
      <c r="RJG124" t="s">
        <v>451</v>
      </c>
      <c r="RJH124" t="s">
        <v>451</v>
      </c>
      <c r="RJI124" t="s">
        <v>451</v>
      </c>
      <c r="RJJ124" t="s">
        <v>451</v>
      </c>
      <c r="RJK124" t="s">
        <v>451</v>
      </c>
      <c r="RJL124" t="s">
        <v>451</v>
      </c>
      <c r="RJM124" t="s">
        <v>451</v>
      </c>
      <c r="RJN124" t="s">
        <v>451</v>
      </c>
      <c r="RJO124" t="s">
        <v>451</v>
      </c>
      <c r="RJP124" t="s">
        <v>451</v>
      </c>
      <c r="RJQ124" t="s">
        <v>451</v>
      </c>
      <c r="RJR124" t="s">
        <v>451</v>
      </c>
      <c r="RJS124" t="s">
        <v>451</v>
      </c>
      <c r="RJT124" t="s">
        <v>451</v>
      </c>
      <c r="RJU124" t="s">
        <v>451</v>
      </c>
      <c r="RJV124" t="s">
        <v>451</v>
      </c>
      <c r="RJW124" t="s">
        <v>451</v>
      </c>
      <c r="RJX124" t="s">
        <v>451</v>
      </c>
      <c r="RJY124" t="s">
        <v>451</v>
      </c>
      <c r="RJZ124" t="s">
        <v>451</v>
      </c>
      <c r="RKA124" t="s">
        <v>451</v>
      </c>
      <c r="RKB124" t="s">
        <v>451</v>
      </c>
      <c r="RKC124" t="s">
        <v>451</v>
      </c>
      <c r="RKD124" t="s">
        <v>451</v>
      </c>
      <c r="RKE124" t="s">
        <v>451</v>
      </c>
      <c r="RKF124" t="s">
        <v>451</v>
      </c>
      <c r="RKG124" t="s">
        <v>451</v>
      </c>
      <c r="RKH124" t="s">
        <v>451</v>
      </c>
      <c r="RKI124" t="s">
        <v>451</v>
      </c>
      <c r="RKJ124" t="s">
        <v>451</v>
      </c>
      <c r="RKK124" t="s">
        <v>451</v>
      </c>
      <c r="RKL124" t="s">
        <v>451</v>
      </c>
      <c r="RKM124" t="s">
        <v>451</v>
      </c>
      <c r="RKN124" t="s">
        <v>451</v>
      </c>
      <c r="RKO124" t="s">
        <v>451</v>
      </c>
      <c r="RKP124" t="s">
        <v>451</v>
      </c>
      <c r="RKQ124" t="s">
        <v>451</v>
      </c>
      <c r="RKR124" t="s">
        <v>451</v>
      </c>
      <c r="RKS124" t="s">
        <v>451</v>
      </c>
      <c r="RKT124" t="s">
        <v>451</v>
      </c>
      <c r="RKU124" t="s">
        <v>451</v>
      </c>
      <c r="RKV124" t="s">
        <v>451</v>
      </c>
      <c r="RKW124" t="s">
        <v>451</v>
      </c>
      <c r="RKX124" t="s">
        <v>451</v>
      </c>
      <c r="RKY124" t="s">
        <v>451</v>
      </c>
      <c r="RKZ124" t="s">
        <v>451</v>
      </c>
      <c r="RLA124" t="s">
        <v>451</v>
      </c>
      <c r="RLB124" t="s">
        <v>451</v>
      </c>
      <c r="RLC124" t="s">
        <v>451</v>
      </c>
      <c r="RLD124" t="s">
        <v>451</v>
      </c>
      <c r="RLE124" t="s">
        <v>451</v>
      </c>
      <c r="RLF124" t="s">
        <v>451</v>
      </c>
      <c r="RLG124" t="s">
        <v>451</v>
      </c>
      <c r="RLH124" t="s">
        <v>451</v>
      </c>
      <c r="RLI124" t="s">
        <v>451</v>
      </c>
      <c r="RLJ124" t="s">
        <v>451</v>
      </c>
      <c r="RLK124" t="s">
        <v>451</v>
      </c>
      <c r="RLL124" t="s">
        <v>451</v>
      </c>
      <c r="RLM124" t="s">
        <v>451</v>
      </c>
      <c r="RLN124" t="s">
        <v>451</v>
      </c>
      <c r="RLO124" t="s">
        <v>451</v>
      </c>
      <c r="RLP124" t="s">
        <v>451</v>
      </c>
      <c r="RLQ124" t="s">
        <v>451</v>
      </c>
      <c r="RLR124" t="s">
        <v>451</v>
      </c>
      <c r="RLS124" t="s">
        <v>451</v>
      </c>
      <c r="RLT124" t="s">
        <v>451</v>
      </c>
      <c r="RLU124" t="s">
        <v>451</v>
      </c>
      <c r="RLV124" t="s">
        <v>451</v>
      </c>
      <c r="RLW124" t="s">
        <v>451</v>
      </c>
      <c r="RLX124" t="s">
        <v>451</v>
      </c>
      <c r="RLY124" t="s">
        <v>451</v>
      </c>
      <c r="RLZ124" t="s">
        <v>451</v>
      </c>
      <c r="RMA124" t="s">
        <v>451</v>
      </c>
      <c r="RMB124" t="s">
        <v>451</v>
      </c>
      <c r="RMC124" t="s">
        <v>451</v>
      </c>
      <c r="RMD124" t="s">
        <v>451</v>
      </c>
      <c r="RME124" t="s">
        <v>451</v>
      </c>
      <c r="RMF124" t="s">
        <v>451</v>
      </c>
      <c r="RMG124" t="s">
        <v>451</v>
      </c>
      <c r="RMH124" t="s">
        <v>451</v>
      </c>
      <c r="RMI124" t="s">
        <v>451</v>
      </c>
      <c r="RMJ124" t="s">
        <v>451</v>
      </c>
      <c r="RMK124" t="s">
        <v>451</v>
      </c>
      <c r="RML124" t="s">
        <v>451</v>
      </c>
      <c r="RMM124" t="s">
        <v>451</v>
      </c>
      <c r="RMN124" t="s">
        <v>451</v>
      </c>
      <c r="RMO124" t="s">
        <v>451</v>
      </c>
      <c r="RMP124" t="s">
        <v>451</v>
      </c>
      <c r="RMQ124" t="s">
        <v>451</v>
      </c>
      <c r="RMR124" t="s">
        <v>451</v>
      </c>
      <c r="RMS124" t="s">
        <v>451</v>
      </c>
      <c r="RMT124" t="s">
        <v>451</v>
      </c>
      <c r="RMU124" t="s">
        <v>451</v>
      </c>
      <c r="RMV124" t="s">
        <v>451</v>
      </c>
      <c r="RMW124" t="s">
        <v>451</v>
      </c>
      <c r="RMX124" t="s">
        <v>451</v>
      </c>
      <c r="RMY124" t="s">
        <v>451</v>
      </c>
      <c r="RMZ124" t="s">
        <v>451</v>
      </c>
      <c r="RNA124" t="s">
        <v>451</v>
      </c>
      <c r="RNB124" t="s">
        <v>451</v>
      </c>
      <c r="RNC124" t="s">
        <v>451</v>
      </c>
      <c r="RND124" t="s">
        <v>451</v>
      </c>
      <c r="RNE124" t="s">
        <v>451</v>
      </c>
      <c r="RNF124" t="s">
        <v>451</v>
      </c>
      <c r="RNG124" t="s">
        <v>451</v>
      </c>
      <c r="RNH124" t="s">
        <v>451</v>
      </c>
      <c r="RNI124" t="s">
        <v>451</v>
      </c>
      <c r="RNJ124" t="s">
        <v>451</v>
      </c>
      <c r="RNK124" t="s">
        <v>451</v>
      </c>
      <c r="RNL124" t="s">
        <v>451</v>
      </c>
      <c r="RNM124" t="s">
        <v>451</v>
      </c>
      <c r="RNN124" t="s">
        <v>451</v>
      </c>
      <c r="RNO124" t="s">
        <v>451</v>
      </c>
      <c r="RNP124" t="s">
        <v>451</v>
      </c>
      <c r="RNQ124" t="s">
        <v>451</v>
      </c>
      <c r="RNR124" t="s">
        <v>451</v>
      </c>
      <c r="RNS124" t="s">
        <v>451</v>
      </c>
      <c r="RNT124" t="s">
        <v>451</v>
      </c>
      <c r="RNU124" t="s">
        <v>451</v>
      </c>
      <c r="RNV124" t="s">
        <v>451</v>
      </c>
      <c r="RNW124" t="s">
        <v>451</v>
      </c>
      <c r="RNX124" t="s">
        <v>451</v>
      </c>
      <c r="RNY124" t="s">
        <v>451</v>
      </c>
      <c r="RNZ124" t="s">
        <v>451</v>
      </c>
      <c r="ROA124" t="s">
        <v>451</v>
      </c>
      <c r="ROB124" t="s">
        <v>451</v>
      </c>
      <c r="ROC124" t="s">
        <v>451</v>
      </c>
      <c r="ROD124" t="s">
        <v>451</v>
      </c>
      <c r="ROE124" t="s">
        <v>451</v>
      </c>
      <c r="ROF124" t="s">
        <v>451</v>
      </c>
      <c r="ROG124" t="s">
        <v>451</v>
      </c>
      <c r="ROH124" t="s">
        <v>451</v>
      </c>
      <c r="ROI124" t="s">
        <v>451</v>
      </c>
      <c r="ROJ124" t="s">
        <v>451</v>
      </c>
      <c r="ROK124" t="s">
        <v>451</v>
      </c>
      <c r="ROL124" t="s">
        <v>451</v>
      </c>
      <c r="ROM124" t="s">
        <v>451</v>
      </c>
      <c r="RON124" t="s">
        <v>451</v>
      </c>
      <c r="ROO124" t="s">
        <v>451</v>
      </c>
      <c r="ROP124" t="s">
        <v>451</v>
      </c>
      <c r="ROQ124" t="s">
        <v>451</v>
      </c>
      <c r="ROR124" t="s">
        <v>451</v>
      </c>
      <c r="ROS124" t="s">
        <v>451</v>
      </c>
      <c r="ROT124" t="s">
        <v>451</v>
      </c>
      <c r="ROU124" t="s">
        <v>451</v>
      </c>
      <c r="ROV124" t="s">
        <v>451</v>
      </c>
      <c r="ROW124" t="s">
        <v>451</v>
      </c>
      <c r="ROX124" t="s">
        <v>451</v>
      </c>
      <c r="ROY124" t="s">
        <v>451</v>
      </c>
      <c r="ROZ124" t="s">
        <v>451</v>
      </c>
      <c r="RPA124" t="s">
        <v>451</v>
      </c>
      <c r="RPB124" t="s">
        <v>451</v>
      </c>
      <c r="RPC124" t="s">
        <v>451</v>
      </c>
      <c r="RPD124" t="s">
        <v>451</v>
      </c>
      <c r="RPE124" t="s">
        <v>451</v>
      </c>
      <c r="RPF124" t="s">
        <v>451</v>
      </c>
      <c r="RPG124" t="s">
        <v>451</v>
      </c>
      <c r="RPH124" t="s">
        <v>451</v>
      </c>
      <c r="RPI124" t="s">
        <v>451</v>
      </c>
      <c r="RPJ124" t="s">
        <v>451</v>
      </c>
      <c r="RPK124" t="s">
        <v>451</v>
      </c>
      <c r="RPL124" t="s">
        <v>451</v>
      </c>
      <c r="RPM124" t="s">
        <v>451</v>
      </c>
      <c r="RPN124" t="s">
        <v>451</v>
      </c>
      <c r="RPO124" t="s">
        <v>451</v>
      </c>
      <c r="RPP124" t="s">
        <v>451</v>
      </c>
      <c r="RPQ124" t="s">
        <v>451</v>
      </c>
      <c r="RPR124" t="s">
        <v>451</v>
      </c>
      <c r="RPS124" t="s">
        <v>451</v>
      </c>
      <c r="RPT124" t="s">
        <v>451</v>
      </c>
      <c r="RPU124" t="s">
        <v>451</v>
      </c>
      <c r="RPV124" t="s">
        <v>451</v>
      </c>
      <c r="RPW124" t="s">
        <v>451</v>
      </c>
      <c r="RPX124" t="s">
        <v>451</v>
      </c>
      <c r="RPY124" t="s">
        <v>451</v>
      </c>
      <c r="RPZ124" t="s">
        <v>451</v>
      </c>
      <c r="RQA124" t="s">
        <v>451</v>
      </c>
      <c r="RQB124" t="s">
        <v>451</v>
      </c>
      <c r="RQC124" t="s">
        <v>451</v>
      </c>
      <c r="RQD124" t="s">
        <v>451</v>
      </c>
      <c r="RQE124" t="s">
        <v>451</v>
      </c>
      <c r="RQF124" t="s">
        <v>451</v>
      </c>
      <c r="RQG124" t="s">
        <v>451</v>
      </c>
      <c r="RQH124" t="s">
        <v>451</v>
      </c>
      <c r="RQI124" t="s">
        <v>451</v>
      </c>
      <c r="RQJ124" t="s">
        <v>451</v>
      </c>
      <c r="RQK124" t="s">
        <v>451</v>
      </c>
      <c r="RQL124" t="s">
        <v>451</v>
      </c>
      <c r="RQM124" t="s">
        <v>451</v>
      </c>
      <c r="RQN124" t="s">
        <v>451</v>
      </c>
      <c r="RQO124" t="s">
        <v>451</v>
      </c>
      <c r="RQP124" t="s">
        <v>451</v>
      </c>
      <c r="RQQ124" t="s">
        <v>451</v>
      </c>
      <c r="RQR124" t="s">
        <v>451</v>
      </c>
      <c r="RQS124" t="s">
        <v>451</v>
      </c>
      <c r="RQT124" t="s">
        <v>451</v>
      </c>
      <c r="RQU124" t="s">
        <v>451</v>
      </c>
      <c r="RQV124" t="s">
        <v>451</v>
      </c>
      <c r="RQW124" t="s">
        <v>451</v>
      </c>
      <c r="RQX124" t="s">
        <v>451</v>
      </c>
      <c r="RQY124" t="s">
        <v>451</v>
      </c>
      <c r="RQZ124" t="s">
        <v>451</v>
      </c>
      <c r="RRA124" t="s">
        <v>451</v>
      </c>
      <c r="RRB124" t="s">
        <v>451</v>
      </c>
      <c r="RRC124" t="s">
        <v>451</v>
      </c>
      <c r="RRD124" t="s">
        <v>451</v>
      </c>
      <c r="RRE124" t="s">
        <v>451</v>
      </c>
      <c r="RRF124" t="s">
        <v>451</v>
      </c>
      <c r="RRG124" t="s">
        <v>451</v>
      </c>
      <c r="RRH124" t="s">
        <v>451</v>
      </c>
      <c r="RRI124" t="s">
        <v>451</v>
      </c>
      <c r="RRJ124" t="s">
        <v>451</v>
      </c>
      <c r="RRK124" t="s">
        <v>451</v>
      </c>
      <c r="RRL124" t="s">
        <v>451</v>
      </c>
      <c r="RRM124" t="s">
        <v>451</v>
      </c>
      <c r="RRN124" t="s">
        <v>451</v>
      </c>
      <c r="RRO124" t="s">
        <v>451</v>
      </c>
      <c r="RRP124" t="s">
        <v>451</v>
      </c>
      <c r="RRQ124" t="s">
        <v>451</v>
      </c>
      <c r="RRR124" t="s">
        <v>451</v>
      </c>
      <c r="RRS124" t="s">
        <v>451</v>
      </c>
      <c r="RRT124" t="s">
        <v>451</v>
      </c>
      <c r="RRU124" t="s">
        <v>451</v>
      </c>
      <c r="RRV124" t="s">
        <v>451</v>
      </c>
      <c r="RRW124" t="s">
        <v>451</v>
      </c>
      <c r="RRX124" t="s">
        <v>451</v>
      </c>
      <c r="RRY124" t="s">
        <v>451</v>
      </c>
      <c r="RRZ124" t="s">
        <v>451</v>
      </c>
      <c r="RSA124" t="s">
        <v>451</v>
      </c>
      <c r="RSB124" t="s">
        <v>451</v>
      </c>
      <c r="RSC124" t="s">
        <v>451</v>
      </c>
      <c r="RSD124" t="s">
        <v>451</v>
      </c>
      <c r="RSE124" t="s">
        <v>451</v>
      </c>
      <c r="RSF124" t="s">
        <v>451</v>
      </c>
      <c r="RSG124" t="s">
        <v>451</v>
      </c>
      <c r="RSH124" t="s">
        <v>451</v>
      </c>
      <c r="RSI124" t="s">
        <v>451</v>
      </c>
      <c r="RSJ124" t="s">
        <v>451</v>
      </c>
      <c r="RSK124" t="s">
        <v>451</v>
      </c>
      <c r="RSL124" t="s">
        <v>451</v>
      </c>
      <c r="RSM124" t="s">
        <v>451</v>
      </c>
      <c r="RSN124" t="s">
        <v>451</v>
      </c>
      <c r="RSO124" t="s">
        <v>451</v>
      </c>
      <c r="RSP124" t="s">
        <v>451</v>
      </c>
      <c r="RSQ124" t="s">
        <v>451</v>
      </c>
      <c r="RSR124" t="s">
        <v>451</v>
      </c>
      <c r="RSS124" t="s">
        <v>451</v>
      </c>
      <c r="RST124" t="s">
        <v>451</v>
      </c>
      <c r="RSU124" t="s">
        <v>451</v>
      </c>
      <c r="RSV124" t="s">
        <v>451</v>
      </c>
      <c r="RSW124" t="s">
        <v>451</v>
      </c>
      <c r="RSX124" t="s">
        <v>451</v>
      </c>
      <c r="RSY124" t="s">
        <v>451</v>
      </c>
      <c r="RSZ124" t="s">
        <v>451</v>
      </c>
      <c r="RTA124" t="s">
        <v>451</v>
      </c>
      <c r="RTB124" t="s">
        <v>451</v>
      </c>
      <c r="RTC124" t="s">
        <v>451</v>
      </c>
      <c r="RTD124" t="s">
        <v>451</v>
      </c>
      <c r="RTE124" t="s">
        <v>451</v>
      </c>
      <c r="RTF124" t="s">
        <v>451</v>
      </c>
      <c r="RTG124" t="s">
        <v>451</v>
      </c>
      <c r="RTH124" t="s">
        <v>451</v>
      </c>
      <c r="RTI124" t="s">
        <v>451</v>
      </c>
      <c r="RTJ124" t="s">
        <v>451</v>
      </c>
      <c r="RTK124" t="s">
        <v>451</v>
      </c>
      <c r="RTL124" t="s">
        <v>451</v>
      </c>
      <c r="RTM124" t="s">
        <v>451</v>
      </c>
      <c r="RTN124" t="s">
        <v>451</v>
      </c>
      <c r="RTO124" t="s">
        <v>451</v>
      </c>
      <c r="RTP124" t="s">
        <v>451</v>
      </c>
      <c r="RTQ124" t="s">
        <v>451</v>
      </c>
      <c r="RTR124" t="s">
        <v>451</v>
      </c>
      <c r="RTS124" t="s">
        <v>451</v>
      </c>
      <c r="RTT124" t="s">
        <v>451</v>
      </c>
      <c r="RTU124" t="s">
        <v>451</v>
      </c>
      <c r="RTV124" t="s">
        <v>451</v>
      </c>
      <c r="RTW124" t="s">
        <v>451</v>
      </c>
      <c r="RTX124" t="s">
        <v>451</v>
      </c>
      <c r="RTY124" t="s">
        <v>451</v>
      </c>
      <c r="RTZ124" t="s">
        <v>451</v>
      </c>
      <c r="RUA124" t="s">
        <v>451</v>
      </c>
      <c r="RUB124" t="s">
        <v>451</v>
      </c>
      <c r="RUC124" t="s">
        <v>451</v>
      </c>
      <c r="RUD124" t="s">
        <v>451</v>
      </c>
      <c r="RUE124" t="s">
        <v>451</v>
      </c>
      <c r="RUF124" t="s">
        <v>451</v>
      </c>
      <c r="RUG124" t="s">
        <v>451</v>
      </c>
      <c r="RUH124" t="s">
        <v>451</v>
      </c>
      <c r="RUI124" t="s">
        <v>451</v>
      </c>
      <c r="RUJ124" t="s">
        <v>451</v>
      </c>
      <c r="RUK124" t="s">
        <v>451</v>
      </c>
      <c r="RUL124" t="s">
        <v>451</v>
      </c>
      <c r="RUM124" t="s">
        <v>451</v>
      </c>
      <c r="RUN124" t="s">
        <v>451</v>
      </c>
      <c r="RUO124" t="s">
        <v>451</v>
      </c>
      <c r="RUP124" t="s">
        <v>451</v>
      </c>
      <c r="RUQ124" t="s">
        <v>451</v>
      </c>
      <c r="RUR124" t="s">
        <v>451</v>
      </c>
      <c r="RUS124" t="s">
        <v>451</v>
      </c>
      <c r="RUT124" t="s">
        <v>451</v>
      </c>
      <c r="RUU124" t="s">
        <v>451</v>
      </c>
      <c r="RUV124" t="s">
        <v>451</v>
      </c>
      <c r="RUW124" t="s">
        <v>451</v>
      </c>
      <c r="RUX124" t="s">
        <v>451</v>
      </c>
      <c r="RUY124" t="s">
        <v>451</v>
      </c>
      <c r="RUZ124" t="s">
        <v>451</v>
      </c>
      <c r="RVA124" t="s">
        <v>451</v>
      </c>
      <c r="RVB124" t="s">
        <v>451</v>
      </c>
      <c r="RVC124" t="s">
        <v>451</v>
      </c>
      <c r="RVD124" t="s">
        <v>451</v>
      </c>
      <c r="RVE124" t="s">
        <v>451</v>
      </c>
      <c r="RVF124" t="s">
        <v>451</v>
      </c>
      <c r="RVG124" t="s">
        <v>451</v>
      </c>
      <c r="RVH124" t="s">
        <v>451</v>
      </c>
      <c r="RVI124" t="s">
        <v>451</v>
      </c>
      <c r="RVJ124" t="s">
        <v>451</v>
      </c>
      <c r="RVK124" t="s">
        <v>451</v>
      </c>
      <c r="RVL124" t="s">
        <v>451</v>
      </c>
      <c r="RVM124" t="s">
        <v>451</v>
      </c>
      <c r="RVN124" t="s">
        <v>451</v>
      </c>
      <c r="RVO124" t="s">
        <v>451</v>
      </c>
      <c r="RVP124" t="s">
        <v>451</v>
      </c>
      <c r="RVQ124" t="s">
        <v>451</v>
      </c>
      <c r="RVR124" t="s">
        <v>451</v>
      </c>
      <c r="RVS124" t="s">
        <v>451</v>
      </c>
      <c r="RVT124" t="s">
        <v>451</v>
      </c>
      <c r="RVU124" t="s">
        <v>451</v>
      </c>
      <c r="RVV124" t="s">
        <v>451</v>
      </c>
      <c r="RVW124" t="s">
        <v>451</v>
      </c>
      <c r="RVX124" t="s">
        <v>451</v>
      </c>
      <c r="RVY124" t="s">
        <v>451</v>
      </c>
      <c r="RVZ124" t="s">
        <v>451</v>
      </c>
      <c r="RWA124" t="s">
        <v>451</v>
      </c>
      <c r="RWB124" t="s">
        <v>451</v>
      </c>
      <c r="RWC124" t="s">
        <v>451</v>
      </c>
      <c r="RWD124" t="s">
        <v>451</v>
      </c>
      <c r="RWE124" t="s">
        <v>451</v>
      </c>
      <c r="RWF124" t="s">
        <v>451</v>
      </c>
      <c r="RWG124" t="s">
        <v>451</v>
      </c>
      <c r="RWH124" t="s">
        <v>451</v>
      </c>
      <c r="RWI124" t="s">
        <v>451</v>
      </c>
      <c r="RWJ124" t="s">
        <v>451</v>
      </c>
      <c r="RWK124" t="s">
        <v>451</v>
      </c>
      <c r="RWL124" t="s">
        <v>451</v>
      </c>
      <c r="RWM124" t="s">
        <v>451</v>
      </c>
      <c r="RWN124" t="s">
        <v>451</v>
      </c>
      <c r="RWO124" t="s">
        <v>451</v>
      </c>
      <c r="RWP124" t="s">
        <v>451</v>
      </c>
      <c r="RWQ124" t="s">
        <v>451</v>
      </c>
      <c r="RWR124" t="s">
        <v>451</v>
      </c>
      <c r="RWS124" t="s">
        <v>451</v>
      </c>
      <c r="RWT124" t="s">
        <v>451</v>
      </c>
      <c r="RWU124" t="s">
        <v>451</v>
      </c>
      <c r="RWV124" t="s">
        <v>451</v>
      </c>
      <c r="RWW124" t="s">
        <v>451</v>
      </c>
      <c r="RWX124" t="s">
        <v>451</v>
      </c>
      <c r="RWY124" t="s">
        <v>451</v>
      </c>
      <c r="RWZ124" t="s">
        <v>451</v>
      </c>
      <c r="RXA124" t="s">
        <v>451</v>
      </c>
      <c r="RXB124" t="s">
        <v>451</v>
      </c>
      <c r="RXC124" t="s">
        <v>451</v>
      </c>
      <c r="RXD124" t="s">
        <v>451</v>
      </c>
      <c r="RXE124" t="s">
        <v>451</v>
      </c>
      <c r="RXF124" t="s">
        <v>451</v>
      </c>
      <c r="RXG124" t="s">
        <v>451</v>
      </c>
      <c r="RXH124" t="s">
        <v>451</v>
      </c>
      <c r="RXI124" t="s">
        <v>451</v>
      </c>
      <c r="RXJ124" t="s">
        <v>451</v>
      </c>
      <c r="RXK124" t="s">
        <v>451</v>
      </c>
      <c r="RXL124" t="s">
        <v>451</v>
      </c>
      <c r="RXM124" t="s">
        <v>451</v>
      </c>
      <c r="RXN124" t="s">
        <v>451</v>
      </c>
      <c r="RXO124" t="s">
        <v>451</v>
      </c>
      <c r="RXP124" t="s">
        <v>451</v>
      </c>
      <c r="RXQ124" t="s">
        <v>451</v>
      </c>
      <c r="RXR124" t="s">
        <v>451</v>
      </c>
      <c r="RXS124" t="s">
        <v>451</v>
      </c>
      <c r="RXT124" t="s">
        <v>451</v>
      </c>
      <c r="RXU124" t="s">
        <v>451</v>
      </c>
      <c r="RXV124" t="s">
        <v>451</v>
      </c>
      <c r="RXW124" t="s">
        <v>451</v>
      </c>
      <c r="RXX124" t="s">
        <v>451</v>
      </c>
      <c r="RXY124" t="s">
        <v>451</v>
      </c>
      <c r="RXZ124" t="s">
        <v>451</v>
      </c>
      <c r="RYA124" t="s">
        <v>451</v>
      </c>
      <c r="RYB124" t="s">
        <v>451</v>
      </c>
      <c r="RYC124" t="s">
        <v>451</v>
      </c>
      <c r="RYD124" t="s">
        <v>451</v>
      </c>
      <c r="RYE124" t="s">
        <v>451</v>
      </c>
      <c r="RYF124" t="s">
        <v>451</v>
      </c>
      <c r="RYG124" t="s">
        <v>451</v>
      </c>
      <c r="RYH124" t="s">
        <v>451</v>
      </c>
      <c r="RYI124" t="s">
        <v>451</v>
      </c>
      <c r="RYJ124" t="s">
        <v>451</v>
      </c>
      <c r="RYK124" t="s">
        <v>451</v>
      </c>
      <c r="RYL124" t="s">
        <v>451</v>
      </c>
      <c r="RYM124" t="s">
        <v>451</v>
      </c>
      <c r="RYN124" t="s">
        <v>451</v>
      </c>
      <c r="RYO124" t="s">
        <v>451</v>
      </c>
      <c r="RYP124" t="s">
        <v>451</v>
      </c>
      <c r="RYQ124" t="s">
        <v>451</v>
      </c>
      <c r="RYR124" t="s">
        <v>451</v>
      </c>
      <c r="RYS124" t="s">
        <v>451</v>
      </c>
      <c r="RYT124" t="s">
        <v>451</v>
      </c>
      <c r="RYU124" t="s">
        <v>451</v>
      </c>
      <c r="RYV124" t="s">
        <v>451</v>
      </c>
      <c r="RYW124" t="s">
        <v>451</v>
      </c>
      <c r="RYX124" t="s">
        <v>451</v>
      </c>
      <c r="RYY124" t="s">
        <v>451</v>
      </c>
      <c r="RYZ124" t="s">
        <v>451</v>
      </c>
      <c r="RZA124" t="s">
        <v>451</v>
      </c>
      <c r="RZB124" t="s">
        <v>451</v>
      </c>
      <c r="RZC124" t="s">
        <v>451</v>
      </c>
      <c r="RZD124" t="s">
        <v>451</v>
      </c>
      <c r="RZE124" t="s">
        <v>451</v>
      </c>
      <c r="RZF124" t="s">
        <v>451</v>
      </c>
      <c r="RZG124" t="s">
        <v>451</v>
      </c>
      <c r="RZH124" t="s">
        <v>451</v>
      </c>
      <c r="RZI124" t="s">
        <v>451</v>
      </c>
      <c r="RZJ124" t="s">
        <v>451</v>
      </c>
      <c r="RZK124" t="s">
        <v>451</v>
      </c>
      <c r="RZL124" t="s">
        <v>451</v>
      </c>
      <c r="RZM124" t="s">
        <v>451</v>
      </c>
      <c r="RZN124" t="s">
        <v>451</v>
      </c>
      <c r="RZO124" t="s">
        <v>451</v>
      </c>
      <c r="RZP124" t="s">
        <v>451</v>
      </c>
      <c r="RZQ124" t="s">
        <v>451</v>
      </c>
      <c r="RZR124" t="s">
        <v>451</v>
      </c>
      <c r="RZS124" t="s">
        <v>451</v>
      </c>
      <c r="RZT124" t="s">
        <v>451</v>
      </c>
      <c r="RZU124" t="s">
        <v>451</v>
      </c>
      <c r="RZV124" t="s">
        <v>451</v>
      </c>
      <c r="RZW124" t="s">
        <v>451</v>
      </c>
      <c r="RZX124" t="s">
        <v>451</v>
      </c>
      <c r="RZY124" t="s">
        <v>451</v>
      </c>
      <c r="RZZ124" t="s">
        <v>451</v>
      </c>
      <c r="SAA124" t="s">
        <v>451</v>
      </c>
      <c r="SAB124" t="s">
        <v>451</v>
      </c>
      <c r="SAC124" t="s">
        <v>451</v>
      </c>
      <c r="SAD124" t="s">
        <v>451</v>
      </c>
      <c r="SAE124" t="s">
        <v>451</v>
      </c>
      <c r="SAF124" t="s">
        <v>451</v>
      </c>
      <c r="SAG124" t="s">
        <v>451</v>
      </c>
      <c r="SAH124" t="s">
        <v>451</v>
      </c>
      <c r="SAI124" t="s">
        <v>451</v>
      </c>
      <c r="SAJ124" t="s">
        <v>451</v>
      </c>
      <c r="SAK124" t="s">
        <v>451</v>
      </c>
      <c r="SAL124" t="s">
        <v>451</v>
      </c>
      <c r="SAM124" t="s">
        <v>451</v>
      </c>
      <c r="SAN124" t="s">
        <v>451</v>
      </c>
      <c r="SAO124" t="s">
        <v>451</v>
      </c>
      <c r="SAP124" t="s">
        <v>451</v>
      </c>
      <c r="SAQ124" t="s">
        <v>451</v>
      </c>
      <c r="SAR124" t="s">
        <v>451</v>
      </c>
      <c r="SAS124" t="s">
        <v>451</v>
      </c>
      <c r="SAT124" t="s">
        <v>451</v>
      </c>
      <c r="SAU124" t="s">
        <v>451</v>
      </c>
      <c r="SAV124" t="s">
        <v>451</v>
      </c>
      <c r="SAW124" t="s">
        <v>451</v>
      </c>
      <c r="SAX124" t="s">
        <v>451</v>
      </c>
      <c r="SAY124" t="s">
        <v>451</v>
      </c>
      <c r="SAZ124" t="s">
        <v>451</v>
      </c>
      <c r="SBA124" t="s">
        <v>451</v>
      </c>
      <c r="SBB124" t="s">
        <v>451</v>
      </c>
      <c r="SBC124" t="s">
        <v>451</v>
      </c>
      <c r="SBD124" t="s">
        <v>451</v>
      </c>
      <c r="SBE124" t="s">
        <v>451</v>
      </c>
      <c r="SBF124" t="s">
        <v>451</v>
      </c>
      <c r="SBG124" t="s">
        <v>451</v>
      </c>
      <c r="SBH124" t="s">
        <v>451</v>
      </c>
      <c r="SBI124" t="s">
        <v>451</v>
      </c>
      <c r="SBJ124" t="s">
        <v>451</v>
      </c>
      <c r="SBK124" t="s">
        <v>451</v>
      </c>
      <c r="SBL124" t="s">
        <v>451</v>
      </c>
      <c r="SBM124" t="s">
        <v>451</v>
      </c>
      <c r="SBN124" t="s">
        <v>451</v>
      </c>
      <c r="SBO124" t="s">
        <v>451</v>
      </c>
      <c r="SBP124" t="s">
        <v>451</v>
      </c>
      <c r="SBQ124" t="s">
        <v>451</v>
      </c>
      <c r="SBR124" t="s">
        <v>451</v>
      </c>
      <c r="SBS124" t="s">
        <v>451</v>
      </c>
      <c r="SBT124" t="s">
        <v>451</v>
      </c>
      <c r="SBU124" t="s">
        <v>451</v>
      </c>
      <c r="SBV124" t="s">
        <v>451</v>
      </c>
      <c r="SBW124" t="s">
        <v>451</v>
      </c>
      <c r="SBX124" t="s">
        <v>451</v>
      </c>
      <c r="SBY124" t="s">
        <v>451</v>
      </c>
      <c r="SBZ124" t="s">
        <v>451</v>
      </c>
      <c r="SCA124" t="s">
        <v>451</v>
      </c>
      <c r="SCB124" t="s">
        <v>451</v>
      </c>
      <c r="SCC124" t="s">
        <v>451</v>
      </c>
      <c r="SCD124" t="s">
        <v>451</v>
      </c>
      <c r="SCE124" t="s">
        <v>451</v>
      </c>
      <c r="SCF124" t="s">
        <v>451</v>
      </c>
      <c r="SCG124" t="s">
        <v>451</v>
      </c>
      <c r="SCH124" t="s">
        <v>451</v>
      </c>
      <c r="SCI124" t="s">
        <v>451</v>
      </c>
      <c r="SCJ124" t="s">
        <v>451</v>
      </c>
      <c r="SCK124" t="s">
        <v>451</v>
      </c>
      <c r="SCL124" t="s">
        <v>451</v>
      </c>
      <c r="SCM124" t="s">
        <v>451</v>
      </c>
      <c r="SCN124" t="s">
        <v>451</v>
      </c>
      <c r="SCO124" t="s">
        <v>451</v>
      </c>
      <c r="SCP124" t="s">
        <v>451</v>
      </c>
      <c r="SCQ124" t="s">
        <v>451</v>
      </c>
      <c r="SCR124" t="s">
        <v>451</v>
      </c>
      <c r="SCS124" t="s">
        <v>451</v>
      </c>
      <c r="SCT124" t="s">
        <v>451</v>
      </c>
      <c r="SCU124" t="s">
        <v>451</v>
      </c>
      <c r="SCV124" t="s">
        <v>451</v>
      </c>
      <c r="SCW124" t="s">
        <v>451</v>
      </c>
      <c r="SCX124" t="s">
        <v>451</v>
      </c>
      <c r="SCY124" t="s">
        <v>451</v>
      </c>
      <c r="SCZ124" t="s">
        <v>451</v>
      </c>
      <c r="SDA124" t="s">
        <v>451</v>
      </c>
      <c r="SDB124" t="s">
        <v>451</v>
      </c>
      <c r="SDC124" t="s">
        <v>451</v>
      </c>
      <c r="SDD124" t="s">
        <v>451</v>
      </c>
      <c r="SDE124" t="s">
        <v>451</v>
      </c>
      <c r="SDF124" t="s">
        <v>451</v>
      </c>
      <c r="SDG124" t="s">
        <v>451</v>
      </c>
      <c r="SDH124" t="s">
        <v>451</v>
      </c>
      <c r="SDI124" t="s">
        <v>451</v>
      </c>
      <c r="SDJ124" t="s">
        <v>451</v>
      </c>
      <c r="SDK124" t="s">
        <v>451</v>
      </c>
      <c r="SDL124" t="s">
        <v>451</v>
      </c>
      <c r="SDM124" t="s">
        <v>451</v>
      </c>
      <c r="SDN124" t="s">
        <v>451</v>
      </c>
      <c r="SDO124" t="s">
        <v>451</v>
      </c>
      <c r="SDP124" t="s">
        <v>451</v>
      </c>
      <c r="SDQ124" t="s">
        <v>451</v>
      </c>
      <c r="SDR124" t="s">
        <v>451</v>
      </c>
      <c r="SDS124" t="s">
        <v>451</v>
      </c>
      <c r="SDT124" t="s">
        <v>451</v>
      </c>
      <c r="SDU124" t="s">
        <v>451</v>
      </c>
      <c r="SDV124" t="s">
        <v>451</v>
      </c>
      <c r="SDW124" t="s">
        <v>451</v>
      </c>
      <c r="SDX124" t="s">
        <v>451</v>
      </c>
      <c r="SDY124" t="s">
        <v>451</v>
      </c>
      <c r="SDZ124" t="s">
        <v>451</v>
      </c>
      <c r="SEA124" t="s">
        <v>451</v>
      </c>
      <c r="SEB124" t="s">
        <v>451</v>
      </c>
      <c r="SEC124" t="s">
        <v>451</v>
      </c>
      <c r="SED124" t="s">
        <v>451</v>
      </c>
      <c r="SEE124" t="s">
        <v>451</v>
      </c>
      <c r="SEF124" t="s">
        <v>451</v>
      </c>
      <c r="SEG124" t="s">
        <v>451</v>
      </c>
      <c r="SEH124" t="s">
        <v>451</v>
      </c>
      <c r="SEI124" t="s">
        <v>451</v>
      </c>
      <c r="SEJ124" t="s">
        <v>451</v>
      </c>
      <c r="SEK124" t="s">
        <v>451</v>
      </c>
      <c r="SEL124" t="s">
        <v>451</v>
      </c>
      <c r="SEM124" t="s">
        <v>451</v>
      </c>
      <c r="SEN124" t="s">
        <v>451</v>
      </c>
      <c r="SEO124" t="s">
        <v>451</v>
      </c>
      <c r="SEP124" t="s">
        <v>451</v>
      </c>
      <c r="SEQ124" t="s">
        <v>451</v>
      </c>
      <c r="SER124" t="s">
        <v>451</v>
      </c>
      <c r="SES124" t="s">
        <v>451</v>
      </c>
      <c r="SET124" t="s">
        <v>451</v>
      </c>
      <c r="SEU124" t="s">
        <v>451</v>
      </c>
      <c r="SEV124" t="s">
        <v>451</v>
      </c>
      <c r="SEW124" t="s">
        <v>451</v>
      </c>
      <c r="SEX124" t="s">
        <v>451</v>
      </c>
      <c r="SEY124" t="s">
        <v>451</v>
      </c>
      <c r="SEZ124" t="s">
        <v>451</v>
      </c>
      <c r="SFA124" t="s">
        <v>451</v>
      </c>
      <c r="SFB124" t="s">
        <v>451</v>
      </c>
      <c r="SFC124" t="s">
        <v>451</v>
      </c>
      <c r="SFD124" t="s">
        <v>451</v>
      </c>
      <c r="SFE124" t="s">
        <v>451</v>
      </c>
      <c r="SFF124" t="s">
        <v>451</v>
      </c>
      <c r="SFG124" t="s">
        <v>451</v>
      </c>
      <c r="SFH124" t="s">
        <v>451</v>
      </c>
      <c r="SFI124" t="s">
        <v>451</v>
      </c>
      <c r="SFJ124" t="s">
        <v>451</v>
      </c>
      <c r="SFK124" t="s">
        <v>451</v>
      </c>
      <c r="SFL124" t="s">
        <v>451</v>
      </c>
      <c r="SFM124" t="s">
        <v>451</v>
      </c>
      <c r="SFN124" t="s">
        <v>451</v>
      </c>
      <c r="SFO124" t="s">
        <v>451</v>
      </c>
      <c r="SFP124" t="s">
        <v>451</v>
      </c>
      <c r="SFQ124" t="s">
        <v>451</v>
      </c>
      <c r="SFR124" t="s">
        <v>451</v>
      </c>
      <c r="SFS124" t="s">
        <v>451</v>
      </c>
      <c r="SFT124" t="s">
        <v>451</v>
      </c>
      <c r="SFU124" t="s">
        <v>451</v>
      </c>
      <c r="SFV124" t="s">
        <v>451</v>
      </c>
      <c r="SFW124" t="s">
        <v>451</v>
      </c>
      <c r="SFX124" t="s">
        <v>451</v>
      </c>
      <c r="SFY124" t="s">
        <v>451</v>
      </c>
      <c r="SFZ124" t="s">
        <v>451</v>
      </c>
      <c r="SGA124" t="s">
        <v>451</v>
      </c>
      <c r="SGB124" t="s">
        <v>451</v>
      </c>
      <c r="SGC124" t="s">
        <v>451</v>
      </c>
      <c r="SGD124" t="s">
        <v>451</v>
      </c>
      <c r="SGE124" t="s">
        <v>451</v>
      </c>
      <c r="SGF124" t="s">
        <v>451</v>
      </c>
      <c r="SGG124" t="s">
        <v>451</v>
      </c>
      <c r="SGH124" t="s">
        <v>451</v>
      </c>
      <c r="SGI124" t="s">
        <v>451</v>
      </c>
      <c r="SGJ124" t="s">
        <v>451</v>
      </c>
      <c r="SGK124" t="s">
        <v>451</v>
      </c>
      <c r="SGL124" t="s">
        <v>451</v>
      </c>
      <c r="SGM124" t="s">
        <v>451</v>
      </c>
      <c r="SGN124" t="s">
        <v>451</v>
      </c>
      <c r="SGO124" t="s">
        <v>451</v>
      </c>
      <c r="SGP124" t="s">
        <v>451</v>
      </c>
      <c r="SGQ124" t="s">
        <v>451</v>
      </c>
      <c r="SGR124" t="s">
        <v>451</v>
      </c>
      <c r="SGS124" t="s">
        <v>451</v>
      </c>
      <c r="SGT124" t="s">
        <v>451</v>
      </c>
      <c r="SGU124" t="s">
        <v>451</v>
      </c>
      <c r="SGV124" t="s">
        <v>451</v>
      </c>
      <c r="SGW124" t="s">
        <v>451</v>
      </c>
      <c r="SGX124" t="s">
        <v>451</v>
      </c>
      <c r="SGY124" t="s">
        <v>451</v>
      </c>
      <c r="SGZ124" t="s">
        <v>451</v>
      </c>
      <c r="SHA124" t="s">
        <v>451</v>
      </c>
      <c r="SHB124" t="s">
        <v>451</v>
      </c>
      <c r="SHC124" t="s">
        <v>451</v>
      </c>
      <c r="SHD124" t="s">
        <v>451</v>
      </c>
      <c r="SHE124" t="s">
        <v>451</v>
      </c>
      <c r="SHF124" t="s">
        <v>451</v>
      </c>
      <c r="SHG124" t="s">
        <v>451</v>
      </c>
      <c r="SHH124" t="s">
        <v>451</v>
      </c>
      <c r="SHI124" t="s">
        <v>451</v>
      </c>
      <c r="SHJ124" t="s">
        <v>451</v>
      </c>
      <c r="SHK124" t="s">
        <v>451</v>
      </c>
      <c r="SHL124" t="s">
        <v>451</v>
      </c>
      <c r="SHM124" t="s">
        <v>451</v>
      </c>
      <c r="SHN124" t="s">
        <v>451</v>
      </c>
      <c r="SHO124" t="s">
        <v>451</v>
      </c>
      <c r="SHP124" t="s">
        <v>451</v>
      </c>
      <c r="SHQ124" t="s">
        <v>451</v>
      </c>
      <c r="SHR124" t="s">
        <v>451</v>
      </c>
      <c r="SHS124" t="s">
        <v>451</v>
      </c>
      <c r="SHT124" t="s">
        <v>451</v>
      </c>
      <c r="SHU124" t="s">
        <v>451</v>
      </c>
      <c r="SHV124" t="s">
        <v>451</v>
      </c>
      <c r="SHW124" t="s">
        <v>451</v>
      </c>
      <c r="SHX124" t="s">
        <v>451</v>
      </c>
      <c r="SHY124" t="s">
        <v>451</v>
      </c>
      <c r="SHZ124" t="s">
        <v>451</v>
      </c>
      <c r="SIA124" t="s">
        <v>451</v>
      </c>
      <c r="SIB124" t="s">
        <v>451</v>
      </c>
      <c r="SIC124" t="s">
        <v>451</v>
      </c>
      <c r="SID124" t="s">
        <v>451</v>
      </c>
      <c r="SIE124" t="s">
        <v>451</v>
      </c>
      <c r="SIF124" t="s">
        <v>451</v>
      </c>
      <c r="SIG124" t="s">
        <v>451</v>
      </c>
      <c r="SIH124" t="s">
        <v>451</v>
      </c>
      <c r="SII124" t="s">
        <v>451</v>
      </c>
      <c r="SIJ124" t="s">
        <v>451</v>
      </c>
      <c r="SIK124" t="s">
        <v>451</v>
      </c>
      <c r="SIL124" t="s">
        <v>451</v>
      </c>
      <c r="SIM124" t="s">
        <v>451</v>
      </c>
      <c r="SIN124" t="s">
        <v>451</v>
      </c>
      <c r="SIO124" t="s">
        <v>451</v>
      </c>
      <c r="SIP124" t="s">
        <v>451</v>
      </c>
      <c r="SIQ124" t="s">
        <v>451</v>
      </c>
      <c r="SIR124" t="s">
        <v>451</v>
      </c>
      <c r="SIS124" t="s">
        <v>451</v>
      </c>
      <c r="SIT124" t="s">
        <v>451</v>
      </c>
      <c r="SIU124" t="s">
        <v>451</v>
      </c>
      <c r="SIV124" t="s">
        <v>451</v>
      </c>
      <c r="SIW124" t="s">
        <v>451</v>
      </c>
      <c r="SIX124" t="s">
        <v>451</v>
      </c>
      <c r="SIY124" t="s">
        <v>451</v>
      </c>
      <c r="SIZ124" t="s">
        <v>451</v>
      </c>
      <c r="SJA124" t="s">
        <v>451</v>
      </c>
      <c r="SJB124" t="s">
        <v>451</v>
      </c>
      <c r="SJC124" t="s">
        <v>451</v>
      </c>
      <c r="SJD124" t="s">
        <v>451</v>
      </c>
      <c r="SJE124" t="s">
        <v>451</v>
      </c>
      <c r="SJF124" t="s">
        <v>451</v>
      </c>
      <c r="SJG124" t="s">
        <v>451</v>
      </c>
      <c r="SJH124" t="s">
        <v>451</v>
      </c>
      <c r="SJI124" t="s">
        <v>451</v>
      </c>
      <c r="SJJ124" t="s">
        <v>451</v>
      </c>
      <c r="SJK124" t="s">
        <v>451</v>
      </c>
      <c r="SJL124" t="s">
        <v>451</v>
      </c>
      <c r="SJM124" t="s">
        <v>451</v>
      </c>
      <c r="SJN124" t="s">
        <v>451</v>
      </c>
      <c r="SJO124" t="s">
        <v>451</v>
      </c>
      <c r="SJP124" t="s">
        <v>451</v>
      </c>
      <c r="SJQ124" t="s">
        <v>451</v>
      </c>
      <c r="SJR124" t="s">
        <v>451</v>
      </c>
      <c r="SJS124" t="s">
        <v>451</v>
      </c>
      <c r="SJT124" t="s">
        <v>451</v>
      </c>
      <c r="SJU124" t="s">
        <v>451</v>
      </c>
      <c r="SJV124" t="s">
        <v>451</v>
      </c>
      <c r="SJW124" t="s">
        <v>451</v>
      </c>
      <c r="SJX124" t="s">
        <v>451</v>
      </c>
      <c r="SJY124" t="s">
        <v>451</v>
      </c>
      <c r="SJZ124" t="s">
        <v>451</v>
      </c>
      <c r="SKA124" t="s">
        <v>451</v>
      </c>
      <c r="SKB124" t="s">
        <v>451</v>
      </c>
      <c r="SKC124" t="s">
        <v>451</v>
      </c>
      <c r="SKD124" t="s">
        <v>451</v>
      </c>
      <c r="SKE124" t="s">
        <v>451</v>
      </c>
      <c r="SKF124" t="s">
        <v>451</v>
      </c>
      <c r="SKG124" t="s">
        <v>451</v>
      </c>
      <c r="SKH124" t="s">
        <v>451</v>
      </c>
      <c r="SKI124" t="s">
        <v>451</v>
      </c>
      <c r="SKJ124" t="s">
        <v>451</v>
      </c>
      <c r="SKK124" t="s">
        <v>451</v>
      </c>
      <c r="SKL124" t="s">
        <v>451</v>
      </c>
      <c r="SKM124" t="s">
        <v>451</v>
      </c>
      <c r="SKN124" t="s">
        <v>451</v>
      </c>
      <c r="SKO124" t="s">
        <v>451</v>
      </c>
      <c r="SKP124" t="s">
        <v>451</v>
      </c>
      <c r="SKQ124" t="s">
        <v>451</v>
      </c>
      <c r="SKR124" t="s">
        <v>451</v>
      </c>
      <c r="SKS124" t="s">
        <v>451</v>
      </c>
      <c r="SKT124" t="s">
        <v>451</v>
      </c>
      <c r="SKU124" t="s">
        <v>451</v>
      </c>
      <c r="SKV124" t="s">
        <v>451</v>
      </c>
      <c r="SKW124" t="s">
        <v>451</v>
      </c>
      <c r="SKX124" t="s">
        <v>451</v>
      </c>
      <c r="SKY124" t="s">
        <v>451</v>
      </c>
      <c r="SKZ124" t="s">
        <v>451</v>
      </c>
      <c r="SLA124" t="s">
        <v>451</v>
      </c>
      <c r="SLB124" t="s">
        <v>451</v>
      </c>
      <c r="SLC124" t="s">
        <v>451</v>
      </c>
      <c r="SLD124" t="s">
        <v>451</v>
      </c>
      <c r="SLE124" t="s">
        <v>451</v>
      </c>
      <c r="SLF124" t="s">
        <v>451</v>
      </c>
      <c r="SLG124" t="s">
        <v>451</v>
      </c>
      <c r="SLH124" t="s">
        <v>451</v>
      </c>
      <c r="SLI124" t="s">
        <v>451</v>
      </c>
      <c r="SLJ124" t="s">
        <v>451</v>
      </c>
      <c r="SLK124" t="s">
        <v>451</v>
      </c>
      <c r="SLL124" t="s">
        <v>451</v>
      </c>
      <c r="SLM124" t="s">
        <v>451</v>
      </c>
      <c r="SLN124" t="s">
        <v>451</v>
      </c>
      <c r="SLO124" t="s">
        <v>451</v>
      </c>
      <c r="SLP124" t="s">
        <v>451</v>
      </c>
      <c r="SLQ124" t="s">
        <v>451</v>
      </c>
      <c r="SLR124" t="s">
        <v>451</v>
      </c>
      <c r="SLS124" t="s">
        <v>451</v>
      </c>
      <c r="SLT124" t="s">
        <v>451</v>
      </c>
      <c r="SLU124" t="s">
        <v>451</v>
      </c>
      <c r="SLV124" t="s">
        <v>451</v>
      </c>
      <c r="SLW124" t="s">
        <v>451</v>
      </c>
      <c r="SLX124" t="s">
        <v>451</v>
      </c>
      <c r="SLY124" t="s">
        <v>451</v>
      </c>
      <c r="SLZ124" t="s">
        <v>451</v>
      </c>
      <c r="SMA124" t="s">
        <v>451</v>
      </c>
      <c r="SMB124" t="s">
        <v>451</v>
      </c>
      <c r="SMC124" t="s">
        <v>451</v>
      </c>
      <c r="SMD124" t="s">
        <v>451</v>
      </c>
      <c r="SME124" t="s">
        <v>451</v>
      </c>
      <c r="SMF124" t="s">
        <v>451</v>
      </c>
      <c r="SMG124" t="s">
        <v>451</v>
      </c>
      <c r="SMH124" t="s">
        <v>451</v>
      </c>
      <c r="SMI124" t="s">
        <v>451</v>
      </c>
      <c r="SMJ124" t="s">
        <v>451</v>
      </c>
      <c r="SMK124" t="s">
        <v>451</v>
      </c>
      <c r="SML124" t="s">
        <v>451</v>
      </c>
      <c r="SMM124" t="s">
        <v>451</v>
      </c>
      <c r="SMN124" t="s">
        <v>451</v>
      </c>
      <c r="SMO124" t="s">
        <v>451</v>
      </c>
      <c r="SMP124" t="s">
        <v>451</v>
      </c>
      <c r="SMQ124" t="s">
        <v>451</v>
      </c>
      <c r="SMR124" t="s">
        <v>451</v>
      </c>
      <c r="SMS124" t="s">
        <v>451</v>
      </c>
      <c r="SMT124" t="s">
        <v>451</v>
      </c>
      <c r="SMU124" t="s">
        <v>451</v>
      </c>
      <c r="SMV124" t="s">
        <v>451</v>
      </c>
      <c r="SMW124" t="s">
        <v>451</v>
      </c>
      <c r="SMX124" t="s">
        <v>451</v>
      </c>
      <c r="SMY124" t="s">
        <v>451</v>
      </c>
      <c r="SMZ124" t="s">
        <v>451</v>
      </c>
      <c r="SNA124" t="s">
        <v>451</v>
      </c>
      <c r="SNB124" t="s">
        <v>451</v>
      </c>
      <c r="SNC124" t="s">
        <v>451</v>
      </c>
      <c r="SND124" t="s">
        <v>451</v>
      </c>
      <c r="SNE124" t="s">
        <v>451</v>
      </c>
      <c r="SNF124" t="s">
        <v>451</v>
      </c>
      <c r="SNG124" t="s">
        <v>451</v>
      </c>
      <c r="SNH124" t="s">
        <v>451</v>
      </c>
      <c r="SNI124" t="s">
        <v>451</v>
      </c>
      <c r="SNJ124" t="s">
        <v>451</v>
      </c>
      <c r="SNK124" t="s">
        <v>451</v>
      </c>
      <c r="SNL124" t="s">
        <v>451</v>
      </c>
      <c r="SNM124" t="s">
        <v>451</v>
      </c>
      <c r="SNN124" t="s">
        <v>451</v>
      </c>
      <c r="SNO124" t="s">
        <v>451</v>
      </c>
      <c r="SNP124" t="s">
        <v>451</v>
      </c>
      <c r="SNQ124" t="s">
        <v>451</v>
      </c>
      <c r="SNR124" t="s">
        <v>451</v>
      </c>
      <c r="SNS124" t="s">
        <v>451</v>
      </c>
      <c r="SNT124" t="s">
        <v>451</v>
      </c>
      <c r="SNU124" t="s">
        <v>451</v>
      </c>
      <c r="SNV124" t="s">
        <v>451</v>
      </c>
      <c r="SNW124" t="s">
        <v>451</v>
      </c>
      <c r="SNX124" t="s">
        <v>451</v>
      </c>
      <c r="SNY124" t="s">
        <v>451</v>
      </c>
      <c r="SNZ124" t="s">
        <v>451</v>
      </c>
      <c r="SOA124" t="s">
        <v>451</v>
      </c>
      <c r="SOB124" t="s">
        <v>451</v>
      </c>
      <c r="SOC124" t="s">
        <v>451</v>
      </c>
      <c r="SOD124" t="s">
        <v>451</v>
      </c>
      <c r="SOE124" t="s">
        <v>451</v>
      </c>
      <c r="SOF124" t="s">
        <v>451</v>
      </c>
      <c r="SOG124" t="s">
        <v>451</v>
      </c>
      <c r="SOH124" t="s">
        <v>451</v>
      </c>
      <c r="SOI124" t="s">
        <v>451</v>
      </c>
      <c r="SOJ124" t="s">
        <v>451</v>
      </c>
      <c r="SOK124" t="s">
        <v>451</v>
      </c>
      <c r="SOL124" t="s">
        <v>451</v>
      </c>
      <c r="SOM124" t="s">
        <v>451</v>
      </c>
      <c r="SON124" t="s">
        <v>451</v>
      </c>
      <c r="SOO124" t="s">
        <v>451</v>
      </c>
      <c r="SOP124" t="s">
        <v>451</v>
      </c>
      <c r="SOQ124" t="s">
        <v>451</v>
      </c>
      <c r="SOR124" t="s">
        <v>451</v>
      </c>
      <c r="SOS124" t="s">
        <v>451</v>
      </c>
      <c r="SOT124" t="s">
        <v>451</v>
      </c>
      <c r="SOU124" t="s">
        <v>451</v>
      </c>
      <c r="SOV124" t="s">
        <v>451</v>
      </c>
      <c r="SOW124" t="s">
        <v>451</v>
      </c>
      <c r="SOX124" t="s">
        <v>451</v>
      </c>
      <c r="SOY124" t="s">
        <v>451</v>
      </c>
      <c r="SOZ124" t="s">
        <v>451</v>
      </c>
      <c r="SPA124" t="s">
        <v>451</v>
      </c>
      <c r="SPB124" t="s">
        <v>451</v>
      </c>
      <c r="SPC124" t="s">
        <v>451</v>
      </c>
      <c r="SPD124" t="s">
        <v>451</v>
      </c>
      <c r="SPE124" t="s">
        <v>451</v>
      </c>
      <c r="SPF124" t="s">
        <v>451</v>
      </c>
      <c r="SPG124" t="s">
        <v>451</v>
      </c>
      <c r="SPH124" t="s">
        <v>451</v>
      </c>
      <c r="SPI124" t="s">
        <v>451</v>
      </c>
      <c r="SPJ124" t="s">
        <v>451</v>
      </c>
      <c r="SPK124" t="s">
        <v>451</v>
      </c>
      <c r="SPL124" t="s">
        <v>451</v>
      </c>
      <c r="SPM124" t="s">
        <v>451</v>
      </c>
      <c r="SPN124" t="s">
        <v>451</v>
      </c>
      <c r="SPO124" t="s">
        <v>451</v>
      </c>
      <c r="SPP124" t="s">
        <v>451</v>
      </c>
      <c r="SPQ124" t="s">
        <v>451</v>
      </c>
      <c r="SPR124" t="s">
        <v>451</v>
      </c>
      <c r="SPS124" t="s">
        <v>451</v>
      </c>
      <c r="SPT124" t="s">
        <v>451</v>
      </c>
      <c r="SPU124" t="s">
        <v>451</v>
      </c>
      <c r="SPV124" t="s">
        <v>451</v>
      </c>
      <c r="SPW124" t="s">
        <v>451</v>
      </c>
      <c r="SPX124" t="s">
        <v>451</v>
      </c>
      <c r="SPY124" t="s">
        <v>451</v>
      </c>
      <c r="SPZ124" t="s">
        <v>451</v>
      </c>
      <c r="SQA124" t="s">
        <v>451</v>
      </c>
      <c r="SQB124" t="s">
        <v>451</v>
      </c>
      <c r="SQC124" t="s">
        <v>451</v>
      </c>
      <c r="SQD124" t="s">
        <v>451</v>
      </c>
      <c r="SQE124" t="s">
        <v>451</v>
      </c>
      <c r="SQF124" t="s">
        <v>451</v>
      </c>
      <c r="SQG124" t="s">
        <v>451</v>
      </c>
      <c r="SQH124" t="s">
        <v>451</v>
      </c>
      <c r="SQI124" t="s">
        <v>451</v>
      </c>
      <c r="SQJ124" t="s">
        <v>451</v>
      </c>
      <c r="SQK124" t="s">
        <v>451</v>
      </c>
      <c r="SQL124" t="s">
        <v>451</v>
      </c>
      <c r="SQM124" t="s">
        <v>451</v>
      </c>
      <c r="SQN124" t="s">
        <v>451</v>
      </c>
      <c r="SQO124" t="s">
        <v>451</v>
      </c>
      <c r="SQP124" t="s">
        <v>451</v>
      </c>
      <c r="SQQ124" t="s">
        <v>451</v>
      </c>
      <c r="SQR124" t="s">
        <v>451</v>
      </c>
      <c r="SQS124" t="s">
        <v>451</v>
      </c>
      <c r="SQT124" t="s">
        <v>451</v>
      </c>
      <c r="SQU124" t="s">
        <v>451</v>
      </c>
      <c r="SQV124" t="s">
        <v>451</v>
      </c>
      <c r="SQW124" t="s">
        <v>451</v>
      </c>
      <c r="SQX124" t="s">
        <v>451</v>
      </c>
      <c r="SQY124" t="s">
        <v>451</v>
      </c>
      <c r="SQZ124" t="s">
        <v>451</v>
      </c>
      <c r="SRA124" t="s">
        <v>451</v>
      </c>
      <c r="SRB124" t="s">
        <v>451</v>
      </c>
      <c r="SRC124" t="s">
        <v>451</v>
      </c>
      <c r="SRD124" t="s">
        <v>451</v>
      </c>
      <c r="SRE124" t="s">
        <v>451</v>
      </c>
      <c r="SRF124" t="s">
        <v>451</v>
      </c>
      <c r="SRG124" t="s">
        <v>451</v>
      </c>
      <c r="SRH124" t="s">
        <v>451</v>
      </c>
      <c r="SRI124" t="s">
        <v>451</v>
      </c>
      <c r="SRJ124" t="s">
        <v>451</v>
      </c>
      <c r="SRK124" t="s">
        <v>451</v>
      </c>
      <c r="SRL124" t="s">
        <v>451</v>
      </c>
      <c r="SRM124" t="s">
        <v>451</v>
      </c>
      <c r="SRN124" t="s">
        <v>451</v>
      </c>
      <c r="SRO124" t="s">
        <v>451</v>
      </c>
      <c r="SRP124" t="s">
        <v>451</v>
      </c>
      <c r="SRQ124" t="s">
        <v>451</v>
      </c>
      <c r="SRR124" t="s">
        <v>451</v>
      </c>
      <c r="SRS124" t="s">
        <v>451</v>
      </c>
      <c r="SRT124" t="s">
        <v>451</v>
      </c>
      <c r="SRU124" t="s">
        <v>451</v>
      </c>
      <c r="SRV124" t="s">
        <v>451</v>
      </c>
      <c r="SRW124" t="s">
        <v>451</v>
      </c>
      <c r="SRX124" t="s">
        <v>451</v>
      </c>
      <c r="SRY124" t="s">
        <v>451</v>
      </c>
      <c r="SRZ124" t="s">
        <v>451</v>
      </c>
      <c r="SSA124" t="s">
        <v>451</v>
      </c>
      <c r="SSB124" t="s">
        <v>451</v>
      </c>
      <c r="SSC124" t="s">
        <v>451</v>
      </c>
      <c r="SSD124" t="s">
        <v>451</v>
      </c>
      <c r="SSE124" t="s">
        <v>451</v>
      </c>
      <c r="SSF124" t="s">
        <v>451</v>
      </c>
      <c r="SSG124" t="s">
        <v>451</v>
      </c>
      <c r="SSH124" t="s">
        <v>451</v>
      </c>
      <c r="SSI124" t="s">
        <v>451</v>
      </c>
      <c r="SSJ124" t="s">
        <v>451</v>
      </c>
      <c r="SSK124" t="s">
        <v>451</v>
      </c>
      <c r="SSL124" t="s">
        <v>451</v>
      </c>
      <c r="SSM124" t="s">
        <v>451</v>
      </c>
      <c r="SSN124" t="s">
        <v>451</v>
      </c>
      <c r="SSO124" t="s">
        <v>451</v>
      </c>
      <c r="SSP124" t="s">
        <v>451</v>
      </c>
      <c r="SSQ124" t="s">
        <v>451</v>
      </c>
      <c r="SSR124" t="s">
        <v>451</v>
      </c>
      <c r="SSS124" t="s">
        <v>451</v>
      </c>
      <c r="SST124" t="s">
        <v>451</v>
      </c>
      <c r="SSU124" t="s">
        <v>451</v>
      </c>
      <c r="SSV124" t="s">
        <v>451</v>
      </c>
      <c r="SSW124" t="s">
        <v>451</v>
      </c>
      <c r="SSX124" t="s">
        <v>451</v>
      </c>
      <c r="SSY124" t="s">
        <v>451</v>
      </c>
      <c r="SSZ124" t="s">
        <v>451</v>
      </c>
      <c r="STA124" t="s">
        <v>451</v>
      </c>
      <c r="STB124" t="s">
        <v>451</v>
      </c>
      <c r="STC124" t="s">
        <v>451</v>
      </c>
      <c r="STD124" t="s">
        <v>451</v>
      </c>
      <c r="STE124" t="s">
        <v>451</v>
      </c>
      <c r="STF124" t="s">
        <v>451</v>
      </c>
      <c r="STG124" t="s">
        <v>451</v>
      </c>
      <c r="STH124" t="s">
        <v>451</v>
      </c>
      <c r="STI124" t="s">
        <v>451</v>
      </c>
      <c r="STJ124" t="s">
        <v>451</v>
      </c>
      <c r="STK124" t="s">
        <v>451</v>
      </c>
      <c r="STL124" t="s">
        <v>451</v>
      </c>
      <c r="STM124" t="s">
        <v>451</v>
      </c>
      <c r="STN124" t="s">
        <v>451</v>
      </c>
      <c r="STO124" t="s">
        <v>451</v>
      </c>
      <c r="STP124" t="s">
        <v>451</v>
      </c>
      <c r="STQ124" t="s">
        <v>451</v>
      </c>
      <c r="STR124" t="s">
        <v>451</v>
      </c>
      <c r="STS124" t="s">
        <v>451</v>
      </c>
      <c r="STT124" t="s">
        <v>451</v>
      </c>
      <c r="STU124" t="s">
        <v>451</v>
      </c>
      <c r="STV124" t="s">
        <v>451</v>
      </c>
      <c r="STW124" t="s">
        <v>451</v>
      </c>
      <c r="STX124" t="s">
        <v>451</v>
      </c>
      <c r="STY124" t="s">
        <v>451</v>
      </c>
      <c r="STZ124" t="s">
        <v>451</v>
      </c>
      <c r="SUA124" t="s">
        <v>451</v>
      </c>
      <c r="SUB124" t="s">
        <v>451</v>
      </c>
      <c r="SUC124" t="s">
        <v>451</v>
      </c>
      <c r="SUD124" t="s">
        <v>451</v>
      </c>
      <c r="SUE124" t="s">
        <v>451</v>
      </c>
      <c r="SUF124" t="s">
        <v>451</v>
      </c>
      <c r="SUG124" t="s">
        <v>451</v>
      </c>
      <c r="SUH124" t="s">
        <v>451</v>
      </c>
      <c r="SUI124" t="s">
        <v>451</v>
      </c>
      <c r="SUJ124" t="s">
        <v>451</v>
      </c>
      <c r="SUK124" t="s">
        <v>451</v>
      </c>
      <c r="SUL124" t="s">
        <v>451</v>
      </c>
      <c r="SUM124" t="s">
        <v>451</v>
      </c>
      <c r="SUN124" t="s">
        <v>451</v>
      </c>
      <c r="SUO124" t="s">
        <v>451</v>
      </c>
      <c r="SUP124" t="s">
        <v>451</v>
      </c>
      <c r="SUQ124" t="s">
        <v>451</v>
      </c>
      <c r="SUR124" t="s">
        <v>451</v>
      </c>
      <c r="SUS124" t="s">
        <v>451</v>
      </c>
      <c r="SUT124" t="s">
        <v>451</v>
      </c>
      <c r="SUU124" t="s">
        <v>451</v>
      </c>
      <c r="SUV124" t="s">
        <v>451</v>
      </c>
      <c r="SUW124" t="s">
        <v>451</v>
      </c>
      <c r="SUX124" t="s">
        <v>451</v>
      </c>
      <c r="SUY124" t="s">
        <v>451</v>
      </c>
      <c r="SUZ124" t="s">
        <v>451</v>
      </c>
      <c r="SVA124" t="s">
        <v>451</v>
      </c>
      <c r="SVB124" t="s">
        <v>451</v>
      </c>
      <c r="SVC124" t="s">
        <v>451</v>
      </c>
      <c r="SVD124" t="s">
        <v>451</v>
      </c>
      <c r="SVE124" t="s">
        <v>451</v>
      </c>
      <c r="SVF124" t="s">
        <v>451</v>
      </c>
      <c r="SVG124" t="s">
        <v>451</v>
      </c>
      <c r="SVH124" t="s">
        <v>451</v>
      </c>
      <c r="SVI124" t="s">
        <v>451</v>
      </c>
      <c r="SVJ124" t="s">
        <v>451</v>
      </c>
      <c r="SVK124" t="s">
        <v>451</v>
      </c>
      <c r="SVL124" t="s">
        <v>451</v>
      </c>
      <c r="SVM124" t="s">
        <v>451</v>
      </c>
      <c r="SVN124" t="s">
        <v>451</v>
      </c>
      <c r="SVO124" t="s">
        <v>451</v>
      </c>
      <c r="SVP124" t="s">
        <v>451</v>
      </c>
      <c r="SVQ124" t="s">
        <v>451</v>
      </c>
      <c r="SVR124" t="s">
        <v>451</v>
      </c>
      <c r="SVS124" t="s">
        <v>451</v>
      </c>
      <c r="SVT124" t="s">
        <v>451</v>
      </c>
      <c r="SVU124" t="s">
        <v>451</v>
      </c>
      <c r="SVV124" t="s">
        <v>451</v>
      </c>
      <c r="SVW124" t="s">
        <v>451</v>
      </c>
      <c r="SVX124" t="s">
        <v>451</v>
      </c>
      <c r="SVY124" t="s">
        <v>451</v>
      </c>
      <c r="SVZ124" t="s">
        <v>451</v>
      </c>
      <c r="SWA124" t="s">
        <v>451</v>
      </c>
      <c r="SWB124" t="s">
        <v>451</v>
      </c>
      <c r="SWC124" t="s">
        <v>451</v>
      </c>
      <c r="SWD124" t="s">
        <v>451</v>
      </c>
      <c r="SWE124" t="s">
        <v>451</v>
      </c>
      <c r="SWF124" t="s">
        <v>451</v>
      </c>
      <c r="SWG124" t="s">
        <v>451</v>
      </c>
      <c r="SWH124" t="s">
        <v>451</v>
      </c>
      <c r="SWI124" t="s">
        <v>451</v>
      </c>
      <c r="SWJ124" t="s">
        <v>451</v>
      </c>
      <c r="SWK124" t="s">
        <v>451</v>
      </c>
      <c r="SWL124" t="s">
        <v>451</v>
      </c>
      <c r="SWM124" t="s">
        <v>451</v>
      </c>
      <c r="SWN124" t="s">
        <v>451</v>
      </c>
      <c r="SWO124" t="s">
        <v>451</v>
      </c>
      <c r="SWP124" t="s">
        <v>451</v>
      </c>
      <c r="SWQ124" t="s">
        <v>451</v>
      </c>
      <c r="SWR124" t="s">
        <v>451</v>
      </c>
      <c r="SWS124" t="s">
        <v>451</v>
      </c>
      <c r="SWT124" t="s">
        <v>451</v>
      </c>
      <c r="SWU124" t="s">
        <v>451</v>
      </c>
      <c r="SWV124" t="s">
        <v>451</v>
      </c>
      <c r="SWW124" t="s">
        <v>451</v>
      </c>
      <c r="SWX124" t="s">
        <v>451</v>
      </c>
      <c r="SWY124" t="s">
        <v>451</v>
      </c>
      <c r="SWZ124" t="s">
        <v>451</v>
      </c>
      <c r="SXA124" t="s">
        <v>451</v>
      </c>
      <c r="SXB124" t="s">
        <v>451</v>
      </c>
      <c r="SXC124" t="s">
        <v>451</v>
      </c>
      <c r="SXD124" t="s">
        <v>451</v>
      </c>
      <c r="SXE124" t="s">
        <v>451</v>
      </c>
      <c r="SXF124" t="s">
        <v>451</v>
      </c>
      <c r="SXG124" t="s">
        <v>451</v>
      </c>
      <c r="SXH124" t="s">
        <v>451</v>
      </c>
      <c r="SXI124" t="s">
        <v>451</v>
      </c>
      <c r="SXJ124" t="s">
        <v>451</v>
      </c>
      <c r="SXK124" t="s">
        <v>451</v>
      </c>
      <c r="SXL124" t="s">
        <v>451</v>
      </c>
      <c r="SXM124" t="s">
        <v>451</v>
      </c>
      <c r="SXN124" t="s">
        <v>451</v>
      </c>
      <c r="SXO124" t="s">
        <v>451</v>
      </c>
      <c r="SXP124" t="s">
        <v>451</v>
      </c>
      <c r="SXQ124" t="s">
        <v>451</v>
      </c>
      <c r="SXR124" t="s">
        <v>451</v>
      </c>
      <c r="SXS124" t="s">
        <v>451</v>
      </c>
      <c r="SXT124" t="s">
        <v>451</v>
      </c>
      <c r="SXU124" t="s">
        <v>451</v>
      </c>
      <c r="SXV124" t="s">
        <v>451</v>
      </c>
      <c r="SXW124" t="s">
        <v>451</v>
      </c>
      <c r="SXX124" t="s">
        <v>451</v>
      </c>
      <c r="SXY124" t="s">
        <v>451</v>
      </c>
      <c r="SXZ124" t="s">
        <v>451</v>
      </c>
      <c r="SYA124" t="s">
        <v>451</v>
      </c>
      <c r="SYB124" t="s">
        <v>451</v>
      </c>
      <c r="SYC124" t="s">
        <v>451</v>
      </c>
      <c r="SYD124" t="s">
        <v>451</v>
      </c>
      <c r="SYE124" t="s">
        <v>451</v>
      </c>
      <c r="SYF124" t="s">
        <v>451</v>
      </c>
      <c r="SYG124" t="s">
        <v>451</v>
      </c>
      <c r="SYH124" t="s">
        <v>451</v>
      </c>
      <c r="SYI124" t="s">
        <v>451</v>
      </c>
      <c r="SYJ124" t="s">
        <v>451</v>
      </c>
      <c r="SYK124" t="s">
        <v>451</v>
      </c>
      <c r="SYL124" t="s">
        <v>451</v>
      </c>
      <c r="SYM124" t="s">
        <v>451</v>
      </c>
      <c r="SYN124" t="s">
        <v>451</v>
      </c>
      <c r="SYO124" t="s">
        <v>451</v>
      </c>
      <c r="SYP124" t="s">
        <v>451</v>
      </c>
      <c r="SYQ124" t="s">
        <v>451</v>
      </c>
      <c r="SYR124" t="s">
        <v>451</v>
      </c>
      <c r="SYS124" t="s">
        <v>451</v>
      </c>
      <c r="SYT124" t="s">
        <v>451</v>
      </c>
      <c r="SYU124" t="s">
        <v>451</v>
      </c>
      <c r="SYV124" t="s">
        <v>451</v>
      </c>
      <c r="SYW124" t="s">
        <v>451</v>
      </c>
      <c r="SYX124" t="s">
        <v>451</v>
      </c>
      <c r="SYY124" t="s">
        <v>451</v>
      </c>
      <c r="SYZ124" t="s">
        <v>451</v>
      </c>
      <c r="SZA124" t="s">
        <v>451</v>
      </c>
      <c r="SZB124" t="s">
        <v>451</v>
      </c>
      <c r="SZC124" t="s">
        <v>451</v>
      </c>
      <c r="SZD124" t="s">
        <v>451</v>
      </c>
      <c r="SZE124" t="s">
        <v>451</v>
      </c>
      <c r="SZF124" t="s">
        <v>451</v>
      </c>
      <c r="SZG124" t="s">
        <v>451</v>
      </c>
      <c r="SZH124" t="s">
        <v>451</v>
      </c>
      <c r="SZI124" t="s">
        <v>451</v>
      </c>
      <c r="SZJ124" t="s">
        <v>451</v>
      </c>
      <c r="SZK124" t="s">
        <v>451</v>
      </c>
      <c r="SZL124" t="s">
        <v>451</v>
      </c>
      <c r="SZM124" t="s">
        <v>451</v>
      </c>
      <c r="SZN124" t="s">
        <v>451</v>
      </c>
      <c r="SZO124" t="s">
        <v>451</v>
      </c>
      <c r="SZP124" t="s">
        <v>451</v>
      </c>
      <c r="SZQ124" t="s">
        <v>451</v>
      </c>
      <c r="SZR124" t="s">
        <v>451</v>
      </c>
      <c r="SZS124" t="s">
        <v>451</v>
      </c>
      <c r="SZT124" t="s">
        <v>451</v>
      </c>
      <c r="SZU124" t="s">
        <v>451</v>
      </c>
      <c r="SZV124" t="s">
        <v>451</v>
      </c>
      <c r="SZW124" t="s">
        <v>451</v>
      </c>
      <c r="SZX124" t="s">
        <v>451</v>
      </c>
      <c r="SZY124" t="s">
        <v>451</v>
      </c>
      <c r="SZZ124" t="s">
        <v>451</v>
      </c>
      <c r="TAA124" t="s">
        <v>451</v>
      </c>
      <c r="TAB124" t="s">
        <v>451</v>
      </c>
      <c r="TAC124" t="s">
        <v>451</v>
      </c>
      <c r="TAD124" t="s">
        <v>451</v>
      </c>
      <c r="TAE124" t="s">
        <v>451</v>
      </c>
      <c r="TAF124" t="s">
        <v>451</v>
      </c>
      <c r="TAG124" t="s">
        <v>451</v>
      </c>
      <c r="TAH124" t="s">
        <v>451</v>
      </c>
      <c r="TAI124" t="s">
        <v>451</v>
      </c>
      <c r="TAJ124" t="s">
        <v>451</v>
      </c>
      <c r="TAK124" t="s">
        <v>451</v>
      </c>
      <c r="TAL124" t="s">
        <v>451</v>
      </c>
      <c r="TAM124" t="s">
        <v>451</v>
      </c>
      <c r="TAN124" t="s">
        <v>451</v>
      </c>
      <c r="TAO124" t="s">
        <v>451</v>
      </c>
      <c r="TAP124" t="s">
        <v>451</v>
      </c>
      <c r="TAQ124" t="s">
        <v>451</v>
      </c>
      <c r="TAR124" t="s">
        <v>451</v>
      </c>
      <c r="TAS124" t="s">
        <v>451</v>
      </c>
      <c r="TAT124" t="s">
        <v>451</v>
      </c>
      <c r="TAU124" t="s">
        <v>451</v>
      </c>
      <c r="TAV124" t="s">
        <v>451</v>
      </c>
      <c r="TAW124" t="s">
        <v>451</v>
      </c>
      <c r="TAX124" t="s">
        <v>451</v>
      </c>
      <c r="TAY124" t="s">
        <v>451</v>
      </c>
      <c r="TAZ124" t="s">
        <v>451</v>
      </c>
      <c r="TBA124" t="s">
        <v>451</v>
      </c>
      <c r="TBB124" t="s">
        <v>451</v>
      </c>
      <c r="TBC124" t="s">
        <v>451</v>
      </c>
      <c r="TBD124" t="s">
        <v>451</v>
      </c>
      <c r="TBE124" t="s">
        <v>451</v>
      </c>
      <c r="TBF124" t="s">
        <v>451</v>
      </c>
      <c r="TBG124" t="s">
        <v>451</v>
      </c>
      <c r="TBH124" t="s">
        <v>451</v>
      </c>
      <c r="TBI124" t="s">
        <v>451</v>
      </c>
      <c r="TBJ124" t="s">
        <v>451</v>
      </c>
      <c r="TBK124" t="s">
        <v>451</v>
      </c>
      <c r="TBL124" t="s">
        <v>451</v>
      </c>
      <c r="TBM124" t="s">
        <v>451</v>
      </c>
      <c r="TBN124" t="s">
        <v>451</v>
      </c>
      <c r="TBO124" t="s">
        <v>451</v>
      </c>
      <c r="TBP124" t="s">
        <v>451</v>
      </c>
      <c r="TBQ124" t="s">
        <v>451</v>
      </c>
      <c r="TBR124" t="s">
        <v>451</v>
      </c>
      <c r="TBS124" t="s">
        <v>451</v>
      </c>
      <c r="TBT124" t="s">
        <v>451</v>
      </c>
      <c r="TBU124" t="s">
        <v>451</v>
      </c>
      <c r="TBV124" t="s">
        <v>451</v>
      </c>
      <c r="TBW124" t="s">
        <v>451</v>
      </c>
      <c r="TBX124" t="s">
        <v>451</v>
      </c>
      <c r="TBY124" t="s">
        <v>451</v>
      </c>
      <c r="TBZ124" t="s">
        <v>451</v>
      </c>
      <c r="TCA124" t="s">
        <v>451</v>
      </c>
      <c r="TCB124" t="s">
        <v>451</v>
      </c>
      <c r="TCC124" t="s">
        <v>451</v>
      </c>
      <c r="TCD124" t="s">
        <v>451</v>
      </c>
      <c r="TCE124" t="s">
        <v>451</v>
      </c>
      <c r="TCF124" t="s">
        <v>451</v>
      </c>
      <c r="TCG124" t="s">
        <v>451</v>
      </c>
      <c r="TCH124" t="s">
        <v>451</v>
      </c>
      <c r="TCI124" t="s">
        <v>451</v>
      </c>
      <c r="TCJ124" t="s">
        <v>451</v>
      </c>
      <c r="TCK124" t="s">
        <v>451</v>
      </c>
      <c r="TCL124" t="s">
        <v>451</v>
      </c>
      <c r="TCM124" t="s">
        <v>451</v>
      </c>
      <c r="TCN124" t="s">
        <v>451</v>
      </c>
      <c r="TCO124" t="s">
        <v>451</v>
      </c>
      <c r="TCP124" t="s">
        <v>451</v>
      </c>
      <c r="TCQ124" t="s">
        <v>451</v>
      </c>
      <c r="TCR124" t="s">
        <v>451</v>
      </c>
      <c r="TCS124" t="s">
        <v>451</v>
      </c>
      <c r="TCT124" t="s">
        <v>451</v>
      </c>
      <c r="TCU124" t="s">
        <v>451</v>
      </c>
      <c r="TCV124" t="s">
        <v>451</v>
      </c>
      <c r="TCW124" t="s">
        <v>451</v>
      </c>
      <c r="TCX124" t="s">
        <v>451</v>
      </c>
      <c r="TCY124" t="s">
        <v>451</v>
      </c>
      <c r="TCZ124" t="s">
        <v>451</v>
      </c>
      <c r="TDA124" t="s">
        <v>451</v>
      </c>
      <c r="TDB124" t="s">
        <v>451</v>
      </c>
      <c r="TDC124" t="s">
        <v>451</v>
      </c>
      <c r="TDD124" t="s">
        <v>451</v>
      </c>
      <c r="TDE124" t="s">
        <v>451</v>
      </c>
      <c r="TDF124" t="s">
        <v>451</v>
      </c>
      <c r="TDG124" t="s">
        <v>451</v>
      </c>
      <c r="TDH124" t="s">
        <v>451</v>
      </c>
      <c r="TDI124" t="s">
        <v>451</v>
      </c>
      <c r="TDJ124" t="s">
        <v>451</v>
      </c>
      <c r="TDK124" t="s">
        <v>451</v>
      </c>
      <c r="TDL124" t="s">
        <v>451</v>
      </c>
      <c r="TDM124" t="s">
        <v>451</v>
      </c>
      <c r="TDN124" t="s">
        <v>451</v>
      </c>
      <c r="TDO124" t="s">
        <v>451</v>
      </c>
      <c r="TDP124" t="s">
        <v>451</v>
      </c>
      <c r="TDQ124" t="s">
        <v>451</v>
      </c>
      <c r="TDR124" t="s">
        <v>451</v>
      </c>
      <c r="TDS124" t="s">
        <v>451</v>
      </c>
      <c r="TDT124" t="s">
        <v>451</v>
      </c>
      <c r="TDU124" t="s">
        <v>451</v>
      </c>
      <c r="TDV124" t="s">
        <v>451</v>
      </c>
      <c r="TDW124" t="s">
        <v>451</v>
      </c>
      <c r="TDX124" t="s">
        <v>451</v>
      </c>
      <c r="TDY124" t="s">
        <v>451</v>
      </c>
      <c r="TDZ124" t="s">
        <v>451</v>
      </c>
      <c r="TEA124" t="s">
        <v>451</v>
      </c>
      <c r="TEB124" t="s">
        <v>451</v>
      </c>
      <c r="TEC124" t="s">
        <v>451</v>
      </c>
      <c r="TED124" t="s">
        <v>451</v>
      </c>
      <c r="TEE124" t="s">
        <v>451</v>
      </c>
      <c r="TEF124" t="s">
        <v>451</v>
      </c>
      <c r="TEG124" t="s">
        <v>451</v>
      </c>
      <c r="TEH124" t="s">
        <v>451</v>
      </c>
      <c r="TEI124" t="s">
        <v>451</v>
      </c>
      <c r="TEJ124" t="s">
        <v>451</v>
      </c>
      <c r="TEK124" t="s">
        <v>451</v>
      </c>
      <c r="TEL124" t="s">
        <v>451</v>
      </c>
      <c r="TEM124" t="s">
        <v>451</v>
      </c>
      <c r="TEN124" t="s">
        <v>451</v>
      </c>
      <c r="TEO124" t="s">
        <v>451</v>
      </c>
      <c r="TEP124" t="s">
        <v>451</v>
      </c>
      <c r="TEQ124" t="s">
        <v>451</v>
      </c>
      <c r="TER124" t="s">
        <v>451</v>
      </c>
      <c r="TES124" t="s">
        <v>451</v>
      </c>
      <c r="TET124" t="s">
        <v>451</v>
      </c>
      <c r="TEU124" t="s">
        <v>451</v>
      </c>
      <c r="TEV124" t="s">
        <v>451</v>
      </c>
      <c r="TEW124" t="s">
        <v>451</v>
      </c>
      <c r="TEX124" t="s">
        <v>451</v>
      </c>
      <c r="TEY124" t="s">
        <v>451</v>
      </c>
      <c r="TEZ124" t="s">
        <v>451</v>
      </c>
      <c r="TFA124" t="s">
        <v>451</v>
      </c>
      <c r="TFB124" t="s">
        <v>451</v>
      </c>
      <c r="TFC124" t="s">
        <v>451</v>
      </c>
      <c r="TFD124" t="s">
        <v>451</v>
      </c>
      <c r="TFE124" t="s">
        <v>451</v>
      </c>
      <c r="TFF124" t="s">
        <v>451</v>
      </c>
      <c r="TFG124" t="s">
        <v>451</v>
      </c>
      <c r="TFH124" t="s">
        <v>451</v>
      </c>
      <c r="TFI124" t="s">
        <v>451</v>
      </c>
      <c r="TFJ124" t="s">
        <v>451</v>
      </c>
      <c r="TFK124" t="s">
        <v>451</v>
      </c>
      <c r="TFL124" t="s">
        <v>451</v>
      </c>
      <c r="TFM124" t="s">
        <v>451</v>
      </c>
      <c r="TFN124" t="s">
        <v>451</v>
      </c>
      <c r="TFO124" t="s">
        <v>451</v>
      </c>
      <c r="TFP124" t="s">
        <v>451</v>
      </c>
      <c r="TFQ124" t="s">
        <v>451</v>
      </c>
      <c r="TFR124" t="s">
        <v>451</v>
      </c>
      <c r="TFS124" t="s">
        <v>451</v>
      </c>
      <c r="TFT124" t="s">
        <v>451</v>
      </c>
      <c r="TFU124" t="s">
        <v>451</v>
      </c>
      <c r="TFV124" t="s">
        <v>451</v>
      </c>
      <c r="TFW124" t="s">
        <v>451</v>
      </c>
      <c r="TFX124" t="s">
        <v>451</v>
      </c>
      <c r="TFY124" t="s">
        <v>451</v>
      </c>
      <c r="TFZ124" t="s">
        <v>451</v>
      </c>
      <c r="TGA124" t="s">
        <v>451</v>
      </c>
      <c r="TGB124" t="s">
        <v>451</v>
      </c>
      <c r="TGC124" t="s">
        <v>451</v>
      </c>
      <c r="TGD124" t="s">
        <v>451</v>
      </c>
      <c r="TGE124" t="s">
        <v>451</v>
      </c>
      <c r="TGF124" t="s">
        <v>451</v>
      </c>
      <c r="TGG124" t="s">
        <v>451</v>
      </c>
      <c r="TGH124" t="s">
        <v>451</v>
      </c>
      <c r="TGI124" t="s">
        <v>451</v>
      </c>
      <c r="TGJ124" t="s">
        <v>451</v>
      </c>
      <c r="TGK124" t="s">
        <v>451</v>
      </c>
      <c r="TGL124" t="s">
        <v>451</v>
      </c>
      <c r="TGM124" t="s">
        <v>451</v>
      </c>
      <c r="TGN124" t="s">
        <v>451</v>
      </c>
      <c r="TGO124" t="s">
        <v>451</v>
      </c>
      <c r="TGP124" t="s">
        <v>451</v>
      </c>
      <c r="TGQ124" t="s">
        <v>451</v>
      </c>
      <c r="TGR124" t="s">
        <v>451</v>
      </c>
      <c r="TGS124" t="s">
        <v>451</v>
      </c>
      <c r="TGT124" t="s">
        <v>451</v>
      </c>
      <c r="TGU124" t="s">
        <v>451</v>
      </c>
      <c r="TGV124" t="s">
        <v>451</v>
      </c>
      <c r="TGW124" t="s">
        <v>451</v>
      </c>
      <c r="TGX124" t="s">
        <v>451</v>
      </c>
      <c r="TGY124" t="s">
        <v>451</v>
      </c>
      <c r="TGZ124" t="s">
        <v>451</v>
      </c>
      <c r="THA124" t="s">
        <v>451</v>
      </c>
      <c r="THB124" t="s">
        <v>451</v>
      </c>
      <c r="THC124" t="s">
        <v>451</v>
      </c>
      <c r="THD124" t="s">
        <v>451</v>
      </c>
      <c r="THE124" t="s">
        <v>451</v>
      </c>
      <c r="THF124" t="s">
        <v>451</v>
      </c>
      <c r="THG124" t="s">
        <v>451</v>
      </c>
      <c r="THH124" t="s">
        <v>451</v>
      </c>
      <c r="THI124" t="s">
        <v>451</v>
      </c>
      <c r="THJ124" t="s">
        <v>451</v>
      </c>
      <c r="THK124" t="s">
        <v>451</v>
      </c>
      <c r="THL124" t="s">
        <v>451</v>
      </c>
      <c r="THM124" t="s">
        <v>451</v>
      </c>
      <c r="THN124" t="s">
        <v>451</v>
      </c>
      <c r="THO124" t="s">
        <v>451</v>
      </c>
      <c r="THP124" t="s">
        <v>451</v>
      </c>
      <c r="THQ124" t="s">
        <v>451</v>
      </c>
      <c r="THR124" t="s">
        <v>451</v>
      </c>
      <c r="THS124" t="s">
        <v>451</v>
      </c>
      <c r="THT124" t="s">
        <v>451</v>
      </c>
      <c r="THU124" t="s">
        <v>451</v>
      </c>
      <c r="THV124" t="s">
        <v>451</v>
      </c>
      <c r="THW124" t="s">
        <v>451</v>
      </c>
      <c r="THX124" t="s">
        <v>451</v>
      </c>
      <c r="THY124" t="s">
        <v>451</v>
      </c>
      <c r="THZ124" t="s">
        <v>451</v>
      </c>
      <c r="TIA124" t="s">
        <v>451</v>
      </c>
      <c r="TIB124" t="s">
        <v>451</v>
      </c>
      <c r="TIC124" t="s">
        <v>451</v>
      </c>
      <c r="TID124" t="s">
        <v>451</v>
      </c>
      <c r="TIE124" t="s">
        <v>451</v>
      </c>
      <c r="TIF124" t="s">
        <v>451</v>
      </c>
      <c r="TIG124" t="s">
        <v>451</v>
      </c>
      <c r="TIH124" t="s">
        <v>451</v>
      </c>
      <c r="TII124" t="s">
        <v>451</v>
      </c>
      <c r="TIJ124" t="s">
        <v>451</v>
      </c>
      <c r="TIK124" t="s">
        <v>451</v>
      </c>
      <c r="TIL124" t="s">
        <v>451</v>
      </c>
      <c r="TIM124" t="s">
        <v>451</v>
      </c>
      <c r="TIN124" t="s">
        <v>451</v>
      </c>
      <c r="TIO124" t="s">
        <v>451</v>
      </c>
      <c r="TIP124" t="s">
        <v>451</v>
      </c>
      <c r="TIQ124" t="s">
        <v>451</v>
      </c>
      <c r="TIR124" t="s">
        <v>451</v>
      </c>
      <c r="TIS124" t="s">
        <v>451</v>
      </c>
      <c r="TIT124" t="s">
        <v>451</v>
      </c>
      <c r="TIU124" t="s">
        <v>451</v>
      </c>
      <c r="TIV124" t="s">
        <v>451</v>
      </c>
      <c r="TIW124" t="s">
        <v>451</v>
      </c>
      <c r="TIX124" t="s">
        <v>451</v>
      </c>
      <c r="TIY124" t="s">
        <v>451</v>
      </c>
      <c r="TIZ124" t="s">
        <v>451</v>
      </c>
      <c r="TJA124" t="s">
        <v>451</v>
      </c>
      <c r="TJB124" t="s">
        <v>451</v>
      </c>
      <c r="TJC124" t="s">
        <v>451</v>
      </c>
      <c r="TJD124" t="s">
        <v>451</v>
      </c>
      <c r="TJE124" t="s">
        <v>451</v>
      </c>
      <c r="TJF124" t="s">
        <v>451</v>
      </c>
      <c r="TJG124" t="s">
        <v>451</v>
      </c>
      <c r="TJH124" t="s">
        <v>451</v>
      </c>
      <c r="TJI124" t="s">
        <v>451</v>
      </c>
      <c r="TJJ124" t="s">
        <v>451</v>
      </c>
      <c r="TJK124" t="s">
        <v>451</v>
      </c>
      <c r="TJL124" t="s">
        <v>451</v>
      </c>
      <c r="TJM124" t="s">
        <v>451</v>
      </c>
      <c r="TJN124" t="s">
        <v>451</v>
      </c>
      <c r="TJO124" t="s">
        <v>451</v>
      </c>
      <c r="TJP124" t="s">
        <v>451</v>
      </c>
      <c r="TJQ124" t="s">
        <v>451</v>
      </c>
      <c r="TJR124" t="s">
        <v>451</v>
      </c>
      <c r="TJS124" t="s">
        <v>451</v>
      </c>
      <c r="TJT124" t="s">
        <v>451</v>
      </c>
      <c r="TJU124" t="s">
        <v>451</v>
      </c>
      <c r="TJV124" t="s">
        <v>451</v>
      </c>
      <c r="TJW124" t="s">
        <v>451</v>
      </c>
      <c r="TJX124" t="s">
        <v>451</v>
      </c>
      <c r="TJY124" t="s">
        <v>451</v>
      </c>
      <c r="TJZ124" t="s">
        <v>451</v>
      </c>
      <c r="TKA124" t="s">
        <v>451</v>
      </c>
      <c r="TKB124" t="s">
        <v>451</v>
      </c>
      <c r="TKC124" t="s">
        <v>451</v>
      </c>
      <c r="TKD124" t="s">
        <v>451</v>
      </c>
      <c r="TKE124" t="s">
        <v>451</v>
      </c>
      <c r="TKF124" t="s">
        <v>451</v>
      </c>
      <c r="TKG124" t="s">
        <v>451</v>
      </c>
      <c r="TKH124" t="s">
        <v>451</v>
      </c>
      <c r="TKI124" t="s">
        <v>451</v>
      </c>
      <c r="TKJ124" t="s">
        <v>451</v>
      </c>
      <c r="TKK124" t="s">
        <v>451</v>
      </c>
      <c r="TKL124" t="s">
        <v>451</v>
      </c>
      <c r="TKM124" t="s">
        <v>451</v>
      </c>
      <c r="TKN124" t="s">
        <v>451</v>
      </c>
      <c r="TKO124" t="s">
        <v>451</v>
      </c>
      <c r="TKP124" t="s">
        <v>451</v>
      </c>
      <c r="TKQ124" t="s">
        <v>451</v>
      </c>
      <c r="TKR124" t="s">
        <v>451</v>
      </c>
      <c r="TKS124" t="s">
        <v>451</v>
      </c>
      <c r="TKT124" t="s">
        <v>451</v>
      </c>
      <c r="TKU124" t="s">
        <v>451</v>
      </c>
      <c r="TKV124" t="s">
        <v>451</v>
      </c>
      <c r="TKW124" t="s">
        <v>451</v>
      </c>
      <c r="TKX124" t="s">
        <v>451</v>
      </c>
      <c r="TKY124" t="s">
        <v>451</v>
      </c>
      <c r="TKZ124" t="s">
        <v>451</v>
      </c>
      <c r="TLA124" t="s">
        <v>451</v>
      </c>
      <c r="TLB124" t="s">
        <v>451</v>
      </c>
      <c r="TLC124" t="s">
        <v>451</v>
      </c>
      <c r="TLD124" t="s">
        <v>451</v>
      </c>
      <c r="TLE124" t="s">
        <v>451</v>
      </c>
      <c r="TLF124" t="s">
        <v>451</v>
      </c>
      <c r="TLG124" t="s">
        <v>451</v>
      </c>
      <c r="TLH124" t="s">
        <v>451</v>
      </c>
      <c r="TLI124" t="s">
        <v>451</v>
      </c>
      <c r="TLJ124" t="s">
        <v>451</v>
      </c>
      <c r="TLK124" t="s">
        <v>451</v>
      </c>
      <c r="TLL124" t="s">
        <v>451</v>
      </c>
      <c r="TLM124" t="s">
        <v>451</v>
      </c>
      <c r="TLN124" t="s">
        <v>451</v>
      </c>
      <c r="TLO124" t="s">
        <v>451</v>
      </c>
      <c r="TLP124" t="s">
        <v>451</v>
      </c>
      <c r="TLQ124" t="s">
        <v>451</v>
      </c>
      <c r="TLR124" t="s">
        <v>451</v>
      </c>
      <c r="TLS124" t="s">
        <v>451</v>
      </c>
      <c r="TLT124" t="s">
        <v>451</v>
      </c>
      <c r="TLU124" t="s">
        <v>451</v>
      </c>
      <c r="TLV124" t="s">
        <v>451</v>
      </c>
      <c r="TLW124" t="s">
        <v>451</v>
      </c>
      <c r="TLX124" t="s">
        <v>451</v>
      </c>
      <c r="TLY124" t="s">
        <v>451</v>
      </c>
      <c r="TLZ124" t="s">
        <v>451</v>
      </c>
      <c r="TMA124" t="s">
        <v>451</v>
      </c>
      <c r="TMB124" t="s">
        <v>451</v>
      </c>
      <c r="TMC124" t="s">
        <v>451</v>
      </c>
      <c r="TMD124" t="s">
        <v>451</v>
      </c>
      <c r="TME124" t="s">
        <v>451</v>
      </c>
      <c r="TMF124" t="s">
        <v>451</v>
      </c>
      <c r="TMG124" t="s">
        <v>451</v>
      </c>
      <c r="TMH124" t="s">
        <v>451</v>
      </c>
      <c r="TMI124" t="s">
        <v>451</v>
      </c>
      <c r="TMJ124" t="s">
        <v>451</v>
      </c>
      <c r="TMK124" t="s">
        <v>451</v>
      </c>
      <c r="TML124" t="s">
        <v>451</v>
      </c>
      <c r="TMM124" t="s">
        <v>451</v>
      </c>
      <c r="TMN124" t="s">
        <v>451</v>
      </c>
      <c r="TMO124" t="s">
        <v>451</v>
      </c>
      <c r="TMP124" t="s">
        <v>451</v>
      </c>
      <c r="TMQ124" t="s">
        <v>451</v>
      </c>
      <c r="TMR124" t="s">
        <v>451</v>
      </c>
      <c r="TMS124" t="s">
        <v>451</v>
      </c>
      <c r="TMT124" t="s">
        <v>451</v>
      </c>
      <c r="TMU124" t="s">
        <v>451</v>
      </c>
      <c r="TMV124" t="s">
        <v>451</v>
      </c>
      <c r="TMW124" t="s">
        <v>451</v>
      </c>
      <c r="TMX124" t="s">
        <v>451</v>
      </c>
      <c r="TMY124" t="s">
        <v>451</v>
      </c>
      <c r="TMZ124" t="s">
        <v>451</v>
      </c>
      <c r="TNA124" t="s">
        <v>451</v>
      </c>
      <c r="TNB124" t="s">
        <v>451</v>
      </c>
      <c r="TNC124" t="s">
        <v>451</v>
      </c>
      <c r="TND124" t="s">
        <v>451</v>
      </c>
      <c r="TNE124" t="s">
        <v>451</v>
      </c>
      <c r="TNF124" t="s">
        <v>451</v>
      </c>
      <c r="TNG124" t="s">
        <v>451</v>
      </c>
      <c r="TNH124" t="s">
        <v>451</v>
      </c>
      <c r="TNI124" t="s">
        <v>451</v>
      </c>
      <c r="TNJ124" t="s">
        <v>451</v>
      </c>
      <c r="TNK124" t="s">
        <v>451</v>
      </c>
      <c r="TNL124" t="s">
        <v>451</v>
      </c>
      <c r="TNM124" t="s">
        <v>451</v>
      </c>
      <c r="TNN124" t="s">
        <v>451</v>
      </c>
      <c r="TNO124" t="s">
        <v>451</v>
      </c>
      <c r="TNP124" t="s">
        <v>451</v>
      </c>
      <c r="TNQ124" t="s">
        <v>451</v>
      </c>
      <c r="TNR124" t="s">
        <v>451</v>
      </c>
      <c r="TNS124" t="s">
        <v>451</v>
      </c>
      <c r="TNT124" t="s">
        <v>451</v>
      </c>
      <c r="TNU124" t="s">
        <v>451</v>
      </c>
      <c r="TNV124" t="s">
        <v>451</v>
      </c>
      <c r="TNW124" t="s">
        <v>451</v>
      </c>
      <c r="TNX124" t="s">
        <v>451</v>
      </c>
      <c r="TNY124" t="s">
        <v>451</v>
      </c>
      <c r="TNZ124" t="s">
        <v>451</v>
      </c>
      <c r="TOA124" t="s">
        <v>451</v>
      </c>
      <c r="TOB124" t="s">
        <v>451</v>
      </c>
      <c r="TOC124" t="s">
        <v>451</v>
      </c>
      <c r="TOD124" t="s">
        <v>451</v>
      </c>
      <c r="TOE124" t="s">
        <v>451</v>
      </c>
      <c r="TOF124" t="s">
        <v>451</v>
      </c>
      <c r="TOG124" t="s">
        <v>451</v>
      </c>
      <c r="TOH124" t="s">
        <v>451</v>
      </c>
      <c r="TOI124" t="s">
        <v>451</v>
      </c>
      <c r="TOJ124" t="s">
        <v>451</v>
      </c>
      <c r="TOK124" t="s">
        <v>451</v>
      </c>
      <c r="TOL124" t="s">
        <v>451</v>
      </c>
      <c r="TOM124" t="s">
        <v>451</v>
      </c>
      <c r="TON124" t="s">
        <v>451</v>
      </c>
      <c r="TOO124" t="s">
        <v>451</v>
      </c>
      <c r="TOP124" t="s">
        <v>451</v>
      </c>
      <c r="TOQ124" t="s">
        <v>451</v>
      </c>
      <c r="TOR124" t="s">
        <v>451</v>
      </c>
      <c r="TOS124" t="s">
        <v>451</v>
      </c>
      <c r="TOT124" t="s">
        <v>451</v>
      </c>
      <c r="TOU124" t="s">
        <v>451</v>
      </c>
      <c r="TOV124" t="s">
        <v>451</v>
      </c>
      <c r="TOW124" t="s">
        <v>451</v>
      </c>
      <c r="TOX124" t="s">
        <v>451</v>
      </c>
      <c r="TOY124" t="s">
        <v>451</v>
      </c>
      <c r="TOZ124" t="s">
        <v>451</v>
      </c>
      <c r="TPA124" t="s">
        <v>451</v>
      </c>
      <c r="TPB124" t="s">
        <v>451</v>
      </c>
      <c r="TPC124" t="s">
        <v>451</v>
      </c>
      <c r="TPD124" t="s">
        <v>451</v>
      </c>
      <c r="TPE124" t="s">
        <v>451</v>
      </c>
      <c r="TPF124" t="s">
        <v>451</v>
      </c>
      <c r="TPG124" t="s">
        <v>451</v>
      </c>
      <c r="TPH124" t="s">
        <v>451</v>
      </c>
      <c r="TPI124" t="s">
        <v>451</v>
      </c>
      <c r="TPJ124" t="s">
        <v>451</v>
      </c>
      <c r="TPK124" t="s">
        <v>451</v>
      </c>
      <c r="TPL124" t="s">
        <v>451</v>
      </c>
      <c r="TPM124" t="s">
        <v>451</v>
      </c>
      <c r="TPN124" t="s">
        <v>451</v>
      </c>
      <c r="TPO124" t="s">
        <v>451</v>
      </c>
      <c r="TPP124" t="s">
        <v>451</v>
      </c>
      <c r="TPQ124" t="s">
        <v>451</v>
      </c>
      <c r="TPR124" t="s">
        <v>451</v>
      </c>
      <c r="TPS124" t="s">
        <v>451</v>
      </c>
      <c r="TPT124" t="s">
        <v>451</v>
      </c>
      <c r="TPU124" t="s">
        <v>451</v>
      </c>
      <c r="TPV124" t="s">
        <v>451</v>
      </c>
      <c r="TPW124" t="s">
        <v>451</v>
      </c>
      <c r="TPX124" t="s">
        <v>451</v>
      </c>
      <c r="TPY124" t="s">
        <v>451</v>
      </c>
      <c r="TPZ124" t="s">
        <v>451</v>
      </c>
      <c r="TQA124" t="s">
        <v>451</v>
      </c>
      <c r="TQB124" t="s">
        <v>451</v>
      </c>
      <c r="TQC124" t="s">
        <v>451</v>
      </c>
      <c r="TQD124" t="s">
        <v>451</v>
      </c>
      <c r="TQE124" t="s">
        <v>451</v>
      </c>
      <c r="TQF124" t="s">
        <v>451</v>
      </c>
      <c r="TQG124" t="s">
        <v>451</v>
      </c>
      <c r="TQH124" t="s">
        <v>451</v>
      </c>
      <c r="TQI124" t="s">
        <v>451</v>
      </c>
      <c r="TQJ124" t="s">
        <v>451</v>
      </c>
      <c r="TQK124" t="s">
        <v>451</v>
      </c>
      <c r="TQL124" t="s">
        <v>451</v>
      </c>
      <c r="TQM124" t="s">
        <v>451</v>
      </c>
      <c r="TQN124" t="s">
        <v>451</v>
      </c>
      <c r="TQO124" t="s">
        <v>451</v>
      </c>
      <c r="TQP124" t="s">
        <v>451</v>
      </c>
      <c r="TQQ124" t="s">
        <v>451</v>
      </c>
      <c r="TQR124" t="s">
        <v>451</v>
      </c>
      <c r="TQS124" t="s">
        <v>451</v>
      </c>
      <c r="TQT124" t="s">
        <v>451</v>
      </c>
      <c r="TQU124" t="s">
        <v>451</v>
      </c>
      <c r="TQV124" t="s">
        <v>451</v>
      </c>
      <c r="TQW124" t="s">
        <v>451</v>
      </c>
      <c r="TQX124" t="s">
        <v>451</v>
      </c>
      <c r="TQY124" t="s">
        <v>451</v>
      </c>
      <c r="TQZ124" t="s">
        <v>451</v>
      </c>
      <c r="TRA124" t="s">
        <v>451</v>
      </c>
      <c r="TRB124" t="s">
        <v>451</v>
      </c>
      <c r="TRC124" t="s">
        <v>451</v>
      </c>
      <c r="TRD124" t="s">
        <v>451</v>
      </c>
      <c r="TRE124" t="s">
        <v>451</v>
      </c>
      <c r="TRF124" t="s">
        <v>451</v>
      </c>
      <c r="TRG124" t="s">
        <v>451</v>
      </c>
      <c r="TRH124" t="s">
        <v>451</v>
      </c>
      <c r="TRI124" t="s">
        <v>451</v>
      </c>
      <c r="TRJ124" t="s">
        <v>451</v>
      </c>
      <c r="TRK124" t="s">
        <v>451</v>
      </c>
      <c r="TRL124" t="s">
        <v>451</v>
      </c>
      <c r="TRM124" t="s">
        <v>451</v>
      </c>
      <c r="TRN124" t="s">
        <v>451</v>
      </c>
      <c r="TRO124" t="s">
        <v>451</v>
      </c>
      <c r="TRP124" t="s">
        <v>451</v>
      </c>
      <c r="TRQ124" t="s">
        <v>451</v>
      </c>
      <c r="TRR124" t="s">
        <v>451</v>
      </c>
      <c r="TRS124" t="s">
        <v>451</v>
      </c>
      <c r="TRT124" t="s">
        <v>451</v>
      </c>
      <c r="TRU124" t="s">
        <v>451</v>
      </c>
      <c r="TRV124" t="s">
        <v>451</v>
      </c>
      <c r="TRW124" t="s">
        <v>451</v>
      </c>
      <c r="TRX124" t="s">
        <v>451</v>
      </c>
      <c r="TRY124" t="s">
        <v>451</v>
      </c>
      <c r="TRZ124" t="s">
        <v>451</v>
      </c>
      <c r="TSA124" t="s">
        <v>451</v>
      </c>
      <c r="TSB124" t="s">
        <v>451</v>
      </c>
      <c r="TSC124" t="s">
        <v>451</v>
      </c>
      <c r="TSD124" t="s">
        <v>451</v>
      </c>
      <c r="TSE124" t="s">
        <v>451</v>
      </c>
      <c r="TSF124" t="s">
        <v>451</v>
      </c>
      <c r="TSG124" t="s">
        <v>451</v>
      </c>
      <c r="TSH124" t="s">
        <v>451</v>
      </c>
      <c r="TSI124" t="s">
        <v>451</v>
      </c>
      <c r="TSJ124" t="s">
        <v>451</v>
      </c>
      <c r="TSK124" t="s">
        <v>451</v>
      </c>
      <c r="TSL124" t="s">
        <v>451</v>
      </c>
      <c r="TSM124" t="s">
        <v>451</v>
      </c>
      <c r="TSN124" t="s">
        <v>451</v>
      </c>
      <c r="TSO124" t="s">
        <v>451</v>
      </c>
      <c r="TSP124" t="s">
        <v>451</v>
      </c>
      <c r="TSQ124" t="s">
        <v>451</v>
      </c>
      <c r="TSR124" t="s">
        <v>451</v>
      </c>
      <c r="TSS124" t="s">
        <v>451</v>
      </c>
      <c r="TST124" t="s">
        <v>451</v>
      </c>
      <c r="TSU124" t="s">
        <v>451</v>
      </c>
      <c r="TSV124" t="s">
        <v>451</v>
      </c>
      <c r="TSW124" t="s">
        <v>451</v>
      </c>
      <c r="TSX124" t="s">
        <v>451</v>
      </c>
      <c r="TSY124" t="s">
        <v>451</v>
      </c>
      <c r="TSZ124" t="s">
        <v>451</v>
      </c>
      <c r="TTA124" t="s">
        <v>451</v>
      </c>
      <c r="TTB124" t="s">
        <v>451</v>
      </c>
      <c r="TTC124" t="s">
        <v>451</v>
      </c>
      <c r="TTD124" t="s">
        <v>451</v>
      </c>
      <c r="TTE124" t="s">
        <v>451</v>
      </c>
      <c r="TTF124" t="s">
        <v>451</v>
      </c>
      <c r="TTG124" t="s">
        <v>451</v>
      </c>
      <c r="TTH124" t="s">
        <v>451</v>
      </c>
      <c r="TTI124" t="s">
        <v>451</v>
      </c>
      <c r="TTJ124" t="s">
        <v>451</v>
      </c>
      <c r="TTK124" t="s">
        <v>451</v>
      </c>
      <c r="TTL124" t="s">
        <v>451</v>
      </c>
      <c r="TTM124" t="s">
        <v>451</v>
      </c>
      <c r="TTN124" t="s">
        <v>451</v>
      </c>
      <c r="TTO124" t="s">
        <v>451</v>
      </c>
      <c r="TTP124" t="s">
        <v>451</v>
      </c>
      <c r="TTQ124" t="s">
        <v>451</v>
      </c>
      <c r="TTR124" t="s">
        <v>451</v>
      </c>
      <c r="TTS124" t="s">
        <v>451</v>
      </c>
      <c r="TTT124" t="s">
        <v>451</v>
      </c>
      <c r="TTU124" t="s">
        <v>451</v>
      </c>
      <c r="TTV124" t="s">
        <v>451</v>
      </c>
      <c r="TTW124" t="s">
        <v>451</v>
      </c>
      <c r="TTX124" t="s">
        <v>451</v>
      </c>
      <c r="TTY124" t="s">
        <v>451</v>
      </c>
      <c r="TTZ124" t="s">
        <v>451</v>
      </c>
      <c r="TUA124" t="s">
        <v>451</v>
      </c>
      <c r="TUB124" t="s">
        <v>451</v>
      </c>
      <c r="TUC124" t="s">
        <v>451</v>
      </c>
      <c r="TUD124" t="s">
        <v>451</v>
      </c>
      <c r="TUE124" t="s">
        <v>451</v>
      </c>
      <c r="TUF124" t="s">
        <v>451</v>
      </c>
      <c r="TUG124" t="s">
        <v>451</v>
      </c>
      <c r="TUH124" t="s">
        <v>451</v>
      </c>
      <c r="TUI124" t="s">
        <v>451</v>
      </c>
      <c r="TUJ124" t="s">
        <v>451</v>
      </c>
      <c r="TUK124" t="s">
        <v>451</v>
      </c>
      <c r="TUL124" t="s">
        <v>451</v>
      </c>
      <c r="TUM124" t="s">
        <v>451</v>
      </c>
      <c r="TUN124" t="s">
        <v>451</v>
      </c>
      <c r="TUO124" t="s">
        <v>451</v>
      </c>
      <c r="TUP124" t="s">
        <v>451</v>
      </c>
      <c r="TUQ124" t="s">
        <v>451</v>
      </c>
      <c r="TUR124" t="s">
        <v>451</v>
      </c>
      <c r="TUS124" t="s">
        <v>451</v>
      </c>
      <c r="TUT124" t="s">
        <v>451</v>
      </c>
      <c r="TUU124" t="s">
        <v>451</v>
      </c>
      <c r="TUV124" t="s">
        <v>451</v>
      </c>
      <c r="TUW124" t="s">
        <v>451</v>
      </c>
      <c r="TUX124" t="s">
        <v>451</v>
      </c>
      <c r="TUY124" t="s">
        <v>451</v>
      </c>
      <c r="TUZ124" t="s">
        <v>451</v>
      </c>
      <c r="TVA124" t="s">
        <v>451</v>
      </c>
      <c r="TVB124" t="s">
        <v>451</v>
      </c>
      <c r="TVC124" t="s">
        <v>451</v>
      </c>
      <c r="TVD124" t="s">
        <v>451</v>
      </c>
      <c r="TVE124" t="s">
        <v>451</v>
      </c>
      <c r="TVF124" t="s">
        <v>451</v>
      </c>
      <c r="TVG124" t="s">
        <v>451</v>
      </c>
      <c r="TVH124" t="s">
        <v>451</v>
      </c>
      <c r="TVI124" t="s">
        <v>451</v>
      </c>
      <c r="TVJ124" t="s">
        <v>451</v>
      </c>
      <c r="TVK124" t="s">
        <v>451</v>
      </c>
      <c r="TVL124" t="s">
        <v>451</v>
      </c>
      <c r="TVM124" t="s">
        <v>451</v>
      </c>
      <c r="TVN124" t="s">
        <v>451</v>
      </c>
      <c r="TVO124" t="s">
        <v>451</v>
      </c>
      <c r="TVP124" t="s">
        <v>451</v>
      </c>
      <c r="TVQ124" t="s">
        <v>451</v>
      </c>
      <c r="TVR124" t="s">
        <v>451</v>
      </c>
      <c r="TVS124" t="s">
        <v>451</v>
      </c>
      <c r="TVT124" t="s">
        <v>451</v>
      </c>
      <c r="TVU124" t="s">
        <v>451</v>
      </c>
      <c r="TVV124" t="s">
        <v>451</v>
      </c>
      <c r="TVW124" t="s">
        <v>451</v>
      </c>
      <c r="TVX124" t="s">
        <v>451</v>
      </c>
      <c r="TVY124" t="s">
        <v>451</v>
      </c>
      <c r="TVZ124" t="s">
        <v>451</v>
      </c>
      <c r="TWA124" t="s">
        <v>451</v>
      </c>
      <c r="TWB124" t="s">
        <v>451</v>
      </c>
      <c r="TWC124" t="s">
        <v>451</v>
      </c>
      <c r="TWD124" t="s">
        <v>451</v>
      </c>
      <c r="TWE124" t="s">
        <v>451</v>
      </c>
      <c r="TWF124" t="s">
        <v>451</v>
      </c>
      <c r="TWG124" t="s">
        <v>451</v>
      </c>
      <c r="TWH124" t="s">
        <v>451</v>
      </c>
      <c r="TWI124" t="s">
        <v>451</v>
      </c>
      <c r="TWJ124" t="s">
        <v>451</v>
      </c>
      <c r="TWK124" t="s">
        <v>451</v>
      </c>
      <c r="TWL124" t="s">
        <v>451</v>
      </c>
      <c r="TWM124" t="s">
        <v>451</v>
      </c>
      <c r="TWN124" t="s">
        <v>451</v>
      </c>
      <c r="TWO124" t="s">
        <v>451</v>
      </c>
      <c r="TWP124" t="s">
        <v>451</v>
      </c>
      <c r="TWQ124" t="s">
        <v>451</v>
      </c>
      <c r="TWR124" t="s">
        <v>451</v>
      </c>
      <c r="TWS124" t="s">
        <v>451</v>
      </c>
      <c r="TWT124" t="s">
        <v>451</v>
      </c>
      <c r="TWU124" t="s">
        <v>451</v>
      </c>
      <c r="TWV124" t="s">
        <v>451</v>
      </c>
      <c r="TWW124" t="s">
        <v>451</v>
      </c>
      <c r="TWX124" t="s">
        <v>451</v>
      </c>
      <c r="TWY124" t="s">
        <v>451</v>
      </c>
      <c r="TWZ124" t="s">
        <v>451</v>
      </c>
      <c r="TXA124" t="s">
        <v>451</v>
      </c>
      <c r="TXB124" t="s">
        <v>451</v>
      </c>
      <c r="TXC124" t="s">
        <v>451</v>
      </c>
      <c r="TXD124" t="s">
        <v>451</v>
      </c>
      <c r="TXE124" t="s">
        <v>451</v>
      </c>
      <c r="TXF124" t="s">
        <v>451</v>
      </c>
      <c r="TXG124" t="s">
        <v>451</v>
      </c>
      <c r="TXH124" t="s">
        <v>451</v>
      </c>
      <c r="TXI124" t="s">
        <v>451</v>
      </c>
      <c r="TXJ124" t="s">
        <v>451</v>
      </c>
      <c r="TXK124" t="s">
        <v>451</v>
      </c>
      <c r="TXL124" t="s">
        <v>451</v>
      </c>
      <c r="TXM124" t="s">
        <v>451</v>
      </c>
      <c r="TXN124" t="s">
        <v>451</v>
      </c>
      <c r="TXO124" t="s">
        <v>451</v>
      </c>
      <c r="TXP124" t="s">
        <v>451</v>
      </c>
      <c r="TXQ124" t="s">
        <v>451</v>
      </c>
      <c r="TXR124" t="s">
        <v>451</v>
      </c>
      <c r="TXS124" t="s">
        <v>451</v>
      </c>
      <c r="TXT124" t="s">
        <v>451</v>
      </c>
      <c r="TXU124" t="s">
        <v>451</v>
      </c>
      <c r="TXV124" t="s">
        <v>451</v>
      </c>
      <c r="TXW124" t="s">
        <v>451</v>
      </c>
      <c r="TXX124" t="s">
        <v>451</v>
      </c>
      <c r="TXY124" t="s">
        <v>451</v>
      </c>
      <c r="TXZ124" t="s">
        <v>451</v>
      </c>
      <c r="TYA124" t="s">
        <v>451</v>
      </c>
      <c r="TYB124" t="s">
        <v>451</v>
      </c>
      <c r="TYC124" t="s">
        <v>451</v>
      </c>
      <c r="TYD124" t="s">
        <v>451</v>
      </c>
      <c r="TYE124" t="s">
        <v>451</v>
      </c>
      <c r="TYF124" t="s">
        <v>451</v>
      </c>
      <c r="TYG124" t="s">
        <v>451</v>
      </c>
      <c r="TYH124" t="s">
        <v>451</v>
      </c>
      <c r="TYI124" t="s">
        <v>451</v>
      </c>
      <c r="TYJ124" t="s">
        <v>451</v>
      </c>
      <c r="TYK124" t="s">
        <v>451</v>
      </c>
      <c r="TYL124" t="s">
        <v>451</v>
      </c>
      <c r="TYM124" t="s">
        <v>451</v>
      </c>
      <c r="TYN124" t="s">
        <v>451</v>
      </c>
      <c r="TYO124" t="s">
        <v>451</v>
      </c>
      <c r="TYP124" t="s">
        <v>451</v>
      </c>
      <c r="TYQ124" t="s">
        <v>451</v>
      </c>
      <c r="TYR124" t="s">
        <v>451</v>
      </c>
      <c r="TYS124" t="s">
        <v>451</v>
      </c>
      <c r="TYT124" t="s">
        <v>451</v>
      </c>
      <c r="TYU124" t="s">
        <v>451</v>
      </c>
      <c r="TYV124" t="s">
        <v>451</v>
      </c>
      <c r="TYW124" t="s">
        <v>451</v>
      </c>
      <c r="TYX124" t="s">
        <v>451</v>
      </c>
      <c r="TYY124" t="s">
        <v>451</v>
      </c>
      <c r="TYZ124" t="s">
        <v>451</v>
      </c>
      <c r="TZA124" t="s">
        <v>451</v>
      </c>
      <c r="TZB124" t="s">
        <v>451</v>
      </c>
      <c r="TZC124" t="s">
        <v>451</v>
      </c>
      <c r="TZD124" t="s">
        <v>451</v>
      </c>
      <c r="TZE124" t="s">
        <v>451</v>
      </c>
      <c r="TZF124" t="s">
        <v>451</v>
      </c>
      <c r="TZG124" t="s">
        <v>451</v>
      </c>
      <c r="TZH124" t="s">
        <v>451</v>
      </c>
      <c r="TZI124" t="s">
        <v>451</v>
      </c>
      <c r="TZJ124" t="s">
        <v>451</v>
      </c>
      <c r="TZK124" t="s">
        <v>451</v>
      </c>
      <c r="TZL124" t="s">
        <v>451</v>
      </c>
      <c r="TZM124" t="s">
        <v>451</v>
      </c>
      <c r="TZN124" t="s">
        <v>451</v>
      </c>
      <c r="TZO124" t="s">
        <v>451</v>
      </c>
      <c r="TZP124" t="s">
        <v>451</v>
      </c>
      <c r="TZQ124" t="s">
        <v>451</v>
      </c>
      <c r="TZR124" t="s">
        <v>451</v>
      </c>
      <c r="TZS124" t="s">
        <v>451</v>
      </c>
      <c r="TZT124" t="s">
        <v>451</v>
      </c>
      <c r="TZU124" t="s">
        <v>451</v>
      </c>
      <c r="TZV124" t="s">
        <v>451</v>
      </c>
      <c r="TZW124" t="s">
        <v>451</v>
      </c>
      <c r="TZX124" t="s">
        <v>451</v>
      </c>
      <c r="TZY124" t="s">
        <v>451</v>
      </c>
      <c r="TZZ124" t="s">
        <v>451</v>
      </c>
      <c r="UAA124" t="s">
        <v>451</v>
      </c>
      <c r="UAB124" t="s">
        <v>451</v>
      </c>
      <c r="UAC124" t="s">
        <v>451</v>
      </c>
      <c r="UAD124" t="s">
        <v>451</v>
      </c>
      <c r="UAE124" t="s">
        <v>451</v>
      </c>
      <c r="UAF124" t="s">
        <v>451</v>
      </c>
      <c r="UAG124" t="s">
        <v>451</v>
      </c>
      <c r="UAH124" t="s">
        <v>451</v>
      </c>
      <c r="UAI124" t="s">
        <v>451</v>
      </c>
      <c r="UAJ124" t="s">
        <v>451</v>
      </c>
      <c r="UAK124" t="s">
        <v>451</v>
      </c>
      <c r="UAL124" t="s">
        <v>451</v>
      </c>
      <c r="UAM124" t="s">
        <v>451</v>
      </c>
      <c r="UAN124" t="s">
        <v>451</v>
      </c>
      <c r="UAO124" t="s">
        <v>451</v>
      </c>
      <c r="UAP124" t="s">
        <v>451</v>
      </c>
      <c r="UAQ124" t="s">
        <v>451</v>
      </c>
      <c r="UAR124" t="s">
        <v>451</v>
      </c>
      <c r="UAS124" t="s">
        <v>451</v>
      </c>
      <c r="UAT124" t="s">
        <v>451</v>
      </c>
      <c r="UAU124" t="s">
        <v>451</v>
      </c>
      <c r="UAV124" t="s">
        <v>451</v>
      </c>
      <c r="UAW124" t="s">
        <v>451</v>
      </c>
      <c r="UAX124" t="s">
        <v>451</v>
      </c>
      <c r="UAY124" t="s">
        <v>451</v>
      </c>
      <c r="UAZ124" t="s">
        <v>451</v>
      </c>
      <c r="UBA124" t="s">
        <v>451</v>
      </c>
      <c r="UBB124" t="s">
        <v>451</v>
      </c>
      <c r="UBC124" t="s">
        <v>451</v>
      </c>
      <c r="UBD124" t="s">
        <v>451</v>
      </c>
      <c r="UBE124" t="s">
        <v>451</v>
      </c>
      <c r="UBF124" t="s">
        <v>451</v>
      </c>
      <c r="UBG124" t="s">
        <v>451</v>
      </c>
      <c r="UBH124" t="s">
        <v>451</v>
      </c>
      <c r="UBI124" t="s">
        <v>451</v>
      </c>
      <c r="UBJ124" t="s">
        <v>451</v>
      </c>
      <c r="UBK124" t="s">
        <v>451</v>
      </c>
      <c r="UBL124" t="s">
        <v>451</v>
      </c>
      <c r="UBM124" t="s">
        <v>451</v>
      </c>
      <c r="UBN124" t="s">
        <v>451</v>
      </c>
      <c r="UBO124" t="s">
        <v>451</v>
      </c>
      <c r="UBP124" t="s">
        <v>451</v>
      </c>
      <c r="UBQ124" t="s">
        <v>451</v>
      </c>
      <c r="UBR124" t="s">
        <v>451</v>
      </c>
      <c r="UBS124" t="s">
        <v>451</v>
      </c>
      <c r="UBT124" t="s">
        <v>451</v>
      </c>
      <c r="UBU124" t="s">
        <v>451</v>
      </c>
      <c r="UBV124" t="s">
        <v>451</v>
      </c>
      <c r="UBW124" t="s">
        <v>451</v>
      </c>
      <c r="UBX124" t="s">
        <v>451</v>
      </c>
      <c r="UBY124" t="s">
        <v>451</v>
      </c>
      <c r="UBZ124" t="s">
        <v>451</v>
      </c>
      <c r="UCA124" t="s">
        <v>451</v>
      </c>
      <c r="UCB124" t="s">
        <v>451</v>
      </c>
      <c r="UCC124" t="s">
        <v>451</v>
      </c>
      <c r="UCD124" t="s">
        <v>451</v>
      </c>
      <c r="UCE124" t="s">
        <v>451</v>
      </c>
      <c r="UCF124" t="s">
        <v>451</v>
      </c>
      <c r="UCG124" t="s">
        <v>451</v>
      </c>
      <c r="UCH124" t="s">
        <v>451</v>
      </c>
      <c r="UCI124" t="s">
        <v>451</v>
      </c>
      <c r="UCJ124" t="s">
        <v>451</v>
      </c>
      <c r="UCK124" t="s">
        <v>451</v>
      </c>
      <c r="UCL124" t="s">
        <v>451</v>
      </c>
      <c r="UCM124" t="s">
        <v>451</v>
      </c>
      <c r="UCN124" t="s">
        <v>451</v>
      </c>
      <c r="UCO124" t="s">
        <v>451</v>
      </c>
      <c r="UCP124" t="s">
        <v>451</v>
      </c>
      <c r="UCQ124" t="s">
        <v>451</v>
      </c>
      <c r="UCR124" t="s">
        <v>451</v>
      </c>
      <c r="UCS124" t="s">
        <v>451</v>
      </c>
      <c r="UCT124" t="s">
        <v>451</v>
      </c>
      <c r="UCU124" t="s">
        <v>451</v>
      </c>
      <c r="UCV124" t="s">
        <v>451</v>
      </c>
      <c r="UCW124" t="s">
        <v>451</v>
      </c>
      <c r="UCX124" t="s">
        <v>451</v>
      </c>
      <c r="UCY124" t="s">
        <v>451</v>
      </c>
      <c r="UCZ124" t="s">
        <v>451</v>
      </c>
      <c r="UDA124" t="s">
        <v>451</v>
      </c>
      <c r="UDB124" t="s">
        <v>451</v>
      </c>
      <c r="UDC124" t="s">
        <v>451</v>
      </c>
      <c r="UDD124" t="s">
        <v>451</v>
      </c>
      <c r="UDE124" t="s">
        <v>451</v>
      </c>
      <c r="UDF124" t="s">
        <v>451</v>
      </c>
      <c r="UDG124" t="s">
        <v>451</v>
      </c>
      <c r="UDH124" t="s">
        <v>451</v>
      </c>
      <c r="UDI124" t="s">
        <v>451</v>
      </c>
      <c r="UDJ124" t="s">
        <v>451</v>
      </c>
      <c r="UDK124" t="s">
        <v>451</v>
      </c>
      <c r="UDL124" t="s">
        <v>451</v>
      </c>
      <c r="UDM124" t="s">
        <v>451</v>
      </c>
      <c r="UDN124" t="s">
        <v>451</v>
      </c>
      <c r="UDO124" t="s">
        <v>451</v>
      </c>
      <c r="UDP124" t="s">
        <v>451</v>
      </c>
      <c r="UDQ124" t="s">
        <v>451</v>
      </c>
      <c r="UDR124" t="s">
        <v>451</v>
      </c>
      <c r="UDS124" t="s">
        <v>451</v>
      </c>
      <c r="UDT124" t="s">
        <v>451</v>
      </c>
      <c r="UDU124" t="s">
        <v>451</v>
      </c>
      <c r="UDV124" t="s">
        <v>451</v>
      </c>
      <c r="UDW124" t="s">
        <v>451</v>
      </c>
      <c r="UDX124" t="s">
        <v>451</v>
      </c>
      <c r="UDY124" t="s">
        <v>451</v>
      </c>
      <c r="UDZ124" t="s">
        <v>451</v>
      </c>
      <c r="UEA124" t="s">
        <v>451</v>
      </c>
      <c r="UEB124" t="s">
        <v>451</v>
      </c>
      <c r="UEC124" t="s">
        <v>451</v>
      </c>
      <c r="UED124" t="s">
        <v>451</v>
      </c>
      <c r="UEE124" t="s">
        <v>451</v>
      </c>
      <c r="UEF124" t="s">
        <v>451</v>
      </c>
      <c r="UEG124" t="s">
        <v>451</v>
      </c>
      <c r="UEH124" t="s">
        <v>451</v>
      </c>
      <c r="UEI124" t="s">
        <v>451</v>
      </c>
      <c r="UEJ124" t="s">
        <v>451</v>
      </c>
      <c r="UEK124" t="s">
        <v>451</v>
      </c>
      <c r="UEL124" t="s">
        <v>451</v>
      </c>
      <c r="UEM124" t="s">
        <v>451</v>
      </c>
      <c r="UEN124" t="s">
        <v>451</v>
      </c>
      <c r="UEO124" t="s">
        <v>451</v>
      </c>
      <c r="UEP124" t="s">
        <v>451</v>
      </c>
      <c r="UEQ124" t="s">
        <v>451</v>
      </c>
      <c r="UER124" t="s">
        <v>451</v>
      </c>
      <c r="UES124" t="s">
        <v>451</v>
      </c>
      <c r="UET124" t="s">
        <v>451</v>
      </c>
      <c r="UEU124" t="s">
        <v>451</v>
      </c>
      <c r="UEV124" t="s">
        <v>451</v>
      </c>
      <c r="UEW124" t="s">
        <v>451</v>
      </c>
      <c r="UEX124" t="s">
        <v>451</v>
      </c>
      <c r="UEY124" t="s">
        <v>451</v>
      </c>
      <c r="UEZ124" t="s">
        <v>451</v>
      </c>
      <c r="UFA124" t="s">
        <v>451</v>
      </c>
      <c r="UFB124" t="s">
        <v>451</v>
      </c>
      <c r="UFC124" t="s">
        <v>451</v>
      </c>
      <c r="UFD124" t="s">
        <v>451</v>
      </c>
      <c r="UFE124" t="s">
        <v>451</v>
      </c>
      <c r="UFF124" t="s">
        <v>451</v>
      </c>
      <c r="UFG124" t="s">
        <v>451</v>
      </c>
      <c r="UFH124" t="s">
        <v>451</v>
      </c>
      <c r="UFI124" t="s">
        <v>451</v>
      </c>
      <c r="UFJ124" t="s">
        <v>451</v>
      </c>
      <c r="UFK124" t="s">
        <v>451</v>
      </c>
      <c r="UFL124" t="s">
        <v>451</v>
      </c>
      <c r="UFM124" t="s">
        <v>451</v>
      </c>
      <c r="UFN124" t="s">
        <v>451</v>
      </c>
      <c r="UFO124" t="s">
        <v>451</v>
      </c>
      <c r="UFP124" t="s">
        <v>451</v>
      </c>
      <c r="UFQ124" t="s">
        <v>451</v>
      </c>
      <c r="UFR124" t="s">
        <v>451</v>
      </c>
      <c r="UFS124" t="s">
        <v>451</v>
      </c>
      <c r="UFT124" t="s">
        <v>451</v>
      </c>
      <c r="UFU124" t="s">
        <v>451</v>
      </c>
      <c r="UFV124" t="s">
        <v>451</v>
      </c>
      <c r="UFW124" t="s">
        <v>451</v>
      </c>
      <c r="UFX124" t="s">
        <v>451</v>
      </c>
      <c r="UFY124" t="s">
        <v>451</v>
      </c>
      <c r="UFZ124" t="s">
        <v>451</v>
      </c>
      <c r="UGA124" t="s">
        <v>451</v>
      </c>
      <c r="UGB124" t="s">
        <v>451</v>
      </c>
      <c r="UGC124" t="s">
        <v>451</v>
      </c>
      <c r="UGD124" t="s">
        <v>451</v>
      </c>
      <c r="UGE124" t="s">
        <v>451</v>
      </c>
      <c r="UGF124" t="s">
        <v>451</v>
      </c>
      <c r="UGG124" t="s">
        <v>451</v>
      </c>
      <c r="UGH124" t="s">
        <v>451</v>
      </c>
      <c r="UGI124" t="s">
        <v>451</v>
      </c>
      <c r="UGJ124" t="s">
        <v>451</v>
      </c>
      <c r="UGK124" t="s">
        <v>451</v>
      </c>
      <c r="UGL124" t="s">
        <v>451</v>
      </c>
      <c r="UGM124" t="s">
        <v>451</v>
      </c>
      <c r="UGN124" t="s">
        <v>451</v>
      </c>
      <c r="UGO124" t="s">
        <v>451</v>
      </c>
      <c r="UGP124" t="s">
        <v>451</v>
      </c>
      <c r="UGQ124" t="s">
        <v>451</v>
      </c>
      <c r="UGR124" t="s">
        <v>451</v>
      </c>
      <c r="UGS124" t="s">
        <v>451</v>
      </c>
      <c r="UGT124" t="s">
        <v>451</v>
      </c>
      <c r="UGU124" t="s">
        <v>451</v>
      </c>
      <c r="UGV124" t="s">
        <v>451</v>
      </c>
      <c r="UGW124" t="s">
        <v>451</v>
      </c>
      <c r="UGX124" t="s">
        <v>451</v>
      </c>
      <c r="UGY124" t="s">
        <v>451</v>
      </c>
      <c r="UGZ124" t="s">
        <v>451</v>
      </c>
      <c r="UHA124" t="s">
        <v>451</v>
      </c>
      <c r="UHB124" t="s">
        <v>451</v>
      </c>
      <c r="UHC124" t="s">
        <v>451</v>
      </c>
      <c r="UHD124" t="s">
        <v>451</v>
      </c>
      <c r="UHE124" t="s">
        <v>451</v>
      </c>
      <c r="UHF124" t="s">
        <v>451</v>
      </c>
      <c r="UHG124" t="s">
        <v>451</v>
      </c>
      <c r="UHH124" t="s">
        <v>451</v>
      </c>
      <c r="UHI124" t="s">
        <v>451</v>
      </c>
      <c r="UHJ124" t="s">
        <v>451</v>
      </c>
      <c r="UHK124" t="s">
        <v>451</v>
      </c>
      <c r="UHL124" t="s">
        <v>451</v>
      </c>
      <c r="UHM124" t="s">
        <v>451</v>
      </c>
      <c r="UHN124" t="s">
        <v>451</v>
      </c>
      <c r="UHO124" t="s">
        <v>451</v>
      </c>
      <c r="UHP124" t="s">
        <v>451</v>
      </c>
      <c r="UHQ124" t="s">
        <v>451</v>
      </c>
      <c r="UHR124" t="s">
        <v>451</v>
      </c>
      <c r="UHS124" t="s">
        <v>451</v>
      </c>
      <c r="UHT124" t="s">
        <v>451</v>
      </c>
      <c r="UHU124" t="s">
        <v>451</v>
      </c>
      <c r="UHV124" t="s">
        <v>451</v>
      </c>
      <c r="UHW124" t="s">
        <v>451</v>
      </c>
      <c r="UHX124" t="s">
        <v>451</v>
      </c>
      <c r="UHY124" t="s">
        <v>451</v>
      </c>
      <c r="UHZ124" t="s">
        <v>451</v>
      </c>
      <c r="UIA124" t="s">
        <v>451</v>
      </c>
      <c r="UIB124" t="s">
        <v>451</v>
      </c>
      <c r="UIC124" t="s">
        <v>451</v>
      </c>
      <c r="UID124" t="s">
        <v>451</v>
      </c>
      <c r="UIE124" t="s">
        <v>451</v>
      </c>
      <c r="UIF124" t="s">
        <v>451</v>
      </c>
      <c r="UIG124" t="s">
        <v>451</v>
      </c>
      <c r="UIH124" t="s">
        <v>451</v>
      </c>
      <c r="UII124" t="s">
        <v>451</v>
      </c>
      <c r="UIJ124" t="s">
        <v>451</v>
      </c>
      <c r="UIK124" t="s">
        <v>451</v>
      </c>
      <c r="UIL124" t="s">
        <v>451</v>
      </c>
      <c r="UIM124" t="s">
        <v>451</v>
      </c>
      <c r="UIN124" t="s">
        <v>451</v>
      </c>
      <c r="UIO124" t="s">
        <v>451</v>
      </c>
      <c r="UIP124" t="s">
        <v>451</v>
      </c>
      <c r="UIQ124" t="s">
        <v>451</v>
      </c>
      <c r="UIR124" t="s">
        <v>451</v>
      </c>
      <c r="UIS124" t="s">
        <v>451</v>
      </c>
      <c r="UIT124" t="s">
        <v>451</v>
      </c>
      <c r="UIU124" t="s">
        <v>451</v>
      </c>
      <c r="UIV124" t="s">
        <v>451</v>
      </c>
      <c r="UIW124" t="s">
        <v>451</v>
      </c>
      <c r="UIX124" t="s">
        <v>451</v>
      </c>
      <c r="UIY124" t="s">
        <v>451</v>
      </c>
      <c r="UIZ124" t="s">
        <v>451</v>
      </c>
      <c r="UJA124" t="s">
        <v>451</v>
      </c>
      <c r="UJB124" t="s">
        <v>451</v>
      </c>
      <c r="UJC124" t="s">
        <v>451</v>
      </c>
      <c r="UJD124" t="s">
        <v>451</v>
      </c>
      <c r="UJE124" t="s">
        <v>451</v>
      </c>
      <c r="UJF124" t="s">
        <v>451</v>
      </c>
      <c r="UJG124" t="s">
        <v>451</v>
      </c>
      <c r="UJH124" t="s">
        <v>451</v>
      </c>
      <c r="UJI124" t="s">
        <v>451</v>
      </c>
      <c r="UJJ124" t="s">
        <v>451</v>
      </c>
      <c r="UJK124" t="s">
        <v>451</v>
      </c>
      <c r="UJL124" t="s">
        <v>451</v>
      </c>
      <c r="UJM124" t="s">
        <v>451</v>
      </c>
      <c r="UJN124" t="s">
        <v>451</v>
      </c>
      <c r="UJO124" t="s">
        <v>451</v>
      </c>
      <c r="UJP124" t="s">
        <v>451</v>
      </c>
      <c r="UJQ124" t="s">
        <v>451</v>
      </c>
      <c r="UJR124" t="s">
        <v>451</v>
      </c>
      <c r="UJS124" t="s">
        <v>451</v>
      </c>
      <c r="UJT124" t="s">
        <v>451</v>
      </c>
      <c r="UJU124" t="s">
        <v>451</v>
      </c>
      <c r="UJV124" t="s">
        <v>451</v>
      </c>
      <c r="UJW124" t="s">
        <v>451</v>
      </c>
      <c r="UJX124" t="s">
        <v>451</v>
      </c>
      <c r="UJY124" t="s">
        <v>451</v>
      </c>
      <c r="UJZ124" t="s">
        <v>451</v>
      </c>
      <c r="UKA124" t="s">
        <v>451</v>
      </c>
      <c r="UKB124" t="s">
        <v>451</v>
      </c>
      <c r="UKC124" t="s">
        <v>451</v>
      </c>
      <c r="UKD124" t="s">
        <v>451</v>
      </c>
      <c r="UKE124" t="s">
        <v>451</v>
      </c>
      <c r="UKF124" t="s">
        <v>451</v>
      </c>
      <c r="UKG124" t="s">
        <v>451</v>
      </c>
      <c r="UKH124" t="s">
        <v>451</v>
      </c>
      <c r="UKI124" t="s">
        <v>451</v>
      </c>
      <c r="UKJ124" t="s">
        <v>451</v>
      </c>
      <c r="UKK124" t="s">
        <v>451</v>
      </c>
      <c r="UKL124" t="s">
        <v>451</v>
      </c>
      <c r="UKM124" t="s">
        <v>451</v>
      </c>
      <c r="UKN124" t="s">
        <v>451</v>
      </c>
      <c r="UKO124" t="s">
        <v>451</v>
      </c>
      <c r="UKP124" t="s">
        <v>451</v>
      </c>
      <c r="UKQ124" t="s">
        <v>451</v>
      </c>
      <c r="UKR124" t="s">
        <v>451</v>
      </c>
      <c r="UKS124" t="s">
        <v>451</v>
      </c>
      <c r="UKT124" t="s">
        <v>451</v>
      </c>
      <c r="UKU124" t="s">
        <v>451</v>
      </c>
      <c r="UKV124" t="s">
        <v>451</v>
      </c>
      <c r="UKW124" t="s">
        <v>451</v>
      </c>
      <c r="UKX124" t="s">
        <v>451</v>
      </c>
      <c r="UKY124" t="s">
        <v>451</v>
      </c>
      <c r="UKZ124" t="s">
        <v>451</v>
      </c>
      <c r="ULA124" t="s">
        <v>451</v>
      </c>
      <c r="ULB124" t="s">
        <v>451</v>
      </c>
      <c r="ULC124" t="s">
        <v>451</v>
      </c>
      <c r="ULD124" t="s">
        <v>451</v>
      </c>
      <c r="ULE124" t="s">
        <v>451</v>
      </c>
      <c r="ULF124" t="s">
        <v>451</v>
      </c>
      <c r="ULG124" t="s">
        <v>451</v>
      </c>
      <c r="ULH124" t="s">
        <v>451</v>
      </c>
      <c r="ULI124" t="s">
        <v>451</v>
      </c>
      <c r="ULJ124" t="s">
        <v>451</v>
      </c>
      <c r="ULK124" t="s">
        <v>451</v>
      </c>
      <c r="ULL124" t="s">
        <v>451</v>
      </c>
      <c r="ULM124" t="s">
        <v>451</v>
      </c>
      <c r="ULN124" t="s">
        <v>451</v>
      </c>
      <c r="ULO124" t="s">
        <v>451</v>
      </c>
      <c r="ULP124" t="s">
        <v>451</v>
      </c>
      <c r="ULQ124" t="s">
        <v>451</v>
      </c>
      <c r="ULR124" t="s">
        <v>451</v>
      </c>
      <c r="ULS124" t="s">
        <v>451</v>
      </c>
      <c r="ULT124" t="s">
        <v>451</v>
      </c>
      <c r="ULU124" t="s">
        <v>451</v>
      </c>
      <c r="ULV124" t="s">
        <v>451</v>
      </c>
      <c r="ULW124" t="s">
        <v>451</v>
      </c>
      <c r="ULX124" t="s">
        <v>451</v>
      </c>
      <c r="ULY124" t="s">
        <v>451</v>
      </c>
      <c r="ULZ124" t="s">
        <v>451</v>
      </c>
      <c r="UMA124" t="s">
        <v>451</v>
      </c>
      <c r="UMB124" t="s">
        <v>451</v>
      </c>
      <c r="UMC124" t="s">
        <v>451</v>
      </c>
      <c r="UMD124" t="s">
        <v>451</v>
      </c>
      <c r="UME124" t="s">
        <v>451</v>
      </c>
      <c r="UMF124" t="s">
        <v>451</v>
      </c>
      <c r="UMG124" t="s">
        <v>451</v>
      </c>
      <c r="UMH124" t="s">
        <v>451</v>
      </c>
      <c r="UMI124" t="s">
        <v>451</v>
      </c>
      <c r="UMJ124" t="s">
        <v>451</v>
      </c>
      <c r="UMK124" t="s">
        <v>451</v>
      </c>
      <c r="UML124" t="s">
        <v>451</v>
      </c>
      <c r="UMM124" t="s">
        <v>451</v>
      </c>
      <c r="UMN124" t="s">
        <v>451</v>
      </c>
      <c r="UMO124" t="s">
        <v>451</v>
      </c>
      <c r="UMP124" t="s">
        <v>451</v>
      </c>
      <c r="UMQ124" t="s">
        <v>451</v>
      </c>
      <c r="UMR124" t="s">
        <v>451</v>
      </c>
      <c r="UMS124" t="s">
        <v>451</v>
      </c>
      <c r="UMT124" t="s">
        <v>451</v>
      </c>
      <c r="UMU124" t="s">
        <v>451</v>
      </c>
      <c r="UMV124" t="s">
        <v>451</v>
      </c>
      <c r="UMW124" t="s">
        <v>451</v>
      </c>
      <c r="UMX124" t="s">
        <v>451</v>
      </c>
      <c r="UMY124" t="s">
        <v>451</v>
      </c>
      <c r="UMZ124" t="s">
        <v>451</v>
      </c>
      <c r="UNA124" t="s">
        <v>451</v>
      </c>
      <c r="UNB124" t="s">
        <v>451</v>
      </c>
      <c r="UNC124" t="s">
        <v>451</v>
      </c>
      <c r="UND124" t="s">
        <v>451</v>
      </c>
      <c r="UNE124" t="s">
        <v>451</v>
      </c>
      <c r="UNF124" t="s">
        <v>451</v>
      </c>
      <c r="UNG124" t="s">
        <v>451</v>
      </c>
      <c r="UNH124" t="s">
        <v>451</v>
      </c>
      <c r="UNI124" t="s">
        <v>451</v>
      </c>
      <c r="UNJ124" t="s">
        <v>451</v>
      </c>
      <c r="UNK124" t="s">
        <v>451</v>
      </c>
      <c r="UNL124" t="s">
        <v>451</v>
      </c>
      <c r="UNM124" t="s">
        <v>451</v>
      </c>
      <c r="UNN124" t="s">
        <v>451</v>
      </c>
      <c r="UNO124" t="s">
        <v>451</v>
      </c>
      <c r="UNP124" t="s">
        <v>451</v>
      </c>
      <c r="UNQ124" t="s">
        <v>451</v>
      </c>
      <c r="UNR124" t="s">
        <v>451</v>
      </c>
      <c r="UNS124" t="s">
        <v>451</v>
      </c>
      <c r="UNT124" t="s">
        <v>451</v>
      </c>
      <c r="UNU124" t="s">
        <v>451</v>
      </c>
      <c r="UNV124" t="s">
        <v>451</v>
      </c>
      <c r="UNW124" t="s">
        <v>451</v>
      </c>
      <c r="UNX124" t="s">
        <v>451</v>
      </c>
      <c r="UNY124" t="s">
        <v>451</v>
      </c>
      <c r="UNZ124" t="s">
        <v>451</v>
      </c>
      <c r="UOA124" t="s">
        <v>451</v>
      </c>
      <c r="UOB124" t="s">
        <v>451</v>
      </c>
      <c r="UOC124" t="s">
        <v>451</v>
      </c>
      <c r="UOD124" t="s">
        <v>451</v>
      </c>
      <c r="UOE124" t="s">
        <v>451</v>
      </c>
      <c r="UOF124" t="s">
        <v>451</v>
      </c>
      <c r="UOG124" t="s">
        <v>451</v>
      </c>
      <c r="UOH124" t="s">
        <v>451</v>
      </c>
      <c r="UOI124" t="s">
        <v>451</v>
      </c>
      <c r="UOJ124" t="s">
        <v>451</v>
      </c>
      <c r="UOK124" t="s">
        <v>451</v>
      </c>
      <c r="UOL124" t="s">
        <v>451</v>
      </c>
      <c r="UOM124" t="s">
        <v>451</v>
      </c>
      <c r="UON124" t="s">
        <v>451</v>
      </c>
      <c r="UOO124" t="s">
        <v>451</v>
      </c>
      <c r="UOP124" t="s">
        <v>451</v>
      </c>
      <c r="UOQ124" t="s">
        <v>451</v>
      </c>
      <c r="UOR124" t="s">
        <v>451</v>
      </c>
      <c r="UOS124" t="s">
        <v>451</v>
      </c>
      <c r="UOT124" t="s">
        <v>451</v>
      </c>
      <c r="UOU124" t="s">
        <v>451</v>
      </c>
      <c r="UOV124" t="s">
        <v>451</v>
      </c>
      <c r="UOW124" t="s">
        <v>451</v>
      </c>
      <c r="UOX124" t="s">
        <v>451</v>
      </c>
      <c r="UOY124" t="s">
        <v>451</v>
      </c>
      <c r="UOZ124" t="s">
        <v>451</v>
      </c>
      <c r="UPA124" t="s">
        <v>451</v>
      </c>
      <c r="UPB124" t="s">
        <v>451</v>
      </c>
      <c r="UPC124" t="s">
        <v>451</v>
      </c>
      <c r="UPD124" t="s">
        <v>451</v>
      </c>
      <c r="UPE124" t="s">
        <v>451</v>
      </c>
      <c r="UPF124" t="s">
        <v>451</v>
      </c>
      <c r="UPG124" t="s">
        <v>451</v>
      </c>
      <c r="UPH124" t="s">
        <v>451</v>
      </c>
      <c r="UPI124" t="s">
        <v>451</v>
      </c>
      <c r="UPJ124" t="s">
        <v>451</v>
      </c>
      <c r="UPK124" t="s">
        <v>451</v>
      </c>
      <c r="UPL124" t="s">
        <v>451</v>
      </c>
      <c r="UPM124" t="s">
        <v>451</v>
      </c>
      <c r="UPN124" t="s">
        <v>451</v>
      </c>
      <c r="UPO124" t="s">
        <v>451</v>
      </c>
      <c r="UPP124" t="s">
        <v>451</v>
      </c>
      <c r="UPQ124" t="s">
        <v>451</v>
      </c>
      <c r="UPR124" t="s">
        <v>451</v>
      </c>
      <c r="UPS124" t="s">
        <v>451</v>
      </c>
      <c r="UPT124" t="s">
        <v>451</v>
      </c>
      <c r="UPU124" t="s">
        <v>451</v>
      </c>
      <c r="UPV124" t="s">
        <v>451</v>
      </c>
      <c r="UPW124" t="s">
        <v>451</v>
      </c>
      <c r="UPX124" t="s">
        <v>451</v>
      </c>
      <c r="UPY124" t="s">
        <v>451</v>
      </c>
      <c r="UPZ124" t="s">
        <v>451</v>
      </c>
      <c r="UQA124" t="s">
        <v>451</v>
      </c>
      <c r="UQB124" t="s">
        <v>451</v>
      </c>
      <c r="UQC124" t="s">
        <v>451</v>
      </c>
      <c r="UQD124" t="s">
        <v>451</v>
      </c>
      <c r="UQE124" t="s">
        <v>451</v>
      </c>
      <c r="UQF124" t="s">
        <v>451</v>
      </c>
      <c r="UQG124" t="s">
        <v>451</v>
      </c>
      <c r="UQH124" t="s">
        <v>451</v>
      </c>
      <c r="UQI124" t="s">
        <v>451</v>
      </c>
      <c r="UQJ124" t="s">
        <v>451</v>
      </c>
      <c r="UQK124" t="s">
        <v>451</v>
      </c>
      <c r="UQL124" t="s">
        <v>451</v>
      </c>
      <c r="UQM124" t="s">
        <v>451</v>
      </c>
      <c r="UQN124" t="s">
        <v>451</v>
      </c>
      <c r="UQO124" t="s">
        <v>451</v>
      </c>
      <c r="UQP124" t="s">
        <v>451</v>
      </c>
      <c r="UQQ124" t="s">
        <v>451</v>
      </c>
      <c r="UQR124" t="s">
        <v>451</v>
      </c>
      <c r="UQS124" t="s">
        <v>451</v>
      </c>
      <c r="UQT124" t="s">
        <v>451</v>
      </c>
      <c r="UQU124" t="s">
        <v>451</v>
      </c>
      <c r="UQV124" t="s">
        <v>451</v>
      </c>
      <c r="UQW124" t="s">
        <v>451</v>
      </c>
      <c r="UQX124" t="s">
        <v>451</v>
      </c>
      <c r="UQY124" t="s">
        <v>451</v>
      </c>
      <c r="UQZ124" t="s">
        <v>451</v>
      </c>
      <c r="URA124" t="s">
        <v>451</v>
      </c>
      <c r="URB124" t="s">
        <v>451</v>
      </c>
      <c r="URC124" t="s">
        <v>451</v>
      </c>
      <c r="URD124" t="s">
        <v>451</v>
      </c>
      <c r="URE124" t="s">
        <v>451</v>
      </c>
      <c r="URF124" t="s">
        <v>451</v>
      </c>
      <c r="URG124" t="s">
        <v>451</v>
      </c>
      <c r="URH124" t="s">
        <v>451</v>
      </c>
      <c r="URI124" t="s">
        <v>451</v>
      </c>
      <c r="URJ124" t="s">
        <v>451</v>
      </c>
      <c r="URK124" t="s">
        <v>451</v>
      </c>
      <c r="URL124" t="s">
        <v>451</v>
      </c>
      <c r="URM124" t="s">
        <v>451</v>
      </c>
      <c r="URN124" t="s">
        <v>451</v>
      </c>
      <c r="URO124" t="s">
        <v>451</v>
      </c>
      <c r="URP124" t="s">
        <v>451</v>
      </c>
      <c r="URQ124" t="s">
        <v>451</v>
      </c>
      <c r="URR124" t="s">
        <v>451</v>
      </c>
      <c r="URS124" t="s">
        <v>451</v>
      </c>
      <c r="URT124" t="s">
        <v>451</v>
      </c>
      <c r="URU124" t="s">
        <v>451</v>
      </c>
      <c r="URV124" t="s">
        <v>451</v>
      </c>
      <c r="URW124" t="s">
        <v>451</v>
      </c>
      <c r="URX124" t="s">
        <v>451</v>
      </c>
      <c r="URY124" t="s">
        <v>451</v>
      </c>
      <c r="URZ124" t="s">
        <v>451</v>
      </c>
      <c r="USA124" t="s">
        <v>451</v>
      </c>
      <c r="USB124" t="s">
        <v>451</v>
      </c>
      <c r="USC124" t="s">
        <v>451</v>
      </c>
      <c r="USD124" t="s">
        <v>451</v>
      </c>
      <c r="USE124" t="s">
        <v>451</v>
      </c>
      <c r="USF124" t="s">
        <v>451</v>
      </c>
      <c r="USG124" t="s">
        <v>451</v>
      </c>
      <c r="USH124" t="s">
        <v>451</v>
      </c>
      <c r="USI124" t="s">
        <v>451</v>
      </c>
      <c r="USJ124" t="s">
        <v>451</v>
      </c>
      <c r="USK124" t="s">
        <v>451</v>
      </c>
      <c r="USL124" t="s">
        <v>451</v>
      </c>
      <c r="USM124" t="s">
        <v>451</v>
      </c>
      <c r="USN124" t="s">
        <v>451</v>
      </c>
      <c r="USO124" t="s">
        <v>451</v>
      </c>
      <c r="USP124" t="s">
        <v>451</v>
      </c>
      <c r="USQ124" t="s">
        <v>451</v>
      </c>
      <c r="USR124" t="s">
        <v>451</v>
      </c>
      <c r="USS124" t="s">
        <v>451</v>
      </c>
      <c r="UST124" t="s">
        <v>451</v>
      </c>
      <c r="USU124" t="s">
        <v>451</v>
      </c>
      <c r="USV124" t="s">
        <v>451</v>
      </c>
      <c r="USW124" t="s">
        <v>451</v>
      </c>
      <c r="USX124" t="s">
        <v>451</v>
      </c>
      <c r="USY124" t="s">
        <v>451</v>
      </c>
      <c r="USZ124" t="s">
        <v>451</v>
      </c>
      <c r="UTA124" t="s">
        <v>451</v>
      </c>
      <c r="UTB124" t="s">
        <v>451</v>
      </c>
      <c r="UTC124" t="s">
        <v>451</v>
      </c>
      <c r="UTD124" t="s">
        <v>451</v>
      </c>
      <c r="UTE124" t="s">
        <v>451</v>
      </c>
      <c r="UTF124" t="s">
        <v>451</v>
      </c>
      <c r="UTG124" t="s">
        <v>451</v>
      </c>
      <c r="UTH124" t="s">
        <v>451</v>
      </c>
      <c r="UTI124" t="s">
        <v>451</v>
      </c>
      <c r="UTJ124" t="s">
        <v>451</v>
      </c>
      <c r="UTK124" t="s">
        <v>451</v>
      </c>
      <c r="UTL124" t="s">
        <v>451</v>
      </c>
      <c r="UTM124" t="s">
        <v>451</v>
      </c>
      <c r="UTN124" t="s">
        <v>451</v>
      </c>
      <c r="UTO124" t="s">
        <v>451</v>
      </c>
      <c r="UTP124" t="s">
        <v>451</v>
      </c>
      <c r="UTQ124" t="s">
        <v>451</v>
      </c>
      <c r="UTR124" t="s">
        <v>451</v>
      </c>
      <c r="UTS124" t="s">
        <v>451</v>
      </c>
      <c r="UTT124" t="s">
        <v>451</v>
      </c>
      <c r="UTU124" t="s">
        <v>451</v>
      </c>
      <c r="UTV124" t="s">
        <v>451</v>
      </c>
      <c r="UTW124" t="s">
        <v>451</v>
      </c>
      <c r="UTX124" t="s">
        <v>451</v>
      </c>
      <c r="UTY124" t="s">
        <v>451</v>
      </c>
      <c r="UTZ124" t="s">
        <v>451</v>
      </c>
      <c r="UUA124" t="s">
        <v>451</v>
      </c>
      <c r="UUB124" t="s">
        <v>451</v>
      </c>
      <c r="UUC124" t="s">
        <v>451</v>
      </c>
      <c r="UUD124" t="s">
        <v>451</v>
      </c>
      <c r="UUE124" t="s">
        <v>451</v>
      </c>
      <c r="UUF124" t="s">
        <v>451</v>
      </c>
      <c r="UUG124" t="s">
        <v>451</v>
      </c>
      <c r="UUH124" t="s">
        <v>451</v>
      </c>
      <c r="UUI124" t="s">
        <v>451</v>
      </c>
      <c r="UUJ124" t="s">
        <v>451</v>
      </c>
      <c r="UUK124" t="s">
        <v>451</v>
      </c>
      <c r="UUL124" t="s">
        <v>451</v>
      </c>
      <c r="UUM124" t="s">
        <v>451</v>
      </c>
      <c r="UUN124" t="s">
        <v>451</v>
      </c>
      <c r="UUO124" t="s">
        <v>451</v>
      </c>
      <c r="UUP124" t="s">
        <v>451</v>
      </c>
      <c r="UUQ124" t="s">
        <v>451</v>
      </c>
      <c r="UUR124" t="s">
        <v>451</v>
      </c>
      <c r="UUS124" t="s">
        <v>451</v>
      </c>
      <c r="UUT124" t="s">
        <v>451</v>
      </c>
      <c r="UUU124" t="s">
        <v>451</v>
      </c>
      <c r="UUV124" t="s">
        <v>451</v>
      </c>
      <c r="UUW124" t="s">
        <v>451</v>
      </c>
      <c r="UUX124" t="s">
        <v>451</v>
      </c>
      <c r="UUY124" t="s">
        <v>451</v>
      </c>
      <c r="UUZ124" t="s">
        <v>451</v>
      </c>
      <c r="UVA124" t="s">
        <v>451</v>
      </c>
      <c r="UVB124" t="s">
        <v>451</v>
      </c>
      <c r="UVC124" t="s">
        <v>451</v>
      </c>
      <c r="UVD124" t="s">
        <v>451</v>
      </c>
      <c r="UVE124" t="s">
        <v>451</v>
      </c>
      <c r="UVF124" t="s">
        <v>451</v>
      </c>
      <c r="UVG124" t="s">
        <v>451</v>
      </c>
      <c r="UVH124" t="s">
        <v>451</v>
      </c>
      <c r="UVI124" t="s">
        <v>451</v>
      </c>
      <c r="UVJ124" t="s">
        <v>451</v>
      </c>
      <c r="UVK124" t="s">
        <v>451</v>
      </c>
      <c r="UVL124" t="s">
        <v>451</v>
      </c>
      <c r="UVM124" t="s">
        <v>451</v>
      </c>
      <c r="UVN124" t="s">
        <v>451</v>
      </c>
      <c r="UVO124" t="s">
        <v>451</v>
      </c>
      <c r="UVP124" t="s">
        <v>451</v>
      </c>
      <c r="UVQ124" t="s">
        <v>451</v>
      </c>
      <c r="UVR124" t="s">
        <v>451</v>
      </c>
      <c r="UVS124" t="s">
        <v>451</v>
      </c>
      <c r="UVT124" t="s">
        <v>451</v>
      </c>
      <c r="UVU124" t="s">
        <v>451</v>
      </c>
      <c r="UVV124" t="s">
        <v>451</v>
      </c>
      <c r="UVW124" t="s">
        <v>451</v>
      </c>
      <c r="UVX124" t="s">
        <v>451</v>
      </c>
      <c r="UVY124" t="s">
        <v>451</v>
      </c>
      <c r="UVZ124" t="s">
        <v>451</v>
      </c>
      <c r="UWA124" t="s">
        <v>451</v>
      </c>
      <c r="UWB124" t="s">
        <v>451</v>
      </c>
      <c r="UWC124" t="s">
        <v>451</v>
      </c>
      <c r="UWD124" t="s">
        <v>451</v>
      </c>
      <c r="UWE124" t="s">
        <v>451</v>
      </c>
      <c r="UWF124" t="s">
        <v>451</v>
      </c>
      <c r="UWG124" t="s">
        <v>451</v>
      </c>
      <c r="UWH124" t="s">
        <v>451</v>
      </c>
      <c r="UWI124" t="s">
        <v>451</v>
      </c>
      <c r="UWJ124" t="s">
        <v>451</v>
      </c>
      <c r="UWK124" t="s">
        <v>451</v>
      </c>
      <c r="UWL124" t="s">
        <v>451</v>
      </c>
      <c r="UWM124" t="s">
        <v>451</v>
      </c>
      <c r="UWN124" t="s">
        <v>451</v>
      </c>
      <c r="UWO124" t="s">
        <v>451</v>
      </c>
      <c r="UWP124" t="s">
        <v>451</v>
      </c>
      <c r="UWQ124" t="s">
        <v>451</v>
      </c>
      <c r="UWR124" t="s">
        <v>451</v>
      </c>
      <c r="UWS124" t="s">
        <v>451</v>
      </c>
      <c r="UWT124" t="s">
        <v>451</v>
      </c>
      <c r="UWU124" t="s">
        <v>451</v>
      </c>
      <c r="UWV124" t="s">
        <v>451</v>
      </c>
      <c r="UWW124" t="s">
        <v>451</v>
      </c>
      <c r="UWX124" t="s">
        <v>451</v>
      </c>
      <c r="UWY124" t="s">
        <v>451</v>
      </c>
      <c r="UWZ124" t="s">
        <v>451</v>
      </c>
      <c r="UXA124" t="s">
        <v>451</v>
      </c>
      <c r="UXB124" t="s">
        <v>451</v>
      </c>
      <c r="UXC124" t="s">
        <v>451</v>
      </c>
      <c r="UXD124" t="s">
        <v>451</v>
      </c>
      <c r="UXE124" t="s">
        <v>451</v>
      </c>
      <c r="UXF124" t="s">
        <v>451</v>
      </c>
      <c r="UXG124" t="s">
        <v>451</v>
      </c>
      <c r="UXH124" t="s">
        <v>451</v>
      </c>
      <c r="UXI124" t="s">
        <v>451</v>
      </c>
      <c r="UXJ124" t="s">
        <v>451</v>
      </c>
      <c r="UXK124" t="s">
        <v>451</v>
      </c>
      <c r="UXL124" t="s">
        <v>451</v>
      </c>
      <c r="UXM124" t="s">
        <v>451</v>
      </c>
      <c r="UXN124" t="s">
        <v>451</v>
      </c>
      <c r="UXO124" t="s">
        <v>451</v>
      </c>
      <c r="UXP124" t="s">
        <v>451</v>
      </c>
      <c r="UXQ124" t="s">
        <v>451</v>
      </c>
      <c r="UXR124" t="s">
        <v>451</v>
      </c>
      <c r="UXS124" t="s">
        <v>451</v>
      </c>
      <c r="UXT124" t="s">
        <v>451</v>
      </c>
      <c r="UXU124" t="s">
        <v>451</v>
      </c>
      <c r="UXV124" t="s">
        <v>451</v>
      </c>
      <c r="UXW124" t="s">
        <v>451</v>
      </c>
      <c r="UXX124" t="s">
        <v>451</v>
      </c>
      <c r="UXY124" t="s">
        <v>451</v>
      </c>
      <c r="UXZ124" t="s">
        <v>451</v>
      </c>
      <c r="UYA124" t="s">
        <v>451</v>
      </c>
      <c r="UYB124" t="s">
        <v>451</v>
      </c>
      <c r="UYC124" t="s">
        <v>451</v>
      </c>
      <c r="UYD124" t="s">
        <v>451</v>
      </c>
      <c r="UYE124" t="s">
        <v>451</v>
      </c>
      <c r="UYF124" t="s">
        <v>451</v>
      </c>
      <c r="UYG124" t="s">
        <v>451</v>
      </c>
      <c r="UYH124" t="s">
        <v>451</v>
      </c>
      <c r="UYI124" t="s">
        <v>451</v>
      </c>
      <c r="UYJ124" t="s">
        <v>451</v>
      </c>
      <c r="UYK124" t="s">
        <v>451</v>
      </c>
      <c r="UYL124" t="s">
        <v>451</v>
      </c>
      <c r="UYM124" t="s">
        <v>451</v>
      </c>
      <c r="UYN124" t="s">
        <v>451</v>
      </c>
      <c r="UYO124" t="s">
        <v>451</v>
      </c>
      <c r="UYP124" t="s">
        <v>451</v>
      </c>
      <c r="UYQ124" t="s">
        <v>451</v>
      </c>
      <c r="UYR124" t="s">
        <v>451</v>
      </c>
      <c r="UYS124" t="s">
        <v>451</v>
      </c>
      <c r="UYT124" t="s">
        <v>451</v>
      </c>
      <c r="UYU124" t="s">
        <v>451</v>
      </c>
      <c r="UYV124" t="s">
        <v>451</v>
      </c>
      <c r="UYW124" t="s">
        <v>451</v>
      </c>
      <c r="UYX124" t="s">
        <v>451</v>
      </c>
      <c r="UYY124" t="s">
        <v>451</v>
      </c>
      <c r="UYZ124" t="s">
        <v>451</v>
      </c>
      <c r="UZA124" t="s">
        <v>451</v>
      </c>
      <c r="UZB124" t="s">
        <v>451</v>
      </c>
      <c r="UZC124" t="s">
        <v>451</v>
      </c>
      <c r="UZD124" t="s">
        <v>451</v>
      </c>
      <c r="UZE124" t="s">
        <v>451</v>
      </c>
      <c r="UZF124" t="s">
        <v>451</v>
      </c>
      <c r="UZG124" t="s">
        <v>451</v>
      </c>
      <c r="UZH124" t="s">
        <v>451</v>
      </c>
      <c r="UZI124" t="s">
        <v>451</v>
      </c>
      <c r="UZJ124" t="s">
        <v>451</v>
      </c>
      <c r="UZK124" t="s">
        <v>451</v>
      </c>
      <c r="UZL124" t="s">
        <v>451</v>
      </c>
      <c r="UZM124" t="s">
        <v>451</v>
      </c>
      <c r="UZN124" t="s">
        <v>451</v>
      </c>
      <c r="UZO124" t="s">
        <v>451</v>
      </c>
      <c r="UZP124" t="s">
        <v>451</v>
      </c>
      <c r="UZQ124" t="s">
        <v>451</v>
      </c>
      <c r="UZR124" t="s">
        <v>451</v>
      </c>
      <c r="UZS124" t="s">
        <v>451</v>
      </c>
      <c r="UZT124" t="s">
        <v>451</v>
      </c>
      <c r="UZU124" t="s">
        <v>451</v>
      </c>
      <c r="UZV124" t="s">
        <v>451</v>
      </c>
      <c r="UZW124" t="s">
        <v>451</v>
      </c>
      <c r="UZX124" t="s">
        <v>451</v>
      </c>
      <c r="UZY124" t="s">
        <v>451</v>
      </c>
      <c r="UZZ124" t="s">
        <v>451</v>
      </c>
      <c r="VAA124" t="s">
        <v>451</v>
      </c>
      <c r="VAB124" t="s">
        <v>451</v>
      </c>
      <c r="VAC124" t="s">
        <v>451</v>
      </c>
      <c r="VAD124" t="s">
        <v>451</v>
      </c>
      <c r="VAE124" t="s">
        <v>451</v>
      </c>
      <c r="VAF124" t="s">
        <v>451</v>
      </c>
      <c r="VAG124" t="s">
        <v>451</v>
      </c>
      <c r="VAH124" t="s">
        <v>451</v>
      </c>
      <c r="VAI124" t="s">
        <v>451</v>
      </c>
      <c r="VAJ124" t="s">
        <v>451</v>
      </c>
      <c r="VAK124" t="s">
        <v>451</v>
      </c>
      <c r="VAL124" t="s">
        <v>451</v>
      </c>
      <c r="VAM124" t="s">
        <v>451</v>
      </c>
      <c r="VAN124" t="s">
        <v>451</v>
      </c>
      <c r="VAO124" t="s">
        <v>451</v>
      </c>
      <c r="VAP124" t="s">
        <v>451</v>
      </c>
      <c r="VAQ124" t="s">
        <v>451</v>
      </c>
      <c r="VAR124" t="s">
        <v>451</v>
      </c>
      <c r="VAS124" t="s">
        <v>451</v>
      </c>
      <c r="VAT124" t="s">
        <v>451</v>
      </c>
      <c r="VAU124" t="s">
        <v>451</v>
      </c>
      <c r="VAV124" t="s">
        <v>451</v>
      </c>
      <c r="VAW124" t="s">
        <v>451</v>
      </c>
      <c r="VAX124" t="s">
        <v>451</v>
      </c>
      <c r="VAY124" t="s">
        <v>451</v>
      </c>
      <c r="VAZ124" t="s">
        <v>451</v>
      </c>
      <c r="VBA124" t="s">
        <v>451</v>
      </c>
      <c r="VBB124" t="s">
        <v>451</v>
      </c>
      <c r="VBC124" t="s">
        <v>451</v>
      </c>
      <c r="VBD124" t="s">
        <v>451</v>
      </c>
      <c r="VBE124" t="s">
        <v>451</v>
      </c>
      <c r="VBF124" t="s">
        <v>451</v>
      </c>
      <c r="VBG124" t="s">
        <v>451</v>
      </c>
      <c r="VBH124" t="s">
        <v>451</v>
      </c>
      <c r="VBI124" t="s">
        <v>451</v>
      </c>
      <c r="VBJ124" t="s">
        <v>451</v>
      </c>
      <c r="VBK124" t="s">
        <v>451</v>
      </c>
      <c r="VBL124" t="s">
        <v>451</v>
      </c>
      <c r="VBM124" t="s">
        <v>451</v>
      </c>
      <c r="VBN124" t="s">
        <v>451</v>
      </c>
      <c r="VBO124" t="s">
        <v>451</v>
      </c>
      <c r="VBP124" t="s">
        <v>451</v>
      </c>
      <c r="VBQ124" t="s">
        <v>451</v>
      </c>
      <c r="VBR124" t="s">
        <v>451</v>
      </c>
      <c r="VBS124" t="s">
        <v>451</v>
      </c>
      <c r="VBT124" t="s">
        <v>451</v>
      </c>
      <c r="VBU124" t="s">
        <v>451</v>
      </c>
      <c r="VBV124" t="s">
        <v>451</v>
      </c>
      <c r="VBW124" t="s">
        <v>451</v>
      </c>
      <c r="VBX124" t="s">
        <v>451</v>
      </c>
      <c r="VBY124" t="s">
        <v>451</v>
      </c>
      <c r="VBZ124" t="s">
        <v>451</v>
      </c>
      <c r="VCA124" t="s">
        <v>451</v>
      </c>
      <c r="VCB124" t="s">
        <v>451</v>
      </c>
      <c r="VCC124" t="s">
        <v>451</v>
      </c>
      <c r="VCD124" t="s">
        <v>451</v>
      </c>
      <c r="VCE124" t="s">
        <v>451</v>
      </c>
      <c r="VCF124" t="s">
        <v>451</v>
      </c>
      <c r="VCG124" t="s">
        <v>451</v>
      </c>
      <c r="VCH124" t="s">
        <v>451</v>
      </c>
      <c r="VCI124" t="s">
        <v>451</v>
      </c>
      <c r="VCJ124" t="s">
        <v>451</v>
      </c>
      <c r="VCK124" t="s">
        <v>451</v>
      </c>
      <c r="VCL124" t="s">
        <v>451</v>
      </c>
      <c r="VCM124" t="s">
        <v>451</v>
      </c>
      <c r="VCN124" t="s">
        <v>451</v>
      </c>
      <c r="VCO124" t="s">
        <v>451</v>
      </c>
      <c r="VCP124" t="s">
        <v>451</v>
      </c>
      <c r="VCQ124" t="s">
        <v>451</v>
      </c>
      <c r="VCR124" t="s">
        <v>451</v>
      </c>
      <c r="VCS124" t="s">
        <v>451</v>
      </c>
      <c r="VCT124" t="s">
        <v>451</v>
      </c>
      <c r="VCU124" t="s">
        <v>451</v>
      </c>
      <c r="VCV124" t="s">
        <v>451</v>
      </c>
      <c r="VCW124" t="s">
        <v>451</v>
      </c>
      <c r="VCX124" t="s">
        <v>451</v>
      </c>
      <c r="VCY124" t="s">
        <v>451</v>
      </c>
      <c r="VCZ124" t="s">
        <v>451</v>
      </c>
      <c r="VDA124" t="s">
        <v>451</v>
      </c>
      <c r="VDB124" t="s">
        <v>451</v>
      </c>
      <c r="VDC124" t="s">
        <v>451</v>
      </c>
      <c r="VDD124" t="s">
        <v>451</v>
      </c>
      <c r="VDE124" t="s">
        <v>451</v>
      </c>
      <c r="VDF124" t="s">
        <v>451</v>
      </c>
      <c r="VDG124" t="s">
        <v>451</v>
      </c>
      <c r="VDH124" t="s">
        <v>451</v>
      </c>
      <c r="VDI124" t="s">
        <v>451</v>
      </c>
      <c r="VDJ124" t="s">
        <v>451</v>
      </c>
      <c r="VDK124" t="s">
        <v>451</v>
      </c>
      <c r="VDL124" t="s">
        <v>451</v>
      </c>
      <c r="VDM124" t="s">
        <v>451</v>
      </c>
      <c r="VDN124" t="s">
        <v>451</v>
      </c>
      <c r="VDO124" t="s">
        <v>451</v>
      </c>
      <c r="VDP124" t="s">
        <v>451</v>
      </c>
      <c r="VDQ124" t="s">
        <v>451</v>
      </c>
      <c r="VDR124" t="s">
        <v>451</v>
      </c>
      <c r="VDS124" t="s">
        <v>451</v>
      </c>
      <c r="VDT124" t="s">
        <v>451</v>
      </c>
      <c r="VDU124" t="s">
        <v>451</v>
      </c>
      <c r="VDV124" t="s">
        <v>451</v>
      </c>
      <c r="VDW124" t="s">
        <v>451</v>
      </c>
      <c r="VDX124" t="s">
        <v>451</v>
      </c>
      <c r="VDY124" t="s">
        <v>451</v>
      </c>
      <c r="VDZ124" t="s">
        <v>451</v>
      </c>
      <c r="VEA124" t="s">
        <v>451</v>
      </c>
      <c r="VEB124" t="s">
        <v>451</v>
      </c>
      <c r="VEC124" t="s">
        <v>451</v>
      </c>
      <c r="VED124" t="s">
        <v>451</v>
      </c>
      <c r="VEE124" t="s">
        <v>451</v>
      </c>
      <c r="VEF124" t="s">
        <v>451</v>
      </c>
      <c r="VEG124" t="s">
        <v>451</v>
      </c>
      <c r="VEH124" t="s">
        <v>451</v>
      </c>
      <c r="VEI124" t="s">
        <v>451</v>
      </c>
      <c r="VEJ124" t="s">
        <v>451</v>
      </c>
      <c r="VEK124" t="s">
        <v>451</v>
      </c>
      <c r="VEL124" t="s">
        <v>451</v>
      </c>
      <c r="VEM124" t="s">
        <v>451</v>
      </c>
      <c r="VEN124" t="s">
        <v>451</v>
      </c>
      <c r="VEO124" t="s">
        <v>451</v>
      </c>
      <c r="VEP124" t="s">
        <v>451</v>
      </c>
      <c r="VEQ124" t="s">
        <v>451</v>
      </c>
      <c r="VER124" t="s">
        <v>451</v>
      </c>
      <c r="VES124" t="s">
        <v>451</v>
      </c>
      <c r="VET124" t="s">
        <v>451</v>
      </c>
      <c r="VEU124" t="s">
        <v>451</v>
      </c>
      <c r="VEV124" t="s">
        <v>451</v>
      </c>
      <c r="VEW124" t="s">
        <v>451</v>
      </c>
      <c r="VEX124" t="s">
        <v>451</v>
      </c>
      <c r="VEY124" t="s">
        <v>451</v>
      </c>
      <c r="VEZ124" t="s">
        <v>451</v>
      </c>
      <c r="VFA124" t="s">
        <v>451</v>
      </c>
      <c r="VFB124" t="s">
        <v>451</v>
      </c>
      <c r="VFC124" t="s">
        <v>451</v>
      </c>
      <c r="VFD124" t="s">
        <v>451</v>
      </c>
      <c r="VFE124" t="s">
        <v>451</v>
      </c>
      <c r="VFF124" t="s">
        <v>451</v>
      </c>
      <c r="VFG124" t="s">
        <v>451</v>
      </c>
      <c r="VFH124" t="s">
        <v>451</v>
      </c>
      <c r="VFI124" t="s">
        <v>451</v>
      </c>
      <c r="VFJ124" t="s">
        <v>451</v>
      </c>
      <c r="VFK124" t="s">
        <v>451</v>
      </c>
      <c r="VFL124" t="s">
        <v>451</v>
      </c>
      <c r="VFM124" t="s">
        <v>451</v>
      </c>
      <c r="VFN124" t="s">
        <v>451</v>
      </c>
      <c r="VFO124" t="s">
        <v>451</v>
      </c>
      <c r="VFP124" t="s">
        <v>451</v>
      </c>
      <c r="VFQ124" t="s">
        <v>451</v>
      </c>
      <c r="VFR124" t="s">
        <v>451</v>
      </c>
      <c r="VFS124" t="s">
        <v>451</v>
      </c>
      <c r="VFT124" t="s">
        <v>451</v>
      </c>
      <c r="VFU124" t="s">
        <v>451</v>
      </c>
      <c r="VFV124" t="s">
        <v>451</v>
      </c>
      <c r="VFW124" t="s">
        <v>451</v>
      </c>
      <c r="VFX124" t="s">
        <v>451</v>
      </c>
      <c r="VFY124" t="s">
        <v>451</v>
      </c>
      <c r="VFZ124" t="s">
        <v>451</v>
      </c>
      <c r="VGA124" t="s">
        <v>451</v>
      </c>
      <c r="VGB124" t="s">
        <v>451</v>
      </c>
      <c r="VGC124" t="s">
        <v>451</v>
      </c>
      <c r="VGD124" t="s">
        <v>451</v>
      </c>
      <c r="VGE124" t="s">
        <v>451</v>
      </c>
      <c r="VGF124" t="s">
        <v>451</v>
      </c>
      <c r="VGG124" t="s">
        <v>451</v>
      </c>
      <c r="VGH124" t="s">
        <v>451</v>
      </c>
      <c r="VGI124" t="s">
        <v>451</v>
      </c>
      <c r="VGJ124" t="s">
        <v>451</v>
      </c>
      <c r="VGK124" t="s">
        <v>451</v>
      </c>
      <c r="VGL124" t="s">
        <v>451</v>
      </c>
      <c r="VGM124" t="s">
        <v>451</v>
      </c>
      <c r="VGN124" t="s">
        <v>451</v>
      </c>
      <c r="VGO124" t="s">
        <v>451</v>
      </c>
      <c r="VGP124" t="s">
        <v>451</v>
      </c>
      <c r="VGQ124" t="s">
        <v>451</v>
      </c>
      <c r="VGR124" t="s">
        <v>451</v>
      </c>
      <c r="VGS124" t="s">
        <v>451</v>
      </c>
      <c r="VGT124" t="s">
        <v>451</v>
      </c>
      <c r="VGU124" t="s">
        <v>451</v>
      </c>
      <c r="VGV124" t="s">
        <v>451</v>
      </c>
      <c r="VGW124" t="s">
        <v>451</v>
      </c>
      <c r="VGX124" t="s">
        <v>451</v>
      </c>
      <c r="VGY124" t="s">
        <v>451</v>
      </c>
      <c r="VGZ124" t="s">
        <v>451</v>
      </c>
      <c r="VHA124" t="s">
        <v>451</v>
      </c>
      <c r="VHB124" t="s">
        <v>451</v>
      </c>
      <c r="VHC124" t="s">
        <v>451</v>
      </c>
      <c r="VHD124" t="s">
        <v>451</v>
      </c>
      <c r="VHE124" t="s">
        <v>451</v>
      </c>
      <c r="VHF124" t="s">
        <v>451</v>
      </c>
      <c r="VHG124" t="s">
        <v>451</v>
      </c>
      <c r="VHH124" t="s">
        <v>451</v>
      </c>
      <c r="VHI124" t="s">
        <v>451</v>
      </c>
      <c r="VHJ124" t="s">
        <v>451</v>
      </c>
      <c r="VHK124" t="s">
        <v>451</v>
      </c>
      <c r="VHL124" t="s">
        <v>451</v>
      </c>
      <c r="VHM124" t="s">
        <v>451</v>
      </c>
      <c r="VHN124" t="s">
        <v>451</v>
      </c>
      <c r="VHO124" t="s">
        <v>451</v>
      </c>
      <c r="VHP124" t="s">
        <v>451</v>
      </c>
      <c r="VHQ124" t="s">
        <v>451</v>
      </c>
      <c r="VHR124" t="s">
        <v>451</v>
      </c>
      <c r="VHS124" t="s">
        <v>451</v>
      </c>
      <c r="VHT124" t="s">
        <v>451</v>
      </c>
      <c r="VHU124" t="s">
        <v>451</v>
      </c>
      <c r="VHV124" t="s">
        <v>451</v>
      </c>
      <c r="VHW124" t="s">
        <v>451</v>
      </c>
      <c r="VHX124" t="s">
        <v>451</v>
      </c>
      <c r="VHY124" t="s">
        <v>451</v>
      </c>
      <c r="VHZ124" t="s">
        <v>451</v>
      </c>
      <c r="VIA124" t="s">
        <v>451</v>
      </c>
      <c r="VIB124" t="s">
        <v>451</v>
      </c>
      <c r="VIC124" t="s">
        <v>451</v>
      </c>
      <c r="VID124" t="s">
        <v>451</v>
      </c>
      <c r="VIE124" t="s">
        <v>451</v>
      </c>
      <c r="VIF124" t="s">
        <v>451</v>
      </c>
      <c r="VIG124" t="s">
        <v>451</v>
      </c>
      <c r="VIH124" t="s">
        <v>451</v>
      </c>
      <c r="VII124" t="s">
        <v>451</v>
      </c>
      <c r="VIJ124" t="s">
        <v>451</v>
      </c>
      <c r="VIK124" t="s">
        <v>451</v>
      </c>
      <c r="VIL124" t="s">
        <v>451</v>
      </c>
      <c r="VIM124" t="s">
        <v>451</v>
      </c>
      <c r="VIN124" t="s">
        <v>451</v>
      </c>
      <c r="VIO124" t="s">
        <v>451</v>
      </c>
      <c r="VIP124" t="s">
        <v>451</v>
      </c>
      <c r="VIQ124" t="s">
        <v>451</v>
      </c>
      <c r="VIR124" t="s">
        <v>451</v>
      </c>
      <c r="VIS124" t="s">
        <v>451</v>
      </c>
      <c r="VIT124" t="s">
        <v>451</v>
      </c>
      <c r="VIU124" t="s">
        <v>451</v>
      </c>
      <c r="VIV124" t="s">
        <v>451</v>
      </c>
      <c r="VIW124" t="s">
        <v>451</v>
      </c>
      <c r="VIX124" t="s">
        <v>451</v>
      </c>
      <c r="VIY124" t="s">
        <v>451</v>
      </c>
      <c r="VIZ124" t="s">
        <v>451</v>
      </c>
      <c r="VJA124" t="s">
        <v>451</v>
      </c>
      <c r="VJB124" t="s">
        <v>451</v>
      </c>
      <c r="VJC124" t="s">
        <v>451</v>
      </c>
      <c r="VJD124" t="s">
        <v>451</v>
      </c>
      <c r="VJE124" t="s">
        <v>451</v>
      </c>
      <c r="VJF124" t="s">
        <v>451</v>
      </c>
      <c r="VJG124" t="s">
        <v>451</v>
      </c>
      <c r="VJH124" t="s">
        <v>451</v>
      </c>
      <c r="VJI124" t="s">
        <v>451</v>
      </c>
      <c r="VJJ124" t="s">
        <v>451</v>
      </c>
      <c r="VJK124" t="s">
        <v>451</v>
      </c>
      <c r="VJL124" t="s">
        <v>451</v>
      </c>
      <c r="VJM124" t="s">
        <v>451</v>
      </c>
      <c r="VJN124" t="s">
        <v>451</v>
      </c>
      <c r="VJO124" t="s">
        <v>451</v>
      </c>
      <c r="VJP124" t="s">
        <v>451</v>
      </c>
      <c r="VJQ124" t="s">
        <v>451</v>
      </c>
      <c r="VJR124" t="s">
        <v>451</v>
      </c>
      <c r="VJS124" t="s">
        <v>451</v>
      </c>
      <c r="VJT124" t="s">
        <v>451</v>
      </c>
      <c r="VJU124" t="s">
        <v>451</v>
      </c>
      <c r="VJV124" t="s">
        <v>451</v>
      </c>
      <c r="VJW124" t="s">
        <v>451</v>
      </c>
      <c r="VJX124" t="s">
        <v>451</v>
      </c>
      <c r="VJY124" t="s">
        <v>451</v>
      </c>
      <c r="VJZ124" t="s">
        <v>451</v>
      </c>
      <c r="VKA124" t="s">
        <v>451</v>
      </c>
      <c r="VKB124" t="s">
        <v>451</v>
      </c>
      <c r="VKC124" t="s">
        <v>451</v>
      </c>
      <c r="VKD124" t="s">
        <v>451</v>
      </c>
      <c r="VKE124" t="s">
        <v>451</v>
      </c>
      <c r="VKF124" t="s">
        <v>451</v>
      </c>
      <c r="VKG124" t="s">
        <v>451</v>
      </c>
      <c r="VKH124" t="s">
        <v>451</v>
      </c>
      <c r="VKI124" t="s">
        <v>451</v>
      </c>
      <c r="VKJ124" t="s">
        <v>451</v>
      </c>
      <c r="VKK124" t="s">
        <v>451</v>
      </c>
      <c r="VKL124" t="s">
        <v>451</v>
      </c>
      <c r="VKM124" t="s">
        <v>451</v>
      </c>
      <c r="VKN124" t="s">
        <v>451</v>
      </c>
      <c r="VKO124" t="s">
        <v>451</v>
      </c>
      <c r="VKP124" t="s">
        <v>451</v>
      </c>
      <c r="VKQ124" t="s">
        <v>451</v>
      </c>
      <c r="VKR124" t="s">
        <v>451</v>
      </c>
      <c r="VKS124" t="s">
        <v>451</v>
      </c>
      <c r="VKT124" t="s">
        <v>451</v>
      </c>
      <c r="VKU124" t="s">
        <v>451</v>
      </c>
      <c r="VKV124" t="s">
        <v>451</v>
      </c>
      <c r="VKW124" t="s">
        <v>451</v>
      </c>
      <c r="VKX124" t="s">
        <v>451</v>
      </c>
      <c r="VKY124" t="s">
        <v>451</v>
      </c>
      <c r="VKZ124" t="s">
        <v>451</v>
      </c>
      <c r="VLA124" t="s">
        <v>451</v>
      </c>
      <c r="VLB124" t="s">
        <v>451</v>
      </c>
      <c r="VLC124" t="s">
        <v>451</v>
      </c>
      <c r="VLD124" t="s">
        <v>451</v>
      </c>
      <c r="VLE124" t="s">
        <v>451</v>
      </c>
      <c r="VLF124" t="s">
        <v>451</v>
      </c>
      <c r="VLG124" t="s">
        <v>451</v>
      </c>
      <c r="VLH124" t="s">
        <v>451</v>
      </c>
      <c r="VLI124" t="s">
        <v>451</v>
      </c>
      <c r="VLJ124" t="s">
        <v>451</v>
      </c>
      <c r="VLK124" t="s">
        <v>451</v>
      </c>
      <c r="VLL124" t="s">
        <v>451</v>
      </c>
      <c r="VLM124" t="s">
        <v>451</v>
      </c>
      <c r="VLN124" t="s">
        <v>451</v>
      </c>
      <c r="VLO124" t="s">
        <v>451</v>
      </c>
      <c r="VLP124" t="s">
        <v>451</v>
      </c>
      <c r="VLQ124" t="s">
        <v>451</v>
      </c>
      <c r="VLR124" t="s">
        <v>451</v>
      </c>
      <c r="VLS124" t="s">
        <v>451</v>
      </c>
      <c r="VLT124" t="s">
        <v>451</v>
      </c>
      <c r="VLU124" t="s">
        <v>451</v>
      </c>
      <c r="VLV124" t="s">
        <v>451</v>
      </c>
      <c r="VLW124" t="s">
        <v>451</v>
      </c>
      <c r="VLX124" t="s">
        <v>451</v>
      </c>
      <c r="VLY124" t="s">
        <v>451</v>
      </c>
      <c r="VLZ124" t="s">
        <v>451</v>
      </c>
      <c r="VMA124" t="s">
        <v>451</v>
      </c>
      <c r="VMB124" t="s">
        <v>451</v>
      </c>
      <c r="VMC124" t="s">
        <v>451</v>
      </c>
      <c r="VMD124" t="s">
        <v>451</v>
      </c>
      <c r="VME124" t="s">
        <v>451</v>
      </c>
      <c r="VMF124" t="s">
        <v>451</v>
      </c>
      <c r="VMG124" t="s">
        <v>451</v>
      </c>
      <c r="VMH124" t="s">
        <v>451</v>
      </c>
      <c r="VMI124" t="s">
        <v>451</v>
      </c>
      <c r="VMJ124" t="s">
        <v>451</v>
      </c>
      <c r="VMK124" t="s">
        <v>451</v>
      </c>
      <c r="VML124" t="s">
        <v>451</v>
      </c>
      <c r="VMM124" t="s">
        <v>451</v>
      </c>
      <c r="VMN124" t="s">
        <v>451</v>
      </c>
      <c r="VMO124" t="s">
        <v>451</v>
      </c>
      <c r="VMP124" t="s">
        <v>451</v>
      </c>
      <c r="VMQ124" t="s">
        <v>451</v>
      </c>
      <c r="VMR124" t="s">
        <v>451</v>
      </c>
      <c r="VMS124" t="s">
        <v>451</v>
      </c>
      <c r="VMT124" t="s">
        <v>451</v>
      </c>
      <c r="VMU124" t="s">
        <v>451</v>
      </c>
      <c r="VMV124" t="s">
        <v>451</v>
      </c>
      <c r="VMW124" t="s">
        <v>451</v>
      </c>
      <c r="VMX124" t="s">
        <v>451</v>
      </c>
      <c r="VMY124" t="s">
        <v>451</v>
      </c>
      <c r="VMZ124" t="s">
        <v>451</v>
      </c>
      <c r="VNA124" t="s">
        <v>451</v>
      </c>
      <c r="VNB124" t="s">
        <v>451</v>
      </c>
      <c r="VNC124" t="s">
        <v>451</v>
      </c>
      <c r="VND124" t="s">
        <v>451</v>
      </c>
      <c r="VNE124" t="s">
        <v>451</v>
      </c>
      <c r="VNF124" t="s">
        <v>451</v>
      </c>
      <c r="VNG124" t="s">
        <v>451</v>
      </c>
      <c r="VNH124" t="s">
        <v>451</v>
      </c>
      <c r="VNI124" t="s">
        <v>451</v>
      </c>
      <c r="VNJ124" t="s">
        <v>451</v>
      </c>
      <c r="VNK124" t="s">
        <v>451</v>
      </c>
      <c r="VNL124" t="s">
        <v>451</v>
      </c>
      <c r="VNM124" t="s">
        <v>451</v>
      </c>
      <c r="VNN124" t="s">
        <v>451</v>
      </c>
      <c r="VNO124" t="s">
        <v>451</v>
      </c>
      <c r="VNP124" t="s">
        <v>451</v>
      </c>
      <c r="VNQ124" t="s">
        <v>451</v>
      </c>
      <c r="VNR124" t="s">
        <v>451</v>
      </c>
      <c r="VNS124" t="s">
        <v>451</v>
      </c>
      <c r="VNT124" t="s">
        <v>451</v>
      </c>
      <c r="VNU124" t="s">
        <v>451</v>
      </c>
      <c r="VNV124" t="s">
        <v>451</v>
      </c>
      <c r="VNW124" t="s">
        <v>451</v>
      </c>
      <c r="VNX124" t="s">
        <v>451</v>
      </c>
      <c r="VNY124" t="s">
        <v>451</v>
      </c>
      <c r="VNZ124" t="s">
        <v>451</v>
      </c>
      <c r="VOA124" t="s">
        <v>451</v>
      </c>
      <c r="VOB124" t="s">
        <v>451</v>
      </c>
      <c r="VOC124" t="s">
        <v>451</v>
      </c>
      <c r="VOD124" t="s">
        <v>451</v>
      </c>
      <c r="VOE124" t="s">
        <v>451</v>
      </c>
      <c r="VOF124" t="s">
        <v>451</v>
      </c>
      <c r="VOG124" t="s">
        <v>451</v>
      </c>
      <c r="VOH124" t="s">
        <v>451</v>
      </c>
      <c r="VOI124" t="s">
        <v>451</v>
      </c>
      <c r="VOJ124" t="s">
        <v>451</v>
      </c>
      <c r="VOK124" t="s">
        <v>451</v>
      </c>
      <c r="VOL124" t="s">
        <v>451</v>
      </c>
      <c r="VOM124" t="s">
        <v>451</v>
      </c>
      <c r="VON124" t="s">
        <v>451</v>
      </c>
      <c r="VOO124" t="s">
        <v>451</v>
      </c>
      <c r="VOP124" t="s">
        <v>451</v>
      </c>
      <c r="VOQ124" t="s">
        <v>451</v>
      </c>
      <c r="VOR124" t="s">
        <v>451</v>
      </c>
      <c r="VOS124" t="s">
        <v>451</v>
      </c>
      <c r="VOT124" t="s">
        <v>451</v>
      </c>
      <c r="VOU124" t="s">
        <v>451</v>
      </c>
      <c r="VOV124" t="s">
        <v>451</v>
      </c>
      <c r="VOW124" t="s">
        <v>451</v>
      </c>
      <c r="VOX124" t="s">
        <v>451</v>
      </c>
      <c r="VOY124" t="s">
        <v>451</v>
      </c>
      <c r="VOZ124" t="s">
        <v>451</v>
      </c>
      <c r="VPA124" t="s">
        <v>451</v>
      </c>
      <c r="VPB124" t="s">
        <v>451</v>
      </c>
      <c r="VPC124" t="s">
        <v>451</v>
      </c>
      <c r="VPD124" t="s">
        <v>451</v>
      </c>
      <c r="VPE124" t="s">
        <v>451</v>
      </c>
      <c r="VPF124" t="s">
        <v>451</v>
      </c>
      <c r="VPG124" t="s">
        <v>451</v>
      </c>
      <c r="VPH124" t="s">
        <v>451</v>
      </c>
      <c r="VPI124" t="s">
        <v>451</v>
      </c>
      <c r="VPJ124" t="s">
        <v>451</v>
      </c>
      <c r="VPK124" t="s">
        <v>451</v>
      </c>
      <c r="VPL124" t="s">
        <v>451</v>
      </c>
      <c r="VPM124" t="s">
        <v>451</v>
      </c>
      <c r="VPN124" t="s">
        <v>451</v>
      </c>
      <c r="VPO124" t="s">
        <v>451</v>
      </c>
      <c r="VPP124" t="s">
        <v>451</v>
      </c>
      <c r="VPQ124" t="s">
        <v>451</v>
      </c>
      <c r="VPR124" t="s">
        <v>451</v>
      </c>
      <c r="VPS124" t="s">
        <v>451</v>
      </c>
      <c r="VPT124" t="s">
        <v>451</v>
      </c>
      <c r="VPU124" t="s">
        <v>451</v>
      </c>
      <c r="VPV124" t="s">
        <v>451</v>
      </c>
      <c r="VPW124" t="s">
        <v>451</v>
      </c>
      <c r="VPX124" t="s">
        <v>451</v>
      </c>
      <c r="VPY124" t="s">
        <v>451</v>
      </c>
      <c r="VPZ124" t="s">
        <v>451</v>
      </c>
      <c r="VQA124" t="s">
        <v>451</v>
      </c>
      <c r="VQB124" t="s">
        <v>451</v>
      </c>
      <c r="VQC124" t="s">
        <v>451</v>
      </c>
      <c r="VQD124" t="s">
        <v>451</v>
      </c>
      <c r="VQE124" t="s">
        <v>451</v>
      </c>
      <c r="VQF124" t="s">
        <v>451</v>
      </c>
      <c r="VQG124" t="s">
        <v>451</v>
      </c>
      <c r="VQH124" t="s">
        <v>451</v>
      </c>
      <c r="VQI124" t="s">
        <v>451</v>
      </c>
      <c r="VQJ124" t="s">
        <v>451</v>
      </c>
      <c r="VQK124" t="s">
        <v>451</v>
      </c>
      <c r="VQL124" t="s">
        <v>451</v>
      </c>
      <c r="VQM124" t="s">
        <v>451</v>
      </c>
      <c r="VQN124" t="s">
        <v>451</v>
      </c>
      <c r="VQO124" t="s">
        <v>451</v>
      </c>
      <c r="VQP124" t="s">
        <v>451</v>
      </c>
      <c r="VQQ124" t="s">
        <v>451</v>
      </c>
      <c r="VQR124" t="s">
        <v>451</v>
      </c>
      <c r="VQS124" t="s">
        <v>451</v>
      </c>
      <c r="VQT124" t="s">
        <v>451</v>
      </c>
      <c r="VQU124" t="s">
        <v>451</v>
      </c>
      <c r="VQV124" t="s">
        <v>451</v>
      </c>
      <c r="VQW124" t="s">
        <v>451</v>
      </c>
      <c r="VQX124" t="s">
        <v>451</v>
      </c>
      <c r="VQY124" t="s">
        <v>451</v>
      </c>
      <c r="VQZ124" t="s">
        <v>451</v>
      </c>
      <c r="VRA124" t="s">
        <v>451</v>
      </c>
      <c r="VRB124" t="s">
        <v>451</v>
      </c>
      <c r="VRC124" t="s">
        <v>451</v>
      </c>
      <c r="VRD124" t="s">
        <v>451</v>
      </c>
      <c r="VRE124" t="s">
        <v>451</v>
      </c>
      <c r="VRF124" t="s">
        <v>451</v>
      </c>
      <c r="VRG124" t="s">
        <v>451</v>
      </c>
      <c r="VRH124" t="s">
        <v>451</v>
      </c>
      <c r="VRI124" t="s">
        <v>451</v>
      </c>
      <c r="VRJ124" t="s">
        <v>451</v>
      </c>
      <c r="VRK124" t="s">
        <v>451</v>
      </c>
      <c r="VRL124" t="s">
        <v>451</v>
      </c>
      <c r="VRM124" t="s">
        <v>451</v>
      </c>
      <c r="VRN124" t="s">
        <v>451</v>
      </c>
      <c r="VRO124" t="s">
        <v>451</v>
      </c>
      <c r="VRP124" t="s">
        <v>451</v>
      </c>
      <c r="VRQ124" t="s">
        <v>451</v>
      </c>
      <c r="VRR124" t="s">
        <v>451</v>
      </c>
      <c r="VRS124" t="s">
        <v>451</v>
      </c>
      <c r="VRT124" t="s">
        <v>451</v>
      </c>
      <c r="VRU124" t="s">
        <v>451</v>
      </c>
      <c r="VRV124" t="s">
        <v>451</v>
      </c>
      <c r="VRW124" t="s">
        <v>451</v>
      </c>
      <c r="VRX124" t="s">
        <v>451</v>
      </c>
      <c r="VRY124" t="s">
        <v>451</v>
      </c>
      <c r="VRZ124" t="s">
        <v>451</v>
      </c>
      <c r="VSA124" t="s">
        <v>451</v>
      </c>
      <c r="VSB124" t="s">
        <v>451</v>
      </c>
      <c r="VSC124" t="s">
        <v>451</v>
      </c>
      <c r="VSD124" t="s">
        <v>451</v>
      </c>
      <c r="VSE124" t="s">
        <v>451</v>
      </c>
      <c r="VSF124" t="s">
        <v>451</v>
      </c>
      <c r="VSG124" t="s">
        <v>451</v>
      </c>
      <c r="VSH124" t="s">
        <v>451</v>
      </c>
      <c r="VSI124" t="s">
        <v>451</v>
      </c>
      <c r="VSJ124" t="s">
        <v>451</v>
      </c>
      <c r="VSK124" t="s">
        <v>451</v>
      </c>
      <c r="VSL124" t="s">
        <v>451</v>
      </c>
      <c r="VSM124" t="s">
        <v>451</v>
      </c>
      <c r="VSN124" t="s">
        <v>451</v>
      </c>
      <c r="VSO124" t="s">
        <v>451</v>
      </c>
      <c r="VSP124" t="s">
        <v>451</v>
      </c>
      <c r="VSQ124" t="s">
        <v>451</v>
      </c>
      <c r="VSR124" t="s">
        <v>451</v>
      </c>
      <c r="VSS124" t="s">
        <v>451</v>
      </c>
      <c r="VST124" t="s">
        <v>451</v>
      </c>
      <c r="VSU124" t="s">
        <v>451</v>
      </c>
      <c r="VSV124" t="s">
        <v>451</v>
      </c>
      <c r="VSW124" t="s">
        <v>451</v>
      </c>
      <c r="VSX124" t="s">
        <v>451</v>
      </c>
      <c r="VSY124" t="s">
        <v>451</v>
      </c>
      <c r="VSZ124" t="s">
        <v>451</v>
      </c>
      <c r="VTA124" t="s">
        <v>451</v>
      </c>
      <c r="VTB124" t="s">
        <v>451</v>
      </c>
      <c r="VTC124" t="s">
        <v>451</v>
      </c>
      <c r="VTD124" t="s">
        <v>451</v>
      </c>
      <c r="VTE124" t="s">
        <v>451</v>
      </c>
      <c r="VTF124" t="s">
        <v>451</v>
      </c>
      <c r="VTG124" t="s">
        <v>451</v>
      </c>
      <c r="VTH124" t="s">
        <v>451</v>
      </c>
      <c r="VTI124" t="s">
        <v>451</v>
      </c>
      <c r="VTJ124" t="s">
        <v>451</v>
      </c>
      <c r="VTK124" t="s">
        <v>451</v>
      </c>
      <c r="VTL124" t="s">
        <v>451</v>
      </c>
      <c r="VTM124" t="s">
        <v>451</v>
      </c>
      <c r="VTN124" t="s">
        <v>451</v>
      </c>
      <c r="VTO124" t="s">
        <v>451</v>
      </c>
      <c r="VTP124" t="s">
        <v>451</v>
      </c>
      <c r="VTQ124" t="s">
        <v>451</v>
      </c>
      <c r="VTR124" t="s">
        <v>451</v>
      </c>
      <c r="VTS124" t="s">
        <v>451</v>
      </c>
      <c r="VTT124" t="s">
        <v>451</v>
      </c>
      <c r="VTU124" t="s">
        <v>451</v>
      </c>
      <c r="VTV124" t="s">
        <v>451</v>
      </c>
      <c r="VTW124" t="s">
        <v>451</v>
      </c>
      <c r="VTX124" t="s">
        <v>451</v>
      </c>
      <c r="VTY124" t="s">
        <v>451</v>
      </c>
      <c r="VTZ124" t="s">
        <v>451</v>
      </c>
      <c r="VUA124" t="s">
        <v>451</v>
      </c>
      <c r="VUB124" t="s">
        <v>451</v>
      </c>
      <c r="VUC124" t="s">
        <v>451</v>
      </c>
      <c r="VUD124" t="s">
        <v>451</v>
      </c>
      <c r="VUE124" t="s">
        <v>451</v>
      </c>
      <c r="VUF124" t="s">
        <v>451</v>
      </c>
      <c r="VUG124" t="s">
        <v>451</v>
      </c>
      <c r="VUH124" t="s">
        <v>451</v>
      </c>
      <c r="VUI124" t="s">
        <v>451</v>
      </c>
      <c r="VUJ124" t="s">
        <v>451</v>
      </c>
      <c r="VUK124" t="s">
        <v>451</v>
      </c>
      <c r="VUL124" t="s">
        <v>451</v>
      </c>
      <c r="VUM124" t="s">
        <v>451</v>
      </c>
      <c r="VUN124" t="s">
        <v>451</v>
      </c>
      <c r="VUO124" t="s">
        <v>451</v>
      </c>
      <c r="VUP124" t="s">
        <v>451</v>
      </c>
      <c r="VUQ124" t="s">
        <v>451</v>
      </c>
      <c r="VUR124" t="s">
        <v>451</v>
      </c>
      <c r="VUS124" t="s">
        <v>451</v>
      </c>
      <c r="VUT124" t="s">
        <v>451</v>
      </c>
      <c r="VUU124" t="s">
        <v>451</v>
      </c>
      <c r="VUV124" t="s">
        <v>451</v>
      </c>
      <c r="VUW124" t="s">
        <v>451</v>
      </c>
      <c r="VUX124" t="s">
        <v>451</v>
      </c>
      <c r="VUY124" t="s">
        <v>451</v>
      </c>
      <c r="VUZ124" t="s">
        <v>451</v>
      </c>
      <c r="VVA124" t="s">
        <v>451</v>
      </c>
      <c r="VVB124" t="s">
        <v>451</v>
      </c>
      <c r="VVC124" t="s">
        <v>451</v>
      </c>
      <c r="VVD124" t="s">
        <v>451</v>
      </c>
      <c r="VVE124" t="s">
        <v>451</v>
      </c>
      <c r="VVF124" t="s">
        <v>451</v>
      </c>
      <c r="VVG124" t="s">
        <v>451</v>
      </c>
      <c r="VVH124" t="s">
        <v>451</v>
      </c>
      <c r="VVI124" t="s">
        <v>451</v>
      </c>
      <c r="VVJ124" t="s">
        <v>451</v>
      </c>
      <c r="VVK124" t="s">
        <v>451</v>
      </c>
      <c r="VVL124" t="s">
        <v>451</v>
      </c>
      <c r="VVM124" t="s">
        <v>451</v>
      </c>
      <c r="VVN124" t="s">
        <v>451</v>
      </c>
      <c r="VVO124" t="s">
        <v>451</v>
      </c>
      <c r="VVP124" t="s">
        <v>451</v>
      </c>
      <c r="VVQ124" t="s">
        <v>451</v>
      </c>
      <c r="VVR124" t="s">
        <v>451</v>
      </c>
      <c r="VVS124" t="s">
        <v>451</v>
      </c>
      <c r="VVT124" t="s">
        <v>451</v>
      </c>
      <c r="VVU124" t="s">
        <v>451</v>
      </c>
      <c r="VVV124" t="s">
        <v>451</v>
      </c>
      <c r="VVW124" t="s">
        <v>451</v>
      </c>
      <c r="VVX124" t="s">
        <v>451</v>
      </c>
      <c r="VVY124" t="s">
        <v>451</v>
      </c>
      <c r="VVZ124" t="s">
        <v>451</v>
      </c>
      <c r="VWA124" t="s">
        <v>451</v>
      </c>
      <c r="VWB124" t="s">
        <v>451</v>
      </c>
      <c r="VWC124" t="s">
        <v>451</v>
      </c>
      <c r="VWD124" t="s">
        <v>451</v>
      </c>
      <c r="VWE124" t="s">
        <v>451</v>
      </c>
      <c r="VWF124" t="s">
        <v>451</v>
      </c>
      <c r="VWG124" t="s">
        <v>451</v>
      </c>
      <c r="VWH124" t="s">
        <v>451</v>
      </c>
      <c r="VWI124" t="s">
        <v>451</v>
      </c>
      <c r="VWJ124" t="s">
        <v>451</v>
      </c>
      <c r="VWK124" t="s">
        <v>451</v>
      </c>
      <c r="VWL124" t="s">
        <v>451</v>
      </c>
      <c r="VWM124" t="s">
        <v>451</v>
      </c>
      <c r="VWN124" t="s">
        <v>451</v>
      </c>
      <c r="VWO124" t="s">
        <v>451</v>
      </c>
      <c r="VWP124" t="s">
        <v>451</v>
      </c>
      <c r="VWQ124" t="s">
        <v>451</v>
      </c>
      <c r="VWR124" t="s">
        <v>451</v>
      </c>
      <c r="VWS124" t="s">
        <v>451</v>
      </c>
      <c r="VWT124" t="s">
        <v>451</v>
      </c>
      <c r="VWU124" t="s">
        <v>451</v>
      </c>
      <c r="VWV124" t="s">
        <v>451</v>
      </c>
      <c r="VWW124" t="s">
        <v>451</v>
      </c>
      <c r="VWX124" t="s">
        <v>451</v>
      </c>
      <c r="VWY124" t="s">
        <v>451</v>
      </c>
      <c r="VWZ124" t="s">
        <v>451</v>
      </c>
      <c r="VXA124" t="s">
        <v>451</v>
      </c>
      <c r="VXB124" t="s">
        <v>451</v>
      </c>
      <c r="VXC124" t="s">
        <v>451</v>
      </c>
      <c r="VXD124" t="s">
        <v>451</v>
      </c>
      <c r="VXE124" t="s">
        <v>451</v>
      </c>
      <c r="VXF124" t="s">
        <v>451</v>
      </c>
      <c r="VXG124" t="s">
        <v>451</v>
      </c>
      <c r="VXH124" t="s">
        <v>451</v>
      </c>
      <c r="VXI124" t="s">
        <v>451</v>
      </c>
      <c r="VXJ124" t="s">
        <v>451</v>
      </c>
      <c r="VXK124" t="s">
        <v>451</v>
      </c>
      <c r="VXL124" t="s">
        <v>451</v>
      </c>
      <c r="VXM124" t="s">
        <v>451</v>
      </c>
      <c r="VXN124" t="s">
        <v>451</v>
      </c>
      <c r="VXO124" t="s">
        <v>451</v>
      </c>
      <c r="VXP124" t="s">
        <v>451</v>
      </c>
      <c r="VXQ124" t="s">
        <v>451</v>
      </c>
      <c r="VXR124" t="s">
        <v>451</v>
      </c>
      <c r="VXS124" t="s">
        <v>451</v>
      </c>
      <c r="VXT124" t="s">
        <v>451</v>
      </c>
      <c r="VXU124" t="s">
        <v>451</v>
      </c>
      <c r="VXV124" t="s">
        <v>451</v>
      </c>
      <c r="VXW124" t="s">
        <v>451</v>
      </c>
      <c r="VXX124" t="s">
        <v>451</v>
      </c>
      <c r="VXY124" t="s">
        <v>451</v>
      </c>
      <c r="VXZ124" t="s">
        <v>451</v>
      </c>
      <c r="VYA124" t="s">
        <v>451</v>
      </c>
      <c r="VYB124" t="s">
        <v>451</v>
      </c>
      <c r="VYC124" t="s">
        <v>451</v>
      </c>
      <c r="VYD124" t="s">
        <v>451</v>
      </c>
      <c r="VYE124" t="s">
        <v>451</v>
      </c>
      <c r="VYF124" t="s">
        <v>451</v>
      </c>
      <c r="VYG124" t="s">
        <v>451</v>
      </c>
      <c r="VYH124" t="s">
        <v>451</v>
      </c>
      <c r="VYI124" t="s">
        <v>451</v>
      </c>
      <c r="VYJ124" t="s">
        <v>451</v>
      </c>
      <c r="VYK124" t="s">
        <v>451</v>
      </c>
      <c r="VYL124" t="s">
        <v>451</v>
      </c>
      <c r="VYM124" t="s">
        <v>451</v>
      </c>
      <c r="VYN124" t="s">
        <v>451</v>
      </c>
      <c r="VYO124" t="s">
        <v>451</v>
      </c>
      <c r="VYP124" t="s">
        <v>451</v>
      </c>
      <c r="VYQ124" t="s">
        <v>451</v>
      </c>
      <c r="VYR124" t="s">
        <v>451</v>
      </c>
      <c r="VYS124" t="s">
        <v>451</v>
      </c>
      <c r="VYT124" t="s">
        <v>451</v>
      </c>
      <c r="VYU124" t="s">
        <v>451</v>
      </c>
      <c r="VYV124" t="s">
        <v>451</v>
      </c>
      <c r="VYW124" t="s">
        <v>451</v>
      </c>
      <c r="VYX124" t="s">
        <v>451</v>
      </c>
      <c r="VYY124" t="s">
        <v>451</v>
      </c>
      <c r="VYZ124" t="s">
        <v>451</v>
      </c>
      <c r="VZA124" t="s">
        <v>451</v>
      </c>
      <c r="VZB124" t="s">
        <v>451</v>
      </c>
      <c r="VZC124" t="s">
        <v>451</v>
      </c>
      <c r="VZD124" t="s">
        <v>451</v>
      </c>
      <c r="VZE124" t="s">
        <v>451</v>
      </c>
      <c r="VZF124" t="s">
        <v>451</v>
      </c>
      <c r="VZG124" t="s">
        <v>451</v>
      </c>
      <c r="VZH124" t="s">
        <v>451</v>
      </c>
      <c r="VZI124" t="s">
        <v>451</v>
      </c>
      <c r="VZJ124" t="s">
        <v>451</v>
      </c>
      <c r="VZK124" t="s">
        <v>451</v>
      </c>
      <c r="VZL124" t="s">
        <v>451</v>
      </c>
      <c r="VZM124" t="s">
        <v>451</v>
      </c>
      <c r="VZN124" t="s">
        <v>451</v>
      </c>
      <c r="VZO124" t="s">
        <v>451</v>
      </c>
      <c r="VZP124" t="s">
        <v>451</v>
      </c>
      <c r="VZQ124" t="s">
        <v>451</v>
      </c>
      <c r="VZR124" t="s">
        <v>451</v>
      </c>
      <c r="VZS124" t="s">
        <v>451</v>
      </c>
      <c r="VZT124" t="s">
        <v>451</v>
      </c>
      <c r="VZU124" t="s">
        <v>451</v>
      </c>
      <c r="VZV124" t="s">
        <v>451</v>
      </c>
      <c r="VZW124" t="s">
        <v>451</v>
      </c>
      <c r="VZX124" t="s">
        <v>451</v>
      </c>
      <c r="VZY124" t="s">
        <v>451</v>
      </c>
      <c r="VZZ124" t="s">
        <v>451</v>
      </c>
      <c r="WAA124" t="s">
        <v>451</v>
      </c>
      <c r="WAB124" t="s">
        <v>451</v>
      </c>
      <c r="WAC124" t="s">
        <v>451</v>
      </c>
      <c r="WAD124" t="s">
        <v>451</v>
      </c>
      <c r="WAE124" t="s">
        <v>451</v>
      </c>
      <c r="WAF124" t="s">
        <v>451</v>
      </c>
      <c r="WAG124" t="s">
        <v>451</v>
      </c>
      <c r="WAH124" t="s">
        <v>451</v>
      </c>
      <c r="WAI124" t="s">
        <v>451</v>
      </c>
      <c r="WAJ124" t="s">
        <v>451</v>
      </c>
      <c r="WAK124" t="s">
        <v>451</v>
      </c>
      <c r="WAL124" t="s">
        <v>451</v>
      </c>
      <c r="WAM124" t="s">
        <v>451</v>
      </c>
      <c r="WAN124" t="s">
        <v>451</v>
      </c>
      <c r="WAO124" t="s">
        <v>451</v>
      </c>
      <c r="WAP124" t="s">
        <v>451</v>
      </c>
      <c r="WAQ124" t="s">
        <v>451</v>
      </c>
      <c r="WAR124" t="s">
        <v>451</v>
      </c>
      <c r="WAS124" t="s">
        <v>451</v>
      </c>
      <c r="WAT124" t="s">
        <v>451</v>
      </c>
      <c r="WAU124" t="s">
        <v>451</v>
      </c>
      <c r="WAV124" t="s">
        <v>451</v>
      </c>
      <c r="WAW124" t="s">
        <v>451</v>
      </c>
      <c r="WAX124" t="s">
        <v>451</v>
      </c>
      <c r="WAY124" t="s">
        <v>451</v>
      </c>
      <c r="WAZ124" t="s">
        <v>451</v>
      </c>
      <c r="WBA124" t="s">
        <v>451</v>
      </c>
      <c r="WBB124" t="s">
        <v>451</v>
      </c>
      <c r="WBC124" t="s">
        <v>451</v>
      </c>
      <c r="WBD124" t="s">
        <v>451</v>
      </c>
      <c r="WBE124" t="s">
        <v>451</v>
      </c>
      <c r="WBF124" t="s">
        <v>451</v>
      </c>
      <c r="WBG124" t="s">
        <v>451</v>
      </c>
      <c r="WBH124" t="s">
        <v>451</v>
      </c>
      <c r="WBI124" t="s">
        <v>451</v>
      </c>
      <c r="WBJ124" t="s">
        <v>451</v>
      </c>
      <c r="WBK124" t="s">
        <v>451</v>
      </c>
      <c r="WBL124" t="s">
        <v>451</v>
      </c>
      <c r="WBM124" t="s">
        <v>451</v>
      </c>
      <c r="WBN124" t="s">
        <v>451</v>
      </c>
      <c r="WBO124" t="s">
        <v>451</v>
      </c>
      <c r="WBP124" t="s">
        <v>451</v>
      </c>
      <c r="WBQ124" t="s">
        <v>451</v>
      </c>
      <c r="WBR124" t="s">
        <v>451</v>
      </c>
      <c r="WBS124" t="s">
        <v>451</v>
      </c>
      <c r="WBT124" t="s">
        <v>451</v>
      </c>
      <c r="WBU124" t="s">
        <v>451</v>
      </c>
      <c r="WBV124" t="s">
        <v>451</v>
      </c>
      <c r="WBW124" t="s">
        <v>451</v>
      </c>
      <c r="WBX124" t="s">
        <v>451</v>
      </c>
      <c r="WBY124" t="s">
        <v>451</v>
      </c>
      <c r="WBZ124" t="s">
        <v>451</v>
      </c>
      <c r="WCA124" t="s">
        <v>451</v>
      </c>
      <c r="WCB124" t="s">
        <v>451</v>
      </c>
      <c r="WCC124" t="s">
        <v>451</v>
      </c>
      <c r="WCD124" t="s">
        <v>451</v>
      </c>
      <c r="WCE124" t="s">
        <v>451</v>
      </c>
      <c r="WCF124" t="s">
        <v>451</v>
      </c>
      <c r="WCG124" t="s">
        <v>451</v>
      </c>
      <c r="WCH124" t="s">
        <v>451</v>
      </c>
      <c r="WCI124" t="s">
        <v>451</v>
      </c>
      <c r="WCJ124" t="s">
        <v>451</v>
      </c>
      <c r="WCK124" t="s">
        <v>451</v>
      </c>
      <c r="WCL124" t="s">
        <v>451</v>
      </c>
      <c r="WCM124" t="s">
        <v>451</v>
      </c>
      <c r="WCN124" t="s">
        <v>451</v>
      </c>
      <c r="WCO124" t="s">
        <v>451</v>
      </c>
      <c r="WCP124" t="s">
        <v>451</v>
      </c>
      <c r="WCQ124" t="s">
        <v>451</v>
      </c>
      <c r="WCR124" t="s">
        <v>451</v>
      </c>
      <c r="WCS124" t="s">
        <v>451</v>
      </c>
      <c r="WCT124" t="s">
        <v>451</v>
      </c>
      <c r="WCU124" t="s">
        <v>451</v>
      </c>
      <c r="WCV124" t="s">
        <v>451</v>
      </c>
      <c r="WCW124" t="s">
        <v>451</v>
      </c>
      <c r="WCX124" t="s">
        <v>451</v>
      </c>
      <c r="WCY124" t="s">
        <v>451</v>
      </c>
      <c r="WCZ124" t="s">
        <v>451</v>
      </c>
      <c r="WDA124" t="s">
        <v>451</v>
      </c>
      <c r="WDB124" t="s">
        <v>451</v>
      </c>
      <c r="WDC124" t="s">
        <v>451</v>
      </c>
      <c r="WDD124" t="s">
        <v>451</v>
      </c>
      <c r="WDE124" t="s">
        <v>451</v>
      </c>
      <c r="WDF124" t="s">
        <v>451</v>
      </c>
      <c r="WDG124" t="s">
        <v>451</v>
      </c>
      <c r="WDH124" t="s">
        <v>451</v>
      </c>
      <c r="WDI124" t="s">
        <v>451</v>
      </c>
      <c r="WDJ124" t="s">
        <v>451</v>
      </c>
      <c r="WDK124" t="s">
        <v>451</v>
      </c>
      <c r="WDL124" t="s">
        <v>451</v>
      </c>
      <c r="WDM124" t="s">
        <v>451</v>
      </c>
      <c r="WDN124" t="s">
        <v>451</v>
      </c>
      <c r="WDO124" t="s">
        <v>451</v>
      </c>
      <c r="WDP124" t="s">
        <v>451</v>
      </c>
      <c r="WDQ124" t="s">
        <v>451</v>
      </c>
      <c r="WDR124" t="s">
        <v>451</v>
      </c>
      <c r="WDS124" t="s">
        <v>451</v>
      </c>
      <c r="WDT124" t="s">
        <v>451</v>
      </c>
      <c r="WDU124" t="s">
        <v>451</v>
      </c>
      <c r="WDV124" t="s">
        <v>451</v>
      </c>
      <c r="WDW124" t="s">
        <v>451</v>
      </c>
      <c r="WDX124" t="s">
        <v>451</v>
      </c>
      <c r="WDY124" t="s">
        <v>451</v>
      </c>
      <c r="WDZ124" t="s">
        <v>451</v>
      </c>
      <c r="WEA124" t="s">
        <v>451</v>
      </c>
      <c r="WEB124" t="s">
        <v>451</v>
      </c>
      <c r="WEC124" t="s">
        <v>451</v>
      </c>
      <c r="WED124" t="s">
        <v>451</v>
      </c>
      <c r="WEE124" t="s">
        <v>451</v>
      </c>
      <c r="WEF124" t="s">
        <v>451</v>
      </c>
      <c r="WEG124" t="s">
        <v>451</v>
      </c>
      <c r="WEH124" t="s">
        <v>451</v>
      </c>
      <c r="WEI124" t="s">
        <v>451</v>
      </c>
      <c r="WEJ124" t="s">
        <v>451</v>
      </c>
      <c r="WEK124" t="s">
        <v>451</v>
      </c>
      <c r="WEL124" t="s">
        <v>451</v>
      </c>
      <c r="WEM124" t="s">
        <v>451</v>
      </c>
      <c r="WEN124" t="s">
        <v>451</v>
      </c>
      <c r="WEO124" t="s">
        <v>451</v>
      </c>
      <c r="WEP124" t="s">
        <v>451</v>
      </c>
      <c r="WEQ124" t="s">
        <v>451</v>
      </c>
      <c r="WER124" t="s">
        <v>451</v>
      </c>
      <c r="WES124" t="s">
        <v>451</v>
      </c>
      <c r="WET124" t="s">
        <v>451</v>
      </c>
      <c r="WEU124" t="s">
        <v>451</v>
      </c>
      <c r="WEV124" t="s">
        <v>451</v>
      </c>
      <c r="WEW124" t="s">
        <v>451</v>
      </c>
      <c r="WEX124" t="s">
        <v>451</v>
      </c>
      <c r="WEY124" t="s">
        <v>451</v>
      </c>
      <c r="WEZ124" t="s">
        <v>451</v>
      </c>
      <c r="WFA124" t="s">
        <v>451</v>
      </c>
      <c r="WFB124" t="s">
        <v>451</v>
      </c>
      <c r="WFC124" t="s">
        <v>451</v>
      </c>
      <c r="WFD124" t="s">
        <v>451</v>
      </c>
      <c r="WFE124" t="s">
        <v>451</v>
      </c>
      <c r="WFF124" t="s">
        <v>451</v>
      </c>
      <c r="WFG124" t="s">
        <v>451</v>
      </c>
      <c r="WFH124" t="s">
        <v>451</v>
      </c>
      <c r="WFI124" t="s">
        <v>451</v>
      </c>
      <c r="WFJ124" t="s">
        <v>451</v>
      </c>
      <c r="WFK124" t="s">
        <v>451</v>
      </c>
      <c r="WFL124" t="s">
        <v>451</v>
      </c>
      <c r="WFM124" t="s">
        <v>451</v>
      </c>
      <c r="WFN124" t="s">
        <v>451</v>
      </c>
      <c r="WFO124" t="s">
        <v>451</v>
      </c>
      <c r="WFP124" t="s">
        <v>451</v>
      </c>
      <c r="WFQ124" t="s">
        <v>451</v>
      </c>
      <c r="WFR124" t="s">
        <v>451</v>
      </c>
      <c r="WFS124" t="s">
        <v>451</v>
      </c>
      <c r="WFT124" t="s">
        <v>451</v>
      </c>
      <c r="WFU124" t="s">
        <v>451</v>
      </c>
      <c r="WFV124" t="s">
        <v>451</v>
      </c>
      <c r="WFW124" t="s">
        <v>451</v>
      </c>
      <c r="WFX124" t="s">
        <v>451</v>
      </c>
      <c r="WFY124" t="s">
        <v>451</v>
      </c>
      <c r="WFZ124" t="s">
        <v>451</v>
      </c>
      <c r="WGA124" t="s">
        <v>451</v>
      </c>
      <c r="WGB124" t="s">
        <v>451</v>
      </c>
      <c r="WGC124" t="s">
        <v>451</v>
      </c>
      <c r="WGD124" t="s">
        <v>451</v>
      </c>
      <c r="WGE124" t="s">
        <v>451</v>
      </c>
      <c r="WGF124" t="s">
        <v>451</v>
      </c>
      <c r="WGG124" t="s">
        <v>451</v>
      </c>
      <c r="WGH124" t="s">
        <v>451</v>
      </c>
      <c r="WGI124" t="s">
        <v>451</v>
      </c>
      <c r="WGJ124" t="s">
        <v>451</v>
      </c>
      <c r="WGK124" t="s">
        <v>451</v>
      </c>
      <c r="WGL124" t="s">
        <v>451</v>
      </c>
      <c r="WGM124" t="s">
        <v>451</v>
      </c>
      <c r="WGN124" t="s">
        <v>451</v>
      </c>
      <c r="WGO124" t="s">
        <v>451</v>
      </c>
      <c r="WGP124" t="s">
        <v>451</v>
      </c>
      <c r="WGQ124" t="s">
        <v>451</v>
      </c>
      <c r="WGR124" t="s">
        <v>451</v>
      </c>
      <c r="WGS124" t="s">
        <v>451</v>
      </c>
      <c r="WGT124" t="s">
        <v>451</v>
      </c>
      <c r="WGU124" t="s">
        <v>451</v>
      </c>
      <c r="WGV124" t="s">
        <v>451</v>
      </c>
      <c r="WGW124" t="s">
        <v>451</v>
      </c>
      <c r="WGX124" t="s">
        <v>451</v>
      </c>
      <c r="WGY124" t="s">
        <v>451</v>
      </c>
      <c r="WGZ124" t="s">
        <v>451</v>
      </c>
      <c r="WHA124" t="s">
        <v>451</v>
      </c>
      <c r="WHB124" t="s">
        <v>451</v>
      </c>
      <c r="WHC124" t="s">
        <v>451</v>
      </c>
      <c r="WHD124" t="s">
        <v>451</v>
      </c>
      <c r="WHE124" t="s">
        <v>451</v>
      </c>
      <c r="WHF124" t="s">
        <v>451</v>
      </c>
      <c r="WHG124" t="s">
        <v>451</v>
      </c>
      <c r="WHH124" t="s">
        <v>451</v>
      </c>
      <c r="WHI124" t="s">
        <v>451</v>
      </c>
      <c r="WHJ124" t="s">
        <v>451</v>
      </c>
      <c r="WHK124" t="s">
        <v>451</v>
      </c>
      <c r="WHL124" t="s">
        <v>451</v>
      </c>
      <c r="WHM124" t="s">
        <v>451</v>
      </c>
      <c r="WHN124" t="s">
        <v>451</v>
      </c>
      <c r="WHO124" t="s">
        <v>451</v>
      </c>
      <c r="WHP124" t="s">
        <v>451</v>
      </c>
      <c r="WHQ124" t="s">
        <v>451</v>
      </c>
      <c r="WHR124" t="s">
        <v>451</v>
      </c>
      <c r="WHS124" t="s">
        <v>451</v>
      </c>
      <c r="WHT124" t="s">
        <v>451</v>
      </c>
      <c r="WHU124" t="s">
        <v>451</v>
      </c>
      <c r="WHV124" t="s">
        <v>451</v>
      </c>
      <c r="WHW124" t="s">
        <v>451</v>
      </c>
      <c r="WHX124" t="s">
        <v>451</v>
      </c>
      <c r="WHY124" t="s">
        <v>451</v>
      </c>
      <c r="WHZ124" t="s">
        <v>451</v>
      </c>
      <c r="WIA124" t="s">
        <v>451</v>
      </c>
      <c r="WIB124" t="s">
        <v>451</v>
      </c>
      <c r="WIC124" t="s">
        <v>451</v>
      </c>
      <c r="WID124" t="s">
        <v>451</v>
      </c>
      <c r="WIE124" t="s">
        <v>451</v>
      </c>
      <c r="WIF124" t="s">
        <v>451</v>
      </c>
      <c r="WIG124" t="s">
        <v>451</v>
      </c>
      <c r="WIH124" t="s">
        <v>451</v>
      </c>
      <c r="WII124" t="s">
        <v>451</v>
      </c>
      <c r="WIJ124" t="s">
        <v>451</v>
      </c>
      <c r="WIK124" t="s">
        <v>451</v>
      </c>
      <c r="WIL124" t="s">
        <v>451</v>
      </c>
      <c r="WIM124" t="s">
        <v>451</v>
      </c>
      <c r="WIN124" t="s">
        <v>451</v>
      </c>
      <c r="WIO124" t="s">
        <v>451</v>
      </c>
      <c r="WIP124" t="s">
        <v>451</v>
      </c>
      <c r="WIQ124" t="s">
        <v>451</v>
      </c>
      <c r="WIR124" t="s">
        <v>451</v>
      </c>
      <c r="WIS124" t="s">
        <v>451</v>
      </c>
      <c r="WIT124" t="s">
        <v>451</v>
      </c>
      <c r="WIU124" t="s">
        <v>451</v>
      </c>
      <c r="WIV124" t="s">
        <v>451</v>
      </c>
      <c r="WIW124" t="s">
        <v>451</v>
      </c>
      <c r="WIX124" t="s">
        <v>451</v>
      </c>
      <c r="WIY124" t="s">
        <v>451</v>
      </c>
      <c r="WIZ124" t="s">
        <v>451</v>
      </c>
      <c r="WJA124" t="s">
        <v>451</v>
      </c>
      <c r="WJB124" t="s">
        <v>451</v>
      </c>
      <c r="WJC124" t="s">
        <v>451</v>
      </c>
      <c r="WJD124" t="s">
        <v>451</v>
      </c>
      <c r="WJE124" t="s">
        <v>451</v>
      </c>
      <c r="WJF124" t="s">
        <v>451</v>
      </c>
      <c r="WJG124" t="s">
        <v>451</v>
      </c>
      <c r="WJH124" t="s">
        <v>451</v>
      </c>
      <c r="WJI124" t="s">
        <v>451</v>
      </c>
      <c r="WJJ124" t="s">
        <v>451</v>
      </c>
      <c r="WJK124" t="s">
        <v>451</v>
      </c>
      <c r="WJL124" t="s">
        <v>451</v>
      </c>
      <c r="WJM124" t="s">
        <v>451</v>
      </c>
      <c r="WJN124" t="s">
        <v>451</v>
      </c>
      <c r="WJO124" t="s">
        <v>451</v>
      </c>
      <c r="WJP124" t="s">
        <v>451</v>
      </c>
      <c r="WJQ124" t="s">
        <v>451</v>
      </c>
      <c r="WJR124" t="s">
        <v>451</v>
      </c>
      <c r="WJS124" t="s">
        <v>451</v>
      </c>
      <c r="WJT124" t="s">
        <v>451</v>
      </c>
      <c r="WJU124" t="s">
        <v>451</v>
      </c>
      <c r="WJV124" t="s">
        <v>451</v>
      </c>
      <c r="WJW124" t="s">
        <v>451</v>
      </c>
      <c r="WJX124" t="s">
        <v>451</v>
      </c>
      <c r="WJY124" t="s">
        <v>451</v>
      </c>
      <c r="WJZ124" t="s">
        <v>451</v>
      </c>
      <c r="WKA124" t="s">
        <v>451</v>
      </c>
      <c r="WKB124" t="s">
        <v>451</v>
      </c>
      <c r="WKC124" t="s">
        <v>451</v>
      </c>
      <c r="WKD124" t="s">
        <v>451</v>
      </c>
      <c r="WKE124" t="s">
        <v>451</v>
      </c>
      <c r="WKF124" t="s">
        <v>451</v>
      </c>
      <c r="WKG124" t="s">
        <v>451</v>
      </c>
      <c r="WKH124" t="s">
        <v>451</v>
      </c>
      <c r="WKI124" t="s">
        <v>451</v>
      </c>
      <c r="WKJ124" t="s">
        <v>451</v>
      </c>
      <c r="WKK124" t="s">
        <v>451</v>
      </c>
      <c r="WKL124" t="s">
        <v>451</v>
      </c>
      <c r="WKM124" t="s">
        <v>451</v>
      </c>
      <c r="WKN124" t="s">
        <v>451</v>
      </c>
      <c r="WKO124" t="s">
        <v>451</v>
      </c>
      <c r="WKP124" t="s">
        <v>451</v>
      </c>
      <c r="WKQ124" t="s">
        <v>451</v>
      </c>
      <c r="WKR124" t="s">
        <v>451</v>
      </c>
      <c r="WKS124" t="s">
        <v>451</v>
      </c>
      <c r="WKT124" t="s">
        <v>451</v>
      </c>
      <c r="WKU124" t="s">
        <v>451</v>
      </c>
      <c r="WKV124" t="s">
        <v>451</v>
      </c>
      <c r="WKW124" t="s">
        <v>451</v>
      </c>
      <c r="WKX124" t="s">
        <v>451</v>
      </c>
      <c r="WKY124" t="s">
        <v>451</v>
      </c>
      <c r="WKZ124" t="s">
        <v>451</v>
      </c>
      <c r="WLA124" t="s">
        <v>451</v>
      </c>
      <c r="WLB124" t="s">
        <v>451</v>
      </c>
      <c r="WLC124" t="s">
        <v>451</v>
      </c>
      <c r="WLD124" t="s">
        <v>451</v>
      </c>
      <c r="WLE124" t="s">
        <v>451</v>
      </c>
      <c r="WLF124" t="s">
        <v>451</v>
      </c>
      <c r="WLG124" t="s">
        <v>451</v>
      </c>
      <c r="WLH124" t="s">
        <v>451</v>
      </c>
      <c r="WLI124" t="s">
        <v>451</v>
      </c>
      <c r="WLJ124" t="s">
        <v>451</v>
      </c>
      <c r="WLK124" t="s">
        <v>451</v>
      </c>
      <c r="WLL124" t="s">
        <v>451</v>
      </c>
      <c r="WLM124" t="s">
        <v>451</v>
      </c>
      <c r="WLN124" t="s">
        <v>451</v>
      </c>
      <c r="WLO124" t="s">
        <v>451</v>
      </c>
      <c r="WLP124" t="s">
        <v>451</v>
      </c>
      <c r="WLQ124" t="s">
        <v>451</v>
      </c>
      <c r="WLR124" t="s">
        <v>451</v>
      </c>
      <c r="WLS124" t="s">
        <v>451</v>
      </c>
      <c r="WLT124" t="s">
        <v>451</v>
      </c>
      <c r="WLU124" t="s">
        <v>451</v>
      </c>
      <c r="WLV124" t="s">
        <v>451</v>
      </c>
      <c r="WLW124" t="s">
        <v>451</v>
      </c>
      <c r="WLX124" t="s">
        <v>451</v>
      </c>
      <c r="WLY124" t="s">
        <v>451</v>
      </c>
      <c r="WLZ124" t="s">
        <v>451</v>
      </c>
      <c r="WMA124" t="s">
        <v>451</v>
      </c>
      <c r="WMB124" t="s">
        <v>451</v>
      </c>
      <c r="WMC124" t="s">
        <v>451</v>
      </c>
      <c r="WMD124" t="s">
        <v>451</v>
      </c>
      <c r="WME124" t="s">
        <v>451</v>
      </c>
      <c r="WMF124" t="s">
        <v>451</v>
      </c>
      <c r="WMG124" t="s">
        <v>451</v>
      </c>
      <c r="WMH124" t="s">
        <v>451</v>
      </c>
      <c r="WMI124" t="s">
        <v>451</v>
      </c>
      <c r="WMJ124" t="s">
        <v>451</v>
      </c>
      <c r="WMK124" t="s">
        <v>451</v>
      </c>
      <c r="WML124" t="s">
        <v>451</v>
      </c>
      <c r="WMM124" t="s">
        <v>451</v>
      </c>
      <c r="WMN124" t="s">
        <v>451</v>
      </c>
      <c r="WMO124" t="s">
        <v>451</v>
      </c>
      <c r="WMP124" t="s">
        <v>451</v>
      </c>
      <c r="WMQ124" t="s">
        <v>451</v>
      </c>
      <c r="WMR124" t="s">
        <v>451</v>
      </c>
      <c r="WMS124" t="s">
        <v>451</v>
      </c>
      <c r="WMT124" t="s">
        <v>451</v>
      </c>
      <c r="WMU124" t="s">
        <v>451</v>
      </c>
      <c r="WMV124" t="s">
        <v>451</v>
      </c>
      <c r="WMW124" t="s">
        <v>451</v>
      </c>
      <c r="WMX124" t="s">
        <v>451</v>
      </c>
      <c r="WMY124" t="s">
        <v>451</v>
      </c>
      <c r="WMZ124" t="s">
        <v>451</v>
      </c>
      <c r="WNA124" t="s">
        <v>451</v>
      </c>
      <c r="WNB124" t="s">
        <v>451</v>
      </c>
      <c r="WNC124" t="s">
        <v>451</v>
      </c>
      <c r="WND124" t="s">
        <v>451</v>
      </c>
      <c r="WNE124" t="s">
        <v>451</v>
      </c>
      <c r="WNF124" t="s">
        <v>451</v>
      </c>
      <c r="WNG124" t="s">
        <v>451</v>
      </c>
      <c r="WNH124" t="s">
        <v>451</v>
      </c>
      <c r="WNI124" t="s">
        <v>451</v>
      </c>
      <c r="WNJ124" t="s">
        <v>451</v>
      </c>
      <c r="WNK124" t="s">
        <v>451</v>
      </c>
      <c r="WNL124" t="s">
        <v>451</v>
      </c>
      <c r="WNM124" t="s">
        <v>451</v>
      </c>
      <c r="WNN124" t="s">
        <v>451</v>
      </c>
      <c r="WNO124" t="s">
        <v>451</v>
      </c>
      <c r="WNP124" t="s">
        <v>451</v>
      </c>
      <c r="WNQ124" t="s">
        <v>451</v>
      </c>
      <c r="WNR124" t="s">
        <v>451</v>
      </c>
      <c r="WNS124" t="s">
        <v>451</v>
      </c>
      <c r="WNT124" t="s">
        <v>451</v>
      </c>
      <c r="WNU124" t="s">
        <v>451</v>
      </c>
      <c r="WNV124" t="s">
        <v>451</v>
      </c>
      <c r="WNW124" t="s">
        <v>451</v>
      </c>
      <c r="WNX124" t="s">
        <v>451</v>
      </c>
      <c r="WNY124" t="s">
        <v>451</v>
      </c>
      <c r="WNZ124" t="s">
        <v>451</v>
      </c>
      <c r="WOA124" t="s">
        <v>451</v>
      </c>
      <c r="WOB124" t="s">
        <v>451</v>
      </c>
      <c r="WOC124" t="s">
        <v>451</v>
      </c>
      <c r="WOD124" t="s">
        <v>451</v>
      </c>
      <c r="WOE124" t="s">
        <v>451</v>
      </c>
      <c r="WOF124" t="s">
        <v>451</v>
      </c>
      <c r="WOG124" t="s">
        <v>451</v>
      </c>
      <c r="WOH124" t="s">
        <v>451</v>
      </c>
      <c r="WOI124" t="s">
        <v>451</v>
      </c>
      <c r="WOJ124" t="s">
        <v>451</v>
      </c>
      <c r="WOK124" t="s">
        <v>451</v>
      </c>
      <c r="WOL124" t="s">
        <v>451</v>
      </c>
      <c r="WOM124" t="s">
        <v>451</v>
      </c>
      <c r="WON124" t="s">
        <v>451</v>
      </c>
      <c r="WOO124" t="s">
        <v>451</v>
      </c>
      <c r="WOP124" t="s">
        <v>451</v>
      </c>
      <c r="WOQ124" t="s">
        <v>451</v>
      </c>
      <c r="WOR124" t="s">
        <v>451</v>
      </c>
      <c r="WOS124" t="s">
        <v>451</v>
      </c>
      <c r="WOT124" t="s">
        <v>451</v>
      </c>
      <c r="WOU124" t="s">
        <v>451</v>
      </c>
      <c r="WOV124" t="s">
        <v>451</v>
      </c>
      <c r="WOW124" t="s">
        <v>451</v>
      </c>
      <c r="WOX124" t="s">
        <v>451</v>
      </c>
      <c r="WOY124" t="s">
        <v>451</v>
      </c>
      <c r="WOZ124" t="s">
        <v>451</v>
      </c>
      <c r="WPA124" t="s">
        <v>451</v>
      </c>
      <c r="WPB124" t="s">
        <v>451</v>
      </c>
      <c r="WPC124" t="s">
        <v>451</v>
      </c>
      <c r="WPD124" t="s">
        <v>451</v>
      </c>
      <c r="WPE124" t="s">
        <v>451</v>
      </c>
      <c r="WPF124" t="s">
        <v>451</v>
      </c>
      <c r="WPG124" t="s">
        <v>451</v>
      </c>
      <c r="WPH124" t="s">
        <v>451</v>
      </c>
      <c r="WPI124" t="s">
        <v>451</v>
      </c>
      <c r="WPJ124" t="s">
        <v>451</v>
      </c>
      <c r="WPK124" t="s">
        <v>451</v>
      </c>
      <c r="WPL124" t="s">
        <v>451</v>
      </c>
      <c r="WPM124" t="s">
        <v>451</v>
      </c>
      <c r="WPN124" t="s">
        <v>451</v>
      </c>
      <c r="WPO124" t="s">
        <v>451</v>
      </c>
      <c r="WPP124" t="s">
        <v>451</v>
      </c>
      <c r="WPQ124" t="s">
        <v>451</v>
      </c>
      <c r="WPR124" t="s">
        <v>451</v>
      </c>
      <c r="WPS124" t="s">
        <v>451</v>
      </c>
      <c r="WPT124" t="s">
        <v>451</v>
      </c>
      <c r="WPU124" t="s">
        <v>451</v>
      </c>
      <c r="WPV124" t="s">
        <v>451</v>
      </c>
      <c r="WPW124" t="s">
        <v>451</v>
      </c>
      <c r="WPX124" t="s">
        <v>451</v>
      </c>
      <c r="WPY124" t="s">
        <v>451</v>
      </c>
      <c r="WPZ124" t="s">
        <v>451</v>
      </c>
      <c r="WQA124" t="s">
        <v>451</v>
      </c>
      <c r="WQB124" t="s">
        <v>451</v>
      </c>
      <c r="WQC124" t="s">
        <v>451</v>
      </c>
      <c r="WQD124" t="s">
        <v>451</v>
      </c>
      <c r="WQE124" t="s">
        <v>451</v>
      </c>
      <c r="WQF124" t="s">
        <v>451</v>
      </c>
      <c r="WQG124" t="s">
        <v>451</v>
      </c>
      <c r="WQH124" t="s">
        <v>451</v>
      </c>
      <c r="WQI124" t="s">
        <v>451</v>
      </c>
      <c r="WQJ124" t="s">
        <v>451</v>
      </c>
      <c r="WQK124" t="s">
        <v>451</v>
      </c>
      <c r="WQL124" t="s">
        <v>451</v>
      </c>
      <c r="WQM124" t="s">
        <v>451</v>
      </c>
      <c r="WQN124" t="s">
        <v>451</v>
      </c>
      <c r="WQO124" t="s">
        <v>451</v>
      </c>
      <c r="WQP124" t="s">
        <v>451</v>
      </c>
      <c r="WQQ124" t="s">
        <v>451</v>
      </c>
      <c r="WQR124" t="s">
        <v>451</v>
      </c>
      <c r="WQS124" t="s">
        <v>451</v>
      </c>
      <c r="WQT124" t="s">
        <v>451</v>
      </c>
      <c r="WQU124" t="s">
        <v>451</v>
      </c>
      <c r="WQV124" t="s">
        <v>451</v>
      </c>
      <c r="WQW124" t="s">
        <v>451</v>
      </c>
      <c r="WQX124" t="s">
        <v>451</v>
      </c>
      <c r="WQY124" t="s">
        <v>451</v>
      </c>
      <c r="WQZ124" t="s">
        <v>451</v>
      </c>
      <c r="WRA124" t="s">
        <v>451</v>
      </c>
      <c r="WRB124" t="s">
        <v>451</v>
      </c>
      <c r="WRC124" t="s">
        <v>451</v>
      </c>
      <c r="WRD124" t="s">
        <v>451</v>
      </c>
      <c r="WRE124" t="s">
        <v>451</v>
      </c>
      <c r="WRF124" t="s">
        <v>451</v>
      </c>
      <c r="WRG124" t="s">
        <v>451</v>
      </c>
      <c r="WRH124" t="s">
        <v>451</v>
      </c>
      <c r="WRI124" t="s">
        <v>451</v>
      </c>
      <c r="WRJ124" t="s">
        <v>451</v>
      </c>
      <c r="WRK124" t="s">
        <v>451</v>
      </c>
      <c r="WRL124" t="s">
        <v>451</v>
      </c>
      <c r="WRM124" t="s">
        <v>451</v>
      </c>
      <c r="WRN124" t="s">
        <v>451</v>
      </c>
      <c r="WRO124" t="s">
        <v>451</v>
      </c>
      <c r="WRP124" t="s">
        <v>451</v>
      </c>
      <c r="WRQ124" t="s">
        <v>451</v>
      </c>
      <c r="WRR124" t="s">
        <v>451</v>
      </c>
      <c r="WRS124" t="s">
        <v>451</v>
      </c>
      <c r="WRT124" t="s">
        <v>451</v>
      </c>
      <c r="WRU124" t="s">
        <v>451</v>
      </c>
      <c r="WRV124" t="s">
        <v>451</v>
      </c>
      <c r="WRW124" t="s">
        <v>451</v>
      </c>
      <c r="WRX124" t="s">
        <v>451</v>
      </c>
      <c r="WRY124" t="s">
        <v>451</v>
      </c>
      <c r="WRZ124" t="s">
        <v>451</v>
      </c>
      <c r="WSA124" t="s">
        <v>451</v>
      </c>
      <c r="WSB124" t="s">
        <v>451</v>
      </c>
      <c r="WSC124" t="s">
        <v>451</v>
      </c>
      <c r="WSD124" t="s">
        <v>451</v>
      </c>
      <c r="WSE124" t="s">
        <v>451</v>
      </c>
      <c r="WSF124" t="s">
        <v>451</v>
      </c>
      <c r="WSG124" t="s">
        <v>451</v>
      </c>
      <c r="WSH124" t="s">
        <v>451</v>
      </c>
      <c r="WSI124" t="s">
        <v>451</v>
      </c>
      <c r="WSJ124" t="s">
        <v>451</v>
      </c>
      <c r="WSK124" t="s">
        <v>451</v>
      </c>
      <c r="WSL124" t="s">
        <v>451</v>
      </c>
      <c r="WSM124" t="s">
        <v>451</v>
      </c>
      <c r="WSN124" t="s">
        <v>451</v>
      </c>
      <c r="WSO124" t="s">
        <v>451</v>
      </c>
      <c r="WSP124" t="s">
        <v>451</v>
      </c>
      <c r="WSQ124" t="s">
        <v>451</v>
      </c>
      <c r="WSR124" t="s">
        <v>451</v>
      </c>
      <c r="WSS124" t="s">
        <v>451</v>
      </c>
      <c r="WST124" t="s">
        <v>451</v>
      </c>
      <c r="WSU124" t="s">
        <v>451</v>
      </c>
      <c r="WSV124" t="s">
        <v>451</v>
      </c>
      <c r="WSW124" t="s">
        <v>451</v>
      </c>
      <c r="WSX124" t="s">
        <v>451</v>
      </c>
      <c r="WSY124" t="s">
        <v>451</v>
      </c>
      <c r="WSZ124" t="s">
        <v>451</v>
      </c>
      <c r="WTA124" t="s">
        <v>451</v>
      </c>
      <c r="WTB124" t="s">
        <v>451</v>
      </c>
      <c r="WTC124" t="s">
        <v>451</v>
      </c>
      <c r="WTD124" t="s">
        <v>451</v>
      </c>
      <c r="WTE124" t="s">
        <v>451</v>
      </c>
      <c r="WTF124" t="s">
        <v>451</v>
      </c>
      <c r="WTG124" t="s">
        <v>451</v>
      </c>
      <c r="WTH124" t="s">
        <v>451</v>
      </c>
      <c r="WTI124" t="s">
        <v>451</v>
      </c>
      <c r="WTJ124" t="s">
        <v>451</v>
      </c>
      <c r="WTK124" t="s">
        <v>451</v>
      </c>
      <c r="WTL124" t="s">
        <v>451</v>
      </c>
      <c r="WTM124" t="s">
        <v>451</v>
      </c>
      <c r="WTN124" t="s">
        <v>451</v>
      </c>
      <c r="WTO124" t="s">
        <v>451</v>
      </c>
      <c r="WTP124" t="s">
        <v>451</v>
      </c>
      <c r="WTQ124" t="s">
        <v>451</v>
      </c>
      <c r="WTR124" t="s">
        <v>451</v>
      </c>
      <c r="WTS124" t="s">
        <v>451</v>
      </c>
      <c r="WTT124" t="s">
        <v>451</v>
      </c>
      <c r="WTU124" t="s">
        <v>451</v>
      </c>
      <c r="WTV124" t="s">
        <v>451</v>
      </c>
      <c r="WTW124" t="s">
        <v>451</v>
      </c>
      <c r="WTX124" t="s">
        <v>451</v>
      </c>
      <c r="WTY124" t="s">
        <v>451</v>
      </c>
      <c r="WTZ124" t="s">
        <v>451</v>
      </c>
      <c r="WUA124" t="s">
        <v>451</v>
      </c>
      <c r="WUB124" t="s">
        <v>451</v>
      </c>
      <c r="WUC124" t="s">
        <v>451</v>
      </c>
      <c r="WUD124" t="s">
        <v>451</v>
      </c>
      <c r="WUE124" t="s">
        <v>451</v>
      </c>
      <c r="WUF124" t="s">
        <v>451</v>
      </c>
      <c r="WUG124" t="s">
        <v>451</v>
      </c>
      <c r="WUH124" t="s">
        <v>451</v>
      </c>
      <c r="WUI124" t="s">
        <v>451</v>
      </c>
      <c r="WUJ124" t="s">
        <v>451</v>
      </c>
      <c r="WUK124" t="s">
        <v>451</v>
      </c>
      <c r="WUL124" t="s">
        <v>451</v>
      </c>
      <c r="WUM124" t="s">
        <v>451</v>
      </c>
      <c r="WUN124" t="s">
        <v>451</v>
      </c>
      <c r="WUO124" t="s">
        <v>451</v>
      </c>
      <c r="WUP124" t="s">
        <v>451</v>
      </c>
      <c r="WUQ124" t="s">
        <v>451</v>
      </c>
      <c r="WUR124" t="s">
        <v>451</v>
      </c>
      <c r="WUS124" t="s">
        <v>451</v>
      </c>
      <c r="WUT124" t="s">
        <v>451</v>
      </c>
      <c r="WUU124" t="s">
        <v>451</v>
      </c>
      <c r="WUV124" t="s">
        <v>451</v>
      </c>
      <c r="WUW124" t="s">
        <v>451</v>
      </c>
      <c r="WUX124" t="s">
        <v>451</v>
      </c>
      <c r="WUY124" t="s">
        <v>451</v>
      </c>
      <c r="WUZ124" t="s">
        <v>451</v>
      </c>
      <c r="WVA124" t="s">
        <v>451</v>
      </c>
      <c r="WVB124" t="s">
        <v>451</v>
      </c>
      <c r="WVC124" t="s">
        <v>451</v>
      </c>
      <c r="WVD124" t="s">
        <v>451</v>
      </c>
      <c r="WVE124" t="s">
        <v>451</v>
      </c>
      <c r="WVF124" t="s">
        <v>451</v>
      </c>
      <c r="WVG124" t="s">
        <v>451</v>
      </c>
      <c r="WVH124" t="s">
        <v>451</v>
      </c>
      <c r="WVI124" t="s">
        <v>451</v>
      </c>
      <c r="WVJ124" t="s">
        <v>451</v>
      </c>
      <c r="WVK124" t="s">
        <v>451</v>
      </c>
      <c r="WVL124" t="s">
        <v>451</v>
      </c>
      <c r="WVM124" t="s">
        <v>451</v>
      </c>
      <c r="WVN124" t="s">
        <v>451</v>
      </c>
      <c r="WVO124" t="s">
        <v>451</v>
      </c>
      <c r="WVP124" t="s">
        <v>451</v>
      </c>
      <c r="WVQ124" t="s">
        <v>451</v>
      </c>
      <c r="WVR124" t="s">
        <v>451</v>
      </c>
      <c r="WVS124" t="s">
        <v>451</v>
      </c>
      <c r="WVT124" t="s">
        <v>451</v>
      </c>
      <c r="WVU124" t="s">
        <v>451</v>
      </c>
      <c r="WVV124" t="s">
        <v>451</v>
      </c>
      <c r="WVW124" t="s">
        <v>451</v>
      </c>
      <c r="WVX124" t="s">
        <v>451</v>
      </c>
      <c r="WVY124" t="s">
        <v>451</v>
      </c>
      <c r="WVZ124" t="s">
        <v>451</v>
      </c>
      <c r="WWA124" t="s">
        <v>451</v>
      </c>
      <c r="WWB124" t="s">
        <v>451</v>
      </c>
      <c r="WWC124" t="s">
        <v>451</v>
      </c>
      <c r="WWD124" t="s">
        <v>451</v>
      </c>
      <c r="WWE124" t="s">
        <v>451</v>
      </c>
      <c r="WWF124" t="s">
        <v>451</v>
      </c>
      <c r="WWG124" t="s">
        <v>451</v>
      </c>
      <c r="WWH124" t="s">
        <v>451</v>
      </c>
      <c r="WWI124" t="s">
        <v>451</v>
      </c>
      <c r="WWJ124" t="s">
        <v>451</v>
      </c>
      <c r="WWK124" t="s">
        <v>451</v>
      </c>
      <c r="WWL124" t="s">
        <v>451</v>
      </c>
      <c r="WWM124" t="s">
        <v>451</v>
      </c>
      <c r="WWN124" t="s">
        <v>451</v>
      </c>
      <c r="WWO124" t="s">
        <v>451</v>
      </c>
      <c r="WWP124" t="s">
        <v>451</v>
      </c>
      <c r="WWQ124" t="s">
        <v>451</v>
      </c>
      <c r="WWR124" t="s">
        <v>451</v>
      </c>
      <c r="WWS124" t="s">
        <v>451</v>
      </c>
      <c r="WWT124" t="s">
        <v>451</v>
      </c>
      <c r="WWU124" t="s">
        <v>451</v>
      </c>
      <c r="WWV124" t="s">
        <v>451</v>
      </c>
      <c r="WWW124" t="s">
        <v>451</v>
      </c>
      <c r="WWX124" t="s">
        <v>451</v>
      </c>
      <c r="WWY124" t="s">
        <v>451</v>
      </c>
      <c r="WWZ124" t="s">
        <v>451</v>
      </c>
      <c r="WXA124" t="s">
        <v>451</v>
      </c>
      <c r="WXB124" t="s">
        <v>451</v>
      </c>
      <c r="WXC124" t="s">
        <v>451</v>
      </c>
      <c r="WXD124" t="s">
        <v>451</v>
      </c>
      <c r="WXE124" t="s">
        <v>451</v>
      </c>
      <c r="WXF124" t="s">
        <v>451</v>
      </c>
      <c r="WXG124" t="s">
        <v>451</v>
      </c>
      <c r="WXH124" t="s">
        <v>451</v>
      </c>
      <c r="WXI124" t="s">
        <v>451</v>
      </c>
      <c r="WXJ124" t="s">
        <v>451</v>
      </c>
      <c r="WXK124" t="s">
        <v>451</v>
      </c>
      <c r="WXL124" t="s">
        <v>451</v>
      </c>
      <c r="WXM124" t="s">
        <v>451</v>
      </c>
      <c r="WXN124" t="s">
        <v>451</v>
      </c>
      <c r="WXO124" t="s">
        <v>451</v>
      </c>
      <c r="WXP124" t="s">
        <v>451</v>
      </c>
      <c r="WXQ124" t="s">
        <v>451</v>
      </c>
      <c r="WXR124" t="s">
        <v>451</v>
      </c>
      <c r="WXS124" t="s">
        <v>451</v>
      </c>
      <c r="WXT124" t="s">
        <v>451</v>
      </c>
      <c r="WXU124" t="s">
        <v>451</v>
      </c>
      <c r="WXV124" t="s">
        <v>451</v>
      </c>
      <c r="WXW124" t="s">
        <v>451</v>
      </c>
      <c r="WXX124" t="s">
        <v>451</v>
      </c>
      <c r="WXY124" t="s">
        <v>451</v>
      </c>
      <c r="WXZ124" t="s">
        <v>451</v>
      </c>
      <c r="WYA124" t="s">
        <v>451</v>
      </c>
      <c r="WYB124" t="s">
        <v>451</v>
      </c>
      <c r="WYC124" t="s">
        <v>451</v>
      </c>
      <c r="WYD124" t="s">
        <v>451</v>
      </c>
      <c r="WYE124" t="s">
        <v>451</v>
      </c>
      <c r="WYF124" t="s">
        <v>451</v>
      </c>
      <c r="WYG124" t="s">
        <v>451</v>
      </c>
      <c r="WYH124" t="s">
        <v>451</v>
      </c>
      <c r="WYI124" t="s">
        <v>451</v>
      </c>
      <c r="WYJ124" t="s">
        <v>451</v>
      </c>
      <c r="WYK124" t="s">
        <v>451</v>
      </c>
      <c r="WYL124" t="s">
        <v>451</v>
      </c>
      <c r="WYM124" t="s">
        <v>451</v>
      </c>
      <c r="WYN124" t="s">
        <v>451</v>
      </c>
      <c r="WYO124" t="s">
        <v>451</v>
      </c>
      <c r="WYP124" t="s">
        <v>451</v>
      </c>
      <c r="WYQ124" t="s">
        <v>451</v>
      </c>
      <c r="WYR124" t="s">
        <v>451</v>
      </c>
      <c r="WYS124" t="s">
        <v>451</v>
      </c>
      <c r="WYT124" t="s">
        <v>451</v>
      </c>
      <c r="WYU124" t="s">
        <v>451</v>
      </c>
      <c r="WYV124" t="s">
        <v>451</v>
      </c>
      <c r="WYW124" t="s">
        <v>451</v>
      </c>
      <c r="WYX124" t="s">
        <v>451</v>
      </c>
      <c r="WYY124" t="s">
        <v>451</v>
      </c>
      <c r="WYZ124" t="s">
        <v>451</v>
      </c>
      <c r="WZA124" t="s">
        <v>451</v>
      </c>
      <c r="WZB124" t="s">
        <v>451</v>
      </c>
      <c r="WZC124" t="s">
        <v>451</v>
      </c>
      <c r="WZD124" t="s">
        <v>451</v>
      </c>
      <c r="WZE124" t="s">
        <v>451</v>
      </c>
      <c r="WZF124" t="s">
        <v>451</v>
      </c>
      <c r="WZG124" t="s">
        <v>451</v>
      </c>
      <c r="WZH124" t="s">
        <v>451</v>
      </c>
      <c r="WZI124" t="s">
        <v>451</v>
      </c>
      <c r="WZJ124" t="s">
        <v>451</v>
      </c>
      <c r="WZK124" t="s">
        <v>451</v>
      </c>
      <c r="WZL124" t="s">
        <v>451</v>
      </c>
      <c r="WZM124" t="s">
        <v>451</v>
      </c>
      <c r="WZN124" t="s">
        <v>451</v>
      </c>
      <c r="WZO124" t="s">
        <v>451</v>
      </c>
      <c r="WZP124" t="s">
        <v>451</v>
      </c>
      <c r="WZQ124" t="s">
        <v>451</v>
      </c>
      <c r="WZR124" t="s">
        <v>451</v>
      </c>
      <c r="WZS124" t="s">
        <v>451</v>
      </c>
      <c r="WZT124" t="s">
        <v>451</v>
      </c>
      <c r="WZU124" t="s">
        <v>451</v>
      </c>
      <c r="WZV124" t="s">
        <v>451</v>
      </c>
      <c r="WZW124" t="s">
        <v>451</v>
      </c>
      <c r="WZX124" t="s">
        <v>451</v>
      </c>
      <c r="WZY124" t="s">
        <v>451</v>
      </c>
      <c r="WZZ124" t="s">
        <v>451</v>
      </c>
      <c r="XAA124" t="s">
        <v>451</v>
      </c>
      <c r="XAB124" t="s">
        <v>451</v>
      </c>
      <c r="XAC124" t="s">
        <v>451</v>
      </c>
      <c r="XAD124" t="s">
        <v>451</v>
      </c>
      <c r="XAE124" t="s">
        <v>451</v>
      </c>
      <c r="XAF124" t="s">
        <v>451</v>
      </c>
      <c r="XAG124" t="s">
        <v>451</v>
      </c>
      <c r="XAH124" t="s">
        <v>451</v>
      </c>
      <c r="XAI124" t="s">
        <v>451</v>
      </c>
      <c r="XAJ124" t="s">
        <v>451</v>
      </c>
      <c r="XAK124" t="s">
        <v>451</v>
      </c>
      <c r="XAL124" t="s">
        <v>451</v>
      </c>
      <c r="XAM124" t="s">
        <v>451</v>
      </c>
      <c r="XAN124" t="s">
        <v>451</v>
      </c>
      <c r="XAO124" t="s">
        <v>451</v>
      </c>
      <c r="XAP124" t="s">
        <v>451</v>
      </c>
      <c r="XAQ124" t="s">
        <v>451</v>
      </c>
      <c r="XAR124" t="s">
        <v>451</v>
      </c>
      <c r="XAS124" t="s">
        <v>451</v>
      </c>
      <c r="XAT124" t="s">
        <v>451</v>
      </c>
      <c r="XAU124" t="s">
        <v>451</v>
      </c>
      <c r="XAV124" t="s">
        <v>451</v>
      </c>
      <c r="XAW124" t="s">
        <v>451</v>
      </c>
      <c r="XAX124" t="s">
        <v>451</v>
      </c>
      <c r="XAY124" t="s">
        <v>451</v>
      </c>
      <c r="XAZ124" t="s">
        <v>451</v>
      </c>
      <c r="XBA124" t="s">
        <v>451</v>
      </c>
      <c r="XBB124" t="s">
        <v>451</v>
      </c>
      <c r="XBC124" t="s">
        <v>451</v>
      </c>
      <c r="XBD124" t="s">
        <v>451</v>
      </c>
      <c r="XBE124" t="s">
        <v>451</v>
      </c>
      <c r="XBF124" t="s">
        <v>451</v>
      </c>
      <c r="XBG124" t="s">
        <v>451</v>
      </c>
      <c r="XBH124" t="s">
        <v>451</v>
      </c>
      <c r="XBI124" t="s">
        <v>451</v>
      </c>
      <c r="XBJ124" t="s">
        <v>451</v>
      </c>
      <c r="XBK124" t="s">
        <v>451</v>
      </c>
      <c r="XBL124" t="s">
        <v>451</v>
      </c>
      <c r="XBM124" t="s">
        <v>451</v>
      </c>
      <c r="XBN124" t="s">
        <v>451</v>
      </c>
      <c r="XBO124" t="s">
        <v>451</v>
      </c>
      <c r="XBP124" t="s">
        <v>451</v>
      </c>
      <c r="XBQ124" t="s">
        <v>451</v>
      </c>
      <c r="XBR124" t="s">
        <v>451</v>
      </c>
      <c r="XBS124" t="s">
        <v>451</v>
      </c>
      <c r="XBT124" t="s">
        <v>451</v>
      </c>
      <c r="XBU124" t="s">
        <v>451</v>
      </c>
      <c r="XBV124" t="s">
        <v>451</v>
      </c>
      <c r="XBW124" t="s">
        <v>451</v>
      </c>
      <c r="XBX124" t="s">
        <v>451</v>
      </c>
      <c r="XBY124" t="s">
        <v>451</v>
      </c>
      <c r="XBZ124" t="s">
        <v>451</v>
      </c>
      <c r="XCA124" t="s">
        <v>451</v>
      </c>
      <c r="XCB124" t="s">
        <v>451</v>
      </c>
      <c r="XCC124" t="s">
        <v>451</v>
      </c>
      <c r="XCD124" t="s">
        <v>451</v>
      </c>
      <c r="XCE124" t="s">
        <v>451</v>
      </c>
      <c r="XCF124" t="s">
        <v>451</v>
      </c>
      <c r="XCG124" t="s">
        <v>451</v>
      </c>
      <c r="XCH124" t="s">
        <v>451</v>
      </c>
      <c r="XCI124" t="s">
        <v>451</v>
      </c>
      <c r="XCJ124" t="s">
        <v>451</v>
      </c>
      <c r="XCK124" t="s">
        <v>451</v>
      </c>
      <c r="XCL124" t="s">
        <v>451</v>
      </c>
      <c r="XCM124" t="s">
        <v>451</v>
      </c>
      <c r="XCN124" t="s">
        <v>451</v>
      </c>
      <c r="XCO124" t="s">
        <v>451</v>
      </c>
      <c r="XCP124" t="s">
        <v>451</v>
      </c>
      <c r="XCQ124" t="s">
        <v>451</v>
      </c>
      <c r="XCR124" t="s">
        <v>451</v>
      </c>
      <c r="XCS124" t="s">
        <v>451</v>
      </c>
      <c r="XCT124" t="s">
        <v>451</v>
      </c>
      <c r="XCU124" t="s">
        <v>451</v>
      </c>
      <c r="XCV124" t="s">
        <v>451</v>
      </c>
      <c r="XCW124" t="s">
        <v>451</v>
      </c>
      <c r="XCX124" t="s">
        <v>451</v>
      </c>
      <c r="XCY124" t="s">
        <v>451</v>
      </c>
      <c r="XCZ124" t="s">
        <v>451</v>
      </c>
      <c r="XDA124" t="s">
        <v>451</v>
      </c>
      <c r="XDB124" t="s">
        <v>451</v>
      </c>
      <c r="XDC124" t="s">
        <v>451</v>
      </c>
      <c r="XDD124" t="s">
        <v>451</v>
      </c>
      <c r="XDE124" t="s">
        <v>451</v>
      </c>
      <c r="XDF124" t="s">
        <v>451</v>
      </c>
      <c r="XDG124" t="s">
        <v>451</v>
      </c>
      <c r="XDH124" t="s">
        <v>451</v>
      </c>
      <c r="XDI124" t="s">
        <v>451</v>
      </c>
      <c r="XDJ124" t="s">
        <v>451</v>
      </c>
      <c r="XDK124" t="s">
        <v>451</v>
      </c>
      <c r="XDL124" t="s">
        <v>451</v>
      </c>
      <c r="XDM124" t="s">
        <v>451</v>
      </c>
      <c r="XDN124" t="s">
        <v>451</v>
      </c>
      <c r="XDO124" t="s">
        <v>451</v>
      </c>
      <c r="XDP124" t="s">
        <v>451</v>
      </c>
      <c r="XDQ124" t="s">
        <v>451</v>
      </c>
      <c r="XDR124" t="s">
        <v>451</v>
      </c>
      <c r="XDS124" t="s">
        <v>451</v>
      </c>
      <c r="XDT124" t="s">
        <v>451</v>
      </c>
      <c r="XDU124" t="s">
        <v>451</v>
      </c>
      <c r="XDV124" t="s">
        <v>451</v>
      </c>
      <c r="XDW124" t="s">
        <v>451</v>
      </c>
      <c r="XDX124" t="s">
        <v>451</v>
      </c>
      <c r="XDY124" t="s">
        <v>451</v>
      </c>
      <c r="XDZ124" t="s">
        <v>451</v>
      </c>
      <c r="XEA124" t="s">
        <v>451</v>
      </c>
      <c r="XEB124" t="s">
        <v>451</v>
      </c>
      <c r="XEC124" t="s">
        <v>451</v>
      </c>
      <c r="XED124" t="s">
        <v>451</v>
      </c>
      <c r="XEE124" t="s">
        <v>451</v>
      </c>
      <c r="XEF124" t="s">
        <v>451</v>
      </c>
      <c r="XEG124" t="s">
        <v>451</v>
      </c>
      <c r="XEH124" t="s">
        <v>451</v>
      </c>
      <c r="XEI124" t="s">
        <v>451</v>
      </c>
      <c r="XEJ124" t="s">
        <v>451</v>
      </c>
      <c r="XEK124" t="s">
        <v>451</v>
      </c>
      <c r="XEL124" t="s">
        <v>451</v>
      </c>
      <c r="XEM124" t="s">
        <v>451</v>
      </c>
      <c r="XEN124" t="s">
        <v>451</v>
      </c>
      <c r="XEO124" t="s">
        <v>451</v>
      </c>
      <c r="XEP124" t="s">
        <v>451</v>
      </c>
      <c r="XEQ124" t="s">
        <v>451</v>
      </c>
      <c r="XER124" t="s">
        <v>451</v>
      </c>
      <c r="XES124" t="s">
        <v>451</v>
      </c>
      <c r="XET124" t="s">
        <v>451</v>
      </c>
      <c r="XEU124" t="s">
        <v>451</v>
      </c>
      <c r="XEV124" t="s">
        <v>451</v>
      </c>
      <c r="XEW124" t="s">
        <v>451</v>
      </c>
      <c r="XEX124" t="s">
        <v>451</v>
      </c>
      <c r="XEY124" t="s">
        <v>451</v>
      </c>
      <c r="XEZ124" t="s">
        <v>451</v>
      </c>
      <c r="XFA124" t="s">
        <v>451</v>
      </c>
      <c r="XFB124" t="s">
        <v>451</v>
      </c>
      <c r="XFC124" t="s">
        <v>451</v>
      </c>
      <c r="XFD124" t="s">
        <v>451</v>
      </c>
    </row>
    <row r="125" spans="1:16384" x14ac:dyDescent="0.2">
      <c r="A125" s="38">
        <v>45961</v>
      </c>
      <c r="B125" s="5" t="s">
        <v>336</v>
      </c>
      <c r="C125" s="20" t="s">
        <v>151</v>
      </c>
      <c r="E125" t="s">
        <v>450</v>
      </c>
      <c r="I125" s="52">
        <v>460.42</v>
      </c>
      <c r="J125" s="52"/>
      <c r="K125" s="52"/>
    </row>
    <row r="126" spans="1:16384" x14ac:dyDescent="0.2">
      <c r="A126" s="38">
        <v>45963</v>
      </c>
      <c r="B126" s="5" t="s">
        <v>437</v>
      </c>
      <c r="C126" s="20" t="s">
        <v>151</v>
      </c>
      <c r="D126" t="s">
        <v>323</v>
      </c>
      <c r="E126" t="s">
        <v>438</v>
      </c>
      <c r="F126" s="54" t="s">
        <v>10</v>
      </c>
      <c r="G126" t="s">
        <v>368</v>
      </c>
      <c r="H126" s="22">
        <v>23</v>
      </c>
      <c r="I126" s="52" cm="1">
        <f t="array" ref="I126">IFERROR(
  VALUE($H126) *
  VALUE(
    _xlfn.XLOOKUP(
      TRIM($F126) &amp; "|" &amp; LEFT(SUBSTITUTE($G126,CHAR(160)," "),5) &amp; "|Full Rate",
      TRIM(SUBSTITUTE($Q$2:$Q$38,CHAR(160)," ")) &amp; "|" &amp;
      LEFT(SUBSTITUTE($R$2:$R$38,CHAR(160)," "),5) &amp; "|" &amp;
      TRIM(SUBSTITUTE($S$2:$S$38,CHAR(160)," ")),
      $T$2:$T$38
    )
  ),
"")</f>
        <v>2300</v>
      </c>
      <c r="J126" s="52" cm="1">
        <f t="array" ref="J126">IFERROR(
  VALUE($H126) *
  VALUE(
    _xlfn.XLOOKUP(
      TRIM($F126) &amp; "|" &amp; LEFT(SUBSTITUTE($G126,CHAR(160)," "),5) &amp; "|Reduced Rate",
      TRIM(SUBSTITUTE($Q$2:$Q$38,CHAR(160)," ")) &amp; "|" &amp;
      LEFT(SUBSTITUTE($R$2:$R$38,CHAR(160)," "),5) &amp; "|" &amp;
      TRIM(SUBSTITUTE($S$2:$S$38,CHAR(160)," ")),
      $T$2:$T$38
    )
  ),
"")</f>
        <v>1150</v>
      </c>
      <c r="K126" s="52" cm="1">
        <f t="array" ref="K126">IFERROR(
  VALUE($H126) *
  VALUE(
    _xlfn.XLOOKUP(
      TRIM($F126) &amp; "|" &amp; LEFT(SUBSTITUTE($G126,CHAR(160)," "),5) &amp; "|Ideas Rate",
      TRIM(SUBSTITUTE($Q$2:$Q$38,CHAR(160)," ")) &amp; "|" &amp;
      LEFT(SUBSTITUTE($R$2:$R$38,CHAR(160)," "),5) &amp; "|" &amp;
      TRIM(SUBSTITUTE($S$2:$S$38,CHAR(160)," ")),
      $T$2:$T$38
    )
  ),
"")</f>
        <v>690</v>
      </c>
    </row>
    <row r="127" spans="1:16384" x14ac:dyDescent="0.2">
      <c r="A127" s="38">
        <v>45963</v>
      </c>
      <c r="B127" s="5" t="s">
        <v>437</v>
      </c>
      <c r="C127" s="20" t="s">
        <v>151</v>
      </c>
      <c r="D127" t="s">
        <v>323</v>
      </c>
      <c r="E127" t="s">
        <v>438</v>
      </c>
      <c r="F127" s="54" t="s">
        <v>156</v>
      </c>
      <c r="G127" t="s">
        <v>368</v>
      </c>
      <c r="H127" s="22">
        <v>23</v>
      </c>
      <c r="I127" s="52" cm="1">
        <f t="array" ref="I127">IFERROR(
  VALUE($H127) *
  VALUE(
    _xlfn.XLOOKUP(
      TRIM($F127) &amp; "|" &amp; LEFT(SUBSTITUTE($G127,CHAR(160)," "),5) &amp; "|Full Rate",
      TRIM(SUBSTITUTE($Q$2:$Q$38,CHAR(160)," ")) &amp; "|" &amp;
      LEFT(SUBSTITUTE($R$2:$R$38,CHAR(160)," "),5) &amp; "|" &amp;
      TRIM(SUBSTITUTE($S$2:$S$38,CHAR(160)," ")),
      $T$2:$T$38
    )
  ),
"")</f>
        <v>2300</v>
      </c>
      <c r="J127" s="52" cm="1">
        <f t="array" ref="J127">IFERROR(
  VALUE($H127) *
  VALUE(
    _xlfn.XLOOKUP(
      TRIM($F127) &amp; "|" &amp; LEFT(SUBSTITUTE($G127,CHAR(160)," "),5) &amp; "|Reduced Rate",
      TRIM(SUBSTITUTE($Q$2:$Q$38,CHAR(160)," ")) &amp; "|" &amp;
      LEFT(SUBSTITUTE($R$2:$R$38,CHAR(160)," "),5) &amp; "|" &amp;
      TRIM(SUBSTITUTE($S$2:$S$38,CHAR(160)," ")),
      $T$2:$T$38
    )
  ),
"")</f>
        <v>1150</v>
      </c>
      <c r="K127" s="52" cm="1">
        <f t="array" ref="K127">IFERROR(
  VALUE($H127) *
  VALUE(
    _xlfn.XLOOKUP(
      TRIM($F127) &amp; "|" &amp; LEFT(SUBSTITUTE($G127,CHAR(160)," "),5) &amp; "|Ideas Rate",
      TRIM(SUBSTITUTE($Q$2:$Q$38,CHAR(160)," ")) &amp; "|" &amp;
      LEFT(SUBSTITUTE($R$2:$R$38,CHAR(160)," "),5) &amp; "|" &amp;
      TRIM(SUBSTITUTE($S$2:$S$38,CHAR(160)," ")),
      $T$2:$T$38
    )
  ),
"")</f>
        <v>690</v>
      </c>
    </row>
    <row r="128" spans="1:16384" x14ac:dyDescent="0.2">
      <c r="A128" s="38">
        <v>45963</v>
      </c>
      <c r="B128" s="5" t="s">
        <v>437</v>
      </c>
      <c r="C128" s="20" t="s">
        <v>151</v>
      </c>
      <c r="D128" t="s">
        <v>323</v>
      </c>
      <c r="E128" t="s">
        <v>438</v>
      </c>
      <c r="F128" s="54" t="s">
        <v>439</v>
      </c>
      <c r="G128" t="s">
        <v>368</v>
      </c>
      <c r="H128" s="22">
        <v>12</v>
      </c>
      <c r="I128" s="52" cm="1">
        <f t="array" ref="I128">IFERROR(
  VALUE($H128) *
  VALUE(
    _xlfn.XLOOKUP(
      TRIM($F128) &amp; "|" &amp; LEFT(SUBSTITUTE($G128,CHAR(160)," "),5) &amp; "|Full Rate",
      TRIM(SUBSTITUTE($Q$2:$Q$47,CHAR(160)," ")) &amp; "|" &amp;
      LEFT(SUBSTITUTE($R$2:$R$47,CHAR(160)," "),5) &amp; "|" &amp;
      TRIM(SUBSTITUTE($S$2:$S$47,CHAR(160)," ")),
      $T$2:$T$47
    )
  ),
"")</f>
        <v>1200</v>
      </c>
      <c r="J128" s="52" cm="1">
        <f t="array" ref="J128">IFERROR(
  VALUE($H128) *
  VALUE(
    _xlfn.XLOOKUP(
      TRIM($F128) &amp; "|" &amp; LEFT(SUBSTITUTE($G128,CHAR(160)," "),5) &amp; "|Reduced Rate",
      TRIM(SUBSTITUTE($Q$2:$Q$47,CHAR(160)," ")) &amp; "|" &amp;
      LEFT(SUBSTITUTE($R$2:$R$47,CHAR(160)," "),5) &amp; "|" &amp;
      TRIM(SUBSTITUTE($S$2:$S$47,CHAR(160)," ")),
      $T$2:$T$47
    )
  ),
"")</f>
        <v>600</v>
      </c>
      <c r="K128" s="52" cm="1">
        <f t="array" ref="K128">IFERROR(
  VALUE($H128) *
  VALUE(
    _xlfn.XLOOKUP(
      TRIM($F128) &amp; "|" &amp; LEFT(SUBSTITUTE($G128,CHAR(160)," "),5) &amp; "|Ideas Rate",
      TRIM(SUBSTITUTE($Q$2:$Q$47,CHAR(160)," ")) &amp; "|" &amp;
      LEFT(SUBSTITUTE($R$2:$R$47,CHAR(160)," "),5) &amp; "|" &amp;
      TRIM(SUBSTITUTE($S$2:$S$47,CHAR(160)," ")),
      $T$2:$T$47
    )
  ),
"")</f>
        <v>360</v>
      </c>
    </row>
    <row r="129" spans="1:26" x14ac:dyDescent="0.2">
      <c r="A129" s="109">
        <v>45963</v>
      </c>
      <c r="B129" s="5" t="s">
        <v>437</v>
      </c>
      <c r="C129" s="20" t="s">
        <v>151</v>
      </c>
      <c r="D129" t="s">
        <v>620</v>
      </c>
      <c r="E129" t="s">
        <v>453</v>
      </c>
      <c r="I129" s="32">
        <v>18.3</v>
      </c>
    </row>
    <row r="130" spans="1:26" x14ac:dyDescent="0.2">
      <c r="A130" s="10">
        <v>45964</v>
      </c>
      <c r="B130" s="5" t="s">
        <v>437</v>
      </c>
      <c r="C130" s="10" t="s">
        <v>151</v>
      </c>
      <c r="D130" s="10" t="s">
        <v>323</v>
      </c>
      <c r="E130" t="s">
        <v>449</v>
      </c>
      <c r="F130"/>
      <c r="H130"/>
      <c r="I130" s="32">
        <v>21.81</v>
      </c>
      <c r="K130"/>
      <c r="Q130" s="20" t="s">
        <v>475</v>
      </c>
      <c r="Y130" t="s">
        <v>480</v>
      </c>
      <c r="Z130" t="s">
        <v>481</v>
      </c>
    </row>
    <row r="131" spans="1:26" x14ac:dyDescent="0.2">
      <c r="A131" s="38">
        <v>45964</v>
      </c>
      <c r="B131" s="5" t="s">
        <v>437</v>
      </c>
      <c r="C131" s="20" t="s">
        <v>151</v>
      </c>
      <c r="D131" t="s">
        <v>184</v>
      </c>
      <c r="E131" t="s">
        <v>440</v>
      </c>
      <c r="F131" s="54" t="s">
        <v>10</v>
      </c>
      <c r="G131" t="s">
        <v>367</v>
      </c>
      <c r="H131" s="22">
        <v>9</v>
      </c>
      <c r="I131" s="52" cm="1">
        <f t="array" ref="I131">IFERROR(
  VALUE($H131) *
  VALUE(
    _xlfn.XLOOKUP(
      TRIM($F131) &amp; "|" &amp; LEFT(SUBSTITUTE($G131,CHAR(160)," "),5) &amp; "|Full Rate",
      TRIM(SUBSTITUTE($Q$2:$Q$47,CHAR(160)," ")) &amp; "|" &amp;
      LEFT(SUBSTITUTE($R$2:$R$47,CHAR(160)," "),5) &amp; "|" &amp;
      TRIM(SUBSTITUTE($S$2:$S$47,CHAR(160)," ")),
      $T$2:$T$47
    )
  ),
"")</f>
        <v>4500</v>
      </c>
      <c r="J131" s="52" cm="1">
        <f t="array" ref="J131">IFERROR(
  VALUE($H131) *
  VALUE(
    _xlfn.XLOOKUP(
      TRIM($F131) &amp; "|" &amp; LEFT(SUBSTITUTE($G131,CHAR(160)," "),5) &amp; "|Reduced Rate",
      TRIM(SUBSTITUTE($Q$2:$Q$47,CHAR(160)," ")) &amp; "|" &amp;
      LEFT(SUBSTITUTE($R$2:$R$47,CHAR(160)," "),5) &amp; "|" &amp;
      TRIM(SUBSTITUTE($S$2:$S$47,CHAR(160)," ")),
      $T$2:$T$47
    )
  ),
"")</f>
        <v>2700</v>
      </c>
      <c r="K131" s="52" cm="1">
        <f t="array" ref="K131">IFERROR(
  VALUE($H131) *
  VALUE(
    _xlfn.XLOOKUP(
      TRIM($F131) &amp; "|" &amp; LEFT(SUBSTITUTE($G131,CHAR(160)," "),5) &amp; "|Ideas Rate",
      TRIM(SUBSTITUTE($Q$2:$Q$47,CHAR(160)," ")) &amp; "|" &amp;
      LEFT(SUBSTITUTE($R$2:$R$47,CHAR(160)," "),5) &amp; "|" &amp;
      TRIM(SUBSTITUTE($S$2:$S$47,CHAR(160)," ")),
      $T$2:$T$47
    )
  ),
"")</f>
        <v>1350</v>
      </c>
    </row>
    <row r="132" spans="1:26" x14ac:dyDescent="0.2">
      <c r="A132" s="38">
        <v>45964</v>
      </c>
      <c r="B132" s="5" t="s">
        <v>437</v>
      </c>
      <c r="C132" s="20" t="s">
        <v>151</v>
      </c>
      <c r="D132" t="s">
        <v>184</v>
      </c>
      <c r="E132" t="s">
        <v>440</v>
      </c>
      <c r="F132" s="54" t="s">
        <v>156</v>
      </c>
      <c r="G132" t="s">
        <v>367</v>
      </c>
      <c r="H132" s="22">
        <v>9</v>
      </c>
      <c r="I132" s="52" cm="1">
        <f t="array" ref="I132">IFERROR(
  VALUE($H132) *
  VALUE(
    _xlfn.XLOOKUP(
      TRIM($F132) &amp; "|" &amp; LEFT(SUBSTITUTE($G132,CHAR(160)," "),5) &amp; "|Full Rate",
      TRIM(SUBSTITUTE($Q$2:$Q$47,CHAR(160)," ")) &amp; "|" &amp;
      LEFT(SUBSTITUTE($R$2:$R$47,CHAR(160)," "),5) &amp; "|" &amp;
      TRIM(SUBSTITUTE($S$2:$S$47,CHAR(160)," ")),
      $T$2:$T$47
    )
  ),
"")</f>
        <v>2925</v>
      </c>
      <c r="J132" s="52" cm="1">
        <f t="array" ref="J132">IFERROR(
  VALUE($H132) *
  VALUE(
    _xlfn.XLOOKUP(
      TRIM($F132) &amp; "|" &amp; LEFT(SUBSTITUTE($G132,CHAR(160)," "),5) &amp; "|Reduced Rate",
      TRIM(SUBSTITUTE($Q$2:$Q$47,CHAR(160)," ")) &amp; "|" &amp;
      LEFT(SUBSTITUTE($R$2:$R$47,CHAR(160)," "),5) &amp; "|" &amp;
      TRIM(SUBSTITUTE($S$2:$S$47,CHAR(160)," ")),
      $T$2:$T$47
    )
  ),
"")</f>
        <v>1575</v>
      </c>
      <c r="K132" s="52" cm="1">
        <f t="array" ref="K132">IFERROR(
  VALUE($H132) *
  VALUE(
    _xlfn.XLOOKUP(
      TRIM($F132) &amp; "|" &amp; LEFT(SUBSTITUTE($G132,CHAR(160)," "),5) &amp; "|Ideas Rate",
      TRIM(SUBSTITUTE($Q$2:$Q$47,CHAR(160)," ")) &amp; "|" &amp;
      LEFT(SUBSTITUTE($R$2:$R$47,CHAR(160)," "),5) &amp; "|" &amp;
      TRIM(SUBSTITUTE($S$2:$S$47,CHAR(160)," ")),
      $T$2:$T$47
    )
  ),
"")</f>
        <v>855</v>
      </c>
    </row>
    <row r="133" spans="1:26" x14ac:dyDescent="0.2">
      <c r="A133" s="38">
        <v>45964</v>
      </c>
      <c r="B133" s="5" t="s">
        <v>437</v>
      </c>
      <c r="C133" s="20" t="s">
        <v>151</v>
      </c>
      <c r="D133" t="s">
        <v>184</v>
      </c>
      <c r="E133" t="s">
        <v>440</v>
      </c>
      <c r="F133" s="54" t="s">
        <v>439</v>
      </c>
      <c r="G133" t="s">
        <v>380</v>
      </c>
      <c r="H133" s="22">
        <v>9</v>
      </c>
      <c r="I133" s="52" cm="1">
        <f t="array" ref="I133">IFERROR(
  VALUE($H133) *
  VALUE(
    _xlfn.XLOOKUP(
      TRIM($F133) &amp; "|" &amp; LEFT(SUBSTITUTE($G133,CHAR(160)," "),5) &amp; "|Full Rate",
      TRIM(SUBSTITUTE($Q$2:$Q$47,CHAR(160)," ")) &amp; "|" &amp;
      LEFT(SUBSTITUTE($R$2:$R$47,CHAR(160)," "),5) &amp; "|" &amp;
      TRIM(SUBSTITUTE($S$2:$S$47,CHAR(160)," ")),
      $T$2:$T$47
    )
  ),
"")</f>
        <v>1755</v>
      </c>
      <c r="J133" s="52" cm="1">
        <f t="array" ref="J133">IFERROR(
  VALUE($H133) *
  VALUE(
    _xlfn.XLOOKUP(
      TRIM($F133) &amp; "|" &amp; LEFT(SUBSTITUTE($G133,CHAR(160)," "),5) &amp; "|Reduced Rate",
      TRIM(SUBSTITUTE($Q$2:$Q$47,CHAR(160)," ")) &amp; "|" &amp;
      LEFT(SUBSTITUTE($R$2:$R$47,CHAR(160)," "),5) &amp; "|" &amp;
      TRIM(SUBSTITUTE($S$2:$S$47,CHAR(160)," ")),
      $T$2:$T$47
    )
  ),
"")</f>
        <v>810</v>
      </c>
      <c r="K133" s="52" cm="1">
        <f t="array" ref="K133">IFERROR(
  VALUE($H133) *
  VALUE(
    _xlfn.XLOOKUP(
      TRIM($F133) &amp; "|" &amp; LEFT(SUBSTITUTE($G133,CHAR(160)," "),5) &amp; "|Ideas Rate",
      TRIM(SUBSTITUTE($Q$2:$Q$47,CHAR(160)," ")) &amp; "|" &amp;
      LEFT(SUBSTITUTE($R$2:$R$47,CHAR(160)," "),5) &amp; "|" &amp;
      TRIM(SUBSTITUTE($S$2:$S$47,CHAR(160)," ")),
      $T$2:$T$47
    )
  ),
"")</f>
        <v>405</v>
      </c>
    </row>
    <row r="134" spans="1:26" x14ac:dyDescent="0.2">
      <c r="A134" s="38">
        <v>45964</v>
      </c>
      <c r="B134" s="5" t="s">
        <v>437</v>
      </c>
      <c r="C134" s="20" t="s">
        <v>151</v>
      </c>
      <c r="D134" t="s">
        <v>190</v>
      </c>
      <c r="E134" t="s">
        <v>441</v>
      </c>
      <c r="F134" s="54" t="s">
        <v>156</v>
      </c>
      <c r="G134" t="s">
        <v>368</v>
      </c>
      <c r="H134" s="22">
        <v>1</v>
      </c>
      <c r="I134" s="52" cm="1">
        <f t="array" ref="I134">IFERROR(
  VALUE($H134) *
  VALUE(
    _xlfn.XLOOKUP(
      TRIM($F134) &amp; "|" &amp; LEFT(SUBSTITUTE($G134,CHAR(160)," "),5) &amp; "|Full Rate",
      TRIM(SUBSTITUTE($Q$2:$Q$47,CHAR(160)," ")) &amp; "|" &amp;
      LEFT(SUBSTITUTE($R$2:$R$47,CHAR(160)," "),5) &amp; "|" &amp;
      TRIM(SUBSTITUTE($S$2:$S$47,CHAR(160)," ")),
      $T$2:$T$47
    )
  ),
"")</f>
        <v>100</v>
      </c>
      <c r="J134" s="52" cm="1">
        <f t="array" ref="J134">IFERROR(
  VALUE($H134) *
  VALUE(
    _xlfn.XLOOKUP(
      TRIM($F134) &amp; "|" &amp; LEFT(SUBSTITUTE($G134,CHAR(160)," "),5) &amp; "|Reduced Rate",
      TRIM(SUBSTITUTE($Q$2:$Q$47,CHAR(160)," ")) &amp; "|" &amp;
      LEFT(SUBSTITUTE($R$2:$R$47,CHAR(160)," "),5) &amp; "|" &amp;
      TRIM(SUBSTITUTE($S$2:$S$47,CHAR(160)," ")),
      $T$2:$T$47
    )
  ),
"")</f>
        <v>50</v>
      </c>
      <c r="K134" s="52" cm="1">
        <f t="array" ref="K134">IFERROR(
  VALUE($H134) *
  VALUE(
    _xlfn.XLOOKUP(
      TRIM($F134) &amp; "|" &amp; LEFT(SUBSTITUTE($G134,CHAR(160)," "),5) &amp; "|Ideas Rate",
      TRIM(SUBSTITUTE($Q$2:$Q$47,CHAR(160)," ")) &amp; "|" &amp;
      LEFT(SUBSTITUTE($R$2:$R$47,CHAR(160)," "),5) &amp; "|" &amp;
      TRIM(SUBSTITUTE($S$2:$S$47,CHAR(160)," ")),
      $T$2:$T$47
    )
  ),
"")</f>
        <v>30</v>
      </c>
    </row>
    <row r="135" spans="1:26" x14ac:dyDescent="0.2">
      <c r="A135" s="38">
        <v>45964</v>
      </c>
      <c r="B135" s="5" t="s">
        <v>437</v>
      </c>
      <c r="C135" s="20" t="s">
        <v>151</v>
      </c>
      <c r="D135" t="s">
        <v>190</v>
      </c>
      <c r="E135" t="s">
        <v>441</v>
      </c>
      <c r="F135" s="54" t="s">
        <v>10</v>
      </c>
      <c r="G135" t="s">
        <v>368</v>
      </c>
      <c r="H135" s="22">
        <v>0.5</v>
      </c>
      <c r="I135" s="52" cm="1">
        <f t="array" ref="I135">IFERROR(
  VALUE($H135) *
  VALUE(
    _xlfn.XLOOKUP(
      TRIM($F135) &amp; "|" &amp; LEFT(SUBSTITUTE($G135,CHAR(160)," "),5) &amp; "|Full Rate",
      TRIM(SUBSTITUTE($Q$2:$Q$47,CHAR(160)," ")) &amp; "|" &amp;
      LEFT(SUBSTITUTE($R$2:$R$47,CHAR(160)," "),5) &amp; "|" &amp;
      TRIM(SUBSTITUTE($S$2:$S$47,CHAR(160)," ")),
      $T$2:$T$47
    )
  ),
"")</f>
        <v>50</v>
      </c>
      <c r="J135" s="52" cm="1">
        <f t="array" ref="J135">IFERROR(
  VALUE($H135) *
  VALUE(
    _xlfn.XLOOKUP(
      TRIM($F135) &amp; "|" &amp; LEFT(SUBSTITUTE($G135,CHAR(160)," "),5) &amp; "|Reduced Rate",
      TRIM(SUBSTITUTE($Q$2:$Q$47,CHAR(160)," ")) &amp; "|" &amp;
      LEFT(SUBSTITUTE($R$2:$R$47,CHAR(160)," "),5) &amp; "|" &amp;
      TRIM(SUBSTITUTE($S$2:$S$47,CHAR(160)," ")),
      $T$2:$T$47
    )
  ),
"")</f>
        <v>25</v>
      </c>
      <c r="K135" s="52" cm="1">
        <f t="array" ref="K135">IFERROR(
  VALUE($H135) *
  VALUE(
    _xlfn.XLOOKUP(
      TRIM($F135) &amp; "|" &amp; LEFT(SUBSTITUTE($G135,CHAR(160)," "),5) &amp; "|Ideas Rate",
      TRIM(SUBSTITUTE($Q$2:$Q$47,CHAR(160)," ")) &amp; "|" &amp;
      LEFT(SUBSTITUTE($R$2:$R$47,CHAR(160)," "),5) &amp; "|" &amp;
      TRIM(SUBSTITUTE($S$2:$S$47,CHAR(160)," ")),
      $T$2:$T$47
    )
  ),
"")</f>
        <v>15</v>
      </c>
    </row>
    <row r="136" spans="1:26" x14ac:dyDescent="0.2">
      <c r="A136" s="38">
        <v>45964</v>
      </c>
      <c r="B136" s="5" t="s">
        <v>437</v>
      </c>
      <c r="C136" s="20" t="s">
        <v>151</v>
      </c>
      <c r="D136" t="s">
        <v>620</v>
      </c>
      <c r="E136" t="s">
        <v>455</v>
      </c>
      <c r="I136" s="20">
        <v>273.51</v>
      </c>
      <c r="J136" s="52"/>
      <c r="K136" s="52"/>
    </row>
    <row r="137" spans="1:26" x14ac:dyDescent="0.2">
      <c r="A137" s="38">
        <v>45964</v>
      </c>
      <c r="B137" s="5" t="s">
        <v>437</v>
      </c>
      <c r="C137" s="20" t="s">
        <v>151</v>
      </c>
      <c r="D137" t="s">
        <v>620</v>
      </c>
      <c r="E137" t="s">
        <v>454</v>
      </c>
      <c r="I137" s="20">
        <v>267.02999999999997</v>
      </c>
      <c r="J137" s="52"/>
      <c r="K137" s="52"/>
    </row>
    <row r="138" spans="1:26" x14ac:dyDescent="0.2">
      <c r="A138" s="38">
        <v>45965</v>
      </c>
      <c r="B138" s="5" t="s">
        <v>437</v>
      </c>
      <c r="C138" s="20" t="s">
        <v>151</v>
      </c>
      <c r="D138" t="s">
        <v>184</v>
      </c>
      <c r="E138" t="s">
        <v>440</v>
      </c>
      <c r="F138" s="54" t="s">
        <v>10</v>
      </c>
      <c r="G138" t="s">
        <v>367</v>
      </c>
      <c r="H138" s="22">
        <v>8</v>
      </c>
      <c r="I138" s="52" cm="1">
        <f t="array" ref="I138">IFERROR(
  VALUE($H138) *
  VALUE(
    _xlfn.XLOOKUP(
      TRIM($F138) &amp; "|" &amp; LEFT(SUBSTITUTE($G138,CHAR(160)," "),5) &amp; "|Full Rate",
      TRIM(SUBSTITUTE($Q$2:$Q$47,CHAR(160)," ")) &amp; "|" &amp;
      LEFT(SUBSTITUTE($R$2:$R$47,CHAR(160)," "),5) &amp; "|" &amp;
      TRIM(SUBSTITUTE($S$2:$S$47,CHAR(160)," ")),
      $T$2:$T$47
    )
  ),
"")</f>
        <v>4000</v>
      </c>
      <c r="J138" s="52" cm="1">
        <f t="array" ref="J138">IFERROR(
  VALUE($H138) *
  VALUE(
    _xlfn.XLOOKUP(
      TRIM($F138) &amp; "|" &amp; LEFT(SUBSTITUTE($G138,CHAR(160)," "),5) &amp; "|Reduced Rate",
      TRIM(SUBSTITUTE($Q$2:$Q$47,CHAR(160)," ")) &amp; "|" &amp;
      LEFT(SUBSTITUTE($R$2:$R$47,CHAR(160)," "),5) &amp; "|" &amp;
      TRIM(SUBSTITUTE($S$2:$S$47,CHAR(160)," ")),
      $T$2:$T$47
    )
  ),
"")</f>
        <v>2400</v>
      </c>
      <c r="K138" s="52" cm="1">
        <f t="array" ref="K138">IFERROR(
  VALUE($H138) *
  VALUE(
    _xlfn.XLOOKUP(
      TRIM($F138) &amp; "|" &amp; LEFT(SUBSTITUTE($G138,CHAR(160)," "),5) &amp; "|Ideas Rate",
      TRIM(SUBSTITUTE($Q$2:$Q$47,CHAR(160)," ")) &amp; "|" &amp;
      LEFT(SUBSTITUTE($R$2:$R$47,CHAR(160)," "),5) &amp; "|" &amp;
      TRIM(SUBSTITUTE($S$2:$S$47,CHAR(160)," ")),
      $T$2:$T$47
    )
  ),
"")</f>
        <v>1200</v>
      </c>
    </row>
    <row r="139" spans="1:26" x14ac:dyDescent="0.2">
      <c r="A139" s="38">
        <v>45965</v>
      </c>
      <c r="B139" s="5" t="s">
        <v>437</v>
      </c>
      <c r="C139" s="20" t="s">
        <v>151</v>
      </c>
      <c r="D139" t="s">
        <v>184</v>
      </c>
      <c r="E139" t="s">
        <v>440</v>
      </c>
      <c r="F139" s="54" t="s">
        <v>156</v>
      </c>
      <c r="G139" t="s">
        <v>367</v>
      </c>
      <c r="H139" s="22">
        <v>8</v>
      </c>
      <c r="I139" s="52" cm="1">
        <f t="array" ref="I139">IFERROR(
  VALUE($H139) *
  VALUE(
    _xlfn.XLOOKUP(
      TRIM($F139) &amp; "|" &amp; LEFT(SUBSTITUTE($G139,CHAR(160)," "),5) &amp; "|Full Rate",
      TRIM(SUBSTITUTE($Q$2:$Q$47,CHAR(160)," ")) &amp; "|" &amp;
      LEFT(SUBSTITUTE($R$2:$R$47,CHAR(160)," "),5) &amp; "|" &amp;
      TRIM(SUBSTITUTE($S$2:$S$47,CHAR(160)," ")),
      $T$2:$T$47
    )
  ),
"")</f>
        <v>2600</v>
      </c>
      <c r="J139" s="52" cm="1">
        <f t="array" ref="J139">IFERROR(
  VALUE($H139) *
  VALUE(
    _xlfn.XLOOKUP(
      TRIM($F139) &amp; "|" &amp; LEFT(SUBSTITUTE($G139,CHAR(160)," "),5) &amp; "|Reduced Rate",
      TRIM(SUBSTITUTE($Q$2:$Q$47,CHAR(160)," ")) &amp; "|" &amp;
      LEFT(SUBSTITUTE($R$2:$R$47,CHAR(160)," "),5) &amp; "|" &amp;
      TRIM(SUBSTITUTE($S$2:$S$47,CHAR(160)," ")),
      $T$2:$T$47
    )
  ),
"")</f>
        <v>1400</v>
      </c>
      <c r="K139" s="52" cm="1">
        <f t="array" ref="K139">IFERROR(
  VALUE($H139) *
  VALUE(
    _xlfn.XLOOKUP(
      TRIM($F139) &amp; "|" &amp; LEFT(SUBSTITUTE($G139,CHAR(160)," "),5) &amp; "|Ideas Rate",
      TRIM(SUBSTITUTE($Q$2:$Q$47,CHAR(160)," ")) &amp; "|" &amp;
      LEFT(SUBSTITUTE($R$2:$R$47,CHAR(160)," "),5) &amp; "|" &amp;
      TRIM(SUBSTITUTE($S$2:$S$47,CHAR(160)," ")),
      $T$2:$T$47
    )
  ),
"")</f>
        <v>760</v>
      </c>
    </row>
    <row r="140" spans="1:26" x14ac:dyDescent="0.2">
      <c r="A140" s="38">
        <v>45965</v>
      </c>
      <c r="B140" s="5" t="s">
        <v>437</v>
      </c>
      <c r="C140" s="20" t="s">
        <v>151</v>
      </c>
      <c r="D140" t="s">
        <v>184</v>
      </c>
      <c r="E140" t="s">
        <v>440</v>
      </c>
      <c r="F140" s="54" t="s">
        <v>439</v>
      </c>
      <c r="G140" t="s">
        <v>367</v>
      </c>
      <c r="H140" s="22">
        <v>8</v>
      </c>
      <c r="I140" s="52" cm="1">
        <f t="array" ref="I140">IFERROR(
  VALUE($H140) *
  VALUE(
    _xlfn.XLOOKUP(
      TRIM($F140) &amp; "|" &amp; LEFT(SUBSTITUTE($G140,CHAR(160)," "),5) &amp; "|Full Rate",
      TRIM(SUBSTITUTE($Q$2:$Q$47,CHAR(160)," ")) &amp; "|" &amp;
      LEFT(SUBSTITUTE($R$2:$R$47,CHAR(160)," "),5) &amp; "|" &amp;
      TRIM(SUBSTITUTE($S$2:$S$47,CHAR(160)," ")),
      $T$2:$T$47
    )
  ),
"")</f>
        <v>2600</v>
      </c>
      <c r="J140" s="52" cm="1">
        <f t="array" ref="J140">IFERROR(
  VALUE($H140) *
  VALUE(
    _xlfn.XLOOKUP(
      TRIM($F140) &amp; "|" &amp; LEFT(SUBSTITUTE($G140,CHAR(160)," "),5) &amp; "|Reduced Rate",
      TRIM(SUBSTITUTE($Q$2:$Q$47,CHAR(160)," ")) &amp; "|" &amp;
      LEFT(SUBSTITUTE($R$2:$R$47,CHAR(160)," "),5) &amp; "|" &amp;
      TRIM(SUBSTITUTE($S$2:$S$47,CHAR(160)," ")),
      $T$2:$T$47
    )
  ),
"")</f>
        <v>1400</v>
      </c>
      <c r="K140" s="52" cm="1">
        <f t="array" ref="K140">IFERROR(
  VALUE($H140) *
  VALUE(
    _xlfn.XLOOKUP(
      TRIM($F140) &amp; "|" &amp; LEFT(SUBSTITUTE($G140,CHAR(160)," "),5) &amp; "|Ideas Rate",
      TRIM(SUBSTITUTE($Q$2:$Q$47,CHAR(160)," ")) &amp; "|" &amp;
      LEFT(SUBSTITUTE($R$2:$R$47,CHAR(160)," "),5) &amp; "|" &amp;
      TRIM(SUBSTITUTE($S$2:$S$47,CHAR(160)," ")),
      $T$2:$T$47
    )
  ),
"")</f>
        <v>760</v>
      </c>
    </row>
    <row r="141" spans="1:26" x14ac:dyDescent="0.2">
      <c r="A141" s="38">
        <v>45965</v>
      </c>
      <c r="B141" s="5" t="s">
        <v>437</v>
      </c>
      <c r="C141" s="20" t="s">
        <v>151</v>
      </c>
      <c r="D141" t="s">
        <v>184</v>
      </c>
      <c r="E141" t="s">
        <v>442</v>
      </c>
      <c r="F141" s="54" t="s">
        <v>10</v>
      </c>
      <c r="G141" t="s">
        <v>367</v>
      </c>
      <c r="H141" s="22">
        <v>1</v>
      </c>
      <c r="I141" s="52" cm="1">
        <f t="array" ref="I141">IFERROR(
  VALUE($H141) *
  VALUE(
    _xlfn.XLOOKUP(
      TRIM($F141) &amp; "|" &amp; LEFT(SUBSTITUTE($G141,CHAR(160)," "),5) &amp; "|Full Rate",
      TRIM(SUBSTITUTE($Q$2:$Q$47,CHAR(160)," ")) &amp; "|" &amp;
      LEFT(SUBSTITUTE($R$2:$R$47,CHAR(160)," "),5) &amp; "|" &amp;
      TRIM(SUBSTITUTE($S$2:$S$47,CHAR(160)," ")),
      $T$2:$T$47
    )
  ),
"")</f>
        <v>500</v>
      </c>
      <c r="J141" s="52" cm="1">
        <f t="array" ref="J141">IFERROR(
  VALUE($H141) *
  VALUE(
    _xlfn.XLOOKUP(
      TRIM($F141) &amp; "|" &amp; LEFT(SUBSTITUTE($G141,CHAR(160)," "),5) &amp; "|Reduced Rate",
      TRIM(SUBSTITUTE($Q$2:$Q$47,CHAR(160)," ")) &amp; "|" &amp;
      LEFT(SUBSTITUTE($R$2:$R$47,CHAR(160)," "),5) &amp; "|" &amp;
      TRIM(SUBSTITUTE($S$2:$S$47,CHAR(160)," ")),
      $T$2:$T$47
    )
  ),
"")</f>
        <v>300</v>
      </c>
      <c r="K141" s="52" cm="1">
        <f t="array" ref="K141">IFERROR(
  VALUE($H141) *
  VALUE(
    _xlfn.XLOOKUP(
      TRIM($F141) &amp; "|" &amp; LEFT(SUBSTITUTE($G141,CHAR(160)," "),5) &amp; "|Ideas Rate",
      TRIM(SUBSTITUTE($Q$2:$Q$47,CHAR(160)," ")) &amp; "|" &amp;
      LEFT(SUBSTITUTE($R$2:$R$47,CHAR(160)," "),5) &amp; "|" &amp;
      TRIM(SUBSTITUTE($S$2:$S$47,CHAR(160)," ")),
      $T$2:$T$47
    )
  ),
"")</f>
        <v>150</v>
      </c>
    </row>
    <row r="142" spans="1:26" x14ac:dyDescent="0.2">
      <c r="A142" s="38">
        <v>45965</v>
      </c>
      <c r="B142" s="5" t="s">
        <v>437</v>
      </c>
      <c r="C142" s="20" t="s">
        <v>151</v>
      </c>
      <c r="D142" t="s">
        <v>184</v>
      </c>
      <c r="E142" t="s">
        <v>442</v>
      </c>
      <c r="F142" s="54" t="s">
        <v>156</v>
      </c>
      <c r="G142" t="s">
        <v>367</v>
      </c>
      <c r="H142" s="22">
        <v>1</v>
      </c>
      <c r="I142" s="52" cm="1">
        <f t="array" ref="I142">IFERROR(
  VALUE($H142) *
  VALUE(
    _xlfn.XLOOKUP(
      TRIM($F142) &amp; "|" &amp; LEFT(SUBSTITUTE($G142,CHAR(160)," "),5) &amp; "|Full Rate",
      TRIM(SUBSTITUTE($Q$2:$Q$47,CHAR(160)," ")) &amp; "|" &amp;
      LEFT(SUBSTITUTE($R$2:$R$47,CHAR(160)," "),5) &amp; "|" &amp;
      TRIM(SUBSTITUTE($S$2:$S$47,CHAR(160)," ")),
      $T$2:$T$47
    )
  ),
"")</f>
        <v>325</v>
      </c>
      <c r="J142" s="52" cm="1">
        <f t="array" ref="J142">IFERROR(
  VALUE($H142) *
  VALUE(
    _xlfn.XLOOKUP(
      TRIM($F142) &amp; "|" &amp; LEFT(SUBSTITUTE($G142,CHAR(160)," "),5) &amp; "|Reduced Rate",
      TRIM(SUBSTITUTE($Q$2:$Q$47,CHAR(160)," ")) &amp; "|" &amp;
      LEFT(SUBSTITUTE($R$2:$R$47,CHAR(160)," "),5) &amp; "|" &amp;
      TRIM(SUBSTITUTE($S$2:$S$47,CHAR(160)," ")),
      $T$2:$T$47
    )
  ),
"")</f>
        <v>175</v>
      </c>
      <c r="K142" s="52" cm="1">
        <f t="array" ref="K142">IFERROR(
  VALUE($H142) *
  VALUE(
    _xlfn.XLOOKUP(
      TRIM($F142) &amp; "|" &amp; LEFT(SUBSTITUTE($G142,CHAR(160)," "),5) &amp; "|Ideas Rate",
      TRIM(SUBSTITUTE($Q$2:$Q$47,CHAR(160)," ")) &amp; "|" &amp;
      LEFT(SUBSTITUTE($R$2:$R$47,CHAR(160)," "),5) &amp; "|" &amp;
      TRIM(SUBSTITUTE($S$2:$S$47,CHAR(160)," ")),
      $T$2:$T$47
    )
  ),
"")</f>
        <v>95</v>
      </c>
    </row>
    <row r="143" spans="1:26" x14ac:dyDescent="0.2">
      <c r="A143" s="38">
        <v>45966</v>
      </c>
      <c r="B143" s="5" t="s">
        <v>437</v>
      </c>
      <c r="C143" s="20" t="s">
        <v>151</v>
      </c>
      <c r="D143" t="s">
        <v>184</v>
      </c>
      <c r="E143" t="s">
        <v>440</v>
      </c>
      <c r="F143" s="54" t="s">
        <v>10</v>
      </c>
      <c r="G143" t="s">
        <v>367</v>
      </c>
      <c r="H143" s="22">
        <v>7</v>
      </c>
      <c r="I143" s="52" cm="1">
        <f t="array" ref="I143">IFERROR(
  VALUE($H143) *
  VALUE(
    _xlfn.XLOOKUP(
      TRIM($F143) &amp; "|" &amp; LEFT(SUBSTITUTE($G143,CHAR(160)," "),5) &amp; "|Full Rate",
      TRIM(SUBSTITUTE($Q$2:$Q$47,CHAR(160)," ")) &amp; "|" &amp;
      LEFT(SUBSTITUTE($R$2:$R$47,CHAR(160)," "),5) &amp; "|" &amp;
      TRIM(SUBSTITUTE($S$2:$S$47,CHAR(160)," ")),
      $T$2:$T$47
    )
  ),
"")</f>
        <v>3500</v>
      </c>
      <c r="J143" s="52" cm="1">
        <f t="array" ref="J143">IFERROR(
  VALUE($H143) *
  VALUE(
    _xlfn.XLOOKUP(
      TRIM($F143) &amp; "|" &amp; LEFT(SUBSTITUTE($G143,CHAR(160)," "),5) &amp; "|Reduced Rate",
      TRIM(SUBSTITUTE($Q$2:$Q$47,CHAR(160)," ")) &amp; "|" &amp;
      LEFT(SUBSTITUTE($R$2:$R$47,CHAR(160)," "),5) &amp; "|" &amp;
      TRIM(SUBSTITUTE($S$2:$S$47,CHAR(160)," ")),
      $T$2:$T$47
    )
  ),
"")</f>
        <v>2100</v>
      </c>
      <c r="K143" s="52" cm="1">
        <f t="array" ref="K143">IFERROR(
  VALUE($H143) *
  VALUE(
    _xlfn.XLOOKUP(
      TRIM($F143) &amp; "|" &amp; LEFT(SUBSTITUTE($G143,CHAR(160)," "),5) &amp; "|Ideas Rate",
      TRIM(SUBSTITUTE($Q$2:$Q$47,CHAR(160)," ")) &amp; "|" &amp;
      LEFT(SUBSTITUTE($R$2:$R$47,CHAR(160)," "),5) &amp; "|" &amp;
      TRIM(SUBSTITUTE($S$2:$S$47,CHAR(160)," ")),
      $T$2:$T$47
    )
  ),
"")</f>
        <v>1050</v>
      </c>
    </row>
    <row r="144" spans="1:26" x14ac:dyDescent="0.2">
      <c r="A144" s="38">
        <v>45966</v>
      </c>
      <c r="B144" s="5" t="s">
        <v>437</v>
      </c>
      <c r="C144" s="20" t="s">
        <v>151</v>
      </c>
      <c r="D144" t="s">
        <v>184</v>
      </c>
      <c r="E144" t="s">
        <v>440</v>
      </c>
      <c r="F144" s="54" t="s">
        <v>156</v>
      </c>
      <c r="G144" t="s">
        <v>367</v>
      </c>
      <c r="H144" s="22">
        <v>7</v>
      </c>
      <c r="I144" s="52" cm="1">
        <f t="array" ref="I144">IFERROR(
  VALUE($H144) *
  VALUE(
    _xlfn.XLOOKUP(
      TRIM($F144) &amp; "|" &amp; LEFT(SUBSTITUTE($G144,CHAR(160)," "),5) &amp; "|Full Rate",
      TRIM(SUBSTITUTE($Q$2:$Q$47,CHAR(160)," ")) &amp; "|" &amp;
      LEFT(SUBSTITUTE($R$2:$R$47,CHAR(160)," "),5) &amp; "|" &amp;
      TRIM(SUBSTITUTE($S$2:$S$47,CHAR(160)," ")),
      $T$2:$T$47
    )
  ),
"")</f>
        <v>2275</v>
      </c>
      <c r="J144" s="52" cm="1">
        <f t="array" ref="J144">IFERROR(
  VALUE($H144) *
  VALUE(
    _xlfn.XLOOKUP(
      TRIM($F144) &amp; "|" &amp; LEFT(SUBSTITUTE($G144,CHAR(160)," "),5) &amp; "|Reduced Rate",
      TRIM(SUBSTITUTE($Q$2:$Q$47,CHAR(160)," ")) &amp; "|" &amp;
      LEFT(SUBSTITUTE($R$2:$R$47,CHAR(160)," "),5) &amp; "|" &amp;
      TRIM(SUBSTITUTE($S$2:$S$47,CHAR(160)," ")),
      $T$2:$T$47
    )
  ),
"")</f>
        <v>1225</v>
      </c>
      <c r="K144" s="52" cm="1">
        <f t="array" ref="K144">IFERROR(
  VALUE($H144) *
  VALUE(
    _xlfn.XLOOKUP(
      TRIM($F144) &amp; "|" &amp; LEFT(SUBSTITUTE($G144,CHAR(160)," "),5) &amp; "|Ideas Rate",
      TRIM(SUBSTITUTE($Q$2:$Q$47,CHAR(160)," ")) &amp; "|" &amp;
      LEFT(SUBSTITUTE($R$2:$R$47,CHAR(160)," "),5) &amp; "|" &amp;
      TRIM(SUBSTITUTE($S$2:$S$47,CHAR(160)," ")),
      $T$2:$T$47
    )
  ),
"")</f>
        <v>665</v>
      </c>
    </row>
    <row r="145" spans="1:11" x14ac:dyDescent="0.2">
      <c r="A145" s="38">
        <v>45966</v>
      </c>
      <c r="B145" s="5" t="s">
        <v>437</v>
      </c>
      <c r="C145" s="20" t="s">
        <v>151</v>
      </c>
      <c r="D145" t="s">
        <v>184</v>
      </c>
      <c r="E145" t="s">
        <v>440</v>
      </c>
      <c r="F145" s="54" t="s">
        <v>439</v>
      </c>
      <c r="G145" t="s">
        <v>367</v>
      </c>
      <c r="H145" s="22">
        <v>4.5</v>
      </c>
      <c r="I145" s="52" cm="1">
        <f t="array" ref="I145">IFERROR(
  VALUE($H145) *
  VALUE(
    _xlfn.XLOOKUP(
      TRIM($F145) &amp; "|" &amp; LEFT(SUBSTITUTE($G145,CHAR(160)," "),5) &amp; "|Full Rate",
      TRIM(SUBSTITUTE($Q$2:$Q$47,CHAR(160)," ")) &amp; "|" &amp;
      LEFT(SUBSTITUTE($R$2:$R$47,CHAR(160)," "),5) &amp; "|" &amp;
      TRIM(SUBSTITUTE($S$2:$S$47,CHAR(160)," ")),
      $T$2:$T$47
    )
  ),
"")</f>
        <v>1462.5</v>
      </c>
      <c r="J145" s="52" cm="1">
        <f t="array" ref="J145">IFERROR(
  VALUE($H145) *
  VALUE(
    _xlfn.XLOOKUP(
      TRIM($F145) &amp; "|" &amp; LEFT(SUBSTITUTE($G145,CHAR(160)," "),5) &amp; "|Reduced Rate",
      TRIM(SUBSTITUTE($Q$2:$Q$47,CHAR(160)," ")) &amp; "|" &amp;
      LEFT(SUBSTITUTE($R$2:$R$47,CHAR(160)," "),5) &amp; "|" &amp;
      TRIM(SUBSTITUTE($S$2:$S$47,CHAR(160)," ")),
      $T$2:$T$47
    )
  ),
"")</f>
        <v>787.5</v>
      </c>
      <c r="K145" s="52" cm="1">
        <f t="array" ref="K145">IFERROR(
  VALUE($H145) *
  VALUE(
    _xlfn.XLOOKUP(
      TRIM($F145) &amp; "|" &amp; LEFT(SUBSTITUTE($G145,CHAR(160)," "),5) &amp; "|Ideas Rate",
      TRIM(SUBSTITUTE($Q$2:$Q$47,CHAR(160)," ")) &amp; "|" &amp;
      LEFT(SUBSTITUTE($R$2:$R$47,CHAR(160)," "),5) &amp; "|" &amp;
      TRIM(SUBSTITUTE($S$2:$S$47,CHAR(160)," ")),
      $T$2:$T$47
    )
  ),
"")</f>
        <v>427.5</v>
      </c>
    </row>
    <row r="146" spans="1:11" x14ac:dyDescent="0.2">
      <c r="A146" s="38">
        <v>45966</v>
      </c>
      <c r="B146" s="5" t="s">
        <v>437</v>
      </c>
      <c r="C146" s="20" t="s">
        <v>151</v>
      </c>
      <c r="D146" t="s">
        <v>323</v>
      </c>
      <c r="E146" t="s">
        <v>443</v>
      </c>
      <c r="F146" s="54" t="s">
        <v>10</v>
      </c>
      <c r="G146" t="s">
        <v>368</v>
      </c>
      <c r="H146" s="22">
        <v>4</v>
      </c>
      <c r="I146" s="52" cm="1">
        <f t="array" ref="I146">IFERROR(
  VALUE($H146) *
  VALUE(
    _xlfn.XLOOKUP(
      TRIM($F146) &amp; "|" &amp; LEFT(SUBSTITUTE($G146,CHAR(160)," "),5) &amp; "|Full Rate",
      TRIM(SUBSTITUTE($Q$2:$Q$47,CHAR(160)," ")) &amp; "|" &amp;
      LEFT(SUBSTITUTE($R$2:$R$47,CHAR(160)," "),5) &amp; "|" &amp;
      TRIM(SUBSTITUTE($S$2:$S$47,CHAR(160)," ")),
      $T$2:$T$47
    )
  ),
"")</f>
        <v>400</v>
      </c>
      <c r="J146" s="52" cm="1">
        <f t="array" ref="J146">IFERROR(
  VALUE($H146) *
  VALUE(
    _xlfn.XLOOKUP(
      TRIM($F146) &amp; "|" &amp; LEFT(SUBSTITUTE($G146,CHAR(160)," "),5) &amp; "|Reduced Rate",
      TRIM(SUBSTITUTE($Q$2:$Q$47,CHAR(160)," ")) &amp; "|" &amp;
      LEFT(SUBSTITUTE($R$2:$R$47,CHAR(160)," "),5) &amp; "|" &amp;
      TRIM(SUBSTITUTE($S$2:$S$47,CHAR(160)," ")),
      $T$2:$T$47
    )
  ),
"")</f>
        <v>200</v>
      </c>
      <c r="K146" s="52" cm="1">
        <f t="array" ref="K146">IFERROR(
  VALUE($H146) *
  VALUE(
    _xlfn.XLOOKUP(
      TRIM($F146) &amp; "|" &amp; LEFT(SUBSTITUTE($G146,CHAR(160)," "),5) &amp; "|Ideas Rate",
      TRIM(SUBSTITUTE($Q$2:$Q$47,CHAR(160)," ")) &amp; "|" &amp;
      LEFT(SUBSTITUTE($R$2:$R$47,CHAR(160)," "),5) &amp; "|" &amp;
      TRIM(SUBSTITUTE($S$2:$S$47,CHAR(160)," ")),
      $T$2:$T$47
    )
  ),
"")</f>
        <v>120</v>
      </c>
    </row>
    <row r="147" spans="1:11" x14ac:dyDescent="0.2">
      <c r="A147" s="38">
        <v>45966</v>
      </c>
      <c r="B147" s="5" t="s">
        <v>437</v>
      </c>
      <c r="C147" s="20" t="s">
        <v>151</v>
      </c>
      <c r="D147" t="s">
        <v>323</v>
      </c>
      <c r="E147" t="s">
        <v>443</v>
      </c>
      <c r="F147" s="54" t="s">
        <v>156</v>
      </c>
      <c r="G147" t="s">
        <v>368</v>
      </c>
      <c r="H147" s="22">
        <v>4</v>
      </c>
      <c r="I147" s="52" cm="1">
        <f t="array" ref="I147">IFERROR(
  VALUE($H147) *
  VALUE(
    _xlfn.XLOOKUP(
      TRIM($F147) &amp; "|" &amp; LEFT(SUBSTITUTE($G147,CHAR(160)," "),5) &amp; "|Full Rate",
      TRIM(SUBSTITUTE($Q$2:$Q$47,CHAR(160)," ")) &amp; "|" &amp;
      LEFT(SUBSTITUTE($R$2:$R$47,CHAR(160)," "),5) &amp; "|" &amp;
      TRIM(SUBSTITUTE($S$2:$S$47,CHAR(160)," ")),
      $T$2:$T$47
    )
  ),
"")</f>
        <v>400</v>
      </c>
      <c r="J147" s="52" cm="1">
        <f t="array" ref="J147">IFERROR(
  VALUE($H147) *
  VALUE(
    _xlfn.XLOOKUP(
      TRIM($F147) &amp; "|" &amp; LEFT(SUBSTITUTE($G147,CHAR(160)," "),5) &amp; "|Reduced Rate",
      TRIM(SUBSTITUTE($Q$2:$Q$47,CHAR(160)," ")) &amp; "|" &amp;
      LEFT(SUBSTITUTE($R$2:$R$47,CHAR(160)," "),5) &amp; "|" &amp;
      TRIM(SUBSTITUTE($S$2:$S$47,CHAR(160)," ")),
      $T$2:$T$47
    )
  ),
"")</f>
        <v>200</v>
      </c>
      <c r="K147" s="52" cm="1">
        <f t="array" ref="K147">IFERROR(
  VALUE($H147) *
  VALUE(
    _xlfn.XLOOKUP(
      TRIM($F147) &amp; "|" &amp; LEFT(SUBSTITUTE($G147,CHAR(160)," "),5) &amp; "|Ideas Rate",
      TRIM(SUBSTITUTE($Q$2:$Q$47,CHAR(160)," ")) &amp; "|" &amp;
      LEFT(SUBSTITUTE($R$2:$R$47,CHAR(160)," "),5) &amp; "|" &amp;
      TRIM(SUBSTITUTE($S$2:$S$47,CHAR(160)," ")),
      $T$2:$T$47
    )
  ),
"")</f>
        <v>120</v>
      </c>
    </row>
    <row r="148" spans="1:11" x14ac:dyDescent="0.2">
      <c r="A148" s="38">
        <v>45967</v>
      </c>
      <c r="B148" s="5" t="s">
        <v>437</v>
      </c>
      <c r="C148" s="20" t="s">
        <v>151</v>
      </c>
      <c r="D148" t="s">
        <v>620</v>
      </c>
      <c r="E148" t="s">
        <v>452</v>
      </c>
      <c r="I148" s="52">
        <v>57</v>
      </c>
      <c r="J148" s="52"/>
      <c r="K148" s="52"/>
    </row>
    <row r="149" spans="1:11" x14ac:dyDescent="0.2">
      <c r="A149" s="38">
        <v>45967</v>
      </c>
      <c r="B149" s="5" t="s">
        <v>437</v>
      </c>
      <c r="C149" s="20" t="s">
        <v>151</v>
      </c>
      <c r="D149" t="s">
        <v>620</v>
      </c>
      <c r="E149" t="s">
        <v>456</v>
      </c>
      <c r="I149" s="20">
        <v>313.61</v>
      </c>
      <c r="J149" s="52"/>
      <c r="K149" s="52"/>
    </row>
    <row r="150" spans="1:11" x14ac:dyDescent="0.2">
      <c r="A150" s="38">
        <v>45967</v>
      </c>
      <c r="B150" s="5" t="s">
        <v>437</v>
      </c>
      <c r="C150" s="20" t="s">
        <v>151</v>
      </c>
      <c r="D150" t="s">
        <v>323</v>
      </c>
      <c r="E150" t="s">
        <v>444</v>
      </c>
      <c r="F150" s="54" t="s">
        <v>10</v>
      </c>
      <c r="G150" t="s">
        <v>368</v>
      </c>
      <c r="H150" s="22">
        <v>2</v>
      </c>
      <c r="I150" s="52" cm="1">
        <f t="array" ref="I150">IFERROR(
  VALUE($H150) *
  VALUE(
    _xlfn.XLOOKUP(
      TRIM($F150) &amp; "|" &amp; LEFT(SUBSTITUTE($G150,CHAR(160)," "),5) &amp; "|Full Rate",
      TRIM(SUBSTITUTE($Q$2:$Q$47,CHAR(160)," ")) &amp; "|" &amp;
      LEFT(SUBSTITUTE($R$2:$R$47,CHAR(160)," "),5) &amp; "|" &amp;
      TRIM(SUBSTITUTE($S$2:$S$47,CHAR(160)," ")),
      $T$2:$T$47
    )
  ),
"")</f>
        <v>200</v>
      </c>
      <c r="J150" s="52" cm="1">
        <f t="array" ref="J150">IFERROR(
  VALUE($H150) *
  VALUE(
    _xlfn.XLOOKUP(
      TRIM($F150) &amp; "|" &amp; LEFT(SUBSTITUTE($G150,CHAR(160)," "),5) &amp; "|Reduced Rate",
      TRIM(SUBSTITUTE($Q$2:$Q$47,CHAR(160)," ")) &amp; "|" &amp;
      LEFT(SUBSTITUTE($R$2:$R$47,CHAR(160)," "),5) &amp; "|" &amp;
      TRIM(SUBSTITUTE($S$2:$S$47,CHAR(160)," ")),
      $T$2:$T$47
    )
  ),
"")</f>
        <v>100</v>
      </c>
      <c r="K150" s="52" cm="1">
        <f t="array" ref="K150">IFERROR(
  VALUE($H150) *
  VALUE(
    _xlfn.XLOOKUP(
      TRIM($F150) &amp; "|" &amp; LEFT(SUBSTITUTE($G150,CHAR(160)," "),5) &amp; "|Ideas Rate",
      TRIM(SUBSTITUTE($Q$2:$Q$47,CHAR(160)," ")) &amp; "|" &amp;
      LEFT(SUBSTITUTE($R$2:$R$47,CHAR(160)," "),5) &amp; "|" &amp;
      TRIM(SUBSTITUTE($S$2:$S$47,CHAR(160)," ")),
      $T$2:$T$47
    )
  ),
"")</f>
        <v>60</v>
      </c>
    </row>
    <row r="151" spans="1:11" x14ac:dyDescent="0.2">
      <c r="A151" s="38">
        <v>45967</v>
      </c>
      <c r="B151" s="5" t="s">
        <v>437</v>
      </c>
      <c r="C151" s="20" t="s">
        <v>151</v>
      </c>
      <c r="D151" t="s">
        <v>323</v>
      </c>
      <c r="E151" t="s">
        <v>444</v>
      </c>
      <c r="F151" s="54" t="s">
        <v>156</v>
      </c>
      <c r="G151" t="s">
        <v>368</v>
      </c>
      <c r="H151" s="22">
        <v>2</v>
      </c>
      <c r="I151" s="52" cm="1">
        <f t="array" ref="I151">IFERROR(
  VALUE($H151) *
  VALUE(
    _xlfn.XLOOKUP(
      TRIM($F151) &amp; "|" &amp; LEFT(SUBSTITUTE($G151,CHAR(160)," "),5) &amp; "|Full Rate",
      TRIM(SUBSTITUTE($Q$2:$Q$47,CHAR(160)," ")) &amp; "|" &amp;
      LEFT(SUBSTITUTE($R$2:$R$47,CHAR(160)," "),5) &amp; "|" &amp;
      TRIM(SUBSTITUTE($S$2:$S$47,CHAR(160)," ")),
      $T$2:$T$47
    )
  ),
"")</f>
        <v>200</v>
      </c>
      <c r="J151" s="52" cm="1">
        <f t="array" ref="J151">IFERROR(
  VALUE($H151) *
  VALUE(
    _xlfn.XLOOKUP(
      TRIM($F151) &amp; "|" &amp; LEFT(SUBSTITUTE($G151,CHAR(160)," "),5) &amp; "|Reduced Rate",
      TRIM(SUBSTITUTE($Q$2:$Q$47,CHAR(160)," ")) &amp; "|" &amp;
      LEFT(SUBSTITUTE($R$2:$R$47,CHAR(160)," "),5) &amp; "|" &amp;
      TRIM(SUBSTITUTE($S$2:$S$47,CHAR(160)," ")),
      $T$2:$T$47
    )
  ),
"")</f>
        <v>100</v>
      </c>
      <c r="K151" s="52" cm="1">
        <f t="array" ref="K151">IFERROR(
  VALUE($H151) *
  VALUE(
    _xlfn.XLOOKUP(
      TRIM($F151) &amp; "|" &amp; LEFT(SUBSTITUTE($G151,CHAR(160)," "),5) &amp; "|Ideas Rate",
      TRIM(SUBSTITUTE($Q$2:$Q$47,CHAR(160)," ")) &amp; "|" &amp;
      LEFT(SUBSTITUTE($R$2:$R$47,CHAR(160)," "),5) &amp; "|" &amp;
      TRIM(SUBSTITUTE($S$2:$S$47,CHAR(160)," ")),
      $T$2:$T$47
    )
  ),
"")</f>
        <v>60</v>
      </c>
    </row>
    <row r="152" spans="1:11" x14ac:dyDescent="0.2">
      <c r="A152" s="38">
        <v>45967</v>
      </c>
      <c r="B152" s="5" t="s">
        <v>437</v>
      </c>
      <c r="C152" s="20" t="s">
        <v>151</v>
      </c>
      <c r="D152" t="s">
        <v>184</v>
      </c>
      <c r="E152" t="s">
        <v>445</v>
      </c>
      <c r="F152" s="54" t="s">
        <v>10</v>
      </c>
      <c r="G152" t="s">
        <v>367</v>
      </c>
      <c r="H152" s="22">
        <v>10.5</v>
      </c>
      <c r="I152" s="52" cm="1">
        <f t="array" ref="I152">IFERROR(
  VALUE($H152) *
  VALUE(
    _xlfn.XLOOKUP(
      TRIM($F152) &amp; "|" &amp; LEFT(SUBSTITUTE($G152,CHAR(160)," "),5) &amp; "|Full Rate",
      TRIM(SUBSTITUTE($Q$2:$Q$47,CHAR(160)," ")) &amp; "|" &amp;
      LEFT(SUBSTITUTE($R$2:$R$47,CHAR(160)," "),5) &amp; "|" &amp;
      TRIM(SUBSTITUTE($S$2:$S$47,CHAR(160)," ")),
      $T$2:$T$47
    )
  ),
"")</f>
        <v>5250</v>
      </c>
      <c r="J152" s="52" cm="1">
        <f t="array" ref="J152">IFERROR(
  VALUE($H152) *
  VALUE(
    _xlfn.XLOOKUP(
      TRIM($F152) &amp; "|" &amp; LEFT(SUBSTITUTE($G152,CHAR(160)," "),5) &amp; "|Reduced Rate",
      TRIM(SUBSTITUTE($Q$2:$Q$47,CHAR(160)," ")) &amp; "|" &amp;
      LEFT(SUBSTITUTE($R$2:$R$47,CHAR(160)," "),5) &amp; "|" &amp;
      TRIM(SUBSTITUTE($S$2:$S$47,CHAR(160)," ")),
      $T$2:$T$47
    )
  ),
"")</f>
        <v>3150</v>
      </c>
      <c r="K152" s="52" cm="1">
        <f t="array" ref="K152">IFERROR(
  VALUE($H152) *
  VALUE(
    _xlfn.XLOOKUP(
      TRIM($F152) &amp; "|" &amp; LEFT(SUBSTITUTE($G152,CHAR(160)," "),5) &amp; "|Ideas Rate",
      TRIM(SUBSTITUTE($Q$2:$Q$47,CHAR(160)," ")) &amp; "|" &amp;
      LEFT(SUBSTITUTE($R$2:$R$47,CHAR(160)," "),5) &amp; "|" &amp;
      TRIM(SUBSTITUTE($S$2:$S$47,CHAR(160)," ")),
      $T$2:$T$47
    )
  ),
"")</f>
        <v>1575</v>
      </c>
    </row>
    <row r="153" spans="1:11" x14ac:dyDescent="0.2">
      <c r="A153" s="38">
        <v>45967</v>
      </c>
      <c r="B153" s="5" t="s">
        <v>437</v>
      </c>
      <c r="C153" s="20" t="s">
        <v>151</v>
      </c>
      <c r="D153" t="s">
        <v>184</v>
      </c>
      <c r="E153" t="s">
        <v>445</v>
      </c>
      <c r="F153" s="54" t="s">
        <v>156</v>
      </c>
      <c r="G153" t="s">
        <v>367</v>
      </c>
      <c r="H153" s="22">
        <v>10.5</v>
      </c>
      <c r="I153" s="52" cm="1">
        <f t="array" ref="I153">IFERROR(
  VALUE($H153) *
  VALUE(
    _xlfn.XLOOKUP(
      TRIM($F153) &amp; "|" &amp; LEFT(SUBSTITUTE($G153,CHAR(160)," "),5) &amp; "|Full Rate",
      TRIM(SUBSTITUTE($Q$2:$Q$47,CHAR(160)," ")) &amp; "|" &amp;
      LEFT(SUBSTITUTE($R$2:$R$47,CHAR(160)," "),5) &amp; "|" &amp;
      TRIM(SUBSTITUTE($S$2:$S$47,CHAR(160)," ")),
      $T$2:$T$47
    )
  ),
"")</f>
        <v>3412.5</v>
      </c>
      <c r="J153" s="52" cm="1">
        <f t="array" ref="J153">IFERROR(
  VALUE($H153) *
  VALUE(
    _xlfn.XLOOKUP(
      TRIM($F153) &amp; "|" &amp; LEFT(SUBSTITUTE($G153,CHAR(160)," "),5) &amp; "|Reduced Rate",
      TRIM(SUBSTITUTE($Q$2:$Q$47,CHAR(160)," ")) &amp; "|" &amp;
      LEFT(SUBSTITUTE($R$2:$R$47,CHAR(160)," "),5) &amp; "|" &amp;
      TRIM(SUBSTITUTE($S$2:$S$47,CHAR(160)," ")),
      $T$2:$T$47
    )
  ),
"")</f>
        <v>1837.5</v>
      </c>
      <c r="K153" s="52" cm="1">
        <f t="array" ref="K153">IFERROR(
  VALUE($H153) *
  VALUE(
    _xlfn.XLOOKUP(
      TRIM($F153) &amp; "|" &amp; LEFT(SUBSTITUTE($G153,CHAR(160)," "),5) &amp; "|Ideas Rate",
      TRIM(SUBSTITUTE($Q$2:$Q$47,CHAR(160)," ")) &amp; "|" &amp;
      LEFT(SUBSTITUTE($R$2:$R$47,CHAR(160)," "),5) &amp; "|" &amp;
      TRIM(SUBSTITUTE($S$2:$S$47,CHAR(160)," ")),
      $T$2:$T$47
    )
  ),
"")</f>
        <v>997.5</v>
      </c>
    </row>
    <row r="154" spans="1:11" x14ac:dyDescent="0.2">
      <c r="A154" s="38">
        <v>45967</v>
      </c>
      <c r="B154" s="5" t="s">
        <v>437</v>
      </c>
      <c r="C154" s="20" t="s">
        <v>151</v>
      </c>
      <c r="D154" t="s">
        <v>323</v>
      </c>
      <c r="E154" t="s">
        <v>446</v>
      </c>
      <c r="F154" s="54" t="s">
        <v>10</v>
      </c>
      <c r="G154" t="s">
        <v>368</v>
      </c>
      <c r="H154" s="22">
        <v>0.5</v>
      </c>
      <c r="I154" s="52" cm="1">
        <f t="array" ref="I154">IFERROR(
  VALUE($H154) *
  VALUE(
    _xlfn.XLOOKUP(
      TRIM($F154) &amp; "|" &amp; LEFT(SUBSTITUTE($G154,CHAR(160)," "),5) &amp; "|Full Rate",
      TRIM(SUBSTITUTE($Q$2:$Q$47,CHAR(160)," ")) &amp; "|" &amp;
      LEFT(SUBSTITUTE($R$2:$R$47,CHAR(160)," "),5) &amp; "|" &amp;
      TRIM(SUBSTITUTE($S$2:$S$47,CHAR(160)," ")),
      $T$2:$T$47
    )
  ),
"")</f>
        <v>50</v>
      </c>
      <c r="J154" s="52" cm="1">
        <f t="array" ref="J154">IFERROR(
  VALUE($H154) *
  VALUE(
    _xlfn.XLOOKUP(
      TRIM($F154) &amp; "|" &amp; LEFT(SUBSTITUTE($G154,CHAR(160)," "),5) &amp; "|Reduced Rate",
      TRIM(SUBSTITUTE($Q$2:$Q$47,CHAR(160)," ")) &amp; "|" &amp;
      LEFT(SUBSTITUTE($R$2:$R$47,CHAR(160)," "),5) &amp; "|" &amp;
      TRIM(SUBSTITUTE($S$2:$S$47,CHAR(160)," ")),
      $T$2:$T$47
    )
  ),
"")</f>
        <v>25</v>
      </c>
      <c r="K154" s="52" cm="1">
        <f t="array" ref="K154">IFERROR(
  VALUE($H154) *
  VALUE(
    _xlfn.XLOOKUP(
      TRIM($F154) &amp; "|" &amp; LEFT(SUBSTITUTE($G154,CHAR(160)," "),5) &amp; "|Ideas Rate",
      TRIM(SUBSTITUTE($Q$2:$Q$47,CHAR(160)," ")) &amp; "|" &amp;
      LEFT(SUBSTITUTE($R$2:$R$47,CHAR(160)," "),5) &amp; "|" &amp;
      TRIM(SUBSTITUTE($S$2:$S$47,CHAR(160)," ")),
      $T$2:$T$47
    )
  ),
"")</f>
        <v>15</v>
      </c>
    </row>
    <row r="155" spans="1:11" x14ac:dyDescent="0.2">
      <c r="A155" s="38">
        <v>45967</v>
      </c>
      <c r="B155" s="5" t="s">
        <v>437</v>
      </c>
      <c r="C155" s="20" t="s">
        <v>151</v>
      </c>
      <c r="D155" t="s">
        <v>323</v>
      </c>
      <c r="E155" t="s">
        <v>446</v>
      </c>
      <c r="F155" s="54" t="s">
        <v>156</v>
      </c>
      <c r="G155" t="s">
        <v>368</v>
      </c>
      <c r="H155" s="22">
        <v>0.5</v>
      </c>
      <c r="I155" s="52" cm="1">
        <f t="array" ref="I155">IFERROR(
  VALUE($H155) *
  VALUE(
    _xlfn.XLOOKUP(
      TRIM($F155) &amp; "|" &amp; LEFT(SUBSTITUTE($G155,CHAR(160)," "),5) &amp; "|Full Rate",
      TRIM(SUBSTITUTE($Q$2:$Q$47,CHAR(160)," ")) &amp; "|" &amp;
      LEFT(SUBSTITUTE($R$2:$R$47,CHAR(160)," "),5) &amp; "|" &amp;
      TRIM(SUBSTITUTE($S$2:$S$47,CHAR(160)," ")),
      $T$2:$T$47
    )
  ),
"")</f>
        <v>50</v>
      </c>
      <c r="J155" s="52" cm="1">
        <f t="array" ref="J155">IFERROR(
  VALUE($H155) *
  VALUE(
    _xlfn.XLOOKUP(
      TRIM($F155) &amp; "|" &amp; LEFT(SUBSTITUTE($G155,CHAR(160)," "),5) &amp; "|Reduced Rate",
      TRIM(SUBSTITUTE($Q$2:$Q$47,CHAR(160)," ")) &amp; "|" &amp;
      LEFT(SUBSTITUTE($R$2:$R$47,CHAR(160)," "),5) &amp; "|" &amp;
      TRIM(SUBSTITUTE($S$2:$S$47,CHAR(160)," ")),
      $T$2:$T$47
    )
  ),
"")</f>
        <v>25</v>
      </c>
      <c r="K155" s="52" cm="1">
        <f t="array" ref="K155">IFERROR(
  VALUE($H155) *
  VALUE(
    _xlfn.XLOOKUP(
      TRIM($F155) &amp; "|" &amp; LEFT(SUBSTITUTE($G155,CHAR(160)," "),5) &amp; "|Ideas Rate",
      TRIM(SUBSTITUTE($Q$2:$Q$47,CHAR(160)," ")) &amp; "|" &amp;
      LEFT(SUBSTITUTE($R$2:$R$47,CHAR(160)," "),5) &amp; "|" &amp;
      TRIM(SUBSTITUTE($S$2:$S$47,CHAR(160)," ")),
      $T$2:$T$47
    )
  ),
"")</f>
        <v>15</v>
      </c>
    </row>
    <row r="156" spans="1:11" x14ac:dyDescent="0.2">
      <c r="A156" s="38">
        <v>45968</v>
      </c>
      <c r="B156" s="5" t="s">
        <v>437</v>
      </c>
      <c r="C156" s="20" t="s">
        <v>151</v>
      </c>
      <c r="D156" t="s">
        <v>323</v>
      </c>
      <c r="E156" t="s">
        <v>447</v>
      </c>
      <c r="F156" s="54" t="s">
        <v>10</v>
      </c>
      <c r="G156" t="s">
        <v>368</v>
      </c>
      <c r="H156" s="22">
        <v>0.5</v>
      </c>
      <c r="I156" s="52" cm="1">
        <f t="array" ref="I156">IFERROR(
  VALUE($H156) *
  VALUE(
    _xlfn.XLOOKUP(
      TRIM($F156) &amp; "|" &amp; LEFT(SUBSTITUTE($G156,CHAR(160)," "),5) &amp; "|Full Rate",
      TRIM(SUBSTITUTE($Q$2:$Q$47,CHAR(160)," ")) &amp; "|" &amp;
      LEFT(SUBSTITUTE($R$2:$R$47,CHAR(160)," "),5) &amp; "|" &amp;
      TRIM(SUBSTITUTE($S$2:$S$47,CHAR(160)," ")),
      $T$2:$T$47
    )
  ),
"")</f>
        <v>50</v>
      </c>
      <c r="J156" s="52" cm="1">
        <f t="array" ref="J156">IFERROR(
  VALUE($H156) *
  VALUE(
    _xlfn.XLOOKUP(
      TRIM($F156) &amp; "|" &amp; LEFT(SUBSTITUTE($G156,CHAR(160)," "),5) &amp; "|Reduced Rate",
      TRIM(SUBSTITUTE($Q$2:$Q$47,CHAR(160)," ")) &amp; "|" &amp;
      LEFT(SUBSTITUTE($R$2:$R$47,CHAR(160)," "),5) &amp; "|" &amp;
      TRIM(SUBSTITUTE($S$2:$S$47,CHAR(160)," ")),
      $T$2:$T$47
    )
  ),
"")</f>
        <v>25</v>
      </c>
      <c r="K156" s="52" cm="1">
        <f t="array" ref="K156">IFERROR(
  VALUE($H156) *
  VALUE(
    _xlfn.XLOOKUP(
      TRIM($F156) &amp; "|" &amp; LEFT(SUBSTITUTE($G156,CHAR(160)," "),5) &amp; "|Ideas Rate",
      TRIM(SUBSTITUTE($Q$2:$Q$47,CHAR(160)," ")) &amp; "|" &amp;
      LEFT(SUBSTITUTE($R$2:$R$47,CHAR(160)," "),5) &amp; "|" &amp;
      TRIM(SUBSTITUTE($S$2:$S$47,CHAR(160)," ")),
      $T$2:$T$47
    )
  ),
"")</f>
        <v>15</v>
      </c>
    </row>
    <row r="157" spans="1:11" x14ac:dyDescent="0.2">
      <c r="A157" s="38">
        <v>45968</v>
      </c>
      <c r="B157" s="5" t="s">
        <v>437</v>
      </c>
      <c r="C157" s="20" t="s">
        <v>151</v>
      </c>
      <c r="D157" t="s">
        <v>323</v>
      </c>
      <c r="E157" t="s">
        <v>447</v>
      </c>
      <c r="F157" s="54" t="s">
        <v>156</v>
      </c>
      <c r="G157" t="s">
        <v>368</v>
      </c>
      <c r="H157" s="22">
        <v>0.5</v>
      </c>
      <c r="I157" s="52" cm="1">
        <f t="array" ref="I157">IFERROR(
  VALUE($H157) *
  VALUE(
    _xlfn.XLOOKUP(
      TRIM($F157) &amp; "|" &amp; LEFT(SUBSTITUTE($G157,CHAR(160)," "),5) &amp; "|Full Rate",
      TRIM(SUBSTITUTE($Q$2:$Q$47,CHAR(160)," ")) &amp; "|" &amp;
      LEFT(SUBSTITUTE($R$2:$R$47,CHAR(160)," "),5) &amp; "|" &amp;
      TRIM(SUBSTITUTE($S$2:$S$47,CHAR(160)," ")),
      $T$2:$T$47
    )
  ),
"")</f>
        <v>50</v>
      </c>
      <c r="J157" s="52" cm="1">
        <f t="array" ref="J157">IFERROR(
  VALUE($H157) *
  VALUE(
    _xlfn.XLOOKUP(
      TRIM($F157) &amp; "|" &amp; LEFT(SUBSTITUTE($G157,CHAR(160)," "),5) &amp; "|Reduced Rate",
      TRIM(SUBSTITUTE($Q$2:$Q$47,CHAR(160)," ")) &amp; "|" &amp;
      LEFT(SUBSTITUTE($R$2:$R$47,CHAR(160)," "),5) &amp; "|" &amp;
      TRIM(SUBSTITUTE($S$2:$S$47,CHAR(160)," ")),
      $T$2:$T$47
    )
  ),
"")</f>
        <v>25</v>
      </c>
      <c r="K157" s="52" cm="1">
        <f t="array" ref="K157">IFERROR(
  VALUE($H157) *
  VALUE(
    _xlfn.XLOOKUP(
      TRIM($F157) &amp; "|" &amp; LEFT(SUBSTITUTE($G157,CHAR(160)," "),5) &amp; "|Ideas Rate",
      TRIM(SUBSTITUTE($Q$2:$Q$47,CHAR(160)," ")) &amp; "|" &amp;
      LEFT(SUBSTITUTE($R$2:$R$47,CHAR(160)," "),5) &amp; "|" &amp;
      TRIM(SUBSTITUTE($S$2:$S$47,CHAR(160)," ")),
      $T$2:$T$47
    )
  ),
"")</f>
        <v>15</v>
      </c>
    </row>
    <row r="158" spans="1:11" x14ac:dyDescent="0.2">
      <c r="A158" s="38">
        <v>45968</v>
      </c>
      <c r="B158" s="5" t="s">
        <v>437</v>
      </c>
      <c r="C158" s="20" t="s">
        <v>151</v>
      </c>
      <c r="D158" t="s">
        <v>184</v>
      </c>
      <c r="E158" t="s">
        <v>445</v>
      </c>
      <c r="F158" s="54" t="s">
        <v>10</v>
      </c>
      <c r="G158" t="s">
        <v>367</v>
      </c>
      <c r="H158" s="22">
        <v>6</v>
      </c>
      <c r="I158" s="52" cm="1">
        <f t="array" ref="I158">IFERROR(
  VALUE($H158) *
  VALUE(
    _xlfn.XLOOKUP(
      TRIM($F158) &amp; "|" &amp; LEFT(SUBSTITUTE($G158,CHAR(160)," "),5) &amp; "|Full Rate",
      TRIM(SUBSTITUTE($Q$2:$Q$47,CHAR(160)," ")) &amp; "|" &amp;
      LEFT(SUBSTITUTE($R$2:$R$47,CHAR(160)," "),5) &amp; "|" &amp;
      TRIM(SUBSTITUTE($S$2:$S$47,CHAR(160)," ")),
      $T$2:$T$47
    )
  ),
"")</f>
        <v>3000</v>
      </c>
      <c r="J158" s="52" cm="1">
        <f t="array" ref="J158">IFERROR(
  VALUE($H158) *
  VALUE(
    _xlfn.XLOOKUP(
      TRIM($F158) &amp; "|" &amp; LEFT(SUBSTITUTE($G158,CHAR(160)," "),5) &amp; "|Reduced Rate",
      TRIM(SUBSTITUTE($Q$2:$Q$47,CHAR(160)," ")) &amp; "|" &amp;
      LEFT(SUBSTITUTE($R$2:$R$47,CHAR(160)," "),5) &amp; "|" &amp;
      TRIM(SUBSTITUTE($S$2:$S$47,CHAR(160)," ")),
      $T$2:$T$47
    )
  ),
"")</f>
        <v>1800</v>
      </c>
      <c r="K158" s="52" cm="1">
        <f t="array" ref="K158">IFERROR(
  VALUE($H158) *
  VALUE(
    _xlfn.XLOOKUP(
      TRIM($F158) &amp; "|" &amp; LEFT(SUBSTITUTE($G158,CHAR(160)," "),5) &amp; "|Ideas Rate",
      TRIM(SUBSTITUTE($Q$2:$Q$47,CHAR(160)," ")) &amp; "|" &amp;
      LEFT(SUBSTITUTE($R$2:$R$47,CHAR(160)," "),5) &amp; "|" &amp;
      TRIM(SUBSTITUTE($S$2:$S$47,CHAR(160)," ")),
      $T$2:$T$47
    )
  ),
"")</f>
        <v>900</v>
      </c>
    </row>
    <row r="159" spans="1:11" x14ac:dyDescent="0.2">
      <c r="A159" s="38">
        <v>45968</v>
      </c>
      <c r="B159" s="5" t="s">
        <v>437</v>
      </c>
      <c r="C159" s="20" t="s">
        <v>151</v>
      </c>
      <c r="D159" t="s">
        <v>184</v>
      </c>
      <c r="E159" t="s">
        <v>445</v>
      </c>
      <c r="F159" s="54" t="s">
        <v>156</v>
      </c>
      <c r="G159" t="s">
        <v>367</v>
      </c>
      <c r="H159" s="22">
        <v>6</v>
      </c>
      <c r="I159" s="52" cm="1">
        <f t="array" ref="I159">IFERROR(
  VALUE($H159) *
  VALUE(
    _xlfn.XLOOKUP(
      TRIM($F159) &amp; "|" &amp; LEFT(SUBSTITUTE($G159,CHAR(160)," "),5) &amp; "|Full Rate",
      TRIM(SUBSTITUTE($Q$2:$Q$47,CHAR(160)," ")) &amp; "|" &amp;
      LEFT(SUBSTITUTE($R$2:$R$47,CHAR(160)," "),5) &amp; "|" &amp;
      TRIM(SUBSTITUTE($S$2:$S$47,CHAR(160)," ")),
      $T$2:$T$47
    )
  ),
"")</f>
        <v>1950</v>
      </c>
      <c r="J159" s="52" cm="1">
        <f t="array" ref="J159">IFERROR(
  VALUE($H159) *
  VALUE(
    _xlfn.XLOOKUP(
      TRIM($F159) &amp; "|" &amp; LEFT(SUBSTITUTE($G159,CHAR(160)," "),5) &amp; "|Reduced Rate",
      TRIM(SUBSTITUTE($Q$2:$Q$47,CHAR(160)," ")) &amp; "|" &amp;
      LEFT(SUBSTITUTE($R$2:$R$47,CHAR(160)," "),5) &amp; "|" &amp;
      TRIM(SUBSTITUTE($S$2:$S$47,CHAR(160)," ")),
      $T$2:$T$47
    )
  ),
"")</f>
        <v>1050</v>
      </c>
      <c r="K159" s="52" cm="1">
        <f t="array" ref="K159">IFERROR(
  VALUE($H159) *
  VALUE(
    _xlfn.XLOOKUP(
      TRIM($F159) &amp; "|" &amp; LEFT(SUBSTITUTE($G159,CHAR(160)," "),5) &amp; "|Ideas Rate",
      TRIM(SUBSTITUTE($Q$2:$Q$47,CHAR(160)," ")) &amp; "|" &amp;
      LEFT(SUBSTITUTE($R$2:$R$47,CHAR(160)," "),5) &amp; "|" &amp;
      TRIM(SUBSTITUTE($S$2:$S$47,CHAR(160)," ")),
      $T$2:$T$47
    )
  ),
"")</f>
        <v>570</v>
      </c>
    </row>
    <row r="160" spans="1:11" x14ac:dyDescent="0.2">
      <c r="A160" s="38">
        <v>45968</v>
      </c>
      <c r="B160" s="5" t="s">
        <v>437</v>
      </c>
      <c r="C160" s="20" t="s">
        <v>151</v>
      </c>
      <c r="D160" t="s">
        <v>323</v>
      </c>
      <c r="E160" t="s">
        <v>448</v>
      </c>
      <c r="F160" s="54" t="s">
        <v>10</v>
      </c>
      <c r="G160" t="s">
        <v>368</v>
      </c>
      <c r="H160" s="22">
        <v>15</v>
      </c>
      <c r="I160" s="52" cm="1">
        <f t="array" ref="I160">IFERROR(
  VALUE($H160) *
  VALUE(
    _xlfn.XLOOKUP(
      TRIM($F160) &amp; "|" &amp; LEFT(SUBSTITUTE($G160,CHAR(160)," "),5) &amp; "|Full Rate",
      TRIM(SUBSTITUTE($Q$2:$Q$47,CHAR(160)," ")) &amp; "|" &amp;
      LEFT(SUBSTITUTE($R$2:$R$47,CHAR(160)," "),5) &amp; "|" &amp;
      TRIM(SUBSTITUTE($S$2:$S$47,CHAR(160)," ")),
      $T$2:$T$47
    )
  ),
"")</f>
        <v>1500</v>
      </c>
      <c r="J160" s="52" cm="1">
        <f t="array" ref="J160">IFERROR(
  VALUE($H160) *
  VALUE(
    _xlfn.XLOOKUP(
      TRIM($F160) &amp; "|" &amp; LEFT(SUBSTITUTE($G160,CHAR(160)," "),5) &amp; "|Reduced Rate",
      TRIM(SUBSTITUTE($Q$2:$Q$47,CHAR(160)," ")) &amp; "|" &amp;
      LEFT(SUBSTITUTE($R$2:$R$47,CHAR(160)," "),5) &amp; "|" &amp;
      TRIM(SUBSTITUTE($S$2:$S$47,CHAR(160)," ")),
      $T$2:$T$47
    )
  ),
"")</f>
        <v>750</v>
      </c>
      <c r="K160" s="52" cm="1">
        <f t="array" ref="K160">IFERROR(
  VALUE($H160) *
  VALUE(
    _xlfn.XLOOKUP(
      TRIM($F160) &amp; "|" &amp; LEFT(SUBSTITUTE($G160,CHAR(160)," "),5) &amp; "|Ideas Rate",
      TRIM(SUBSTITUTE($Q$2:$Q$47,CHAR(160)," ")) &amp; "|" &amp;
      LEFT(SUBSTITUTE($R$2:$R$47,CHAR(160)," "),5) &amp; "|" &amp;
      TRIM(SUBSTITUTE($S$2:$S$47,CHAR(160)," ")),
      $T$2:$T$47
    )
  ),
"")</f>
        <v>450</v>
      </c>
    </row>
    <row r="161" spans="1:11" x14ac:dyDescent="0.2">
      <c r="A161" s="38">
        <v>45968</v>
      </c>
      <c r="B161" s="5" t="s">
        <v>437</v>
      </c>
      <c r="C161" s="20" t="s">
        <v>151</v>
      </c>
      <c r="D161" t="s">
        <v>323</v>
      </c>
      <c r="E161" t="s">
        <v>448</v>
      </c>
      <c r="F161" s="54" t="s">
        <v>156</v>
      </c>
      <c r="G161" t="s">
        <v>368</v>
      </c>
      <c r="H161" s="22">
        <v>15</v>
      </c>
      <c r="I161" s="52" cm="1">
        <f t="array" ref="I161">IFERROR(
  VALUE($H161) *
  VALUE(
    _xlfn.XLOOKUP(
      TRIM($F161) &amp; "|" &amp; LEFT(SUBSTITUTE($G161,CHAR(160)," "),5) &amp; "|Full Rate",
      TRIM(SUBSTITUTE($Q$2:$Q$47,CHAR(160)," ")) &amp; "|" &amp;
      LEFT(SUBSTITUTE($R$2:$R$47,CHAR(160)," "),5) &amp; "|" &amp;
      TRIM(SUBSTITUTE($S$2:$S$47,CHAR(160)," ")),
      $T$2:$T$47
    )
  ),
"")</f>
        <v>1500</v>
      </c>
      <c r="J161" s="52" cm="1">
        <f t="array" ref="J161">IFERROR(
  VALUE($H161) *
  VALUE(
    _xlfn.XLOOKUP(
      TRIM($F161) &amp; "|" &amp; LEFT(SUBSTITUTE($G161,CHAR(160)," "),5) &amp; "|Reduced Rate",
      TRIM(SUBSTITUTE($Q$2:$Q$47,CHAR(160)," ")) &amp; "|" &amp;
      LEFT(SUBSTITUTE($R$2:$R$47,CHAR(160)," "),5) &amp; "|" &amp;
      TRIM(SUBSTITUTE($S$2:$S$47,CHAR(160)," ")),
      $T$2:$T$47
    )
  ),
"")</f>
        <v>750</v>
      </c>
      <c r="K161" s="52" cm="1">
        <f t="array" ref="K161">IFERROR(
  VALUE($H161) *
  VALUE(
    _xlfn.XLOOKUP(
      TRIM($F161) &amp; "|" &amp; LEFT(SUBSTITUTE($G161,CHAR(160)," "),5) &amp; "|Ideas Rate",
      TRIM(SUBSTITUTE($Q$2:$Q$47,CHAR(160)," ")) &amp; "|" &amp;
      LEFT(SUBSTITUTE($R$2:$R$47,CHAR(160)," "),5) &amp; "|" &amp;
      TRIM(SUBSTITUTE($S$2:$S$47,CHAR(160)," ")),
      $T$2:$T$47
    )
  ),
"")</f>
        <v>450</v>
      </c>
    </row>
    <row r="162" spans="1:11" x14ac:dyDescent="0.2">
      <c r="A162" s="38">
        <v>45969</v>
      </c>
      <c r="B162" s="5" t="s">
        <v>437</v>
      </c>
      <c r="C162" s="20" t="s">
        <v>151</v>
      </c>
      <c r="D162" t="s">
        <v>620</v>
      </c>
      <c r="E162" t="s">
        <v>457</v>
      </c>
      <c r="I162" s="52">
        <v>109.31</v>
      </c>
      <c r="J162" s="52"/>
      <c r="K162" s="52"/>
    </row>
    <row r="163" spans="1:11" x14ac:dyDescent="0.2">
      <c r="A163" s="38">
        <v>45969</v>
      </c>
      <c r="B163" s="5" t="s">
        <v>437</v>
      </c>
      <c r="C163" s="20" t="s">
        <v>151</v>
      </c>
      <c r="D163" t="s">
        <v>620</v>
      </c>
      <c r="E163" t="s">
        <v>619</v>
      </c>
      <c r="I163" s="52">
        <v>21.22</v>
      </c>
      <c r="J163" s="52"/>
      <c r="K163" s="52"/>
    </row>
    <row r="164" spans="1:11" x14ac:dyDescent="0.2">
      <c r="A164" s="38">
        <v>45982</v>
      </c>
      <c r="B164" s="5" t="s">
        <v>437</v>
      </c>
      <c r="C164" s="20" t="s">
        <v>151</v>
      </c>
      <c r="D164" t="s">
        <v>324</v>
      </c>
      <c r="E164" t="s">
        <v>490</v>
      </c>
      <c r="F164" s="54" t="s">
        <v>10</v>
      </c>
      <c r="G164" t="s">
        <v>367</v>
      </c>
      <c r="H164" s="22">
        <v>1.5</v>
      </c>
      <c r="I164" s="52" cm="1">
        <f t="array" ref="I164">IFERROR(
  VALUE($H164) *
  VALUE(
    _xlfn.XLOOKUP(
      TRIM($F164) &amp; "|" &amp; LEFT(SUBSTITUTE($G164,CHAR(160)," "),5) &amp; "|Full Rate",
      TRIM(SUBSTITUTE($Q$2:$Q$47,CHAR(160)," ")) &amp; "|" &amp;
      LEFT(SUBSTITUTE($R$2:$R$47,CHAR(160)," "),5) &amp; "|" &amp;
      TRIM(SUBSTITUTE($S$2:$S$47,CHAR(160)," ")),
      $T$2:$T$47
    )
  ),
"")</f>
        <v>750</v>
      </c>
      <c r="J164" s="52" cm="1">
        <f t="array" ref="J164">IFERROR(
  VALUE($H164) *
  VALUE(
    _xlfn.XLOOKUP(
      TRIM($F164) &amp; "|" &amp; LEFT(SUBSTITUTE($G164,CHAR(160)," "),5) &amp; "|Reduced Rate",
      TRIM(SUBSTITUTE($Q$2:$Q$47,CHAR(160)," ")) &amp; "|" &amp;
      LEFT(SUBSTITUTE($R$2:$R$47,CHAR(160)," "),5) &amp; "|" &amp;
      TRIM(SUBSTITUTE($S$2:$S$47,CHAR(160)," ")),
      $T$2:$T$47
    )
  ),
"")</f>
        <v>450</v>
      </c>
      <c r="K164" s="52" cm="1">
        <f t="array" ref="K164">IFERROR(
  VALUE($H164) *
  VALUE(
    _xlfn.XLOOKUP(
      TRIM($F164) &amp; "|" &amp; LEFT(SUBSTITUTE($G164,CHAR(160)," "),5) &amp; "|Ideas Rate",
      TRIM(SUBSTITUTE($Q$2:$Q$47,CHAR(160)," ")) &amp; "|" &amp;
      LEFT(SUBSTITUTE($R$2:$R$47,CHAR(160)," "),5) &amp; "|" &amp;
      TRIM(SUBSTITUTE($S$2:$S$47,CHAR(160)," ")),
      $T$2:$T$47
    )
  ),
"")</f>
        <v>225</v>
      </c>
    </row>
    <row r="165" spans="1:11" x14ac:dyDescent="0.2">
      <c r="A165" s="38">
        <v>45974</v>
      </c>
      <c r="B165" s="5" t="s">
        <v>437</v>
      </c>
      <c r="C165" s="20" t="s">
        <v>151</v>
      </c>
      <c r="D165" t="s">
        <v>187</v>
      </c>
      <c r="E165" t="s">
        <v>499</v>
      </c>
      <c r="F165" s="54" t="s">
        <v>156</v>
      </c>
      <c r="G165" t="s">
        <v>367</v>
      </c>
      <c r="H165" s="22">
        <v>2.5</v>
      </c>
      <c r="I165" s="52" cm="1">
        <f t="array" ref="I165">IFERROR(
  VALUE($H165) *
  VALUE(
    _xlfn.XLOOKUP(
      TRIM($F165) &amp; "|" &amp; LEFT(SUBSTITUTE($G165,CHAR(160)," "),5) &amp; "|Full Rate",
      TRIM(SUBSTITUTE($Q$2:$Q$47,CHAR(160)," ")) &amp; "|" &amp;
      LEFT(SUBSTITUTE($R$2:$R$47,CHAR(160)," "),5) &amp; "|" &amp;
      TRIM(SUBSTITUTE($S$2:$S$47,CHAR(160)," ")),
      $T$2:$T$47
    )
  ),
"")</f>
        <v>812.5</v>
      </c>
      <c r="J165" s="52" cm="1">
        <f t="array" ref="J165">IFERROR(
  VALUE($H165) *
  VALUE(
    _xlfn.XLOOKUP(
      TRIM($F165) &amp; "|" &amp; LEFT(SUBSTITUTE($G165,CHAR(160)," "),5) &amp; "|Reduced Rate",
      TRIM(SUBSTITUTE($Q$2:$Q$47,CHAR(160)," ")) &amp; "|" &amp;
      LEFT(SUBSTITUTE($R$2:$R$47,CHAR(160)," "),5) &amp; "|" &amp;
      TRIM(SUBSTITUTE($S$2:$S$47,CHAR(160)," ")),
      $T$2:$T$47
    )
  ),
"")</f>
        <v>437.5</v>
      </c>
      <c r="K165" s="52" cm="1">
        <f t="array" ref="K165">IFERROR(
  VALUE($H165) *
  VALUE(
    _xlfn.XLOOKUP(
      TRIM($F165) &amp; "|" &amp; LEFT(SUBSTITUTE($G165,CHAR(160)," "),5) &amp; "|Ideas Rate",
      TRIM(SUBSTITUTE($Q$2:$Q$47,CHAR(160)," ")) &amp; "|" &amp;
      LEFT(SUBSTITUTE($R$2:$R$47,CHAR(160)," "),5) &amp; "|" &amp;
      TRIM(SUBSTITUTE($S$2:$S$47,CHAR(160)," ")),
      $T$2:$T$47
    )
  ),
"")</f>
        <v>237.5</v>
      </c>
    </row>
    <row r="166" spans="1:11" x14ac:dyDescent="0.2">
      <c r="A166" s="38">
        <v>45975</v>
      </c>
      <c r="B166" s="5" t="s">
        <v>437</v>
      </c>
      <c r="C166" s="20" t="s">
        <v>151</v>
      </c>
      <c r="D166" t="s">
        <v>187</v>
      </c>
      <c r="E166" t="s">
        <v>499</v>
      </c>
      <c r="F166" s="54" t="s">
        <v>156</v>
      </c>
      <c r="G166" t="s">
        <v>367</v>
      </c>
      <c r="H166" s="22">
        <v>6.5</v>
      </c>
      <c r="I166" s="52" cm="1">
        <f t="array" ref="I166">IFERROR(
  VALUE($H166) *
  VALUE(
    _xlfn.XLOOKUP(
      TRIM($F166) &amp; "|" &amp; LEFT(SUBSTITUTE($G166,CHAR(160)," "),5) &amp; "|Full Rate",
      TRIM(SUBSTITUTE($Q$2:$Q$47,CHAR(160)," ")) &amp; "|" &amp;
      LEFT(SUBSTITUTE($R$2:$R$47,CHAR(160)," "),5) &amp; "|" &amp;
      TRIM(SUBSTITUTE($S$2:$S$47,CHAR(160)," ")),
      $T$2:$T$47
    )
  ),
"")</f>
        <v>2112.5</v>
      </c>
      <c r="J166" s="52" cm="1">
        <f t="array" ref="J166">IFERROR(
  VALUE($H166) *
  VALUE(
    _xlfn.XLOOKUP(
      TRIM($F166) &amp; "|" &amp; LEFT(SUBSTITUTE($G166,CHAR(160)," "),5) &amp; "|Reduced Rate",
      TRIM(SUBSTITUTE($Q$2:$Q$47,CHAR(160)," ")) &amp; "|" &amp;
      LEFT(SUBSTITUTE($R$2:$R$47,CHAR(160)," "),5) &amp; "|" &amp;
      TRIM(SUBSTITUTE($S$2:$S$47,CHAR(160)," ")),
      $T$2:$T$47
    )
  ),
"")</f>
        <v>1137.5</v>
      </c>
      <c r="K166" s="52" cm="1">
        <f t="array" ref="K166">IFERROR(
  VALUE($H166) *
  VALUE(
    _xlfn.XLOOKUP(
      TRIM($F166) &amp; "|" &amp; LEFT(SUBSTITUTE($G166,CHAR(160)," "),5) &amp; "|Ideas Rate",
      TRIM(SUBSTITUTE($Q$2:$Q$47,CHAR(160)," ")) &amp; "|" &amp;
      LEFT(SUBSTITUTE($R$2:$R$47,CHAR(160)," "),5) &amp; "|" &amp;
      TRIM(SUBSTITUTE($S$2:$S$47,CHAR(160)," ")),
      $T$2:$T$47
    )
  ),
"")</f>
        <v>617.5</v>
      </c>
    </row>
    <row r="167" spans="1:11" x14ac:dyDescent="0.2">
      <c r="A167" s="38">
        <v>45978</v>
      </c>
      <c r="B167" s="5" t="s">
        <v>437</v>
      </c>
      <c r="C167" s="20" t="s">
        <v>151</v>
      </c>
      <c r="D167" t="s">
        <v>187</v>
      </c>
      <c r="E167" t="s">
        <v>499</v>
      </c>
      <c r="F167" s="54" t="s">
        <v>156</v>
      </c>
      <c r="G167" t="s">
        <v>367</v>
      </c>
      <c r="H167" s="22">
        <v>5</v>
      </c>
      <c r="I167" s="52" cm="1">
        <f t="array" ref="I167">IFERROR(
  VALUE($H167) *
  VALUE(
    _xlfn.XLOOKUP(
      TRIM($F167) &amp; "|" &amp; LEFT(SUBSTITUTE($G167,CHAR(160)," "),5) &amp; "|Full Rate",
      TRIM(SUBSTITUTE($Q$2:$Q$47,CHAR(160)," ")) &amp; "|" &amp;
      LEFT(SUBSTITUTE($R$2:$R$47,CHAR(160)," "),5) &amp; "|" &amp;
      TRIM(SUBSTITUTE($S$2:$S$47,CHAR(160)," ")),
      $T$2:$T$47
    )
  ),
"")</f>
        <v>1625</v>
      </c>
      <c r="J167" s="52" cm="1">
        <f t="array" ref="J167">IFERROR(
  VALUE($H167) *
  VALUE(
    _xlfn.XLOOKUP(
      TRIM($F167) &amp; "|" &amp; LEFT(SUBSTITUTE($G167,CHAR(160)," "),5) &amp; "|Reduced Rate",
      TRIM(SUBSTITUTE($Q$2:$Q$47,CHAR(160)," ")) &amp; "|" &amp;
      LEFT(SUBSTITUTE($R$2:$R$47,CHAR(160)," "),5) &amp; "|" &amp;
      TRIM(SUBSTITUTE($S$2:$S$47,CHAR(160)," ")),
      $T$2:$T$47
    )
  ),
"")</f>
        <v>875</v>
      </c>
      <c r="K167" s="52" cm="1">
        <f t="array" ref="K167">IFERROR(
  VALUE($H167) *
  VALUE(
    _xlfn.XLOOKUP(
      TRIM($F167) &amp; "|" &amp; LEFT(SUBSTITUTE($G167,CHAR(160)," "),5) &amp; "|Ideas Rate",
      TRIM(SUBSTITUTE($Q$2:$Q$47,CHAR(160)," ")) &amp; "|" &amp;
      LEFT(SUBSTITUTE($R$2:$R$47,CHAR(160)," "),5) &amp; "|" &amp;
      TRIM(SUBSTITUTE($S$2:$S$47,CHAR(160)," ")),
      $T$2:$T$47
    )
  ),
"")</f>
        <v>475</v>
      </c>
    </row>
    <row r="168" spans="1:11" x14ac:dyDescent="0.2">
      <c r="A168" s="38">
        <v>45982</v>
      </c>
      <c r="B168" s="5" t="s">
        <v>437</v>
      </c>
      <c r="C168" s="20" t="s">
        <v>151</v>
      </c>
      <c r="D168" t="s">
        <v>187</v>
      </c>
      <c r="E168" t="s">
        <v>499</v>
      </c>
      <c r="F168" s="54" t="s">
        <v>156</v>
      </c>
      <c r="G168" t="s">
        <v>367</v>
      </c>
      <c r="H168" s="22">
        <v>4.5</v>
      </c>
      <c r="I168" s="52" cm="1">
        <f t="array" ref="I168">IFERROR(
  VALUE($H168) *
  VALUE(
    _xlfn.XLOOKUP(
      TRIM($F168) &amp; "|" &amp; LEFT(SUBSTITUTE($G168,CHAR(160)," "),5) &amp; "|Full Rate",
      TRIM(SUBSTITUTE($Q$2:$Q$47,CHAR(160)," ")) &amp; "|" &amp;
      LEFT(SUBSTITUTE($R$2:$R$47,CHAR(160)," "),5) &amp; "|" &amp;
      TRIM(SUBSTITUTE($S$2:$S$47,CHAR(160)," ")),
      $T$2:$T$47
    )
  ),
"")</f>
        <v>1462.5</v>
      </c>
      <c r="J168" s="52" cm="1">
        <f t="array" ref="J168">IFERROR(
  VALUE($H168) *
  VALUE(
    _xlfn.XLOOKUP(
      TRIM($F168) &amp; "|" &amp; LEFT(SUBSTITUTE($G168,CHAR(160)," "),5) &amp; "|Reduced Rate",
      TRIM(SUBSTITUTE($Q$2:$Q$47,CHAR(160)," ")) &amp; "|" &amp;
      LEFT(SUBSTITUTE($R$2:$R$47,CHAR(160)," "),5) &amp; "|" &amp;
      TRIM(SUBSTITUTE($S$2:$S$47,CHAR(160)," ")),
      $T$2:$T$47
    )
  ),
"")</f>
        <v>787.5</v>
      </c>
      <c r="K168" s="52" cm="1">
        <f t="array" ref="K168">IFERROR(
  VALUE($H168) *
  VALUE(
    _xlfn.XLOOKUP(
      TRIM($F168) &amp; "|" &amp; LEFT(SUBSTITUTE($G168,CHAR(160)," "),5) &amp; "|Ideas Rate",
      TRIM(SUBSTITUTE($Q$2:$Q$47,CHAR(160)," ")) &amp; "|" &amp;
      LEFT(SUBSTITUTE($R$2:$R$47,CHAR(160)," "),5) &amp; "|" &amp;
      TRIM(SUBSTITUTE($S$2:$S$47,CHAR(160)," ")),
      $T$2:$T$47
    )
  ),
"")</f>
        <v>427.5</v>
      </c>
    </row>
    <row r="169" spans="1:11" x14ac:dyDescent="0.2">
      <c r="A169" s="38">
        <v>45985</v>
      </c>
      <c r="B169" s="5" t="s">
        <v>437</v>
      </c>
      <c r="C169" s="20" t="s">
        <v>151</v>
      </c>
      <c r="D169" t="s">
        <v>187</v>
      </c>
      <c r="E169" t="s">
        <v>499</v>
      </c>
      <c r="F169" s="54" t="s">
        <v>156</v>
      </c>
      <c r="G169" t="s">
        <v>367</v>
      </c>
      <c r="H169" s="22">
        <v>4</v>
      </c>
      <c r="I169" s="52" cm="1">
        <f t="array" ref="I169">IFERROR(
  VALUE($H169) *
  VALUE(
    _xlfn.XLOOKUP(
      TRIM($F169) &amp; "|" &amp; LEFT(SUBSTITUTE($G169,CHAR(160)," "),5) &amp; "|Full Rate",
      TRIM(SUBSTITUTE($Q$2:$Q$47,CHAR(160)," ")) &amp; "|" &amp;
      LEFT(SUBSTITUTE($R$2:$R$47,CHAR(160)," "),5) &amp; "|" &amp;
      TRIM(SUBSTITUTE($S$2:$S$47,CHAR(160)," ")),
      $T$2:$T$47
    )
  ),
"")</f>
        <v>1300</v>
      </c>
      <c r="J169" s="52" cm="1">
        <f t="array" ref="J169">IFERROR(
  VALUE($H169) *
  VALUE(
    _xlfn.XLOOKUP(
      TRIM($F169) &amp; "|" &amp; LEFT(SUBSTITUTE($G169,CHAR(160)," "),5) &amp; "|Reduced Rate",
      TRIM(SUBSTITUTE($Q$2:$Q$47,CHAR(160)," ")) &amp; "|" &amp;
      LEFT(SUBSTITUTE($R$2:$R$47,CHAR(160)," "),5) &amp; "|" &amp;
      TRIM(SUBSTITUTE($S$2:$S$47,CHAR(160)," ")),
      $T$2:$T$47
    )
  ),
"")</f>
        <v>700</v>
      </c>
      <c r="K169" s="52" cm="1">
        <f t="array" ref="K169">IFERROR(
  VALUE($H169) *
  VALUE(
    _xlfn.XLOOKUP(
      TRIM($F169) &amp; "|" &amp; LEFT(SUBSTITUTE($G169,CHAR(160)," "),5) &amp; "|Ideas Rate",
      TRIM(SUBSTITUTE($Q$2:$Q$47,CHAR(160)," ")) &amp; "|" &amp;
      LEFT(SUBSTITUTE($R$2:$R$47,CHAR(160)," "),5) &amp; "|" &amp;
      TRIM(SUBSTITUTE($S$2:$S$47,CHAR(160)," ")),
      $T$2:$T$47
    )
  ),
"")</f>
        <v>380</v>
      </c>
    </row>
    <row r="170" spans="1:11" x14ac:dyDescent="0.2">
      <c r="A170" s="38">
        <v>45986</v>
      </c>
      <c r="B170" s="5" t="s">
        <v>437</v>
      </c>
      <c r="C170" s="20" t="s">
        <v>151</v>
      </c>
      <c r="D170" t="s">
        <v>187</v>
      </c>
      <c r="E170" t="s">
        <v>499</v>
      </c>
      <c r="F170" s="54" t="s">
        <v>156</v>
      </c>
      <c r="G170" t="s">
        <v>367</v>
      </c>
      <c r="H170" s="22">
        <v>6</v>
      </c>
      <c r="I170" s="52" cm="1">
        <f t="array" ref="I170">IFERROR(
  VALUE($H170) *
  VALUE(
    _xlfn.XLOOKUP(
      TRIM($F170) &amp; "|" &amp; LEFT(SUBSTITUTE($G170,CHAR(160)," "),5) &amp; "|Full Rate",
      TRIM(SUBSTITUTE($Q$2:$Q$47,CHAR(160)," ")) &amp; "|" &amp;
      LEFT(SUBSTITUTE($R$2:$R$47,CHAR(160)," "),5) &amp; "|" &amp;
      TRIM(SUBSTITUTE($S$2:$S$47,CHAR(160)," ")),
      $T$2:$T$47
    )
  ),
"")</f>
        <v>1950</v>
      </c>
      <c r="J170" s="52" cm="1">
        <f t="array" ref="J170">IFERROR(
  VALUE($H170) *
  VALUE(
    _xlfn.XLOOKUP(
      TRIM($F170) &amp; "|" &amp; LEFT(SUBSTITUTE($G170,CHAR(160)," "),5) &amp; "|Reduced Rate",
      TRIM(SUBSTITUTE($Q$2:$Q$47,CHAR(160)," ")) &amp; "|" &amp;
      LEFT(SUBSTITUTE($R$2:$R$47,CHAR(160)," "),5) &amp; "|" &amp;
      TRIM(SUBSTITUTE($S$2:$S$47,CHAR(160)," ")),
      $T$2:$T$47
    )
  ),
"")</f>
        <v>1050</v>
      </c>
      <c r="K170" s="52" cm="1">
        <f t="array" ref="K170">IFERROR(
  VALUE($H170) *
  VALUE(
    _xlfn.XLOOKUP(
      TRIM($F170) &amp; "|" &amp; LEFT(SUBSTITUTE($G170,CHAR(160)," "),5) &amp; "|Ideas Rate",
      TRIM(SUBSTITUTE($Q$2:$Q$47,CHAR(160)," ")) &amp; "|" &amp;
      LEFT(SUBSTITUTE($R$2:$R$47,CHAR(160)," "),5) &amp; "|" &amp;
      TRIM(SUBSTITUTE($S$2:$S$47,CHAR(160)," ")),
      $T$2:$T$47
    )
  ),
"")</f>
        <v>570</v>
      </c>
    </row>
    <row r="171" spans="1:11" x14ac:dyDescent="0.2">
      <c r="A171" s="38">
        <v>45987</v>
      </c>
      <c r="B171" s="5" t="s">
        <v>437</v>
      </c>
      <c r="C171" s="20" t="s">
        <v>151</v>
      </c>
      <c r="D171" t="s">
        <v>187</v>
      </c>
      <c r="E171" t="s">
        <v>499</v>
      </c>
      <c r="F171" s="54" t="s">
        <v>156</v>
      </c>
      <c r="G171" t="s">
        <v>367</v>
      </c>
      <c r="H171" s="22">
        <v>6</v>
      </c>
      <c r="I171" s="52" cm="1">
        <f t="array" ref="I171">IFERROR(
  VALUE($H171) *
  VALUE(
    _xlfn.XLOOKUP(
      TRIM($F171) &amp; "|" &amp; LEFT(SUBSTITUTE($G171,CHAR(160)," "),5) &amp; "|Full Rate",
      TRIM(SUBSTITUTE($Q$2:$Q$47,CHAR(160)," ")) &amp; "|" &amp;
      LEFT(SUBSTITUTE($R$2:$R$47,CHAR(160)," "),5) &amp; "|" &amp;
      TRIM(SUBSTITUTE($S$2:$S$47,CHAR(160)," ")),
      $T$2:$T$47
    )
  ),
"")</f>
        <v>1950</v>
      </c>
      <c r="J171" s="52" cm="1">
        <f t="array" ref="J171">IFERROR(
  VALUE($H171) *
  VALUE(
    _xlfn.XLOOKUP(
      TRIM($F171) &amp; "|" &amp; LEFT(SUBSTITUTE($G171,CHAR(160)," "),5) &amp; "|Reduced Rate",
      TRIM(SUBSTITUTE($Q$2:$Q$47,CHAR(160)," ")) &amp; "|" &amp;
      LEFT(SUBSTITUTE($R$2:$R$47,CHAR(160)," "),5) &amp; "|" &amp;
      TRIM(SUBSTITUTE($S$2:$S$47,CHAR(160)," ")),
      $T$2:$T$47
    )
  ),
"")</f>
        <v>1050</v>
      </c>
      <c r="K171" s="52" cm="1">
        <f t="array" ref="K171">IFERROR(
  VALUE($H171) *
  VALUE(
    _xlfn.XLOOKUP(
      TRIM($F171) &amp; "|" &amp; LEFT(SUBSTITUTE($G171,CHAR(160)," "),5) &amp; "|Ideas Rate",
      TRIM(SUBSTITUTE($Q$2:$Q$47,CHAR(160)," ")) &amp; "|" &amp;
      LEFT(SUBSTITUTE($R$2:$R$47,CHAR(160)," "),5) &amp; "|" &amp;
      TRIM(SUBSTITUTE($S$2:$S$47,CHAR(160)," ")),
      $T$2:$T$47
    )
  ),
"")</f>
        <v>570</v>
      </c>
    </row>
    <row r="172" spans="1:11" x14ac:dyDescent="0.2">
      <c r="A172" s="38">
        <v>45988</v>
      </c>
      <c r="B172" s="5" t="s">
        <v>437</v>
      </c>
      <c r="C172" s="20" t="s">
        <v>151</v>
      </c>
      <c r="D172" t="s">
        <v>187</v>
      </c>
      <c r="E172" t="s">
        <v>499</v>
      </c>
      <c r="F172" s="54" t="s">
        <v>156</v>
      </c>
      <c r="G172" t="s">
        <v>367</v>
      </c>
      <c r="H172" s="22">
        <v>7</v>
      </c>
      <c r="I172" s="52" cm="1">
        <f t="array" ref="I172">IFERROR(
  VALUE($H172) *
  VALUE(
    _xlfn.XLOOKUP(
      TRIM($F172) &amp; "|" &amp; LEFT(SUBSTITUTE($G172,CHAR(160)," "),5) &amp; "|Full Rate",
      TRIM(SUBSTITUTE($Q$2:$Q$47,CHAR(160)," ")) &amp; "|" &amp;
      LEFT(SUBSTITUTE($R$2:$R$47,CHAR(160)," "),5) &amp; "|" &amp;
      TRIM(SUBSTITUTE($S$2:$S$47,CHAR(160)," ")),
      $T$2:$T$47
    )
  ),
"")</f>
        <v>2275</v>
      </c>
      <c r="J172" s="52" cm="1">
        <f t="array" ref="J172">IFERROR(
  VALUE($H172) *
  VALUE(
    _xlfn.XLOOKUP(
      TRIM($F172) &amp; "|" &amp; LEFT(SUBSTITUTE($G172,CHAR(160)," "),5) &amp; "|Reduced Rate",
      TRIM(SUBSTITUTE($Q$2:$Q$47,CHAR(160)," ")) &amp; "|" &amp;
      LEFT(SUBSTITUTE($R$2:$R$47,CHAR(160)," "),5) &amp; "|" &amp;
      TRIM(SUBSTITUTE($S$2:$S$47,CHAR(160)," ")),
      $T$2:$T$47
    )
  ),
"")</f>
        <v>1225</v>
      </c>
      <c r="K172" s="52" cm="1">
        <f t="array" ref="K172">IFERROR(
  VALUE($H172) *
  VALUE(
    _xlfn.XLOOKUP(
      TRIM($F172) &amp; "|" &amp; LEFT(SUBSTITUTE($G172,CHAR(160)," "),5) &amp; "|Ideas Rate",
      TRIM(SUBSTITUTE($Q$2:$Q$47,CHAR(160)," ")) &amp; "|" &amp;
      LEFT(SUBSTITUTE($R$2:$R$47,CHAR(160)," "),5) &amp; "|" &amp;
      TRIM(SUBSTITUTE($S$2:$S$47,CHAR(160)," ")),
      $T$2:$T$47
    )
  ),
"")</f>
        <v>665</v>
      </c>
    </row>
    <row r="173" spans="1:11" x14ac:dyDescent="0.2">
      <c r="A173" s="38">
        <v>45985</v>
      </c>
      <c r="B173" s="5" t="s">
        <v>437</v>
      </c>
      <c r="C173" s="20" t="s">
        <v>151</v>
      </c>
      <c r="D173" t="s">
        <v>29</v>
      </c>
      <c r="E173" t="s">
        <v>500</v>
      </c>
      <c r="F173" s="54" t="s">
        <v>10</v>
      </c>
      <c r="G173" t="s">
        <v>367</v>
      </c>
      <c r="H173" s="22">
        <v>1</v>
      </c>
      <c r="I173" s="52" cm="1">
        <f t="array" ref="I173">IFERROR(
  VALUE($H173) *
  VALUE(
    _xlfn.XLOOKUP(
      TRIM($F173) &amp; "|" &amp; LEFT(SUBSTITUTE($G173,CHAR(160)," "),5) &amp; "|Full Rate",
      TRIM(SUBSTITUTE($Q$2:$Q$47,CHAR(160)," ")) &amp; "|" &amp;
      LEFT(SUBSTITUTE($R$2:$R$47,CHAR(160)," "),5) &amp; "|" &amp;
      TRIM(SUBSTITUTE($S$2:$S$47,CHAR(160)," ")),
      $T$2:$T$47
    )
  ),
"")</f>
        <v>500</v>
      </c>
      <c r="J173" s="52" cm="1">
        <f t="array" ref="J173">IFERROR(
  VALUE($H173) *
  VALUE(
    _xlfn.XLOOKUP(
      TRIM($F173) &amp; "|" &amp; LEFT(SUBSTITUTE($G173,CHAR(160)," "),5) &amp; "|Reduced Rate",
      TRIM(SUBSTITUTE($Q$2:$Q$47,CHAR(160)," ")) &amp; "|" &amp;
      LEFT(SUBSTITUTE($R$2:$R$47,CHAR(160)," "),5) &amp; "|" &amp;
      TRIM(SUBSTITUTE($S$2:$S$47,CHAR(160)," ")),
      $T$2:$T$47
    )
  ),
"")</f>
        <v>300</v>
      </c>
      <c r="K173" s="52" cm="1">
        <f t="array" ref="K173">IFERROR(
  VALUE($H173) *
  VALUE(
    _xlfn.XLOOKUP(
      TRIM($F173) &amp; "|" &amp; LEFT(SUBSTITUTE($G173,CHAR(160)," "),5) &amp; "|Ideas Rate",
      TRIM(SUBSTITUTE($Q$2:$Q$47,CHAR(160)," ")) &amp; "|" &amp;
      LEFT(SUBSTITUTE($R$2:$R$47,CHAR(160)," "),5) &amp; "|" &amp;
      TRIM(SUBSTITUTE($S$2:$S$47,CHAR(160)," ")),
      $T$2:$T$47
    )
  ),
"")</f>
        <v>150</v>
      </c>
    </row>
    <row r="174" spans="1:11" x14ac:dyDescent="0.2">
      <c r="A174" s="38">
        <v>45988</v>
      </c>
      <c r="B174" s="5" t="s">
        <v>437</v>
      </c>
      <c r="C174" s="20" t="s">
        <v>151</v>
      </c>
      <c r="D174" t="s">
        <v>29</v>
      </c>
      <c r="E174" t="s">
        <v>501</v>
      </c>
      <c r="F174" s="54" t="s">
        <v>10</v>
      </c>
      <c r="G174" t="s">
        <v>367</v>
      </c>
      <c r="H174" s="22">
        <v>3</v>
      </c>
      <c r="I174" s="52" cm="1">
        <f t="array" ref="I174">IFERROR(
  VALUE($H174) *
  VALUE(
    _xlfn.XLOOKUP(
      TRIM($F174) &amp; "|" &amp; LEFT(SUBSTITUTE($G174,CHAR(160)," "),5) &amp; "|Full Rate",
      TRIM(SUBSTITUTE($Q$2:$Q$47,CHAR(160)," ")) &amp; "|" &amp;
      LEFT(SUBSTITUTE($R$2:$R$47,CHAR(160)," "),5) &amp; "|" &amp;
      TRIM(SUBSTITUTE($S$2:$S$47,CHAR(160)," ")),
      $T$2:$T$47
    )
  ),
"")</f>
        <v>1500</v>
      </c>
      <c r="J174" s="52" cm="1">
        <f t="array" ref="J174">IFERROR(
  VALUE($H174) *
  VALUE(
    _xlfn.XLOOKUP(
      TRIM($F174) &amp; "|" &amp; LEFT(SUBSTITUTE($G174,CHAR(160)," "),5) &amp; "|Reduced Rate",
      TRIM(SUBSTITUTE($Q$2:$Q$47,CHAR(160)," ")) &amp; "|" &amp;
      LEFT(SUBSTITUTE($R$2:$R$47,CHAR(160)," "),5) &amp; "|" &amp;
      TRIM(SUBSTITUTE($S$2:$S$47,CHAR(160)," ")),
      $T$2:$T$47
    )
  ),
"")</f>
        <v>900</v>
      </c>
      <c r="K174" s="52" cm="1">
        <f t="array" ref="K174">IFERROR(
  VALUE($H174) *
  VALUE(
    _xlfn.XLOOKUP(
      TRIM($F174) &amp; "|" &amp; LEFT(SUBSTITUTE($G174,CHAR(160)," "),5) &amp; "|Ideas Rate",
      TRIM(SUBSTITUTE($Q$2:$Q$47,CHAR(160)," ")) &amp; "|" &amp;
      LEFT(SUBSTITUTE($R$2:$R$47,CHAR(160)," "),5) &amp; "|" &amp;
      TRIM(SUBSTITUTE($S$2:$S$47,CHAR(160)," ")),
      $T$2:$T$47
    )
  ),
"")</f>
        <v>450</v>
      </c>
    </row>
    <row r="175" spans="1:11" x14ac:dyDescent="0.2">
      <c r="A175" s="38">
        <v>45992</v>
      </c>
      <c r="B175" s="5" t="s">
        <v>502</v>
      </c>
      <c r="C175" s="20" t="s">
        <v>151</v>
      </c>
      <c r="D175" t="s">
        <v>29</v>
      </c>
      <c r="E175" t="s">
        <v>503</v>
      </c>
      <c r="F175" s="54" t="s">
        <v>10</v>
      </c>
      <c r="G175" t="s">
        <v>367</v>
      </c>
      <c r="H175" s="22">
        <v>5</v>
      </c>
      <c r="I175" s="52" cm="1">
        <f t="array" ref="I175">IFERROR(
  VALUE($H175) *
  VALUE(
    _xlfn.XLOOKUP(
      TRIM($F175) &amp; "|" &amp; LEFT(SUBSTITUTE($G175,CHAR(160)," "),5) &amp; "|Full Rate",
      TRIM(SUBSTITUTE($Q$2:$Q$38,CHAR(160)," ")) &amp; "|" &amp;
      LEFT(SUBSTITUTE($R$2:$R$38,CHAR(160)," "),5) &amp; "|" &amp;
      TRIM(SUBSTITUTE($S$2:$S$38,CHAR(160)," ")),
      $T$2:$T$38
    )
  ),
"")</f>
        <v>2500</v>
      </c>
      <c r="J175" s="52" cm="1">
        <f t="array" ref="J175">IFERROR(
  VALUE($H175) *
  VALUE(
    _xlfn.XLOOKUP(
      TRIM($F175) &amp; "|" &amp; LEFT(SUBSTITUTE($G175,CHAR(160)," "),5) &amp; "|Reduced Rate",
      TRIM(SUBSTITUTE($Q$2:$Q$47,CHAR(160)," ")) &amp; "|" &amp;
      LEFT(SUBSTITUTE($R$2:$R$47,CHAR(160)," "),5) &amp; "|" &amp;
      TRIM(SUBSTITUTE($S$2:$S$47,CHAR(160)," ")),
      $T$2:$T$47
    )
  ),
"")</f>
        <v>1500</v>
      </c>
      <c r="K175" s="52" cm="1">
        <f t="array" ref="K175">IFERROR(
  VALUE($H175) *
  VALUE(
    _xlfn.XLOOKUP(
      TRIM($F175) &amp; "|" &amp; LEFT(SUBSTITUTE($G175,CHAR(160)," "),5) &amp; "|Ideas Rate",
      TRIM(SUBSTITUTE($Q$2:$Q$47,CHAR(160)," ")) &amp; "|" &amp;
      LEFT(SUBSTITUTE($R$2:$R$47,CHAR(160)," "),5) &amp; "|" &amp;
      TRIM(SUBSTITUTE($S$2:$S$47,CHAR(160)," ")),
      $T$2:$T$47
    )
  ),
"")</f>
        <v>750</v>
      </c>
    </row>
    <row r="176" spans="1:11" x14ac:dyDescent="0.2">
      <c r="A176" s="38">
        <v>45989</v>
      </c>
      <c r="B176" s="5" t="s">
        <v>437</v>
      </c>
      <c r="C176" s="20" t="s">
        <v>151</v>
      </c>
      <c r="D176" t="s">
        <v>187</v>
      </c>
      <c r="E176" t="s">
        <v>504</v>
      </c>
      <c r="F176" s="54" t="s">
        <v>156</v>
      </c>
      <c r="G176" t="s">
        <v>367</v>
      </c>
      <c r="H176" s="22">
        <v>6</v>
      </c>
      <c r="I176" s="52" cm="1">
        <f t="array" ref="I176">IFERROR(
  VALUE($H176) *
  VALUE(
    _xlfn.XLOOKUP(
      TRIM($F176) &amp; "|" &amp; LEFT(SUBSTITUTE($G176,CHAR(160)," "),5) &amp; "|Full Rate",
      TRIM(SUBSTITUTE($Q$2:$Q$38,CHAR(160)," ")) &amp; "|" &amp;
      LEFT(SUBSTITUTE($R$2:$R$38,CHAR(160)," "),5) &amp; "|" &amp;
      TRIM(SUBSTITUTE($S$2:$S$38,CHAR(160)," ")),
      $T$2:$T$38
    )
  ),
"")</f>
        <v>1950</v>
      </c>
      <c r="J176" s="52" cm="1">
        <f t="array" ref="J176">IFERROR(
  VALUE($H176) *
  VALUE(
    _xlfn.XLOOKUP(
      TRIM($F176) &amp; "|" &amp; LEFT(SUBSTITUTE($G176,CHAR(160)," "),5) &amp; "|Reduced Rate",
      TRIM(SUBSTITUTE($Q$2:$Q$47,CHAR(160)," ")) &amp; "|" &amp;
      LEFT(SUBSTITUTE($R$2:$R$47,CHAR(160)," "),5) &amp; "|" &amp;
      TRIM(SUBSTITUTE($S$2:$S$47,CHAR(160)," ")),
      $T$2:$T$47
    )
  ),
"")</f>
        <v>1050</v>
      </c>
      <c r="K176" s="52" cm="1">
        <f t="array" ref="K176">IFERROR(
  VALUE($H176) *
  VALUE(
    _xlfn.XLOOKUP(
      TRIM($F176) &amp; "|" &amp; LEFT(SUBSTITUTE($G176,CHAR(160)," "),5) &amp; "|Ideas Rate",
      TRIM(SUBSTITUTE($Q$2:$Q$47,CHAR(160)," ")) &amp; "|" &amp;
      LEFT(SUBSTITUTE($R$2:$R$47,CHAR(160)," "),5) &amp; "|" &amp;
      TRIM(SUBSTITUTE($S$2:$S$47,CHAR(160)," ")),
      $T$2:$T$47
    )
  ),
"")</f>
        <v>570</v>
      </c>
    </row>
    <row r="177" spans="1:11" x14ac:dyDescent="0.2">
      <c r="A177" s="38">
        <v>45992</v>
      </c>
      <c r="B177" s="5" t="s">
        <v>502</v>
      </c>
      <c r="C177" s="20" t="s">
        <v>151</v>
      </c>
      <c r="D177" t="s">
        <v>187</v>
      </c>
      <c r="E177" t="s">
        <v>499</v>
      </c>
      <c r="F177" s="54" t="s">
        <v>156</v>
      </c>
      <c r="G177" t="s">
        <v>367</v>
      </c>
      <c r="H177" s="22">
        <v>5</v>
      </c>
      <c r="I177" s="52" cm="1">
        <f t="array" ref="I177">IFERROR(
  VALUE($H177) *
  VALUE(
    _xlfn.XLOOKUP(
      TRIM($F177) &amp; "|" &amp; LEFT(SUBSTITUTE($G177,CHAR(160)," "),5) &amp; "|Full Rate",
      TRIM(SUBSTITUTE($Q$2:$Q$38,CHAR(160)," ")) &amp; "|" &amp;
      LEFT(SUBSTITUTE($R$2:$R$38,CHAR(160)," "),5) &amp; "|" &amp;
      TRIM(SUBSTITUTE($S$2:$S$38,CHAR(160)," ")),
      $T$2:$T$38
    )
  ),
"")</f>
        <v>1625</v>
      </c>
      <c r="J177" s="52" cm="1">
        <f t="array" ref="J177">IFERROR(
  VALUE($H177) *
  VALUE(
    _xlfn.XLOOKUP(
      TRIM($F177) &amp; "|" &amp; LEFT(SUBSTITUTE($G177,CHAR(160)," "),5) &amp; "|Reduced Rate",
      TRIM(SUBSTITUTE($Q$2:$Q$47,CHAR(160)," ")) &amp; "|" &amp;
      LEFT(SUBSTITUTE($R$2:$R$47,CHAR(160)," "),5) &amp; "|" &amp;
      TRIM(SUBSTITUTE($S$2:$S$47,CHAR(160)," ")),
      $T$2:$T$47
    )
  ),
"")</f>
        <v>875</v>
      </c>
      <c r="K177" s="52" cm="1">
        <f t="array" ref="K177">IFERROR(
  VALUE($H177) *
  VALUE(
    _xlfn.XLOOKUP(
      TRIM($F177) &amp; "|" &amp; LEFT(SUBSTITUTE($G177,CHAR(160)," "),5) &amp; "|Ideas Rate",
      TRIM(SUBSTITUTE($Q$2:$Q$47,CHAR(160)," ")) &amp; "|" &amp;
      LEFT(SUBSTITUTE($R$2:$R$47,CHAR(160)," "),5) &amp; "|" &amp;
      TRIM(SUBSTITUTE($S$2:$S$47,CHAR(160)," ")),
      $T$2:$T$47
    )
  ),
"")</f>
        <v>475</v>
      </c>
    </row>
    <row r="178" spans="1:11" x14ac:dyDescent="0.2">
      <c r="A178" s="38">
        <v>45993</v>
      </c>
      <c r="B178" s="5" t="s">
        <v>502</v>
      </c>
      <c r="C178" s="20" t="s">
        <v>151</v>
      </c>
      <c r="D178" t="s">
        <v>187</v>
      </c>
      <c r="E178" t="s">
        <v>499</v>
      </c>
      <c r="F178" s="54" t="s">
        <v>156</v>
      </c>
      <c r="G178" t="s">
        <v>367</v>
      </c>
      <c r="H178" s="22">
        <v>7</v>
      </c>
      <c r="I178" s="52" cm="1">
        <f t="array" ref="I178">IFERROR(
  VALUE($H178) *
  VALUE(
    _xlfn.XLOOKUP(
      TRIM($F178) &amp; "|" &amp; LEFT(SUBSTITUTE($G178,CHAR(160)," "),5) &amp; "|Full Rate",
      TRIM(SUBSTITUTE($Q$2:$Q$38,CHAR(160)," ")) &amp; "|" &amp;
      LEFT(SUBSTITUTE($R$2:$R$38,CHAR(160)," "),5) &amp; "|" &amp;
      TRIM(SUBSTITUTE($S$2:$S$38,CHAR(160)," ")),
      $T$2:$T$38
    )
  ),
"")</f>
        <v>2275</v>
      </c>
      <c r="J178" s="52" cm="1">
        <f t="array" ref="J178">IFERROR(
  VALUE($H178) *
  VALUE(
    _xlfn.XLOOKUP(
      TRIM($F178) &amp; "|" &amp; LEFT(SUBSTITUTE($G178,CHAR(160)," "),5) &amp; "|Reduced Rate",
      TRIM(SUBSTITUTE($Q$2:$Q$47,CHAR(160)," ")) &amp; "|" &amp;
      LEFT(SUBSTITUTE($R$2:$R$47,CHAR(160)," "),5) &amp; "|" &amp;
      TRIM(SUBSTITUTE($S$2:$S$47,CHAR(160)," ")),
      $T$2:$T$47
    )
  ),
"")</f>
        <v>1225</v>
      </c>
      <c r="K178" s="52" cm="1">
        <f t="array" ref="K178">IFERROR(
  VALUE($H178) *
  VALUE(
    _xlfn.XLOOKUP(
      TRIM($F178) &amp; "|" &amp; LEFT(SUBSTITUTE($G178,CHAR(160)," "),5) &amp; "|Ideas Rate",
      TRIM(SUBSTITUTE($Q$2:$Q$47,CHAR(160)," ")) &amp; "|" &amp;
      LEFT(SUBSTITUTE($R$2:$R$47,CHAR(160)," "),5) &amp; "|" &amp;
      TRIM(SUBSTITUTE($S$2:$S$47,CHAR(160)," ")),
      $T$2:$T$47
    )
  ),
"")</f>
        <v>665</v>
      </c>
    </row>
    <row r="179" spans="1:11" x14ac:dyDescent="0.2">
      <c r="A179" s="38">
        <v>45994</v>
      </c>
      <c r="B179" s="5" t="s">
        <v>502</v>
      </c>
      <c r="C179" s="20" t="s">
        <v>151</v>
      </c>
      <c r="D179" t="s">
        <v>187</v>
      </c>
      <c r="E179" t="s">
        <v>499</v>
      </c>
      <c r="F179" s="54" t="s">
        <v>156</v>
      </c>
      <c r="G179" t="s">
        <v>367</v>
      </c>
      <c r="H179" s="22">
        <v>6.5</v>
      </c>
      <c r="I179" s="52" cm="1">
        <f t="array" ref="I179">IFERROR(
  VALUE($H179) *
  VALUE(
    _xlfn.XLOOKUP(
      TRIM($F179) &amp; "|" &amp; LEFT(SUBSTITUTE($G179,CHAR(160)," "),5) &amp; "|Full Rate",
      TRIM(SUBSTITUTE($Q$2:$Q$38,CHAR(160)," ")) &amp; "|" &amp;
      LEFT(SUBSTITUTE($R$2:$R$38,CHAR(160)," "),5) &amp; "|" &amp;
      TRIM(SUBSTITUTE($S$2:$S$38,CHAR(160)," ")),
      $T$2:$T$38
    )
  ),
"")</f>
        <v>2112.5</v>
      </c>
      <c r="J179" s="52" cm="1">
        <f t="array" ref="J179">IFERROR(
  VALUE($H179) *
  VALUE(
    _xlfn.XLOOKUP(
      TRIM($F179) &amp; "|" &amp; LEFT(SUBSTITUTE($G179,CHAR(160)," "),5) &amp; "|Reduced Rate",
      TRIM(SUBSTITUTE($Q$2:$Q$47,CHAR(160)," ")) &amp; "|" &amp;
      LEFT(SUBSTITUTE($R$2:$R$47,CHAR(160)," "),5) &amp; "|" &amp;
      TRIM(SUBSTITUTE($S$2:$S$47,CHAR(160)," ")),
      $T$2:$T$47
    )
  ),
"")</f>
        <v>1137.5</v>
      </c>
      <c r="K179" s="52" cm="1">
        <f t="array" ref="K179">IFERROR(
  VALUE($H179) *
  VALUE(
    _xlfn.XLOOKUP(
      TRIM($F179) &amp; "|" &amp; LEFT(SUBSTITUTE($G179,CHAR(160)," "),5) &amp; "|Ideas Rate",
      TRIM(SUBSTITUTE($Q$2:$Q$47,CHAR(160)," ")) &amp; "|" &amp;
      LEFT(SUBSTITUTE($R$2:$R$47,CHAR(160)," "),5) &amp; "|" &amp;
      TRIM(SUBSTITUTE($S$2:$S$47,CHAR(160)," ")),
      $T$2:$T$47
    )
  ),
"")</f>
        <v>617.5</v>
      </c>
    </row>
    <row r="180" spans="1:11" x14ac:dyDescent="0.2">
      <c r="A180" s="38">
        <v>45995</v>
      </c>
      <c r="B180" s="5" t="s">
        <v>502</v>
      </c>
      <c r="C180" s="20" t="s">
        <v>151</v>
      </c>
      <c r="D180" t="s">
        <v>187</v>
      </c>
      <c r="E180" t="s">
        <v>499</v>
      </c>
      <c r="F180" s="54" t="s">
        <v>156</v>
      </c>
      <c r="G180" t="s">
        <v>367</v>
      </c>
      <c r="H180" s="22">
        <v>4.5</v>
      </c>
      <c r="I180" s="52" cm="1">
        <f t="array" ref="I180">IFERROR(
  VALUE($H180) *
  VALUE(
    _xlfn.XLOOKUP(
      TRIM($F180) &amp; "|" &amp; LEFT(SUBSTITUTE($G180,CHAR(160)," "),5) &amp; "|Full Rate",
      TRIM(SUBSTITUTE($Q$2:$Q$38,CHAR(160)," ")) &amp; "|" &amp;
      LEFT(SUBSTITUTE($R$2:$R$38,CHAR(160)," "),5) &amp; "|" &amp;
      TRIM(SUBSTITUTE($S$2:$S$38,CHAR(160)," ")),
      $T$2:$T$38
    )
  ),
"")</f>
        <v>1462.5</v>
      </c>
      <c r="J180" s="52" cm="1">
        <f t="array" ref="J180">IFERROR(
  VALUE($H180) *
  VALUE(
    _xlfn.XLOOKUP(
      TRIM($F180) &amp; "|" &amp; LEFT(SUBSTITUTE($G180,CHAR(160)," "),5) &amp; "|Reduced Rate",
      TRIM(SUBSTITUTE($Q$2:$Q$47,CHAR(160)," ")) &amp; "|" &amp;
      LEFT(SUBSTITUTE($R$2:$R$47,CHAR(160)," "),5) &amp; "|" &amp;
      TRIM(SUBSTITUTE($S$2:$S$47,CHAR(160)," ")),
      $T$2:$T$47
    )
  ),
"")</f>
        <v>787.5</v>
      </c>
      <c r="K180" s="52" cm="1">
        <f t="array" ref="K180">IFERROR(
  VALUE($H180) *
  VALUE(
    _xlfn.XLOOKUP(
      TRIM($F180) &amp; "|" &amp; LEFT(SUBSTITUTE($G180,CHAR(160)," "),5) &amp; "|Ideas Rate",
      TRIM(SUBSTITUTE($Q$2:$Q$47,CHAR(160)," ")) &amp; "|" &amp;
      LEFT(SUBSTITUTE($R$2:$R$47,CHAR(160)," "),5) &amp; "|" &amp;
      TRIM(SUBSTITUTE($S$2:$S$47,CHAR(160)," ")),
      $T$2:$T$47
    )
  ),
"")</f>
        <v>427.5</v>
      </c>
    </row>
    <row r="181" spans="1:11" x14ac:dyDescent="0.2">
      <c r="A181" s="38">
        <v>45996</v>
      </c>
      <c r="B181" s="5" t="s">
        <v>502</v>
      </c>
      <c r="C181" s="20" t="s">
        <v>151</v>
      </c>
      <c r="D181" t="s">
        <v>187</v>
      </c>
      <c r="E181" t="s">
        <v>507</v>
      </c>
      <c r="F181" s="54" t="s">
        <v>156</v>
      </c>
      <c r="G181" t="s">
        <v>367</v>
      </c>
      <c r="H181" s="22">
        <v>6</v>
      </c>
      <c r="I181" s="52" cm="1">
        <f t="array" ref="I181">IFERROR(
  VALUE($H181) *
  VALUE(
    _xlfn.XLOOKUP(
      TRIM($F181) &amp; "|" &amp; LEFT(SUBSTITUTE($G181,CHAR(160)," "),5) &amp; "|Full Rate",
      TRIM(SUBSTITUTE($Q$2:$Q$38,CHAR(160)," ")) &amp; "|" &amp;
      LEFT(SUBSTITUTE($R$2:$R$38,CHAR(160)," "),5) &amp; "|" &amp;
      TRIM(SUBSTITUTE($S$2:$S$38,CHAR(160)," ")),
      $T$2:$T$38
    )
  ),
"")</f>
        <v>1950</v>
      </c>
      <c r="J181" s="52" cm="1">
        <f t="array" ref="J181">IFERROR(
  VALUE($H181) *
  VALUE(
    _xlfn.XLOOKUP(
      TRIM($F181) &amp; "|" &amp; LEFT(SUBSTITUTE($G181,CHAR(160)," "),5) &amp; "|Reduced Rate",
      TRIM(SUBSTITUTE($Q$2:$Q$47,CHAR(160)," ")) &amp; "|" &amp;
      LEFT(SUBSTITUTE($R$2:$R$47,CHAR(160)," "),5) &amp; "|" &amp;
      TRIM(SUBSTITUTE($S$2:$S$47,CHAR(160)," ")),
      $T$2:$T$47
    )
  ),
"")</f>
        <v>1050</v>
      </c>
      <c r="K181" s="52" cm="1">
        <f t="array" ref="K181">IFERROR(
  VALUE($H181) *
  VALUE(
    _xlfn.XLOOKUP(
      TRIM($F181) &amp; "|" &amp; LEFT(SUBSTITUTE($G181,CHAR(160)," "),5) &amp; "|Ideas Rate",
      TRIM(SUBSTITUTE($Q$2:$Q$47,CHAR(160)," ")) &amp; "|" &amp;
      LEFT(SUBSTITUTE($R$2:$R$47,CHAR(160)," "),5) &amp; "|" &amp;
      TRIM(SUBSTITUTE($S$2:$S$47,CHAR(160)," ")),
      $T$2:$T$47
    )
  ),
"")</f>
        <v>570</v>
      </c>
    </row>
    <row r="182" spans="1:11" x14ac:dyDescent="0.2">
      <c r="A182" s="38">
        <v>45999</v>
      </c>
      <c r="B182" s="5" t="s">
        <v>502</v>
      </c>
      <c r="C182" s="20" t="s">
        <v>151</v>
      </c>
      <c r="D182" t="s">
        <v>187</v>
      </c>
      <c r="E182" t="s">
        <v>507</v>
      </c>
      <c r="F182" s="54" t="s">
        <v>156</v>
      </c>
      <c r="G182" t="s">
        <v>367</v>
      </c>
      <c r="H182" s="22">
        <v>8.5</v>
      </c>
      <c r="I182" s="52" cm="1">
        <f t="array" ref="I182">IFERROR(
  VALUE($H182) *
  VALUE(
    _xlfn.XLOOKUP(
      TRIM($F182) &amp; "|" &amp; LEFT(SUBSTITUTE($G182,CHAR(160)," "),5) &amp; "|Full Rate",
      TRIM(SUBSTITUTE($Q$2:$Q$38,CHAR(160)," ")) &amp; "|" &amp;
      LEFT(SUBSTITUTE($R$2:$R$38,CHAR(160)," "),5) &amp; "|" &amp;
      TRIM(SUBSTITUTE($S$2:$S$38,CHAR(160)," ")),
      $T$2:$T$38
    )
  ),
"")</f>
        <v>2762.5</v>
      </c>
      <c r="J182" s="52" cm="1">
        <f t="array" ref="J182">IFERROR(
  VALUE($H182) *
  VALUE(
    _xlfn.XLOOKUP(
      TRIM($F182) &amp; "|" &amp; LEFT(SUBSTITUTE($G182,CHAR(160)," "),5) &amp; "|Reduced Rate",
      TRIM(SUBSTITUTE($Q$2:$Q$47,CHAR(160)," ")) &amp; "|" &amp;
      LEFT(SUBSTITUTE($R$2:$R$47,CHAR(160)," "),5) &amp; "|" &amp;
      TRIM(SUBSTITUTE($S$2:$S$47,CHAR(160)," ")),
      $T$2:$T$47
    )
  ),
"")</f>
        <v>1487.5</v>
      </c>
      <c r="K182" s="52" cm="1">
        <f t="array" ref="K182">IFERROR(
  VALUE($H182) *
  VALUE(
    _xlfn.XLOOKUP(
      TRIM($F182) &amp; "|" &amp; LEFT(SUBSTITUTE($G182,CHAR(160)," "),5) &amp; "|Ideas Rate",
      TRIM(SUBSTITUTE($Q$2:$Q$47,CHAR(160)," ")) &amp; "|" &amp;
      LEFT(SUBSTITUTE($R$2:$R$47,CHAR(160)," "),5) &amp; "|" &amp;
      TRIM(SUBSTITUTE($S$2:$S$47,CHAR(160)," ")),
      $T$2:$T$47
    )
  ),
"")</f>
        <v>807.5</v>
      </c>
    </row>
    <row r="183" spans="1:11" x14ac:dyDescent="0.2">
      <c r="A183" s="38">
        <v>46000</v>
      </c>
      <c r="B183" s="5" t="s">
        <v>502</v>
      </c>
      <c r="C183" s="20" t="s">
        <v>151</v>
      </c>
      <c r="D183" t="s">
        <v>187</v>
      </c>
      <c r="E183" t="s">
        <v>507</v>
      </c>
      <c r="F183" s="54" t="s">
        <v>156</v>
      </c>
      <c r="G183" t="s">
        <v>367</v>
      </c>
      <c r="H183" s="22">
        <v>4.5</v>
      </c>
      <c r="I183" s="52" cm="1">
        <f t="array" ref="I183">IFERROR(
  VALUE($H183) *
  VALUE(
    _xlfn.XLOOKUP(
      TRIM($F183) &amp; "|" &amp; LEFT(SUBSTITUTE($G183,CHAR(160)," "),5) &amp; "|Full Rate",
      TRIM(SUBSTITUTE($Q$2:$Q$38,CHAR(160)," ")) &amp; "|" &amp;
      LEFT(SUBSTITUTE($R$2:$R$38,CHAR(160)," "),5) &amp; "|" &amp;
      TRIM(SUBSTITUTE($S$2:$S$38,CHAR(160)," ")),
      $T$2:$T$38
    )
  ),
"")</f>
        <v>1462.5</v>
      </c>
      <c r="J183" s="52" cm="1">
        <f t="array" ref="J183">IFERROR(
  VALUE($H183) *
  VALUE(
    _xlfn.XLOOKUP(
      TRIM($F183) &amp; "|" &amp; LEFT(SUBSTITUTE($G183,CHAR(160)," "),5) &amp; "|Reduced Rate",
      TRIM(SUBSTITUTE($Q$2:$Q$47,CHAR(160)," ")) &amp; "|" &amp;
      LEFT(SUBSTITUTE($R$2:$R$47,CHAR(160)," "),5) &amp; "|" &amp;
      TRIM(SUBSTITUTE($S$2:$S$47,CHAR(160)," ")),
      $T$2:$T$47
    )
  ),
"")</f>
        <v>787.5</v>
      </c>
      <c r="K183" s="52" cm="1">
        <f t="array" ref="K183">IFERROR(
  VALUE($H183) *
  VALUE(
    _xlfn.XLOOKUP(
      TRIM($F183) &amp; "|" &amp; LEFT(SUBSTITUTE($G183,CHAR(160)," "),5) &amp; "|Ideas Rate",
      TRIM(SUBSTITUTE($Q$2:$Q$47,CHAR(160)," ")) &amp; "|" &amp;
      LEFT(SUBSTITUTE($R$2:$R$47,CHAR(160)," "),5) &amp; "|" &amp;
      TRIM(SUBSTITUTE($S$2:$S$47,CHAR(160)," ")),
      $T$2:$T$47
    )
  ),
"")</f>
        <v>427.5</v>
      </c>
    </row>
    <row r="184" spans="1:11" x14ac:dyDescent="0.2">
      <c r="A184" s="38">
        <v>46001</v>
      </c>
      <c r="B184" s="5" t="s">
        <v>502</v>
      </c>
      <c r="C184" s="20" t="s">
        <v>151</v>
      </c>
      <c r="D184" t="s">
        <v>187</v>
      </c>
      <c r="E184" t="s">
        <v>507</v>
      </c>
      <c r="F184" s="54" t="s">
        <v>156</v>
      </c>
      <c r="G184" t="s">
        <v>367</v>
      </c>
      <c r="H184" s="22">
        <v>6.5</v>
      </c>
      <c r="I184" s="52" cm="1">
        <f t="array" ref="I184">IFERROR(
  VALUE($H184) *
  VALUE(
    _xlfn.XLOOKUP(
      TRIM($F184) &amp; "|" &amp; LEFT(SUBSTITUTE($G184,CHAR(160)," "),5) &amp; "|Full Rate",
      TRIM(SUBSTITUTE($Q$2:$Q$38,CHAR(160)," ")) &amp; "|" &amp;
      LEFT(SUBSTITUTE($R$2:$R$38,CHAR(160)," "),5) &amp; "|" &amp;
      TRIM(SUBSTITUTE($S$2:$S$38,CHAR(160)," ")),
      $T$2:$T$38
    )
  ),
"")</f>
        <v>2112.5</v>
      </c>
      <c r="J184" s="52" cm="1">
        <f t="array" ref="J184">IFERROR(
  VALUE($H184) *
  VALUE(
    _xlfn.XLOOKUP(
      TRIM($F184) &amp; "|" &amp; LEFT(SUBSTITUTE($G184,CHAR(160)," "),5) &amp; "|Reduced Rate",
      TRIM(SUBSTITUTE($Q$2:$Q$47,CHAR(160)," ")) &amp; "|" &amp;
      LEFT(SUBSTITUTE($R$2:$R$47,CHAR(160)," "),5) &amp; "|" &amp;
      TRIM(SUBSTITUTE($S$2:$S$47,CHAR(160)," ")),
      $T$2:$T$47
    )
  ),
"")</f>
        <v>1137.5</v>
      </c>
      <c r="K184" s="52" cm="1">
        <f t="array" ref="K184">IFERROR(
  VALUE($H184) *
  VALUE(
    _xlfn.XLOOKUP(
      TRIM($F184) &amp; "|" &amp; LEFT(SUBSTITUTE($G184,CHAR(160)," "),5) &amp; "|Ideas Rate",
      TRIM(SUBSTITUTE($Q$2:$Q$47,CHAR(160)," ")) &amp; "|" &amp;
      LEFT(SUBSTITUTE($R$2:$R$47,CHAR(160)," "),5) &amp; "|" &amp;
      TRIM(SUBSTITUTE($S$2:$S$47,CHAR(160)," ")),
      $T$2:$T$47
    )
  ),
"")</f>
        <v>617.5</v>
      </c>
    </row>
    <row r="185" spans="1:11" x14ac:dyDescent="0.2">
      <c r="A185" s="38">
        <v>46002</v>
      </c>
      <c r="B185" s="5" t="s">
        <v>502</v>
      </c>
      <c r="C185" s="20" t="s">
        <v>151</v>
      </c>
      <c r="D185" t="s">
        <v>187</v>
      </c>
      <c r="E185" t="s">
        <v>507</v>
      </c>
      <c r="F185" s="54" t="s">
        <v>156</v>
      </c>
      <c r="G185" t="s">
        <v>367</v>
      </c>
      <c r="H185" s="22">
        <v>4</v>
      </c>
      <c r="I185" s="52" cm="1">
        <f t="array" ref="I185">IFERROR(
  VALUE($H185) *
  VALUE(
    _xlfn.XLOOKUP(
      TRIM($F185) &amp; "|" &amp; LEFT(SUBSTITUTE($G185,CHAR(160)," "),5) &amp; "|Full Rate",
      TRIM(SUBSTITUTE($Q$2:$Q$38,CHAR(160)," ")) &amp; "|" &amp;
      LEFT(SUBSTITUTE($R$2:$R$38,CHAR(160)," "),5) &amp; "|" &amp;
      TRIM(SUBSTITUTE($S$2:$S$38,CHAR(160)," ")),
      $T$2:$T$38
    )
  ),
"")</f>
        <v>1300</v>
      </c>
      <c r="J185" s="52" cm="1">
        <f t="array" ref="J185">IFERROR(
  VALUE($H185) *
  VALUE(
    _xlfn.XLOOKUP(
      TRIM($F185) &amp; "|" &amp; LEFT(SUBSTITUTE($G185,CHAR(160)," "),5) &amp; "|Reduced Rate",
      TRIM(SUBSTITUTE($Q$2:$Q$47,CHAR(160)," ")) &amp; "|" &amp;
      LEFT(SUBSTITUTE($R$2:$R$47,CHAR(160)," "),5) &amp; "|" &amp;
      TRIM(SUBSTITUTE($S$2:$S$47,CHAR(160)," ")),
      $T$2:$T$47
    )
  ),
"")</f>
        <v>700</v>
      </c>
      <c r="K185" s="52" cm="1">
        <f t="array" ref="K185">IFERROR(
  VALUE($H185) *
  VALUE(
    _xlfn.XLOOKUP(
      TRIM($F185) &amp; "|" &amp; LEFT(SUBSTITUTE($G185,CHAR(160)," "),5) &amp; "|Ideas Rate",
      TRIM(SUBSTITUTE($Q$2:$Q$47,CHAR(160)," ")) &amp; "|" &amp;
      LEFT(SUBSTITUTE($R$2:$R$47,CHAR(160)," "),5) &amp; "|" &amp;
      TRIM(SUBSTITUTE($S$2:$S$47,CHAR(160)," ")),
      $T$2:$T$47
    )
  ),
"")</f>
        <v>380</v>
      </c>
    </row>
    <row r="186" spans="1:11" x14ac:dyDescent="0.2">
      <c r="A186" s="38">
        <v>46003</v>
      </c>
      <c r="B186" s="5" t="s">
        <v>502</v>
      </c>
      <c r="C186" s="20" t="s">
        <v>151</v>
      </c>
      <c r="D186" t="s">
        <v>187</v>
      </c>
      <c r="E186" t="s">
        <v>507</v>
      </c>
      <c r="F186" s="54" t="s">
        <v>156</v>
      </c>
      <c r="G186" t="s">
        <v>367</v>
      </c>
      <c r="H186" s="22">
        <v>4</v>
      </c>
      <c r="I186" s="52" cm="1">
        <f t="array" ref="I186">IFERROR(
  VALUE($H186) *
  VALUE(
    _xlfn.XLOOKUP(
      TRIM($F186) &amp; "|" &amp; LEFT(SUBSTITUTE($G186,CHAR(160)," "),5) &amp; "|Full Rate",
      TRIM(SUBSTITUTE($Q$2:$Q$38,CHAR(160)," ")) &amp; "|" &amp;
      LEFT(SUBSTITUTE($R$2:$R$38,CHAR(160)," "),5) &amp; "|" &amp;
      TRIM(SUBSTITUTE($S$2:$S$38,CHAR(160)," ")),
      $T$2:$T$38
    )
  ),
"")</f>
        <v>1300</v>
      </c>
      <c r="J186" s="52" cm="1">
        <f t="array" ref="J186">IFERROR(
  VALUE($H186) *
  VALUE(
    _xlfn.XLOOKUP(
      TRIM($F186) &amp; "|" &amp; LEFT(SUBSTITUTE($G186,CHAR(160)," "),5) &amp; "|Reduced Rate",
      TRIM(SUBSTITUTE($Q$2:$Q$47,CHAR(160)," ")) &amp; "|" &amp;
      LEFT(SUBSTITUTE($R$2:$R$47,CHAR(160)," "),5) &amp; "|" &amp;
      TRIM(SUBSTITUTE($S$2:$S$47,CHAR(160)," ")),
      $T$2:$T$47
    )
  ),
"")</f>
        <v>700</v>
      </c>
      <c r="K186" s="52" cm="1">
        <f t="array" ref="K186">IFERROR(
  VALUE($H186) *
  VALUE(
    _xlfn.XLOOKUP(
      TRIM($F186) &amp; "|" &amp; LEFT(SUBSTITUTE($G186,CHAR(160)," "),5) &amp; "|Ideas Rate",
      TRIM(SUBSTITUTE($Q$2:$Q$47,CHAR(160)," ")) &amp; "|" &amp;
      LEFT(SUBSTITUTE($R$2:$R$47,CHAR(160)," "),5) &amp; "|" &amp;
      TRIM(SUBSTITUTE($S$2:$S$47,CHAR(160)," ")),
      $T$2:$T$47
    )
  ),
"")</f>
        <v>380</v>
      </c>
    </row>
    <row r="187" spans="1:11" x14ac:dyDescent="0.2">
      <c r="A187" s="38">
        <v>46006</v>
      </c>
      <c r="B187" s="5" t="s">
        <v>502</v>
      </c>
      <c r="C187" s="20" t="s">
        <v>151</v>
      </c>
      <c r="D187" t="s">
        <v>187</v>
      </c>
      <c r="E187" t="s">
        <v>507</v>
      </c>
      <c r="F187" s="54" t="s">
        <v>156</v>
      </c>
      <c r="G187" t="s">
        <v>367</v>
      </c>
      <c r="H187" s="22">
        <v>5</v>
      </c>
      <c r="I187" s="52" cm="1">
        <f t="array" ref="I187">IFERROR(
  VALUE($H187) *
  VALUE(
    _xlfn.XLOOKUP(
      TRIM($F187) &amp; "|" &amp; LEFT(SUBSTITUTE($G187,CHAR(160)," "),5) &amp; "|Full Rate",
      TRIM(SUBSTITUTE($Q$2:$Q$38,CHAR(160)," ")) &amp; "|" &amp;
      LEFT(SUBSTITUTE($R$2:$R$38,CHAR(160)," "),5) &amp; "|" &amp;
      TRIM(SUBSTITUTE($S$2:$S$38,CHAR(160)," ")),
      $T$2:$T$38
    )
  ),
"")</f>
        <v>1625</v>
      </c>
      <c r="J187" s="52" cm="1">
        <f t="array" ref="J187">IFERROR(
  VALUE($H187) *
  VALUE(
    _xlfn.XLOOKUP(
      TRIM($F187) &amp; "|" &amp; LEFT(SUBSTITUTE($G187,CHAR(160)," "),5) &amp; "|Reduced Rate",
      TRIM(SUBSTITUTE($Q$2:$Q$47,CHAR(160)," ")) &amp; "|" &amp;
      LEFT(SUBSTITUTE($R$2:$R$47,CHAR(160)," "),5) &amp; "|" &amp;
      TRIM(SUBSTITUTE($S$2:$S$47,CHAR(160)," ")),
      $T$2:$T$47
    )
  ),
"")</f>
        <v>875</v>
      </c>
      <c r="K187" s="52" cm="1">
        <f t="array" ref="K187">IFERROR(
  VALUE($H187) *
  VALUE(
    _xlfn.XLOOKUP(
      TRIM($F187) &amp; "|" &amp; LEFT(SUBSTITUTE($G187,CHAR(160)," "),5) &amp; "|Ideas Rate",
      TRIM(SUBSTITUTE($Q$2:$Q$47,CHAR(160)," ")) &amp; "|" &amp;
      LEFT(SUBSTITUTE($R$2:$R$47,CHAR(160)," "),5) &amp; "|" &amp;
      TRIM(SUBSTITUTE($S$2:$S$47,CHAR(160)," ")),
      $T$2:$T$47
    )
  ),
"")</f>
        <v>475</v>
      </c>
    </row>
    <row r="188" spans="1:11" x14ac:dyDescent="0.2">
      <c r="A188" s="38">
        <v>46007</v>
      </c>
      <c r="B188" s="5" t="s">
        <v>502</v>
      </c>
      <c r="C188" s="20" t="s">
        <v>151</v>
      </c>
      <c r="D188" t="s">
        <v>187</v>
      </c>
      <c r="E188" t="s">
        <v>507</v>
      </c>
      <c r="F188" s="54" t="s">
        <v>156</v>
      </c>
      <c r="G188" t="s">
        <v>367</v>
      </c>
      <c r="H188" s="22">
        <v>5.5</v>
      </c>
      <c r="I188" s="52" cm="1">
        <f t="array" ref="I188">IFERROR(
  VALUE($H188) *
  VALUE(
    _xlfn.XLOOKUP(
      TRIM($F188) &amp; "|" &amp; LEFT(SUBSTITUTE($G188,CHAR(160)," "),5) &amp; "|Full Rate",
      TRIM(SUBSTITUTE($Q$2:$Q$38,CHAR(160)," ")) &amp; "|" &amp;
      LEFT(SUBSTITUTE($R$2:$R$38,CHAR(160)," "),5) &amp; "|" &amp;
      TRIM(SUBSTITUTE($S$2:$S$38,CHAR(160)," ")),
      $T$2:$T$38
    )
  ),
"")</f>
        <v>1787.5</v>
      </c>
      <c r="J188" s="52" cm="1">
        <f t="array" ref="J188">IFERROR(
  VALUE($H188) *
  VALUE(
    _xlfn.XLOOKUP(
      TRIM($F188) &amp; "|" &amp; LEFT(SUBSTITUTE($G188,CHAR(160)," "),5) &amp; "|Reduced Rate",
      TRIM(SUBSTITUTE($Q$2:$Q$47,CHAR(160)," ")) &amp; "|" &amp;
      LEFT(SUBSTITUTE($R$2:$R$47,CHAR(160)," "),5) &amp; "|" &amp;
      TRIM(SUBSTITUTE($S$2:$S$47,CHAR(160)," ")),
      $T$2:$T$47
    )
  ),
"")</f>
        <v>962.5</v>
      </c>
      <c r="K188" s="52" cm="1">
        <f t="array" ref="K188">IFERROR(
  VALUE($H188) *
  VALUE(
    _xlfn.XLOOKUP(
      TRIM($F188) &amp; "|" &amp; LEFT(SUBSTITUTE($G188,CHAR(160)," "),5) &amp; "|Ideas Rate",
      TRIM(SUBSTITUTE($Q$2:$Q$47,CHAR(160)," ")) &amp; "|" &amp;
      LEFT(SUBSTITUTE($R$2:$R$47,CHAR(160)," "),5) &amp; "|" &amp;
      TRIM(SUBSTITUTE($S$2:$S$47,CHAR(160)," ")),
      $T$2:$T$47
    )
  ),
"")</f>
        <v>522.5</v>
      </c>
    </row>
    <row r="189" spans="1:11" x14ac:dyDescent="0.2">
      <c r="A189" s="38">
        <v>46008</v>
      </c>
      <c r="B189" s="5" t="s">
        <v>502</v>
      </c>
      <c r="C189" s="20" t="s">
        <v>151</v>
      </c>
      <c r="D189" t="s">
        <v>187</v>
      </c>
      <c r="E189" t="s">
        <v>507</v>
      </c>
      <c r="F189" s="54" t="s">
        <v>156</v>
      </c>
      <c r="G189" t="s">
        <v>367</v>
      </c>
      <c r="H189" s="22">
        <v>5</v>
      </c>
      <c r="I189" s="52" cm="1">
        <f t="array" ref="I189">IFERROR(
  VALUE($H189) *
  VALUE(
    _xlfn.XLOOKUP(
      TRIM($F189) &amp; "|" &amp; LEFT(SUBSTITUTE($G189,CHAR(160)," "),5) &amp; "|Full Rate",
      TRIM(SUBSTITUTE($Q$2:$Q$38,CHAR(160)," ")) &amp; "|" &amp;
      LEFT(SUBSTITUTE($R$2:$R$38,CHAR(160)," "),5) &amp; "|" &amp;
      TRIM(SUBSTITUTE($S$2:$S$38,CHAR(160)," ")),
      $T$2:$T$38
    )
  ),
"")</f>
        <v>1625</v>
      </c>
      <c r="J189" s="52" cm="1">
        <f t="array" ref="J189">IFERROR(
  VALUE($H189) *
  VALUE(
    _xlfn.XLOOKUP(
      TRIM($F189) &amp; "|" &amp; LEFT(SUBSTITUTE($G189,CHAR(160)," "),5) &amp; "|Reduced Rate",
      TRIM(SUBSTITUTE($Q$2:$Q$47,CHAR(160)," ")) &amp; "|" &amp;
      LEFT(SUBSTITUTE($R$2:$R$47,CHAR(160)," "),5) &amp; "|" &amp;
      TRIM(SUBSTITUTE($S$2:$S$47,CHAR(160)," ")),
      $T$2:$T$47
    )
  ),
"")</f>
        <v>875</v>
      </c>
      <c r="K189" s="52" cm="1">
        <f t="array" ref="K189">IFERROR(
  VALUE($H189) *
  VALUE(
    _xlfn.XLOOKUP(
      TRIM($F189) &amp; "|" &amp; LEFT(SUBSTITUTE($G189,CHAR(160)," "),5) &amp; "|Ideas Rate",
      TRIM(SUBSTITUTE($Q$2:$Q$47,CHAR(160)," ")) &amp; "|" &amp;
      LEFT(SUBSTITUTE($R$2:$R$47,CHAR(160)," "),5) &amp; "|" &amp;
      TRIM(SUBSTITUTE($S$2:$S$47,CHAR(160)," ")),
      $T$2:$T$47
    )
  ),
"")</f>
        <v>475</v>
      </c>
    </row>
    <row r="190" spans="1:11" x14ac:dyDescent="0.2">
      <c r="A190" s="38">
        <v>46009</v>
      </c>
      <c r="B190" s="5" t="s">
        <v>502</v>
      </c>
      <c r="C190" s="20" t="s">
        <v>151</v>
      </c>
      <c r="D190" t="s">
        <v>187</v>
      </c>
      <c r="E190" t="s">
        <v>507</v>
      </c>
      <c r="F190" s="54" t="s">
        <v>156</v>
      </c>
      <c r="G190" t="s">
        <v>367</v>
      </c>
      <c r="H190" s="22">
        <v>5</v>
      </c>
      <c r="I190" s="52" cm="1">
        <f t="array" ref="I190">IFERROR(
  VALUE($H190) *
  VALUE(
    _xlfn.XLOOKUP(
      TRIM($F190) &amp; "|" &amp; LEFT(SUBSTITUTE($G190,CHAR(160)," "),5) &amp; "|Full Rate",
      TRIM(SUBSTITUTE($Q$2:$Q$38,CHAR(160)," ")) &amp; "|" &amp;
      LEFT(SUBSTITUTE($R$2:$R$38,CHAR(160)," "),5) &amp; "|" &amp;
      TRIM(SUBSTITUTE($S$2:$S$38,CHAR(160)," ")),
      $T$2:$T$38
    )
  ),
"")</f>
        <v>1625</v>
      </c>
      <c r="J190" s="52" cm="1">
        <f t="array" ref="J190">IFERROR(
  VALUE($H190) *
  VALUE(
    _xlfn.XLOOKUP(
      TRIM($F190) &amp; "|" &amp; LEFT(SUBSTITUTE($G190,CHAR(160)," "),5) &amp; "|Reduced Rate",
      TRIM(SUBSTITUTE($Q$2:$Q$47,CHAR(160)," ")) &amp; "|" &amp;
      LEFT(SUBSTITUTE($R$2:$R$47,CHAR(160)," "),5) &amp; "|" &amp;
      TRIM(SUBSTITUTE($S$2:$S$47,CHAR(160)," ")),
      $T$2:$T$47
    )
  ),
"")</f>
        <v>875</v>
      </c>
      <c r="K190" s="52" cm="1">
        <f t="array" ref="K190">IFERROR(
  VALUE($H190) *
  VALUE(
    _xlfn.XLOOKUP(
      TRIM($F190) &amp; "|" &amp; LEFT(SUBSTITUTE($G190,CHAR(160)," "),5) &amp; "|Ideas Rate",
      TRIM(SUBSTITUTE($Q$2:$Q$47,CHAR(160)," ")) &amp; "|" &amp;
      LEFT(SUBSTITUTE($R$2:$R$47,CHAR(160)," "),5) &amp; "|" &amp;
      TRIM(SUBSTITUTE($S$2:$S$47,CHAR(160)," ")),
      $T$2:$T$47
    )
  ),
"")</f>
        <v>475</v>
      </c>
    </row>
    <row r="191" spans="1:11" x14ac:dyDescent="0.2">
      <c r="A191" s="38">
        <v>46010</v>
      </c>
      <c r="B191" s="5" t="s">
        <v>502</v>
      </c>
      <c r="C191" s="20" t="s">
        <v>151</v>
      </c>
      <c r="D191" t="s">
        <v>187</v>
      </c>
      <c r="E191" t="s">
        <v>507</v>
      </c>
      <c r="F191" s="54" t="s">
        <v>156</v>
      </c>
      <c r="G191" t="s">
        <v>367</v>
      </c>
      <c r="H191" s="22">
        <v>5.5</v>
      </c>
      <c r="I191" s="52" cm="1">
        <f t="array" ref="I191">IFERROR(
  VALUE($H191) *
  VALUE(
    _xlfn.XLOOKUP(
      TRIM($F191) &amp; "|" &amp; LEFT(SUBSTITUTE($G191,CHAR(160)," "),5) &amp; "|Full Rate",
      TRIM(SUBSTITUTE($Q$2:$Q$38,CHAR(160)," ")) &amp; "|" &amp;
      LEFT(SUBSTITUTE($R$2:$R$38,CHAR(160)," "),5) &amp; "|" &amp;
      TRIM(SUBSTITUTE($S$2:$S$38,CHAR(160)," ")),
      $T$2:$T$38
    )
  ),
"")</f>
        <v>1787.5</v>
      </c>
      <c r="J191" s="52" cm="1">
        <f t="array" ref="J191">IFERROR(
  VALUE($H191) *
  VALUE(
    _xlfn.XLOOKUP(
      TRIM($F191) &amp; "|" &amp; LEFT(SUBSTITUTE($G191,CHAR(160)," "),5) &amp; "|Reduced Rate",
      TRIM(SUBSTITUTE($Q$2:$Q$47,CHAR(160)," ")) &amp; "|" &amp;
      LEFT(SUBSTITUTE($R$2:$R$47,CHAR(160)," "),5) &amp; "|" &amp;
      TRIM(SUBSTITUTE($S$2:$S$47,CHAR(160)," ")),
      $T$2:$T$47
    )
  ),
"")</f>
        <v>962.5</v>
      </c>
      <c r="K191" s="52" cm="1">
        <f t="array" ref="K191">IFERROR(
  VALUE($H191) *
  VALUE(
    _xlfn.XLOOKUP(
      TRIM($F191) &amp; "|" &amp; LEFT(SUBSTITUTE($G191,CHAR(160)," "),5) &amp; "|Ideas Rate",
      TRIM(SUBSTITUTE($Q$2:$Q$47,CHAR(160)," ")) &amp; "|" &amp;
      LEFT(SUBSTITUTE($R$2:$R$47,CHAR(160)," "),5) &amp; "|" &amp;
      TRIM(SUBSTITUTE($S$2:$S$47,CHAR(160)," ")),
      $T$2:$T$47
    )
  ),
"")</f>
        <v>522.5</v>
      </c>
    </row>
    <row r="192" spans="1:11" x14ac:dyDescent="0.2">
      <c r="A192" s="38">
        <v>46013</v>
      </c>
      <c r="B192" s="5" t="s">
        <v>502</v>
      </c>
      <c r="C192" s="20" t="s">
        <v>151</v>
      </c>
      <c r="D192" t="s">
        <v>187</v>
      </c>
      <c r="E192" t="s">
        <v>507</v>
      </c>
      <c r="F192" s="54" t="s">
        <v>156</v>
      </c>
      <c r="G192" t="s">
        <v>367</v>
      </c>
      <c r="H192" s="22">
        <v>4.5</v>
      </c>
      <c r="I192" s="52" cm="1">
        <f t="array" ref="I192">IFERROR(
  VALUE($H192) *
  VALUE(
    _xlfn.XLOOKUP(
      TRIM($F192) &amp; "|" &amp; LEFT(SUBSTITUTE($G192,CHAR(160)," "),5) &amp; "|Full Rate",
      TRIM(SUBSTITUTE($Q$2:$Q$38,CHAR(160)," ")) &amp; "|" &amp;
      LEFT(SUBSTITUTE($R$2:$R$38,CHAR(160)," "),5) &amp; "|" &amp;
      TRIM(SUBSTITUTE($S$2:$S$38,CHAR(160)," ")),
      $T$2:$T$38
    )
  ),
"")</f>
        <v>1462.5</v>
      </c>
      <c r="J192" s="52" cm="1">
        <f t="array" ref="J192">IFERROR(
  VALUE($H192) *
  VALUE(
    _xlfn.XLOOKUP(
      TRIM($F192) &amp; "|" &amp; LEFT(SUBSTITUTE($G192,CHAR(160)," "),5) &amp; "|Reduced Rate",
      TRIM(SUBSTITUTE($Q$2:$Q$47,CHAR(160)," ")) &amp; "|" &amp;
      LEFT(SUBSTITUTE($R$2:$R$47,CHAR(160)," "),5) &amp; "|" &amp;
      TRIM(SUBSTITUTE($S$2:$S$47,CHAR(160)," ")),
      $T$2:$T$47
    )
  ),
"")</f>
        <v>787.5</v>
      </c>
      <c r="K192" s="52" cm="1">
        <f t="array" ref="K192">IFERROR(
  VALUE($H192) *
  VALUE(
    _xlfn.XLOOKUP(
      TRIM($F192) &amp; "|" &amp; LEFT(SUBSTITUTE($G192,CHAR(160)," "),5) &amp; "|Ideas Rate",
      TRIM(SUBSTITUTE($Q$2:$Q$47,CHAR(160)," ")) &amp; "|" &amp;
      LEFT(SUBSTITUTE($R$2:$R$47,CHAR(160)," "),5) &amp; "|" &amp;
      TRIM(SUBSTITUTE($S$2:$S$47,CHAR(160)," ")),
      $T$2:$T$47
    )
  ),
"")</f>
        <v>427.5</v>
      </c>
    </row>
    <row r="193" spans="1:11" x14ac:dyDescent="0.2">
      <c r="A193" s="38">
        <v>46014</v>
      </c>
      <c r="B193" s="5" t="s">
        <v>502</v>
      </c>
      <c r="C193" s="20" t="s">
        <v>151</v>
      </c>
      <c r="D193" t="s">
        <v>187</v>
      </c>
      <c r="E193" t="s">
        <v>507</v>
      </c>
      <c r="F193" s="54" t="s">
        <v>156</v>
      </c>
      <c r="G193" t="s">
        <v>367</v>
      </c>
      <c r="H193" s="22">
        <v>3.5</v>
      </c>
      <c r="I193" s="52" cm="1">
        <f t="array" ref="I193">IFERROR(
  VALUE($H193) *
  VALUE(
    _xlfn.XLOOKUP(
      TRIM($F193) &amp; "|" &amp; LEFT(SUBSTITUTE($G193,CHAR(160)," "),5) &amp; "|Full Rate",
      TRIM(SUBSTITUTE($Q$2:$Q$38,CHAR(160)," ")) &amp; "|" &amp;
      LEFT(SUBSTITUTE($R$2:$R$38,CHAR(160)," "),5) &amp; "|" &amp;
      TRIM(SUBSTITUTE($S$2:$S$38,CHAR(160)," ")),
      $T$2:$T$38
    )
  ),
"")</f>
        <v>1137.5</v>
      </c>
      <c r="J193" s="52" cm="1">
        <f t="array" ref="J193">IFERROR(
  VALUE($H193) *
  VALUE(
    _xlfn.XLOOKUP(
      TRIM($F193) &amp; "|" &amp; LEFT(SUBSTITUTE($G193,CHAR(160)," "),5) &amp; "|Reduced Rate",
      TRIM(SUBSTITUTE($Q$2:$Q$47,CHAR(160)," ")) &amp; "|" &amp;
      LEFT(SUBSTITUTE($R$2:$R$47,CHAR(160)," "),5) &amp; "|" &amp;
      TRIM(SUBSTITUTE($S$2:$S$47,CHAR(160)," ")),
      $T$2:$T$47
    )
  ),
"")</f>
        <v>612.5</v>
      </c>
      <c r="K193" s="52" cm="1">
        <f t="array" ref="K193">IFERROR(
  VALUE($H193) *
  VALUE(
    _xlfn.XLOOKUP(
      TRIM($F193) &amp; "|" &amp; LEFT(SUBSTITUTE($G193,CHAR(160)," "),5) &amp; "|Ideas Rate",
      TRIM(SUBSTITUTE($Q$2:$Q$47,CHAR(160)," ")) &amp; "|" &amp;
      LEFT(SUBSTITUTE($R$2:$R$47,CHAR(160)," "),5) &amp; "|" &amp;
      TRIM(SUBSTITUTE($S$2:$S$47,CHAR(160)," ")),
      $T$2:$T$47
    )
  ),
"")</f>
        <v>332.5</v>
      </c>
    </row>
    <row r="194" spans="1:11" x14ac:dyDescent="0.2">
      <c r="A194" s="38">
        <v>46014</v>
      </c>
      <c r="B194" s="5" t="s">
        <v>502</v>
      </c>
      <c r="C194" s="20" t="s">
        <v>151</v>
      </c>
      <c r="D194" t="s">
        <v>29</v>
      </c>
      <c r="E194" t="s">
        <v>517</v>
      </c>
      <c r="F194" s="54" t="s">
        <v>10</v>
      </c>
      <c r="G194" t="s">
        <v>380</v>
      </c>
      <c r="H194" s="22">
        <v>10</v>
      </c>
      <c r="I194" s="52" cm="1">
        <f t="array" ref="I194">IFERROR(
  VALUE($H194) *
  VALUE(
    _xlfn.XLOOKUP(
      TRIM($F194) &amp; "|" &amp; LEFT(SUBSTITUTE($G194,CHAR(160)," "),5) &amp; "|Full Rate",
      TRIM(SUBSTITUTE($Q$2:$Q$38,CHAR(160)," ")) &amp; "|" &amp;
      LEFT(SUBSTITUTE($R$2:$R$38,CHAR(160)," "),5) &amp; "|" &amp;
      TRIM(SUBSTITUTE($S$2:$S$38,CHAR(160)," ")),
      $T$2:$T$38
    )
  ),
"")</f>
        <v>2500</v>
      </c>
      <c r="J194" s="52" cm="1">
        <f t="array" ref="J194">IFERROR(
  VALUE($H194) *
  VALUE(
    _xlfn.XLOOKUP(
      TRIM($F194) &amp; "|" &amp; LEFT(SUBSTITUTE($G194,CHAR(160)," "),5) &amp; "|Reduced Rate",
      TRIM(SUBSTITUTE($Q$2:$Q$47,CHAR(160)," ")) &amp; "|" &amp;
      LEFT(SUBSTITUTE($R$2:$R$47,CHAR(160)," "),5) &amp; "|" &amp;
      TRIM(SUBSTITUTE($S$2:$S$47,CHAR(160)," ")),
      $T$2:$T$47
    )
  ),
"")</f>
        <v>1500</v>
      </c>
      <c r="K194" s="52" cm="1">
        <f t="array" ref="K194">IFERROR(
  VALUE($H194) *
  VALUE(
    _xlfn.XLOOKUP(
      TRIM($F194) &amp; "|" &amp; LEFT(SUBSTITUTE($G194,CHAR(160)," "),5) &amp; "|Ideas Rate",
      TRIM(SUBSTITUTE($Q$2:$Q$47,CHAR(160)," ")) &amp; "|" &amp;
      LEFT(SUBSTITUTE($R$2:$R$47,CHAR(160)," "),5) &amp; "|" &amp;
      TRIM(SUBSTITUTE($S$2:$S$47,CHAR(160)," ")),
      $T$2:$T$47
    )
  ),
"")</f>
        <v>750</v>
      </c>
    </row>
    <row r="195" spans="1:11" x14ac:dyDescent="0.2">
      <c r="A195" s="38">
        <v>46027</v>
      </c>
      <c r="B195" s="5" t="s">
        <v>508</v>
      </c>
      <c r="C195" s="20" t="s">
        <v>151</v>
      </c>
      <c r="D195" t="s">
        <v>187</v>
      </c>
      <c r="E195" t="s">
        <v>513</v>
      </c>
      <c r="F195" s="54" t="s">
        <v>156</v>
      </c>
      <c r="G195" t="s">
        <v>367</v>
      </c>
      <c r="H195" s="22">
        <v>5</v>
      </c>
      <c r="I195" s="52" cm="1">
        <f t="array" ref="I195">IFERROR(
  VALUE($H195) *
  VALUE(
    _xlfn.XLOOKUP(
      TRIM($F195) &amp; "|" &amp; LEFT(SUBSTITUTE($G195,CHAR(160)," "),5) &amp; "|Full Rate",
      TRIM(SUBSTITUTE($Q$2:$Q$38,CHAR(160)," ")) &amp; "|" &amp;
      LEFT(SUBSTITUTE($R$2:$R$38,CHAR(160)," "),5) &amp; "|" &amp;
      TRIM(SUBSTITUTE($S$2:$S$38,CHAR(160)," ")),
      $T$2:$T$38
    )
  ),
"")</f>
        <v>1625</v>
      </c>
      <c r="J195" s="52" cm="1">
        <f t="array" ref="J195">IFERROR(
  VALUE($H195) *
  VALUE(
    _xlfn.XLOOKUP(
      TRIM($F195) &amp; "|" &amp; LEFT(SUBSTITUTE($G195,CHAR(160)," "),5) &amp; "|Reduced Rate",
      TRIM(SUBSTITUTE($Q$2:$Q$47,CHAR(160)," ")) &amp; "|" &amp;
      LEFT(SUBSTITUTE($R$2:$R$47,CHAR(160)," "),5) &amp; "|" &amp;
      TRIM(SUBSTITUTE($S$2:$S$47,CHAR(160)," ")),
      $T$2:$T$47
    )
  ),
"")</f>
        <v>875</v>
      </c>
      <c r="K195" s="52" cm="1">
        <f t="array" ref="K195">IFERROR(
  VALUE($H195) *
  VALUE(
    _xlfn.XLOOKUP(
      TRIM($F195) &amp; "|" &amp; LEFT(SUBSTITUTE($G195,CHAR(160)," "),5) &amp; "|Ideas Rate",
      TRIM(SUBSTITUTE($Q$2:$Q$47,CHAR(160)," ")) &amp; "|" &amp;
      LEFT(SUBSTITUTE($R$2:$R$47,CHAR(160)," "),5) &amp; "|" &amp;
      TRIM(SUBSTITUTE($S$2:$S$47,CHAR(160)," ")),
      $T$2:$T$47
    )
  ),
"")</f>
        <v>475</v>
      </c>
    </row>
    <row r="196" spans="1:11" x14ac:dyDescent="0.2">
      <c r="A196" s="38">
        <v>46028</v>
      </c>
      <c r="B196" s="5" t="s">
        <v>508</v>
      </c>
      <c r="C196" s="20" t="s">
        <v>151</v>
      </c>
      <c r="D196" t="s">
        <v>187</v>
      </c>
      <c r="E196" t="s">
        <v>513</v>
      </c>
      <c r="F196" s="54" t="s">
        <v>156</v>
      </c>
      <c r="G196" t="s">
        <v>367</v>
      </c>
      <c r="H196" s="22">
        <v>4.5</v>
      </c>
      <c r="I196" s="52" cm="1">
        <f t="array" ref="I196">IFERROR(
  VALUE($H196) *
  VALUE(
    _xlfn.XLOOKUP(
      TRIM($F196) &amp; "|" &amp; LEFT(SUBSTITUTE($G196,CHAR(160)," "),5) &amp; "|Full Rate",
      TRIM(SUBSTITUTE($Q$2:$Q$38,CHAR(160)," ")) &amp; "|" &amp;
      LEFT(SUBSTITUTE($R$2:$R$38,CHAR(160)," "),5) &amp; "|" &amp;
      TRIM(SUBSTITUTE($S$2:$S$38,CHAR(160)," ")),
      $T$2:$T$38
    )
  ),
"")</f>
        <v>1462.5</v>
      </c>
      <c r="J196" s="52" cm="1">
        <f t="array" ref="J196">IFERROR(
  VALUE($H196) *
  VALUE(
    _xlfn.XLOOKUP(
      TRIM($F196) &amp; "|" &amp; LEFT(SUBSTITUTE($G196,CHAR(160)," "),5) &amp; "|Reduced Rate",
      TRIM(SUBSTITUTE($Q$2:$Q$47,CHAR(160)," ")) &amp; "|" &amp;
      LEFT(SUBSTITUTE($R$2:$R$47,CHAR(160)," "),5) &amp; "|" &amp;
      TRIM(SUBSTITUTE($S$2:$S$47,CHAR(160)," ")),
      $T$2:$T$47
    )
  ),
"")</f>
        <v>787.5</v>
      </c>
      <c r="K196" s="52" cm="1">
        <f t="array" ref="K196">IFERROR(
  VALUE($H196) *
  VALUE(
    _xlfn.XLOOKUP(
      TRIM($F196) &amp; "|" &amp; LEFT(SUBSTITUTE($G196,CHAR(160)," "),5) &amp; "|Ideas Rate",
      TRIM(SUBSTITUTE($Q$2:$Q$47,CHAR(160)," ")) &amp; "|" &amp;
      LEFT(SUBSTITUTE($R$2:$R$47,CHAR(160)," "),5) &amp; "|" &amp;
      TRIM(SUBSTITUTE($S$2:$S$47,CHAR(160)," ")),
      $T$2:$T$47
    )
  ),
"")</f>
        <v>427.5</v>
      </c>
    </row>
    <row r="197" spans="1:11" x14ac:dyDescent="0.2">
      <c r="A197" s="38">
        <v>46028</v>
      </c>
      <c r="B197" s="5" t="s">
        <v>508</v>
      </c>
      <c r="C197" s="20" t="s">
        <v>151</v>
      </c>
      <c r="D197" t="s">
        <v>29</v>
      </c>
      <c r="E197" t="s">
        <v>516</v>
      </c>
      <c r="F197" s="54" t="s">
        <v>10</v>
      </c>
      <c r="G197" t="s">
        <v>380</v>
      </c>
      <c r="H197" s="22">
        <v>6</v>
      </c>
      <c r="I197" s="52" cm="1">
        <f t="array" ref="I197">IFERROR(
  VALUE($H197) *
  VALUE(
    _xlfn.XLOOKUP(
      TRIM($F197) &amp; "|" &amp; LEFT(SUBSTITUTE($G197,CHAR(160)," "),5) &amp; "|Full Rate",
      TRIM(SUBSTITUTE($Q$2:$Q$38,CHAR(160)," ")) &amp; "|" &amp;
      LEFT(SUBSTITUTE($R$2:$R$38,CHAR(160)," "),5) &amp; "|" &amp;
      TRIM(SUBSTITUTE($S$2:$S$38,CHAR(160)," ")),
      $T$2:$T$38
    )
  ),
"")</f>
        <v>1500</v>
      </c>
      <c r="J197" s="52" cm="1">
        <f t="array" ref="J197">IFERROR(
  VALUE($H197) *
  VALUE(
    _xlfn.XLOOKUP(
      TRIM($F197) &amp; "|" &amp; LEFT(SUBSTITUTE($G197,CHAR(160)," "),5) &amp; "|Reduced Rate",
      TRIM(SUBSTITUTE($Q$2:$Q$47,CHAR(160)," ")) &amp; "|" &amp;
      LEFT(SUBSTITUTE($R$2:$R$47,CHAR(160)," "),5) &amp; "|" &amp;
      TRIM(SUBSTITUTE($S$2:$S$47,CHAR(160)," ")),
      $T$2:$T$47
    )
  ),
"")</f>
        <v>900</v>
      </c>
      <c r="K197" s="52" cm="1">
        <f t="array" ref="K197">IFERROR(
  VALUE($H197) *
  VALUE(
    _xlfn.XLOOKUP(
      TRIM($F197) &amp; "|" &amp; LEFT(SUBSTITUTE($G197,CHAR(160)," "),5) &amp; "|Ideas Rate",
      TRIM(SUBSTITUTE($Q$2:$Q$47,CHAR(160)," ")) &amp; "|" &amp;
      LEFT(SUBSTITUTE($R$2:$R$47,CHAR(160)," "),5) &amp; "|" &amp;
      TRIM(SUBSTITUTE($S$2:$S$47,CHAR(160)," ")),
      $T$2:$T$47
    )
  ),
"")</f>
        <v>450</v>
      </c>
    </row>
    <row r="198" spans="1:11" x14ac:dyDescent="0.2">
      <c r="A198" s="38">
        <v>46029</v>
      </c>
      <c r="B198" s="5" t="s">
        <v>508</v>
      </c>
      <c r="C198" s="20" t="s">
        <v>151</v>
      </c>
      <c r="D198" t="s">
        <v>29</v>
      </c>
      <c r="E198" t="s">
        <v>528</v>
      </c>
      <c r="F198" s="54" t="s">
        <v>10</v>
      </c>
      <c r="G198" t="s">
        <v>367</v>
      </c>
      <c r="H198" s="22">
        <v>1</v>
      </c>
      <c r="I198" s="52" cm="1">
        <f t="array" ref="I198">IFERROR(
  VALUE($H198) *
  VALUE(
    _xlfn.XLOOKUP(
      TRIM($F198) &amp; "|" &amp; LEFT(SUBSTITUTE($G198,CHAR(160)," "),5) &amp; "|Full Rate",
      TRIM(SUBSTITUTE($Q$2:$Q$38,CHAR(160)," ")) &amp; "|" &amp;
      LEFT(SUBSTITUTE($R$2:$R$38,CHAR(160)," "),5) &amp; "|" &amp;
      TRIM(SUBSTITUTE($S$2:$S$38,CHAR(160)," ")),
      $T$2:$T$38
    )
  ),
"")</f>
        <v>500</v>
      </c>
      <c r="J198" s="52" cm="1">
        <f t="array" ref="J198">IFERROR(
  VALUE($H198) *
  VALUE(
    _xlfn.XLOOKUP(
      TRIM($F198) &amp; "|" &amp; LEFT(SUBSTITUTE($G198,CHAR(160)," "),5) &amp; "|Reduced Rate",
      TRIM(SUBSTITUTE($Q$2:$Q$47,CHAR(160)," ")) &amp; "|" &amp;
      LEFT(SUBSTITUTE($R$2:$R$47,CHAR(160)," "),5) &amp; "|" &amp;
      TRIM(SUBSTITUTE($S$2:$S$47,CHAR(160)," ")),
      $T$2:$T$47
    )
  ),
"")</f>
        <v>300</v>
      </c>
      <c r="K198" s="52" cm="1">
        <f t="array" ref="K198">IFERROR(
  VALUE($H198) *
  VALUE(
    _xlfn.XLOOKUP(
      TRIM($F198) &amp; "|" &amp; LEFT(SUBSTITUTE($G198,CHAR(160)," "),5) &amp; "|Ideas Rate",
      TRIM(SUBSTITUTE($Q$2:$Q$47,CHAR(160)," ")) &amp; "|" &amp;
      LEFT(SUBSTITUTE($R$2:$R$47,CHAR(160)," "),5) &amp; "|" &amp;
      TRIM(SUBSTITUTE($S$2:$S$47,CHAR(160)," ")),
      $T$2:$T$47
    )
  ),
"")</f>
        <v>150</v>
      </c>
    </row>
    <row r="199" spans="1:11" x14ac:dyDescent="0.2">
      <c r="A199" s="38">
        <v>46030</v>
      </c>
      <c r="B199" s="5" t="s">
        <v>508</v>
      </c>
      <c r="C199" s="20" t="s">
        <v>151</v>
      </c>
      <c r="D199" t="s">
        <v>29</v>
      </c>
      <c r="E199" t="s">
        <v>531</v>
      </c>
      <c r="F199" s="54" t="s">
        <v>155</v>
      </c>
      <c r="G199" t="s">
        <v>380</v>
      </c>
      <c r="H199" s="22">
        <v>0.5</v>
      </c>
      <c r="I199" s="52" cm="1">
        <f t="array" ref="I199">IFERROR(
  VALUE($H199) *
  VALUE(
    _xlfn.XLOOKUP(
      TRIM($F199) &amp; "|" &amp; LEFT(SUBSTITUTE($G199,CHAR(160)," "),5) &amp; "|Full Rate",
      TRIM(SUBSTITUTE($Q$2:$Q$38,CHAR(160)," ")) &amp; "|" &amp;
      LEFT(SUBSTITUTE($R$2:$R$38,CHAR(160)," "),5) &amp; "|" &amp;
      TRIM(SUBSTITUTE($S$2:$S$38,CHAR(160)," ")),
      $T$2:$T$38
    )
  ),
"")</f>
        <v>130</v>
      </c>
      <c r="J199" s="52" cm="1">
        <f t="array" ref="J199">IFERROR(
  VALUE($H199) *
  VALUE(
    _xlfn.XLOOKUP(
      TRIM($F199) &amp; "|" &amp; LEFT(SUBSTITUTE($G199,CHAR(160)," "),5) &amp; "|Reduced Rate",
      TRIM(SUBSTITUTE($Q$2:$Q$47,CHAR(160)," ")) &amp; "|" &amp;
      LEFT(SUBSTITUTE($R$2:$R$47,CHAR(160)," "),5) &amp; "|" &amp;
      TRIM(SUBSTITUTE($S$2:$S$47,CHAR(160)," ")),
      $T$2:$T$47
    )
  ),
"")</f>
        <v>60</v>
      </c>
      <c r="K199" s="52" cm="1">
        <f t="array" ref="K199">IFERROR(
  VALUE($H199) *
  VALUE(
    _xlfn.XLOOKUP(
      TRIM($F199) &amp; "|" &amp; LEFT(SUBSTITUTE($G199,CHAR(160)," "),5) &amp; "|Ideas Rate",
      TRIM(SUBSTITUTE($Q$2:$Q$47,CHAR(160)," ")) &amp; "|" &amp;
      LEFT(SUBSTITUTE($R$2:$R$47,CHAR(160)," "),5) &amp; "|" &amp;
      TRIM(SUBSTITUTE($S$2:$S$47,CHAR(160)," ")),
      $T$2:$T$47
    )
  ),
"")</f>
        <v>45</v>
      </c>
    </row>
    <row r="200" spans="1:11" x14ac:dyDescent="0.2">
      <c r="A200" s="38">
        <v>46030</v>
      </c>
      <c r="B200" s="5" t="s">
        <v>508</v>
      </c>
      <c r="C200" s="20" t="s">
        <v>151</v>
      </c>
      <c r="D200" t="s">
        <v>29</v>
      </c>
      <c r="E200" t="s">
        <v>533</v>
      </c>
      <c r="F200" s="54" t="s">
        <v>10</v>
      </c>
      <c r="G200" t="s">
        <v>380</v>
      </c>
      <c r="H200" s="22">
        <v>0.5</v>
      </c>
      <c r="I200" s="52" cm="1">
        <f t="array" ref="I200">IFERROR(
  VALUE($H200) *
  VALUE(
    _xlfn.XLOOKUP(
      TRIM($F200) &amp; "|" &amp; LEFT(SUBSTITUTE($G200,CHAR(160)," "),5) &amp; "|Full Rate",
      TRIM(SUBSTITUTE($Q$2:$Q$38,CHAR(160)," ")) &amp; "|" &amp;
      LEFT(SUBSTITUTE($R$2:$R$38,CHAR(160)," "),5) &amp; "|" &amp;
      TRIM(SUBSTITUTE($S$2:$S$38,CHAR(160)," ")),
      $T$2:$T$38
    )
  ),
"")</f>
        <v>125</v>
      </c>
      <c r="J200" s="52" cm="1">
        <f t="array" ref="J200">IFERROR(
  VALUE($H200) *
  VALUE(
    _xlfn.XLOOKUP(
      TRIM($F200) &amp; "|" &amp; LEFT(SUBSTITUTE($G200,CHAR(160)," "),5) &amp; "|Reduced Rate",
      TRIM(SUBSTITUTE($Q$2:$Q$47,CHAR(160)," ")) &amp; "|" &amp;
      LEFT(SUBSTITUTE($R$2:$R$47,CHAR(160)," "),5) &amp; "|" &amp;
      TRIM(SUBSTITUTE($S$2:$S$47,CHAR(160)," ")),
      $T$2:$T$47
    )
  ),
"")</f>
        <v>75</v>
      </c>
      <c r="K200" s="52" cm="1">
        <f t="array" ref="K200">IFERROR(
  VALUE($H200) *
  VALUE(
    _xlfn.XLOOKUP(
      TRIM($F200) &amp; "|" &amp; LEFT(SUBSTITUTE($G200,CHAR(160)," "),5) &amp; "|Ideas Rate",
      TRIM(SUBSTITUTE($Q$2:$Q$47,CHAR(160)," ")) &amp; "|" &amp;
      LEFT(SUBSTITUTE($R$2:$R$47,CHAR(160)," "),5) &amp; "|" &amp;
      TRIM(SUBSTITUTE($S$2:$S$47,CHAR(160)," ")),
      $T$2:$T$47
    )
  ),
"")</f>
        <v>37.5</v>
      </c>
    </row>
    <row r="201" spans="1:11" x14ac:dyDescent="0.2">
      <c r="A201" s="38">
        <v>46030</v>
      </c>
      <c r="B201" s="5" t="s">
        <v>508</v>
      </c>
      <c r="C201" s="20" t="s">
        <v>151</v>
      </c>
      <c r="D201" t="s">
        <v>29</v>
      </c>
      <c r="E201" t="s">
        <v>534</v>
      </c>
      <c r="F201" s="54" t="s">
        <v>10</v>
      </c>
      <c r="G201" t="s">
        <v>367</v>
      </c>
      <c r="H201" s="22">
        <v>1</v>
      </c>
      <c r="I201" s="52" cm="1">
        <f t="array" ref="I201">IFERROR(
  VALUE($H201) *
  VALUE(
    _xlfn.XLOOKUP(
      TRIM($F201) &amp; "|" &amp; LEFT(SUBSTITUTE($G201,CHAR(160)," "),5) &amp; "|Full Rate",
      TRIM(SUBSTITUTE($Q$2:$Q$38,CHAR(160)," ")) &amp; "|" &amp;
      LEFT(SUBSTITUTE($R$2:$R$38,CHAR(160)," "),5) &amp; "|" &amp;
      TRIM(SUBSTITUTE($S$2:$S$38,CHAR(160)," ")),
      $T$2:$T$38
    )
  ),
"")</f>
        <v>500</v>
      </c>
      <c r="J201" s="52" cm="1">
        <f t="array" ref="J201">IFERROR(
  VALUE($H201) *
  VALUE(
    _xlfn.XLOOKUP(
      TRIM($F201) &amp; "|" &amp; LEFT(SUBSTITUTE($G201,CHAR(160)," "),5) &amp; "|Reduced Rate",
      TRIM(SUBSTITUTE($Q$2:$Q$47,CHAR(160)," ")) &amp; "|" &amp;
      LEFT(SUBSTITUTE($R$2:$R$47,CHAR(160)," "),5) &amp; "|" &amp;
      TRIM(SUBSTITUTE($S$2:$S$47,CHAR(160)," ")),
      $T$2:$T$47
    )
  ),
"")</f>
        <v>300</v>
      </c>
      <c r="K201" s="52" cm="1">
        <f t="array" ref="K201">IFERROR(
  VALUE($H201) *
  VALUE(
    _xlfn.XLOOKUP(
      TRIM($F201) &amp; "|" &amp; LEFT(SUBSTITUTE($G201,CHAR(160)," "),5) &amp; "|Ideas Rate",
      TRIM(SUBSTITUTE($Q$2:$Q$47,CHAR(160)," ")) &amp; "|" &amp;
      LEFT(SUBSTITUTE($R$2:$R$47,CHAR(160)," "),5) &amp; "|" &amp;
      TRIM(SUBSTITUTE($S$2:$S$47,CHAR(160)," ")),
      $T$2:$T$47
    )
  ),
"")</f>
        <v>150</v>
      </c>
    </row>
    <row r="202" spans="1:11" x14ac:dyDescent="0.2">
      <c r="A202" s="38">
        <v>46031</v>
      </c>
      <c r="B202" s="5" t="s">
        <v>508</v>
      </c>
      <c r="C202" s="20" t="s">
        <v>151</v>
      </c>
      <c r="D202" t="s">
        <v>29</v>
      </c>
      <c r="E202" t="s">
        <v>534</v>
      </c>
      <c r="F202" s="54" t="s">
        <v>10</v>
      </c>
      <c r="G202" t="s">
        <v>367</v>
      </c>
      <c r="H202" s="22">
        <v>0.75</v>
      </c>
      <c r="I202" s="52" cm="1">
        <f t="array" ref="I202">IFERROR(
  VALUE($H202) *
  VALUE(
    _xlfn.XLOOKUP(
      TRIM($F202) &amp; "|" &amp; LEFT(SUBSTITUTE($G202,CHAR(160)," "),5) &amp; "|Full Rate",
      TRIM(SUBSTITUTE($Q$2:$Q$38,CHAR(160)," ")) &amp; "|" &amp;
      LEFT(SUBSTITUTE($R$2:$R$38,CHAR(160)," "),5) &amp; "|" &amp;
      TRIM(SUBSTITUTE($S$2:$S$38,CHAR(160)," ")),
      $T$2:$T$38
    )
  ),
"")</f>
        <v>375</v>
      </c>
      <c r="J202" s="52" cm="1">
        <f t="array" ref="J202">IFERROR(
  VALUE($H202) *
  VALUE(
    _xlfn.XLOOKUP(
      TRIM($F202) &amp; "|" &amp; LEFT(SUBSTITUTE($G202,CHAR(160)," "),5) &amp; "|Reduced Rate",
      TRIM(SUBSTITUTE($Q$2:$Q$47,CHAR(160)," ")) &amp; "|" &amp;
      LEFT(SUBSTITUTE($R$2:$R$47,CHAR(160)," "),5) &amp; "|" &amp;
      TRIM(SUBSTITUTE($S$2:$S$47,CHAR(160)," ")),
      $T$2:$T$47
    )
  ),
"")</f>
        <v>225</v>
      </c>
      <c r="K202" s="52" cm="1">
        <f t="array" ref="K202">IFERROR(
  VALUE($H202) *
  VALUE(
    _xlfn.XLOOKUP(
      TRIM($F202) &amp; "|" &amp; LEFT(SUBSTITUTE($G202,CHAR(160)," "),5) &amp; "|Ideas Rate",
      TRIM(SUBSTITUTE($Q$2:$Q$47,CHAR(160)," ")) &amp; "|" &amp;
      LEFT(SUBSTITUTE($R$2:$R$47,CHAR(160)," "),5) &amp; "|" &amp;
      TRIM(SUBSTITUTE($S$2:$S$47,CHAR(160)," ")),
      $T$2:$T$47
    )
  ),
"")</f>
        <v>112.5</v>
      </c>
    </row>
    <row r="203" spans="1:11" x14ac:dyDescent="0.2">
      <c r="A203" s="38">
        <v>46031</v>
      </c>
      <c r="B203" s="5" t="s">
        <v>508</v>
      </c>
      <c r="C203" s="20" t="s">
        <v>151</v>
      </c>
      <c r="D203" t="s">
        <v>29</v>
      </c>
      <c r="E203" t="s">
        <v>536</v>
      </c>
      <c r="F203" s="54" t="s">
        <v>10</v>
      </c>
      <c r="G203" t="s">
        <v>367</v>
      </c>
      <c r="H203" s="22">
        <v>0.75</v>
      </c>
      <c r="I203" s="52" cm="1">
        <f t="array" ref="I203">IFERROR(
  VALUE($H203) *
  VALUE(
    _xlfn.XLOOKUP(
      TRIM($F203) &amp; "|" &amp; LEFT(SUBSTITUTE($G203,CHAR(160)," "),5) &amp; "|Full Rate",
      TRIM(SUBSTITUTE($Q$2:$Q$38,CHAR(160)," ")) &amp; "|" &amp;
      LEFT(SUBSTITUTE($R$2:$R$38,CHAR(160)," "),5) &amp; "|" &amp;
      TRIM(SUBSTITUTE($S$2:$S$38,CHAR(160)," ")),
      $T$2:$T$38
    )
  ),
"")</f>
        <v>375</v>
      </c>
      <c r="J203" s="52" cm="1">
        <f t="array" ref="J203">IFERROR(
  VALUE($H203) *
  VALUE(
    _xlfn.XLOOKUP(
      TRIM($F203) &amp; "|" &amp; LEFT(SUBSTITUTE($G203,CHAR(160)," "),5) &amp; "|Reduced Rate",
      TRIM(SUBSTITUTE($Q$2:$Q$47,CHAR(160)," ")) &amp; "|" &amp;
      LEFT(SUBSTITUTE($R$2:$R$47,CHAR(160)," "),5) &amp; "|" &amp;
      TRIM(SUBSTITUTE($S$2:$S$47,CHAR(160)," ")),
      $T$2:$T$47
    )
  ),
"")</f>
        <v>225</v>
      </c>
      <c r="K203" s="52" cm="1">
        <f t="array" ref="K203">IFERROR(
  VALUE($H203) *
  VALUE(
    _xlfn.XLOOKUP(
      TRIM($F203) &amp; "|" &amp; LEFT(SUBSTITUTE($G203,CHAR(160)," "),5) &amp; "|Ideas Rate",
      TRIM(SUBSTITUTE($Q$2:$Q$47,CHAR(160)," ")) &amp; "|" &amp;
      LEFT(SUBSTITUTE($R$2:$R$47,CHAR(160)," "),5) &amp; "|" &amp;
      TRIM(SUBSTITUTE($S$2:$S$47,CHAR(160)," ")),
      $T$2:$T$47
    )
  ),
"")</f>
        <v>112.5</v>
      </c>
    </row>
    <row r="204" spans="1:11" x14ac:dyDescent="0.2">
      <c r="A204" s="38">
        <v>46035</v>
      </c>
      <c r="B204" s="5" t="s">
        <v>508</v>
      </c>
      <c r="C204" s="20" t="s">
        <v>151</v>
      </c>
      <c r="D204" t="s">
        <v>29</v>
      </c>
      <c r="E204" t="s">
        <v>546</v>
      </c>
      <c r="F204" s="54" t="s">
        <v>10</v>
      </c>
      <c r="G204" t="s">
        <v>367</v>
      </c>
      <c r="H204" s="22">
        <v>0.75</v>
      </c>
      <c r="I204" s="52" cm="1">
        <f t="array" ref="I204">IFERROR(
  VALUE($H204) *
  VALUE(
    _xlfn.XLOOKUP(
      TRIM($F204) &amp; "|" &amp; LEFT(SUBSTITUTE($G204,CHAR(160)," "),5) &amp; "|Full Rate",
      TRIM(SUBSTITUTE($Q$2:$Q$38,CHAR(160)," ")) &amp; "|" &amp;
      LEFT(SUBSTITUTE($R$2:$R$38,CHAR(160)," "),5) &amp; "|" &amp;
      TRIM(SUBSTITUTE($S$2:$S$38,CHAR(160)," ")),
      $T$2:$T$38
    )
  ),
"")</f>
        <v>375</v>
      </c>
      <c r="J204" s="52" cm="1">
        <f t="array" ref="J204">IFERROR(
  VALUE($H204) *
  VALUE(
    _xlfn.XLOOKUP(
      TRIM($F204) &amp; "|" &amp; LEFT(SUBSTITUTE($G204,CHAR(160)," "),5) &amp; "|Reduced Rate",
      TRIM(SUBSTITUTE($Q$2:$Q$47,CHAR(160)," ")) &amp; "|" &amp;
      LEFT(SUBSTITUTE($R$2:$R$47,CHAR(160)," "),5) &amp; "|" &amp;
      TRIM(SUBSTITUTE($S$2:$S$47,CHAR(160)," ")),
      $T$2:$T$47
    )
  ),
"")</f>
        <v>225</v>
      </c>
      <c r="K204" s="52" cm="1">
        <f t="array" ref="K204">IFERROR(
  VALUE($H204) *
  VALUE(
    _xlfn.XLOOKUP(
      TRIM($F204) &amp; "|" &amp; LEFT(SUBSTITUTE($G204,CHAR(160)," "),5) &amp; "|Ideas Rate",
      TRIM(SUBSTITUTE($Q$2:$Q$47,CHAR(160)," ")) &amp; "|" &amp;
      LEFT(SUBSTITUTE($R$2:$R$47,CHAR(160)," "),5) &amp; "|" &amp;
      TRIM(SUBSTITUTE($S$2:$S$47,CHAR(160)," ")),
      $T$2:$T$47
    )
  ),
"")</f>
        <v>112.5</v>
      </c>
    </row>
    <row r="205" spans="1:11" x14ac:dyDescent="0.2">
      <c r="A205" s="38">
        <v>46029</v>
      </c>
      <c r="B205" s="5" t="s">
        <v>508</v>
      </c>
      <c r="C205" s="20" t="s">
        <v>151</v>
      </c>
      <c r="D205" t="s">
        <v>187</v>
      </c>
      <c r="E205" t="s">
        <v>504</v>
      </c>
      <c r="F205" s="54" t="s">
        <v>156</v>
      </c>
      <c r="G205" t="s">
        <v>367</v>
      </c>
      <c r="H205" s="22">
        <v>5.5</v>
      </c>
      <c r="I205" s="52" cm="1">
        <f t="array" ref="I205">IFERROR(
  VALUE($H205) *
  VALUE(
    _xlfn.XLOOKUP(
      TRIM($F205) &amp; "|" &amp; LEFT(SUBSTITUTE($G205,CHAR(160)," "),5) &amp; "|Full Rate",
      TRIM(SUBSTITUTE($Q$2:$Q$38,CHAR(160)," ")) &amp; "|" &amp;
      LEFT(SUBSTITUTE($R$2:$R$38,CHAR(160)," "),5) &amp; "|" &amp;
      TRIM(SUBSTITUTE($S$2:$S$38,CHAR(160)," ")),
      $T$2:$T$38
    )
  ),
"")</f>
        <v>1787.5</v>
      </c>
      <c r="J205" s="52" cm="1">
        <f t="array" ref="J205">IFERROR(
  VALUE($H205) *
  VALUE(
    _xlfn.XLOOKUP(
      TRIM($F205) &amp; "|" &amp; LEFT(SUBSTITUTE($G205,CHAR(160)," "),5) &amp; "|Reduced Rate",
      TRIM(SUBSTITUTE($Q$2:$Q$47,CHAR(160)," ")) &amp; "|" &amp;
      LEFT(SUBSTITUTE($R$2:$R$47,CHAR(160)," "),5) &amp; "|" &amp;
      TRIM(SUBSTITUTE($S$2:$S$47,CHAR(160)," ")),
      $T$2:$T$47
    )
  ),
"")</f>
        <v>962.5</v>
      </c>
      <c r="K205" s="52" cm="1">
        <f t="array" ref="K205">IFERROR(
  VALUE($H205) *
  VALUE(
    _xlfn.XLOOKUP(
      TRIM($F205) &amp; "|" &amp; LEFT(SUBSTITUTE($G205,CHAR(160)," "),5) &amp; "|Ideas Rate",
      TRIM(SUBSTITUTE($Q$2:$Q$47,CHAR(160)," ")) &amp; "|" &amp;
      LEFT(SUBSTITUTE($R$2:$R$47,CHAR(160)," "),5) &amp; "|" &amp;
      TRIM(SUBSTITUTE($S$2:$S$47,CHAR(160)," ")),
      $T$2:$T$47
    )
  ),
"")</f>
        <v>522.5</v>
      </c>
    </row>
    <row r="206" spans="1:11" x14ac:dyDescent="0.2">
      <c r="A206" s="38">
        <v>46030</v>
      </c>
      <c r="B206" s="5" t="s">
        <v>508</v>
      </c>
      <c r="C206" s="20" t="s">
        <v>151</v>
      </c>
      <c r="D206" t="s">
        <v>187</v>
      </c>
      <c r="E206" t="s">
        <v>504</v>
      </c>
      <c r="F206" s="54" t="s">
        <v>156</v>
      </c>
      <c r="G206" t="s">
        <v>367</v>
      </c>
      <c r="H206" s="22">
        <v>4</v>
      </c>
      <c r="I206" s="52" cm="1">
        <f t="array" ref="I206">IFERROR(
  VALUE($H206) *
  VALUE(
    _xlfn.XLOOKUP(
      TRIM($F206) &amp; "|" &amp; LEFT(SUBSTITUTE($G206,CHAR(160)," "),5) &amp; "|Full Rate",
      TRIM(SUBSTITUTE($Q$2:$Q$38,CHAR(160)," ")) &amp; "|" &amp;
      LEFT(SUBSTITUTE($R$2:$R$38,CHAR(160)," "),5) &amp; "|" &amp;
      TRIM(SUBSTITUTE($S$2:$S$38,CHAR(160)," ")),
      $T$2:$T$38
    )
  ),
"")</f>
        <v>1300</v>
      </c>
      <c r="J206" s="52" cm="1">
        <f t="array" ref="J206">IFERROR(
  VALUE($H206) *
  VALUE(
    _xlfn.XLOOKUP(
      TRIM($F206) &amp; "|" &amp; LEFT(SUBSTITUTE($G206,CHAR(160)," "),5) &amp; "|Reduced Rate",
      TRIM(SUBSTITUTE($Q$2:$Q$47,CHAR(160)," ")) &amp; "|" &amp;
      LEFT(SUBSTITUTE($R$2:$R$47,CHAR(160)," "),5) &amp; "|" &amp;
      TRIM(SUBSTITUTE($S$2:$S$47,CHAR(160)," ")),
      $T$2:$T$47
    )
  ),
"")</f>
        <v>700</v>
      </c>
      <c r="K206" s="52" cm="1">
        <f t="array" ref="K206">IFERROR(
  VALUE($H206) *
  VALUE(
    _xlfn.XLOOKUP(
      TRIM($F206) &amp; "|" &amp; LEFT(SUBSTITUTE($G206,CHAR(160)," "),5) &amp; "|Ideas Rate",
      TRIM(SUBSTITUTE($Q$2:$Q$47,CHAR(160)," ")) &amp; "|" &amp;
      LEFT(SUBSTITUTE($R$2:$R$47,CHAR(160)," "),5) &amp; "|" &amp;
      TRIM(SUBSTITUTE($S$2:$S$47,CHAR(160)," ")),
      $T$2:$T$47
    )
  ),
"")</f>
        <v>380</v>
      </c>
    </row>
    <row r="207" spans="1:11" x14ac:dyDescent="0.2">
      <c r="A207" s="38">
        <v>46031</v>
      </c>
      <c r="B207" s="5" t="s">
        <v>508</v>
      </c>
      <c r="C207" s="20" t="s">
        <v>151</v>
      </c>
      <c r="D207" t="s">
        <v>187</v>
      </c>
      <c r="E207" t="s">
        <v>504</v>
      </c>
      <c r="F207" s="54" t="s">
        <v>156</v>
      </c>
      <c r="G207" t="s">
        <v>367</v>
      </c>
      <c r="H207" s="22">
        <v>4</v>
      </c>
      <c r="I207" s="52" cm="1">
        <f t="array" ref="I207">IFERROR(
  VALUE($H207) *
  VALUE(
    _xlfn.XLOOKUP(
      TRIM($F207) &amp; "|" &amp; LEFT(SUBSTITUTE($G207,CHAR(160)," "),5) &amp; "|Full Rate",
      TRIM(SUBSTITUTE($Q$2:$Q$38,CHAR(160)," ")) &amp; "|" &amp;
      LEFT(SUBSTITUTE($R$2:$R$38,CHAR(160)," "),5) &amp; "|" &amp;
      TRIM(SUBSTITUTE($S$2:$S$38,CHAR(160)," ")),
      $T$2:$T$38
    )
  ),
"")</f>
        <v>1300</v>
      </c>
      <c r="J207" s="52" cm="1">
        <f t="array" ref="J207">IFERROR(
  VALUE($H207) *
  VALUE(
    _xlfn.XLOOKUP(
      TRIM($F207) &amp; "|" &amp; LEFT(SUBSTITUTE($G207,CHAR(160)," "),5) &amp; "|Reduced Rate",
      TRIM(SUBSTITUTE($Q$2:$Q$47,CHAR(160)," ")) &amp; "|" &amp;
      LEFT(SUBSTITUTE($R$2:$R$47,CHAR(160)," "),5) &amp; "|" &amp;
      TRIM(SUBSTITUTE($S$2:$S$47,CHAR(160)," ")),
      $T$2:$T$47
    )
  ),
"")</f>
        <v>700</v>
      </c>
      <c r="K207" s="52" cm="1">
        <f t="array" ref="K207">IFERROR(
  VALUE($H207) *
  VALUE(
    _xlfn.XLOOKUP(
      TRIM($F207) &amp; "|" &amp; LEFT(SUBSTITUTE($G207,CHAR(160)," "),5) &amp; "|Ideas Rate",
      TRIM(SUBSTITUTE($Q$2:$Q$47,CHAR(160)," ")) &amp; "|" &amp;
      LEFT(SUBSTITUTE($R$2:$R$47,CHAR(160)," "),5) &amp; "|" &amp;
      TRIM(SUBSTITUTE($S$2:$S$47,CHAR(160)," ")),
      $T$2:$T$47
    )
  ),
"")</f>
        <v>380</v>
      </c>
    </row>
    <row r="208" spans="1:11" x14ac:dyDescent="0.2">
      <c r="A208" s="38">
        <v>46034</v>
      </c>
      <c r="B208" s="5" t="s">
        <v>508</v>
      </c>
      <c r="C208" s="20" t="s">
        <v>151</v>
      </c>
      <c r="D208" t="s">
        <v>187</v>
      </c>
      <c r="E208" t="s">
        <v>504</v>
      </c>
      <c r="F208" s="54" t="s">
        <v>156</v>
      </c>
      <c r="G208" t="s">
        <v>367</v>
      </c>
      <c r="H208" s="22">
        <v>5</v>
      </c>
      <c r="I208" s="52" cm="1">
        <f t="array" ref="I208">IFERROR(
  VALUE($H208) *
  VALUE(
    _xlfn.XLOOKUP(
      TRIM($F208) &amp; "|" &amp; LEFT(SUBSTITUTE($G208,CHAR(160)," "),5) &amp; "|Full Rate",
      TRIM(SUBSTITUTE($Q$2:$Q$38,CHAR(160)," ")) &amp; "|" &amp;
      LEFT(SUBSTITUTE($R$2:$R$38,CHAR(160)," "),5) &amp; "|" &amp;
      TRIM(SUBSTITUTE($S$2:$S$38,CHAR(160)," ")),
      $T$2:$T$38
    )
  ),
"")</f>
        <v>1625</v>
      </c>
      <c r="J208" s="52" cm="1">
        <f t="array" ref="J208">IFERROR(
  VALUE($H208) *
  VALUE(
    _xlfn.XLOOKUP(
      TRIM($F208) &amp; "|" &amp; LEFT(SUBSTITUTE($G208,CHAR(160)," "),5) &amp; "|Reduced Rate",
      TRIM(SUBSTITUTE($Q$2:$Q$47,CHAR(160)," ")) &amp; "|" &amp;
      LEFT(SUBSTITUTE($R$2:$R$47,CHAR(160)," "),5) &amp; "|" &amp;
      TRIM(SUBSTITUTE($S$2:$S$47,CHAR(160)," ")),
      $T$2:$T$47
    )
  ),
"")</f>
        <v>875</v>
      </c>
      <c r="K208" s="52" cm="1">
        <f t="array" ref="K208">IFERROR(
  VALUE($H208) *
  VALUE(
    _xlfn.XLOOKUP(
      TRIM($F208) &amp; "|" &amp; LEFT(SUBSTITUTE($G208,CHAR(160)," "),5) &amp; "|Ideas Rate",
      TRIM(SUBSTITUTE($Q$2:$Q$47,CHAR(160)," ")) &amp; "|" &amp;
      LEFT(SUBSTITUTE($R$2:$R$47,CHAR(160)," "),5) &amp; "|" &amp;
      TRIM(SUBSTITUTE($S$2:$S$47,CHAR(160)," ")),
      $T$2:$T$47
    )
  ),
"")</f>
        <v>475</v>
      </c>
    </row>
    <row r="209" spans="1:11" x14ac:dyDescent="0.2">
      <c r="A209" s="38">
        <v>46035</v>
      </c>
      <c r="B209" s="5" t="s">
        <v>508</v>
      </c>
      <c r="C209" s="20" t="s">
        <v>151</v>
      </c>
      <c r="D209" t="s">
        <v>187</v>
      </c>
      <c r="E209" t="s">
        <v>504</v>
      </c>
      <c r="F209" s="54" t="s">
        <v>156</v>
      </c>
      <c r="G209" t="s">
        <v>367</v>
      </c>
      <c r="H209" s="22">
        <v>2</v>
      </c>
      <c r="I209" s="68" cm="1">
        <f t="array" ref="I209">IFERROR(
  VALUE($H209) *
  VALUE(
    _xlfn.XLOOKUP(
      TRIM($F209) &amp; "|" &amp; LEFT(SUBSTITUTE($G209,CHAR(160)," "),5) &amp; "|Full Rate",
      TRIM(SUBSTITUTE($Q$2:$Q$38,CHAR(160)," ")) &amp; "|" &amp;
      LEFT(SUBSTITUTE($R$2:$R$38,CHAR(160)," "),5) &amp; "|" &amp;
      TRIM(SUBSTITUTE($S$2:$S$38,CHAR(160)," ")),
      $T$2:$T$38
    )
  ),
"")</f>
        <v>650</v>
      </c>
      <c r="J209" s="52" cm="1">
        <f t="array" ref="J209">IFERROR(
  VALUE($H209) *
  VALUE(
    _xlfn.XLOOKUP(
      TRIM($F209) &amp; "|" &amp; LEFT(SUBSTITUTE($G209,CHAR(160)," "),5) &amp; "|Reduced Rate",
      TRIM(SUBSTITUTE($Q$2:$Q$47,CHAR(160)," ")) &amp; "|" &amp;
      LEFT(SUBSTITUTE($R$2:$R$47,CHAR(160)," "),5) &amp; "|" &amp;
      TRIM(SUBSTITUTE($S$2:$S$47,CHAR(160)," ")),
      $T$2:$T$47
    )
  ),
"")</f>
        <v>350</v>
      </c>
      <c r="K209" s="52" cm="1">
        <f t="array" ref="K209">IFERROR(
  VALUE($H209) *
  VALUE(
    _xlfn.XLOOKUP(
      TRIM($F209) &amp; "|" &amp; LEFT(SUBSTITUTE($G209,CHAR(160)," "),5) &amp; "|Ideas Rate",
      TRIM(SUBSTITUTE($Q$2:$Q$47,CHAR(160)," ")) &amp; "|" &amp;
      LEFT(SUBSTITUTE($R$2:$R$47,CHAR(160)," "),5) &amp; "|" &amp;
      TRIM(SUBSTITUTE($S$2:$S$47,CHAR(160)," ")),
      $T$2:$T$47
    )
  ),
"")</f>
        <v>190</v>
      </c>
    </row>
    <row r="210" spans="1:11" x14ac:dyDescent="0.2">
      <c r="A210" s="38">
        <v>46038</v>
      </c>
      <c r="B210" s="5" t="s">
        <v>508</v>
      </c>
      <c r="C210" s="20" t="s">
        <v>151</v>
      </c>
      <c r="D210" t="s">
        <v>29</v>
      </c>
      <c r="E210" t="s">
        <v>556</v>
      </c>
      <c r="F210" s="54" t="s">
        <v>10</v>
      </c>
      <c r="G210" t="s">
        <v>367</v>
      </c>
      <c r="H210" s="22">
        <v>1.75</v>
      </c>
      <c r="I210" s="68" cm="1">
        <f t="array" ref="I210">IFERROR(
  VALUE($H210) *
  VALUE(
    _xlfn.XLOOKUP(
      TRIM($F210) &amp; "|" &amp; LEFT(SUBSTITUTE($G210,CHAR(160)," "),5) &amp; "|Full Rate",
      TRIM(SUBSTITUTE($Q$2:$Q$38,CHAR(160)," ")) &amp; "|" &amp;
      LEFT(SUBSTITUTE($R$2:$R$38,CHAR(160)," "),5) &amp; "|" &amp;
      TRIM(SUBSTITUTE($S$2:$S$38,CHAR(160)," ")),
      $T$2:$T$38
    )
  ),
"")</f>
        <v>875</v>
      </c>
      <c r="J210" s="52" cm="1">
        <f t="array" ref="J210">IFERROR(
  VALUE($H210) *
  VALUE(
    _xlfn.XLOOKUP(
      TRIM($F210) &amp; "|" &amp; LEFT(SUBSTITUTE($G210,CHAR(160)," "),5) &amp; "|Reduced Rate",
      TRIM(SUBSTITUTE($Q$2:$Q$47,CHAR(160)," ")) &amp; "|" &amp;
      LEFT(SUBSTITUTE($R$2:$R$47,CHAR(160)," "),5) &amp; "|" &amp;
      TRIM(SUBSTITUTE($S$2:$S$47,CHAR(160)," ")),
      $T$2:$T$47
    )
  ),
"")</f>
        <v>525</v>
      </c>
      <c r="K210" s="52" cm="1">
        <f t="array" ref="K210">IFERROR(
  VALUE($H210) *
  VALUE(
    _xlfn.XLOOKUP(
      TRIM($F210) &amp; "|" &amp; LEFT(SUBSTITUTE($G210,CHAR(160)," "),5) &amp; "|Ideas Rate",
      TRIM(SUBSTITUTE($Q$2:$Q$47,CHAR(160)," ")) &amp; "|" &amp;
      LEFT(SUBSTITUTE($R$2:$R$47,CHAR(160)," "),5) &amp; "|" &amp;
      TRIM(SUBSTITUTE($S$2:$S$47,CHAR(160)," ")),
      $T$2:$T$47
    )
  ),
"")</f>
        <v>262.5</v>
      </c>
    </row>
    <row r="211" spans="1:11" x14ac:dyDescent="0.2">
      <c r="A211" s="38">
        <v>46038</v>
      </c>
      <c r="B211" s="5" t="s">
        <v>508</v>
      </c>
      <c r="C211" s="20" t="s">
        <v>151</v>
      </c>
      <c r="D211" t="s">
        <v>29</v>
      </c>
      <c r="E211" t="s">
        <v>536</v>
      </c>
      <c r="F211" s="54" t="s">
        <v>10</v>
      </c>
      <c r="G211" t="s">
        <v>380</v>
      </c>
      <c r="H211" s="22">
        <v>0.75</v>
      </c>
      <c r="I211" s="32" cm="1">
        <f t="array" ref="I211">IFERROR(
  VALUE($H211) *
  VALUE(
    _xlfn.XLOOKUP(
      TRIM($F211) &amp; "|" &amp; LEFT(SUBSTITUTE($G211,CHAR(160)," "),5) &amp; "|Full Rate",
      TRIM(SUBSTITUTE($Q$2:$Q$38,CHAR(160)," ")) &amp; "|" &amp;
      LEFT(SUBSTITUTE($R$2:$R$38,CHAR(160)," "),5) &amp; "|" &amp;
      TRIM(SUBSTITUTE($S$2:$S$38,CHAR(160)," ")),
      $T$2:$T$38
    )
  ),
"")</f>
        <v>187.5</v>
      </c>
      <c r="J211" s="52" cm="1">
        <f t="array" ref="J211">IFERROR(
  VALUE($H211) *
  VALUE(
    _xlfn.XLOOKUP(
      TRIM($F211) &amp; "|" &amp; LEFT(SUBSTITUTE($G211,CHAR(160)," "),5) &amp; "|Reduced Rate",
      TRIM(SUBSTITUTE($Q$2:$Q$47,CHAR(160)," ")) &amp; "|" &amp;
      LEFT(SUBSTITUTE($R$2:$R$47,CHAR(160)," "),5) &amp; "|" &amp;
      TRIM(SUBSTITUTE($S$2:$S$47,CHAR(160)," ")),
      $T$2:$T$47
    )
  ),
"")</f>
        <v>112.5</v>
      </c>
      <c r="K211" s="52" cm="1">
        <f t="array" ref="K211">IFERROR(
  VALUE($H211) *
  VALUE(
    _xlfn.XLOOKUP(
      TRIM($F211) &amp; "|" &amp; LEFT(SUBSTITUTE($G211,CHAR(160)," "),5) &amp; "|Ideas Rate",
      TRIM(SUBSTITUTE($Q$2:$Q$47,CHAR(160)," ")) &amp; "|" &amp;
      LEFT(SUBSTITUTE($R$2:$R$47,CHAR(160)," "),5) &amp; "|" &amp;
      TRIM(SUBSTITUTE($S$2:$S$47,CHAR(160)," ")),
      $T$2:$T$47
    )
  ),
"")</f>
        <v>56.25</v>
      </c>
    </row>
    <row r="212" spans="1:11" x14ac:dyDescent="0.2">
      <c r="A212" s="38">
        <v>46036</v>
      </c>
      <c r="B212" s="5" t="s">
        <v>508</v>
      </c>
      <c r="C212" s="20" t="s">
        <v>151</v>
      </c>
      <c r="D212" t="s">
        <v>187</v>
      </c>
      <c r="E212" t="s">
        <v>499</v>
      </c>
      <c r="F212" s="54" t="s">
        <v>156</v>
      </c>
      <c r="G212" t="s">
        <v>367</v>
      </c>
      <c r="H212" s="22">
        <v>5.5</v>
      </c>
      <c r="I212" s="32" cm="1">
        <f t="array" ref="I212">IFERROR(
  VALUE($H212) *
  VALUE(
    _xlfn.XLOOKUP(
      TRIM($F212) &amp; "|" &amp; LEFT(SUBSTITUTE($G212,CHAR(160)," "),5) &amp; "|Full Rate",
      TRIM(SUBSTITUTE($Q$2:$Q$38,CHAR(160)," ")) &amp; "|" &amp;
      LEFT(SUBSTITUTE($R$2:$R$38,CHAR(160)," "),5) &amp; "|" &amp;
      TRIM(SUBSTITUTE($S$2:$S$38,CHAR(160)," ")),
      $T$2:$T$38
    )
  ),
"")</f>
        <v>1787.5</v>
      </c>
      <c r="J212" s="52" cm="1">
        <f t="array" ref="J212">IFERROR(
  VALUE($H212) *
  VALUE(
    _xlfn.XLOOKUP(
      TRIM($F212) &amp; "|" &amp; LEFT(SUBSTITUTE($G212,CHAR(160)," "),5) &amp; "|Reduced Rate",
      TRIM(SUBSTITUTE($Q$2:$Q$47,CHAR(160)," ")) &amp; "|" &amp;
      LEFT(SUBSTITUTE($R$2:$R$47,CHAR(160)," "),5) &amp; "|" &amp;
      TRIM(SUBSTITUTE($S$2:$S$47,CHAR(160)," ")),
      $T$2:$T$47
    )
  ),
"")</f>
        <v>962.5</v>
      </c>
      <c r="K212" s="52" cm="1">
        <f t="array" ref="K212">IFERROR(
  VALUE($H212) *
  VALUE(
    _xlfn.XLOOKUP(
      TRIM($F212) &amp; "|" &amp; LEFT(SUBSTITUTE($G212,CHAR(160)," "),5) &amp; "|Ideas Rate",
      TRIM(SUBSTITUTE($Q$2:$Q$47,CHAR(160)," ")) &amp; "|" &amp;
      LEFT(SUBSTITUTE($R$2:$R$47,CHAR(160)," "),5) &amp; "|" &amp;
      TRIM(SUBSTITUTE($S$2:$S$47,CHAR(160)," ")),
      $T$2:$T$47
    )
  ),
"")</f>
        <v>522.5</v>
      </c>
    </row>
    <row r="213" spans="1:11" x14ac:dyDescent="0.2">
      <c r="A213" s="38">
        <v>46037</v>
      </c>
      <c r="B213" s="5" t="s">
        <v>508</v>
      </c>
      <c r="C213" s="20" t="s">
        <v>151</v>
      </c>
      <c r="D213" t="s">
        <v>187</v>
      </c>
      <c r="E213" t="s">
        <v>499</v>
      </c>
      <c r="F213" s="54" t="s">
        <v>156</v>
      </c>
      <c r="G213" t="s">
        <v>367</v>
      </c>
      <c r="H213" s="22">
        <v>4</v>
      </c>
      <c r="I213" s="32" cm="1">
        <f t="array" ref="I213">IFERROR(
  VALUE($H213) *
  VALUE(
    _xlfn.XLOOKUP(
      TRIM($F213) &amp; "|" &amp; LEFT(SUBSTITUTE($G213,CHAR(160)," "),5) &amp; "|Full Rate",
      TRIM(SUBSTITUTE($Q$2:$Q$38,CHAR(160)," ")) &amp; "|" &amp;
      LEFT(SUBSTITUTE($R$2:$R$38,CHAR(160)," "),5) &amp; "|" &amp;
      TRIM(SUBSTITUTE($S$2:$S$38,CHAR(160)," ")),
      $T$2:$T$38
    )
  ),
"")</f>
        <v>1300</v>
      </c>
      <c r="J213" s="52" cm="1">
        <f t="array" ref="J213">IFERROR(
  VALUE($H213) *
  VALUE(
    _xlfn.XLOOKUP(
      TRIM($F213) &amp; "|" &amp; LEFT(SUBSTITUTE($G213,CHAR(160)," "),5) &amp; "|Reduced Rate",
      TRIM(SUBSTITUTE($Q$2:$Q$47,CHAR(160)," ")) &amp; "|" &amp;
      LEFT(SUBSTITUTE($R$2:$R$47,CHAR(160)," "),5) &amp; "|" &amp;
      TRIM(SUBSTITUTE($S$2:$S$47,CHAR(160)," ")),
      $T$2:$T$47
    )
  ),
"")</f>
        <v>700</v>
      </c>
      <c r="K213" s="52" cm="1">
        <f t="array" ref="K213">IFERROR(
  VALUE($H213) *
  VALUE(
    _xlfn.XLOOKUP(
      TRIM($F213) &amp; "|" &amp; LEFT(SUBSTITUTE($G213,CHAR(160)," "),5) &amp; "|Ideas Rate",
      TRIM(SUBSTITUTE($Q$2:$Q$47,CHAR(160)," ")) &amp; "|" &amp;
      LEFT(SUBSTITUTE($R$2:$R$47,CHAR(160)," "),5) &amp; "|" &amp;
      TRIM(SUBSTITUTE($S$2:$S$47,CHAR(160)," ")),
      $T$2:$T$47
    )
  ),
"")</f>
        <v>380</v>
      </c>
    </row>
    <row r="214" spans="1:11" x14ac:dyDescent="0.2">
      <c r="A214" s="38">
        <v>46038</v>
      </c>
      <c r="B214" s="5" t="s">
        <v>508</v>
      </c>
      <c r="C214" s="20" t="s">
        <v>151</v>
      </c>
      <c r="D214" t="s">
        <v>187</v>
      </c>
      <c r="E214" t="s">
        <v>499</v>
      </c>
      <c r="F214" s="54" t="s">
        <v>156</v>
      </c>
      <c r="G214" t="s">
        <v>367</v>
      </c>
      <c r="H214" s="22">
        <v>4</v>
      </c>
      <c r="I214" s="32" cm="1">
        <f t="array" ref="I214">IFERROR(
  VALUE($H214) *
  VALUE(
    _xlfn.XLOOKUP(
      TRIM($F214) &amp; "|" &amp; LEFT(SUBSTITUTE($G214,CHAR(160)," "),5) &amp; "|Full Rate",
      TRIM(SUBSTITUTE($Q$2:$Q$38,CHAR(160)," ")) &amp; "|" &amp;
      LEFT(SUBSTITUTE($R$2:$R$38,CHAR(160)," "),5) &amp; "|" &amp;
      TRIM(SUBSTITUTE($S$2:$S$38,CHAR(160)," ")),
      $T$2:$T$38
    )
  ),
"")</f>
        <v>1300</v>
      </c>
      <c r="J214" s="52" cm="1">
        <f t="array" ref="J214">IFERROR(
  VALUE($H214) *
  VALUE(
    _xlfn.XLOOKUP(
      TRIM($F214) &amp; "|" &amp; LEFT(SUBSTITUTE($G214,CHAR(160)," "),5) &amp; "|Reduced Rate",
      TRIM(SUBSTITUTE($Q$2:$Q$47,CHAR(160)," ")) &amp; "|" &amp;
      LEFT(SUBSTITUTE($R$2:$R$47,CHAR(160)," "),5) &amp; "|" &amp;
      TRIM(SUBSTITUTE($S$2:$S$47,CHAR(160)," ")),
      $T$2:$T$47
    )
  ),
"")</f>
        <v>700</v>
      </c>
      <c r="K214" s="52" cm="1">
        <f t="array" ref="K214">IFERROR(
  VALUE($H214) *
  VALUE(
    _xlfn.XLOOKUP(
      TRIM($F214) &amp; "|" &amp; LEFT(SUBSTITUTE($G214,CHAR(160)," "),5) &amp; "|Ideas Rate",
      TRIM(SUBSTITUTE($Q$2:$Q$47,CHAR(160)," ")) &amp; "|" &amp;
      LEFT(SUBSTITUTE($R$2:$R$47,CHAR(160)," "),5) &amp; "|" &amp;
      TRIM(SUBSTITUTE($S$2:$S$47,CHAR(160)," ")),
      $T$2:$T$47
    )
  ),
"")</f>
        <v>380</v>
      </c>
    </row>
    <row r="215" spans="1:11" x14ac:dyDescent="0.2">
      <c r="A215" s="38">
        <v>46041</v>
      </c>
      <c r="B215" s="5" t="s">
        <v>508</v>
      </c>
      <c r="C215" s="20" t="s">
        <v>151</v>
      </c>
      <c r="D215" t="s">
        <v>187</v>
      </c>
      <c r="E215" t="s">
        <v>499</v>
      </c>
      <c r="F215" s="54" t="s">
        <v>156</v>
      </c>
      <c r="G215" t="s">
        <v>367</v>
      </c>
      <c r="H215" s="22">
        <v>3.5</v>
      </c>
      <c r="I215" s="32" cm="1">
        <f t="array" ref="I215">IFERROR(
  VALUE($H215) *
  VALUE(
    _xlfn.XLOOKUP(
      TRIM($F215) &amp; "|" &amp; LEFT(SUBSTITUTE($G215,CHAR(160)," "),5) &amp; "|Full Rate",
      TRIM(SUBSTITUTE($Q$2:$Q$38,CHAR(160)," ")) &amp; "|" &amp;
      LEFT(SUBSTITUTE($R$2:$R$38,CHAR(160)," "),5) &amp; "|" &amp;
      TRIM(SUBSTITUTE($S$2:$S$38,CHAR(160)," ")),
      $T$2:$T$38
    )
  ),
"")</f>
        <v>1137.5</v>
      </c>
      <c r="J215" s="52" cm="1">
        <f t="array" ref="J215">IFERROR(
  VALUE($H215) *
  VALUE(
    _xlfn.XLOOKUP(
      TRIM($F215) &amp; "|" &amp; LEFT(SUBSTITUTE($G215,CHAR(160)," "),5) &amp; "|Reduced Rate",
      TRIM(SUBSTITUTE($Q$2:$Q$47,CHAR(160)," ")) &amp; "|" &amp;
      LEFT(SUBSTITUTE($R$2:$R$47,CHAR(160)," "),5) &amp; "|" &amp;
      TRIM(SUBSTITUTE($S$2:$S$47,CHAR(160)," ")),
      $T$2:$T$47
    )
  ),
"")</f>
        <v>612.5</v>
      </c>
      <c r="K215" s="52" cm="1">
        <f t="array" ref="K215">IFERROR(
  VALUE($H215) *
  VALUE(
    _xlfn.XLOOKUP(
      TRIM($F215) &amp; "|" &amp; LEFT(SUBSTITUTE($G215,CHAR(160)," "),5) &amp; "|Ideas Rate",
      TRIM(SUBSTITUTE($Q$2:$Q$47,CHAR(160)," ")) &amp; "|" &amp;
      LEFT(SUBSTITUTE($R$2:$R$47,CHAR(160)," "),5) &amp; "|" &amp;
      TRIM(SUBSTITUTE($S$2:$S$47,CHAR(160)," ")),
      $T$2:$T$47
    )
  ),
"")</f>
        <v>332.5</v>
      </c>
    </row>
    <row r="216" spans="1:11" x14ac:dyDescent="0.2">
      <c r="A216" s="38">
        <v>46042</v>
      </c>
      <c r="B216" s="5" t="s">
        <v>508</v>
      </c>
      <c r="C216" s="20" t="s">
        <v>151</v>
      </c>
      <c r="D216" t="s">
        <v>187</v>
      </c>
      <c r="E216" t="s">
        <v>499</v>
      </c>
      <c r="F216" s="54" t="s">
        <v>156</v>
      </c>
      <c r="G216" t="s">
        <v>367</v>
      </c>
      <c r="H216" s="22">
        <v>2</v>
      </c>
      <c r="I216" s="32" cm="1">
        <f t="array" ref="I216">IFERROR(
  VALUE($H216) *
  VALUE(
    _xlfn.XLOOKUP(
      TRIM($F216) &amp; "|" &amp; LEFT(SUBSTITUTE($G216,CHAR(160)," "),5) &amp; "|Full Rate",
      TRIM(SUBSTITUTE($Q$2:$Q$38,CHAR(160)," ")) &amp; "|" &amp;
      LEFT(SUBSTITUTE($R$2:$R$38,CHAR(160)," "),5) &amp; "|" &amp;
      TRIM(SUBSTITUTE($S$2:$S$38,CHAR(160)," ")),
      $T$2:$T$38
    )
  ),
"")</f>
        <v>650</v>
      </c>
      <c r="J216" s="52" cm="1">
        <f t="array" ref="J216">IFERROR(
  VALUE($H216) *
  VALUE(
    _xlfn.XLOOKUP(
      TRIM($F216) &amp; "|" &amp; LEFT(SUBSTITUTE($G216,CHAR(160)," "),5) &amp; "|Reduced Rate",
      TRIM(SUBSTITUTE($Q$2:$Q$47,CHAR(160)," ")) &amp; "|" &amp;
      LEFT(SUBSTITUTE($R$2:$R$47,CHAR(160)," "),5) &amp; "|" &amp;
      TRIM(SUBSTITUTE($S$2:$S$47,CHAR(160)," ")),
      $T$2:$T$47
    )
  ),
"")</f>
        <v>350</v>
      </c>
      <c r="K216" s="52" cm="1">
        <f t="array" ref="K216">IFERROR(
  VALUE($H216) *
  VALUE(
    _xlfn.XLOOKUP(
      TRIM($F216) &amp; "|" &amp; LEFT(SUBSTITUTE($G216,CHAR(160)," "),5) &amp; "|Ideas Rate",
      TRIM(SUBSTITUTE($Q$2:$Q$47,CHAR(160)," ")) &amp; "|" &amp;
      LEFT(SUBSTITUTE($R$2:$R$47,CHAR(160)," "),5) &amp; "|" &amp;
      TRIM(SUBSTITUTE($S$2:$S$47,CHAR(160)," ")),
      $T$2:$T$47
    )
  ),
"")</f>
        <v>190</v>
      </c>
    </row>
    <row r="217" spans="1:11" x14ac:dyDescent="0.2">
      <c r="A217" s="38">
        <v>46043</v>
      </c>
      <c r="B217" s="5" t="s">
        <v>508</v>
      </c>
      <c r="C217" s="20" t="s">
        <v>151</v>
      </c>
      <c r="D217" t="s">
        <v>187</v>
      </c>
      <c r="E217" t="s">
        <v>499</v>
      </c>
      <c r="F217" s="54" t="s">
        <v>156</v>
      </c>
      <c r="G217" t="s">
        <v>367</v>
      </c>
      <c r="H217" s="22">
        <v>5</v>
      </c>
      <c r="I217" s="32" cm="1">
        <f t="array" ref="I217">IFERROR(
  VALUE($H217) *
  VALUE(
    _xlfn.XLOOKUP(
      TRIM($F217) &amp; "|" &amp; LEFT(SUBSTITUTE($G217,CHAR(160)," "),5) &amp; "|Full Rate",
      TRIM(SUBSTITUTE($Q$2:$Q$38,CHAR(160)," ")) &amp; "|" &amp;
      LEFT(SUBSTITUTE($R$2:$R$38,CHAR(160)," "),5) &amp; "|" &amp;
      TRIM(SUBSTITUTE($S$2:$S$38,CHAR(160)," ")),
      $T$2:$T$38
    )
  ),
"")</f>
        <v>1625</v>
      </c>
      <c r="J217" s="52" cm="1">
        <f t="array" ref="J217">IFERROR(
  VALUE($H217) *
  VALUE(
    _xlfn.XLOOKUP(
      TRIM($F217) &amp; "|" &amp; LEFT(SUBSTITUTE($G217,CHAR(160)," "),5) &amp; "|Reduced Rate",
      TRIM(SUBSTITUTE($Q$2:$Q$47,CHAR(160)," ")) &amp; "|" &amp;
      LEFT(SUBSTITUTE($R$2:$R$47,CHAR(160)," "),5) &amp; "|" &amp;
      TRIM(SUBSTITUTE($S$2:$S$47,CHAR(160)," ")),
      $T$2:$T$47
    )
  ),
"")</f>
        <v>875</v>
      </c>
      <c r="K217" s="52" cm="1">
        <f t="array" ref="K217">IFERROR(
  VALUE($H217) *
  VALUE(
    _xlfn.XLOOKUP(
      TRIM($F217) &amp; "|" &amp; LEFT(SUBSTITUTE($G217,CHAR(160)," "),5) &amp; "|Ideas Rate",
      TRIM(SUBSTITUTE($Q$2:$Q$47,CHAR(160)," ")) &amp; "|" &amp;
      LEFT(SUBSTITUTE($R$2:$R$47,CHAR(160)," "),5) &amp; "|" &amp;
      TRIM(SUBSTITUTE($S$2:$S$47,CHAR(160)," ")),
      $T$2:$T$47
    )
  ),
"")</f>
        <v>475</v>
      </c>
    </row>
    <row r="218" spans="1:11" x14ac:dyDescent="0.2">
      <c r="A218" s="38">
        <v>46044</v>
      </c>
      <c r="B218" s="5" t="s">
        <v>508</v>
      </c>
      <c r="C218" s="20" t="s">
        <v>151</v>
      </c>
      <c r="D218" t="s">
        <v>187</v>
      </c>
      <c r="E218" t="s">
        <v>499</v>
      </c>
      <c r="F218" s="54" t="s">
        <v>156</v>
      </c>
      <c r="G218" t="s">
        <v>367</v>
      </c>
      <c r="H218" s="22">
        <v>4.5</v>
      </c>
      <c r="I218" s="32" cm="1">
        <f t="array" ref="I218">IFERROR(
  VALUE($H218) *
  VALUE(
    _xlfn.XLOOKUP(
      TRIM($F218) &amp; "|" &amp; LEFT(SUBSTITUTE($G218,CHAR(160)," "),5) &amp; "|Full Rate",
      TRIM(SUBSTITUTE($Q$2:$Q$38,CHAR(160)," ")) &amp; "|" &amp;
      LEFT(SUBSTITUTE($R$2:$R$38,CHAR(160)," "),5) &amp; "|" &amp;
      TRIM(SUBSTITUTE($S$2:$S$38,CHAR(160)," ")),
      $T$2:$T$38
    )
  ),
"")</f>
        <v>1462.5</v>
      </c>
      <c r="J218" s="52" cm="1">
        <f t="array" ref="J218">IFERROR(
  VALUE($H218) *
  VALUE(
    _xlfn.XLOOKUP(
      TRIM($F218) &amp; "|" &amp; LEFT(SUBSTITUTE($G218,CHAR(160)," "),5) &amp; "|Reduced Rate",
      TRIM(SUBSTITUTE($Q$2:$Q$47,CHAR(160)," ")) &amp; "|" &amp;
      LEFT(SUBSTITUTE($R$2:$R$47,CHAR(160)," "),5) &amp; "|" &amp;
      TRIM(SUBSTITUTE($S$2:$S$47,CHAR(160)," ")),
      $T$2:$T$47
    )
  ),
"")</f>
        <v>787.5</v>
      </c>
      <c r="K218" s="52" cm="1">
        <f t="array" ref="K218">IFERROR(
  VALUE($H218) *
  VALUE(
    _xlfn.XLOOKUP(
      TRIM($F218) &amp; "|" &amp; LEFT(SUBSTITUTE($G218,CHAR(160)," "),5) &amp; "|Ideas Rate",
      TRIM(SUBSTITUTE($Q$2:$Q$47,CHAR(160)," ")) &amp; "|" &amp;
      LEFT(SUBSTITUTE($R$2:$R$47,CHAR(160)," "),5) &amp; "|" &amp;
      TRIM(SUBSTITUTE($S$2:$S$47,CHAR(160)," ")),
      $T$2:$T$47
    )
  ),
"")</f>
        <v>427.5</v>
      </c>
    </row>
    <row r="219" spans="1:11" x14ac:dyDescent="0.2">
      <c r="A219" s="38">
        <v>46045</v>
      </c>
      <c r="B219" s="5" t="s">
        <v>508</v>
      </c>
      <c r="C219" s="20" t="s">
        <v>151</v>
      </c>
      <c r="D219" t="s">
        <v>187</v>
      </c>
      <c r="E219" t="s">
        <v>499</v>
      </c>
      <c r="F219" s="54" t="s">
        <v>156</v>
      </c>
      <c r="G219" t="s">
        <v>367</v>
      </c>
      <c r="H219" s="22">
        <v>3.5</v>
      </c>
      <c r="I219" s="32" cm="1">
        <f t="array" ref="I219">IFERROR(
  VALUE($H219) *
  VALUE(
    _xlfn.XLOOKUP(
      TRIM($F219) &amp; "|" &amp; LEFT(SUBSTITUTE($G219,CHAR(160)," "),5) &amp; "|Full Rate",
      TRIM(SUBSTITUTE($Q$2:$Q$38,CHAR(160)," ")) &amp; "|" &amp;
      LEFT(SUBSTITUTE($R$2:$R$38,CHAR(160)," "),5) &amp; "|" &amp;
      TRIM(SUBSTITUTE($S$2:$S$38,CHAR(160)," ")),
      $T$2:$T$38
    )
  ),
"")</f>
        <v>1137.5</v>
      </c>
      <c r="J219" s="52" cm="1">
        <f t="array" ref="J219">IFERROR(
  VALUE($H219) *
  VALUE(
    _xlfn.XLOOKUP(
      TRIM($F219) &amp; "|" &amp; LEFT(SUBSTITUTE($G219,CHAR(160)," "),5) &amp; "|Reduced Rate",
      TRIM(SUBSTITUTE($Q$2:$Q$47,CHAR(160)," ")) &amp; "|" &amp;
      LEFT(SUBSTITUTE($R$2:$R$47,CHAR(160)," "),5) &amp; "|" &amp;
      TRIM(SUBSTITUTE($S$2:$S$47,CHAR(160)," ")),
      $T$2:$T$47
    )
  ),
"")</f>
        <v>612.5</v>
      </c>
      <c r="K219" s="52" cm="1">
        <f t="array" ref="K219">IFERROR(
  VALUE($H219) *
  VALUE(
    _xlfn.XLOOKUP(
      TRIM($F219) &amp; "|" &amp; LEFT(SUBSTITUTE($G219,CHAR(160)," "),5) &amp; "|Ideas Rate",
      TRIM(SUBSTITUTE($Q$2:$Q$47,CHAR(160)," ")) &amp; "|" &amp;
      LEFT(SUBSTITUTE($R$2:$R$47,CHAR(160)," "),5) &amp; "|" &amp;
      TRIM(SUBSTITUTE($S$2:$S$47,CHAR(160)," ")),
      $T$2:$T$47
    )
  ),
"")</f>
        <v>332.5</v>
      </c>
    </row>
    <row r="220" spans="1:11" x14ac:dyDescent="0.2">
      <c r="A220" s="38">
        <v>46048</v>
      </c>
      <c r="B220" s="5" t="s">
        <v>508</v>
      </c>
      <c r="C220" s="20" t="s">
        <v>151</v>
      </c>
      <c r="D220" t="s">
        <v>187</v>
      </c>
      <c r="E220" t="s">
        <v>499</v>
      </c>
      <c r="F220" s="54" t="s">
        <v>156</v>
      </c>
      <c r="G220" t="s">
        <v>367</v>
      </c>
      <c r="H220" s="22">
        <v>5.5</v>
      </c>
      <c r="I220" s="32" cm="1">
        <f t="array" ref="I220">IFERROR(
  VALUE($H220) *
  VALUE(
    _xlfn.XLOOKUP(
      TRIM($F220) &amp; "|" &amp; LEFT(SUBSTITUTE($G220,CHAR(160)," "),5) &amp; "|Full Rate",
      TRIM(SUBSTITUTE($Q$2:$Q$38,CHAR(160)," ")) &amp; "|" &amp;
      LEFT(SUBSTITUTE($R$2:$R$38,CHAR(160)," "),5) &amp; "|" &amp;
      TRIM(SUBSTITUTE($S$2:$S$38,CHAR(160)," ")),
      $T$2:$T$38
    )
  ),
"")</f>
        <v>1787.5</v>
      </c>
      <c r="J220" s="52" cm="1">
        <f t="array" ref="J220">IFERROR(
  VALUE($H220) *
  VALUE(
    _xlfn.XLOOKUP(
      TRIM($F220) &amp; "|" &amp; LEFT(SUBSTITUTE($G220,CHAR(160)," "),5) &amp; "|Reduced Rate",
      TRIM(SUBSTITUTE($Q$2:$Q$47,CHAR(160)," ")) &amp; "|" &amp;
      LEFT(SUBSTITUTE($R$2:$R$47,CHAR(160)," "),5) &amp; "|" &amp;
      TRIM(SUBSTITUTE($S$2:$S$47,CHAR(160)," ")),
      $T$2:$T$47
    )
  ),
"")</f>
        <v>962.5</v>
      </c>
      <c r="K220" s="52" cm="1">
        <f t="array" ref="K220">IFERROR(
  VALUE($H220) *
  VALUE(
    _xlfn.XLOOKUP(
      TRIM($F220) &amp; "|" &amp; LEFT(SUBSTITUTE($G220,CHAR(160)," "),5) &amp; "|Ideas Rate",
      TRIM(SUBSTITUTE($Q$2:$Q$47,CHAR(160)," ")) &amp; "|" &amp;
      LEFT(SUBSTITUTE($R$2:$R$47,CHAR(160)," "),5) &amp; "|" &amp;
      TRIM(SUBSTITUTE($S$2:$S$47,CHAR(160)," ")),
      $T$2:$T$47
    )
  ),
"")</f>
        <v>522.5</v>
      </c>
    </row>
    <row r="221" spans="1:11" x14ac:dyDescent="0.2">
      <c r="A221" s="38">
        <v>46050</v>
      </c>
      <c r="B221" s="5" t="s">
        <v>508</v>
      </c>
      <c r="C221" s="20" t="s">
        <v>151</v>
      </c>
      <c r="D221" t="s">
        <v>182</v>
      </c>
      <c r="E221" t="s">
        <v>562</v>
      </c>
      <c r="F221" s="54" t="s">
        <v>155</v>
      </c>
      <c r="G221" t="s">
        <v>367</v>
      </c>
      <c r="H221" s="22">
        <v>3</v>
      </c>
      <c r="I221" s="32" cm="1">
        <f t="array" ref="I221">IFERROR(
  VALUE($H221) *
  VALUE(
    _xlfn.XLOOKUP(
      TRIM($F221) &amp; "|" &amp; LEFT(SUBSTITUTE($G221,CHAR(160)," "),5) &amp; "|Full Rate",
      TRIM(SUBSTITUTE($Q$2:$Q$38,CHAR(160)," ")) &amp; "|" &amp;
      LEFT(SUBSTITUTE($R$2:$R$38,CHAR(160)," "),5) &amp; "|" &amp;
      TRIM(SUBSTITUTE($S$2:$S$38,CHAR(160)," ")),
      $T$2:$T$38
    )
  ),
"")</f>
        <v>1200</v>
      </c>
      <c r="J221" s="52" cm="1">
        <f t="array" ref="J221">IFERROR(
  VALUE($H221) *
  VALUE(
    _xlfn.XLOOKUP(
      TRIM($F221) &amp; "|" &amp; LEFT(SUBSTITUTE($G221,CHAR(160)," "),5) &amp; "|Reduced Rate",
      TRIM(SUBSTITUTE($Q$2:$Q$47,CHAR(160)," ")) &amp; "|" &amp;
      LEFT(SUBSTITUTE($R$2:$R$47,CHAR(160)," "),5) &amp; "|" &amp;
      TRIM(SUBSTITUTE($S$2:$S$47,CHAR(160)," ")),
      $T$2:$T$47
    )
  ),
"")</f>
        <v>600</v>
      </c>
      <c r="K221" s="52" cm="1">
        <f t="array" ref="K221">IFERROR(
  VALUE($H221) *
  VALUE(
    _xlfn.XLOOKUP(
      TRIM($F221) &amp; "|" &amp; LEFT(SUBSTITUTE($G221,CHAR(160)," "),5) &amp; "|Ideas Rate",
      TRIM(SUBSTITUTE($Q$2:$Q$47,CHAR(160)," ")) &amp; "|" &amp;
      LEFT(SUBSTITUTE($R$2:$R$47,CHAR(160)," "),5) &amp; "|" &amp;
      TRIM(SUBSTITUTE($S$2:$S$47,CHAR(160)," ")),
      $T$2:$T$47
    )
  ),
"")</f>
        <v>360</v>
      </c>
    </row>
    <row r="222" spans="1:11" x14ac:dyDescent="0.2">
      <c r="A222" s="38">
        <v>46049</v>
      </c>
      <c r="B222" s="5" t="s">
        <v>508</v>
      </c>
      <c r="C222" s="20" t="s">
        <v>151</v>
      </c>
      <c r="D222" t="s">
        <v>187</v>
      </c>
      <c r="E222" t="s">
        <v>504</v>
      </c>
      <c r="F222" s="54" t="s">
        <v>156</v>
      </c>
      <c r="G222" t="s">
        <v>367</v>
      </c>
      <c r="H222" s="22">
        <v>7.5</v>
      </c>
      <c r="I222" s="32" cm="1">
        <f t="array" ref="I222">IFERROR(
  VALUE($H222) *
  VALUE(
    _xlfn.XLOOKUP(
      TRIM($F222) &amp; "|" &amp; LEFT(SUBSTITUTE($G222,CHAR(160)," "),5) &amp; "|Full Rate",
      TRIM(SUBSTITUTE($Q$2:$Q$38,CHAR(160)," ")) &amp; "|" &amp;
      LEFT(SUBSTITUTE($R$2:$R$38,CHAR(160)," "),5) &amp; "|" &amp;
      TRIM(SUBSTITUTE($S$2:$S$38,CHAR(160)," ")),
      $T$2:$T$38
    )
  ),
"")</f>
        <v>2437.5</v>
      </c>
      <c r="J222" s="52" cm="1">
        <f t="array" ref="J222">IFERROR(
  VALUE($H222) *
  VALUE(
    _xlfn.XLOOKUP(
      TRIM($F222) &amp; "|" &amp; LEFT(SUBSTITUTE($G222,CHAR(160)," "),5) &amp; "|Reduced Rate",
      TRIM(SUBSTITUTE($Q$2:$Q$47,CHAR(160)," ")) &amp; "|" &amp;
      LEFT(SUBSTITUTE($R$2:$R$47,CHAR(160)," "),5) &amp; "|" &amp;
      TRIM(SUBSTITUTE($S$2:$S$47,CHAR(160)," ")),
      $T$2:$T$47
    )
  ),
"")</f>
        <v>1312.5</v>
      </c>
      <c r="K222" s="52" cm="1">
        <f t="array" ref="K222">IFERROR(
  VALUE($H222) *
  VALUE(
    _xlfn.XLOOKUP(
      TRIM($F222) &amp; "|" &amp; LEFT(SUBSTITUTE($G222,CHAR(160)," "),5) &amp; "|Ideas Rate",
      TRIM(SUBSTITUTE($Q$2:$Q$47,CHAR(160)," ")) &amp; "|" &amp;
      LEFT(SUBSTITUTE($R$2:$R$47,CHAR(160)," "),5) &amp; "|" &amp;
      TRIM(SUBSTITUTE($S$2:$S$47,CHAR(160)," ")),
      $T$2:$T$47
    )
  ),
"")</f>
        <v>712.5</v>
      </c>
    </row>
    <row r="223" spans="1:11" x14ac:dyDescent="0.2">
      <c r="A223" s="38">
        <v>46050</v>
      </c>
      <c r="B223" s="5" t="s">
        <v>508</v>
      </c>
      <c r="C223" s="20" t="s">
        <v>151</v>
      </c>
      <c r="D223" t="s">
        <v>187</v>
      </c>
      <c r="E223" t="s">
        <v>504</v>
      </c>
      <c r="F223" s="54" t="s">
        <v>156</v>
      </c>
      <c r="G223" t="s">
        <v>367</v>
      </c>
      <c r="H223" s="22">
        <v>4</v>
      </c>
      <c r="I223" s="32" cm="1">
        <f t="array" ref="I223">IFERROR(
  VALUE($H223) *
  VALUE(
    _xlfn.XLOOKUP(
      TRIM($F223) &amp; "|" &amp; LEFT(SUBSTITUTE($G223,CHAR(160)," "),5) &amp; "|Full Rate",
      TRIM(SUBSTITUTE($Q$2:$Q$38,CHAR(160)," ")) &amp; "|" &amp;
      LEFT(SUBSTITUTE($R$2:$R$38,CHAR(160)," "),5) &amp; "|" &amp;
      TRIM(SUBSTITUTE($S$2:$S$38,CHAR(160)," ")),
      $T$2:$T$38
    )
  ),
"")</f>
        <v>1300</v>
      </c>
      <c r="J223" s="52" cm="1">
        <f t="array" ref="J223">IFERROR(
  VALUE($H223) *
  VALUE(
    _xlfn.XLOOKUP(
      TRIM($F223) &amp; "|" &amp; LEFT(SUBSTITUTE($G223,CHAR(160)," "),5) &amp; "|Reduced Rate",
      TRIM(SUBSTITUTE($Q$2:$Q$47,CHAR(160)," ")) &amp; "|" &amp;
      LEFT(SUBSTITUTE($R$2:$R$47,CHAR(160)," "),5) &amp; "|" &amp;
      TRIM(SUBSTITUTE($S$2:$S$47,CHAR(160)," ")),
      $T$2:$T$47
    )
  ),
"")</f>
        <v>700</v>
      </c>
      <c r="K223" s="52" cm="1">
        <f t="array" ref="K223">IFERROR(
  VALUE($H223) *
  VALUE(
    _xlfn.XLOOKUP(
      TRIM($F223) &amp; "|" &amp; LEFT(SUBSTITUTE($G223,CHAR(160)," "),5) &amp; "|Ideas Rate",
      TRIM(SUBSTITUTE($Q$2:$Q$47,CHAR(160)," ")) &amp; "|" &amp;
      LEFT(SUBSTITUTE($R$2:$R$47,CHAR(160)," "),5) &amp; "|" &amp;
      TRIM(SUBSTITUTE($S$2:$S$47,CHAR(160)," ")),
      $T$2:$T$47
    )
  ),
"")</f>
        <v>380</v>
      </c>
    </row>
    <row r="224" spans="1:11" x14ac:dyDescent="0.2">
      <c r="A224" s="38">
        <v>46051</v>
      </c>
      <c r="B224" s="5" t="s">
        <v>508</v>
      </c>
      <c r="C224" s="20" t="s">
        <v>151</v>
      </c>
      <c r="D224" t="s">
        <v>182</v>
      </c>
      <c r="E224" s="319" t="s">
        <v>562</v>
      </c>
      <c r="F224" s="54" t="s">
        <v>155</v>
      </c>
      <c r="G224" t="s">
        <v>367</v>
      </c>
      <c r="H224" s="22">
        <v>4</v>
      </c>
      <c r="I224" s="32" cm="1">
        <f t="array" ref="I224">IFERROR(
  VALUE($H224) *
  VALUE(
    _xlfn.XLOOKUP(
      TRIM($F224) &amp; "|" &amp; LEFT(SUBSTITUTE($G224,CHAR(160)," "),5) &amp; "|Full Rate",
      TRIM(SUBSTITUTE($Q$2:$Q$38,CHAR(160)," ")) &amp; "|" &amp;
      LEFT(SUBSTITUTE($R$2:$R$38,CHAR(160)," "),5) &amp; "|" &amp;
      TRIM(SUBSTITUTE($S$2:$S$38,CHAR(160)," ")),
      $T$2:$T$38
    )
  ),
"")</f>
        <v>1600</v>
      </c>
      <c r="J224" s="52" cm="1">
        <f t="array" ref="J224">IFERROR(
  VALUE($H224) *
  VALUE(
    _xlfn.XLOOKUP(
      TRIM($F224) &amp; "|" &amp; LEFT(SUBSTITUTE($G224,CHAR(160)," "),5) &amp; "|Reduced Rate",
      TRIM(SUBSTITUTE($Q$2:$Q$47,CHAR(160)," ")) &amp; "|" &amp;
      LEFT(SUBSTITUTE($R$2:$R$47,CHAR(160)," "),5) &amp; "|" &amp;
      TRIM(SUBSTITUTE($S$2:$S$47,CHAR(160)," ")),
      $T$2:$T$47
    )
  ),
"")</f>
        <v>800</v>
      </c>
      <c r="K224" s="52" cm="1">
        <f t="array" ref="K224">IFERROR(
  VALUE($H224) *
  VALUE(
    _xlfn.XLOOKUP(
      TRIM($F224) &amp; "|" &amp; LEFT(SUBSTITUTE($G224,CHAR(160)," "),5) &amp; "|Ideas Rate",
      TRIM(SUBSTITUTE($Q$2:$Q$47,CHAR(160)," ")) &amp; "|" &amp;
      LEFT(SUBSTITUTE($R$2:$R$47,CHAR(160)," "),5) &amp; "|" &amp;
      TRIM(SUBSTITUTE($S$2:$S$47,CHAR(160)," ")),
      $T$2:$T$47
    )
  ),
"")</f>
        <v>480</v>
      </c>
    </row>
    <row r="225" spans="1:11" x14ac:dyDescent="0.2">
      <c r="A225" s="109">
        <v>46051</v>
      </c>
      <c r="B225" s="5" t="s">
        <v>508</v>
      </c>
      <c r="C225" s="20" t="s">
        <v>151</v>
      </c>
      <c r="D225" t="s">
        <v>187</v>
      </c>
      <c r="E225" s="54" t="s">
        <v>504</v>
      </c>
      <c r="F225" s="54" t="s">
        <v>156</v>
      </c>
      <c r="G225" t="s">
        <v>367</v>
      </c>
      <c r="H225" s="110">
        <v>4.5</v>
      </c>
      <c r="I225" s="32" cm="1">
        <f t="array" ref="I225">IFERROR(
  VALUE($H225) *
  VALUE(
    _xlfn.XLOOKUP(
      TRIM($F225) &amp; "|" &amp; LEFT(SUBSTITUTE($G225,CHAR(160)," "),5) &amp; "|Full Rate",
      TRIM(SUBSTITUTE($Q$2:$Q$38,CHAR(160)," ")) &amp; "|" &amp;
      LEFT(SUBSTITUTE($R$2:$R$38,CHAR(160)," "),5) &amp; "|" &amp;
      TRIM(SUBSTITUTE($S$2:$S$38,CHAR(160)," ")),
      $T$2:$T$38
    )
  ),
"")</f>
        <v>1462.5</v>
      </c>
      <c r="J225" s="52" cm="1">
        <f t="array" ref="J225">IFERROR(
  VALUE($H225) *
  VALUE(
    _xlfn.XLOOKUP(
      TRIM($F225) &amp; "|" &amp; LEFT(SUBSTITUTE($G225,CHAR(160)," "),5) &amp; "|Reduced Rate",
      TRIM(SUBSTITUTE($Q$2:$Q$47,CHAR(160)," ")) &amp; "|" &amp;
      LEFT(SUBSTITUTE($R$2:$R$47,CHAR(160)," "),5) &amp; "|" &amp;
      TRIM(SUBSTITUTE($S$2:$S$47,CHAR(160)," ")),
      $T$2:$T$47
    )
  ),
"")</f>
        <v>787.5</v>
      </c>
      <c r="K225" s="52" cm="1">
        <f t="array" ref="K225">IFERROR(
  VALUE($H225) *
  VALUE(
    _xlfn.XLOOKUP(
      TRIM($F225) &amp; "|" &amp; LEFT(SUBSTITUTE($G225,CHAR(160)," "),5) &amp; "|Ideas Rate",
      TRIM(SUBSTITUTE($Q$2:$Q$47,CHAR(160)," ")) &amp; "|" &amp;
      LEFT(SUBSTITUTE($R$2:$R$47,CHAR(160)," "),5) &amp; "|" &amp;
      TRIM(SUBSTITUTE($S$2:$S$47,CHAR(160)," ")),
      $T$2:$T$47
    )
  ),
"")</f>
        <v>427.5</v>
      </c>
    </row>
    <row r="226" spans="1:11" x14ac:dyDescent="0.2">
      <c r="A226" s="109">
        <v>46052</v>
      </c>
      <c r="B226" s="5" t="s">
        <v>508</v>
      </c>
      <c r="C226" s="20" t="s">
        <v>151</v>
      </c>
      <c r="D226" t="s">
        <v>187</v>
      </c>
      <c r="E226" s="54" t="s">
        <v>504</v>
      </c>
      <c r="F226" s="54" t="s">
        <v>156</v>
      </c>
      <c r="G226" t="s">
        <v>367</v>
      </c>
      <c r="H226" s="110">
        <v>3.5</v>
      </c>
      <c r="I226" s="32" cm="1">
        <f t="array" ref="I226">IFERROR(
  VALUE($H226) *
  VALUE(
    _xlfn.XLOOKUP(
      TRIM($F226) &amp; "|" &amp; LEFT(SUBSTITUTE($G226,CHAR(160)," "),5) &amp; "|Full Rate",
      TRIM(SUBSTITUTE($Q$2:$Q$38,CHAR(160)," ")) &amp; "|" &amp;
      LEFT(SUBSTITUTE($R$2:$R$38,CHAR(160)," "),5) &amp; "|" &amp;
      TRIM(SUBSTITUTE($S$2:$S$38,CHAR(160)," ")),
      $T$2:$T$38
    )
  ),
"")</f>
        <v>1137.5</v>
      </c>
      <c r="J226" s="52" cm="1">
        <f t="array" ref="J226">IFERROR(
  VALUE($H226) *
  VALUE(
    _xlfn.XLOOKUP(
      TRIM($F226) &amp; "|" &amp; LEFT(SUBSTITUTE($G226,CHAR(160)," "),5) &amp; "|Reduced Rate",
      TRIM(SUBSTITUTE($Q$2:$Q$47,CHAR(160)," ")) &amp; "|" &amp;
      LEFT(SUBSTITUTE($R$2:$R$47,CHAR(160)," "),5) &amp; "|" &amp;
      TRIM(SUBSTITUTE($S$2:$S$47,CHAR(160)," ")),
      $T$2:$T$47
    )
  ),
"")</f>
        <v>612.5</v>
      </c>
      <c r="K226" s="52" cm="1">
        <f t="array" ref="K226">IFERROR(
  VALUE($H226) *
  VALUE(
    _xlfn.XLOOKUP(
      TRIM($F226) &amp; "|" &amp; LEFT(SUBSTITUTE($G226,CHAR(160)," "),5) &amp; "|Ideas Rate",
      TRIM(SUBSTITUTE($Q$2:$Q$47,CHAR(160)," ")) &amp; "|" &amp;
      LEFT(SUBSTITUTE($R$2:$R$47,CHAR(160)," "),5) &amp; "|" &amp;
      TRIM(SUBSTITUTE($S$2:$S$47,CHAR(160)," ")),
      $T$2:$T$47
    )
  ),
"")</f>
        <v>332.5</v>
      </c>
    </row>
    <row r="227" spans="1:11" x14ac:dyDescent="0.2">
      <c r="A227" s="109">
        <v>46063</v>
      </c>
      <c r="B227" s="5" t="s">
        <v>651</v>
      </c>
      <c r="C227" s="20" t="s">
        <v>151</v>
      </c>
      <c r="D227" t="s">
        <v>187</v>
      </c>
      <c r="E227" s="54" t="s">
        <v>504</v>
      </c>
      <c r="F227" s="54" t="s">
        <v>156</v>
      </c>
      <c r="G227" t="s">
        <v>367</v>
      </c>
      <c r="H227" s="110">
        <v>4</v>
      </c>
      <c r="I227" s="32" cm="1">
        <f t="array" ref="I227">IFERROR(
  VALUE($H227) *
  VALUE(
    _xlfn.XLOOKUP(
      TRIM($F227) &amp; "|" &amp; LEFT(SUBSTITUTE($G227,CHAR(160)," "),5) &amp; "|Full Rate",
      TRIM(SUBSTITUTE($Q$2:$Q$38,CHAR(160)," ")) &amp; "|" &amp;
      LEFT(SUBSTITUTE($R$2:$R$38,CHAR(160)," "),5) &amp; "|" &amp;
      TRIM(SUBSTITUTE($S$2:$S$38,CHAR(160)," ")),
      $T$2:$T$38
    )
  ),
"")</f>
        <v>1300</v>
      </c>
      <c r="J227" s="52" cm="1">
        <f t="array" ref="J227">IFERROR(
  VALUE($H227) *
  VALUE(
    _xlfn.XLOOKUP(
      TRIM($F227) &amp; "|" &amp; LEFT(SUBSTITUTE($G227,CHAR(160)," "),5) &amp; "|Reduced Rate",
      TRIM(SUBSTITUTE($Q$2:$Q$47,CHAR(160)," ")) &amp; "|" &amp;
      LEFT(SUBSTITUTE($R$2:$R$47,CHAR(160)," "),5) &amp; "|" &amp;
      TRIM(SUBSTITUTE($S$2:$S$47,CHAR(160)," ")),
      $T$2:$T$47
    )
  ),
"")</f>
        <v>700</v>
      </c>
      <c r="K227" s="52" cm="1">
        <f t="array" ref="K227">IFERROR(
  VALUE($H227) *
  VALUE(
    _xlfn.XLOOKUP(
      TRIM($F227) &amp; "|" &amp; LEFT(SUBSTITUTE($G227,CHAR(160)," "),5) &amp; "|Ideas Rate",
      TRIM(SUBSTITUTE($Q$2:$Q$47,CHAR(160)," ")) &amp; "|" &amp;
      LEFT(SUBSTITUTE($R$2:$R$47,CHAR(160)," "),5) &amp; "|" &amp;
      TRIM(SUBSTITUTE($S$2:$S$47,CHAR(160)," ")),
      $T$2:$T$47
    )
  ),
"")</f>
        <v>380</v>
      </c>
    </row>
    <row r="228" spans="1:11" x14ac:dyDescent="0.2">
      <c r="A228" s="109">
        <v>46071</v>
      </c>
      <c r="B228" s="5" t="s">
        <v>651</v>
      </c>
      <c r="C228" s="20" t="s">
        <v>151</v>
      </c>
      <c r="D228" t="s">
        <v>29</v>
      </c>
      <c r="E228" s="54" t="s">
        <v>672</v>
      </c>
      <c r="F228" s="54" t="s">
        <v>10</v>
      </c>
      <c r="G228" t="s">
        <v>380</v>
      </c>
      <c r="H228" s="110">
        <v>0.75</v>
      </c>
      <c r="I228" s="32" cm="1">
        <f t="array" ref="I228">IFERROR(
  VALUE($H228) *
  VALUE(
    _xlfn.XLOOKUP(
      TRIM($F228) &amp; "|" &amp; LEFT(SUBSTITUTE($G228,CHAR(160)," "),5) &amp; "|Full Rate",
      TRIM(SUBSTITUTE($Q$2:$Q$38,CHAR(160)," ")) &amp; "|" &amp;
      LEFT(SUBSTITUTE($R$2:$R$38,CHAR(160)," "),5) &amp; "|" &amp;
      TRIM(SUBSTITUTE($S$2:$S$38,CHAR(160)," ")),
      $T$2:$T$38
    )
  ),
"")</f>
        <v>187.5</v>
      </c>
      <c r="J228" s="52" cm="1">
        <f t="array" ref="J228">IFERROR(
  VALUE($H228) *
  VALUE(
    _xlfn.XLOOKUP(
      TRIM($F228) &amp; "|" &amp; LEFT(SUBSTITUTE($G228,CHAR(160)," "),5) &amp; "|Reduced Rate",
      TRIM(SUBSTITUTE($Q$2:$Q$47,CHAR(160)," ")) &amp; "|" &amp;
      LEFT(SUBSTITUTE($R$2:$R$47,CHAR(160)," "),5) &amp; "|" &amp;
      TRIM(SUBSTITUTE($S$2:$S$47,CHAR(160)," ")),
      $T$2:$T$47
    )
  ),
"")</f>
        <v>112.5</v>
      </c>
      <c r="K228" s="52" cm="1">
        <f t="array" ref="K228">IFERROR(
  VALUE($H228) *
  VALUE(
    _xlfn.XLOOKUP(
      TRIM($F228) &amp; "|" &amp; LEFT(SUBSTITUTE($G228,CHAR(160)," "),5) &amp; "|Ideas Rate",
      TRIM(SUBSTITUTE($Q$2:$Q$47,CHAR(160)," ")) &amp; "|" &amp;
      LEFT(SUBSTITUTE($R$2:$R$47,CHAR(160)," "),5) &amp; "|" &amp;
      TRIM(SUBSTITUTE($S$2:$S$47,CHAR(160)," ")),
      $T$2:$T$47
    )
  ),
"")</f>
        <v>56.25</v>
      </c>
    </row>
    <row r="229" spans="1:11" x14ac:dyDescent="0.2">
      <c r="A229" s="109">
        <v>46086</v>
      </c>
      <c r="B229" s="5" t="s">
        <v>714</v>
      </c>
      <c r="C229" s="20" t="s">
        <v>151</v>
      </c>
      <c r="D229" t="s">
        <v>187</v>
      </c>
      <c r="E229" s="54" t="s">
        <v>788</v>
      </c>
      <c r="F229" s="54" t="s">
        <v>439</v>
      </c>
      <c r="G229" t="s">
        <v>367</v>
      </c>
      <c r="H229" s="110">
        <v>7</v>
      </c>
      <c r="I229" s="32" cm="1">
        <f t="array" ref="I229">IFERROR(
  VALUE($H229) *
  VALUE(
    _xlfn.XLOOKUP(
      TRIM($F229) &amp; "|" &amp; LEFT(SUBSTITUTE($G229,CHAR(160)," "),5) &amp; "|Full Rate",
      TRIM(SUBSTITUTE($Q$2:$Q$48,CHAR(160)," ")) &amp; "|" &amp;
      LEFT(SUBSTITUTE($R$2:$R$48,CHAR(160)," "),5) &amp; "|" &amp;
      TRIM(SUBSTITUTE($S$2:$S$48,CHAR(160)," ")),
      $T$2:$T$48
    )
  ),
"")</f>
        <v>2275</v>
      </c>
      <c r="J229" s="52" cm="1">
        <f t="array" ref="J229">IFERROR(
  VALUE($H229) *
  VALUE(
    _xlfn.XLOOKUP(
      TRIM($F229) &amp; "|" &amp; LEFT(SUBSTITUTE($G229,CHAR(160)," "),5) &amp; "|Reduced Rate",
      TRIM(SUBSTITUTE($Q$2:$Q$47,CHAR(160)," ")) &amp; "|" &amp;
      LEFT(SUBSTITUTE($R$2:$R$47,CHAR(160)," "),5) &amp; "|" &amp;
      TRIM(SUBSTITUTE($S$2:$S$47,CHAR(160)," ")),
      $T$2:$T$47
    )
  ),
"")</f>
        <v>1225</v>
      </c>
      <c r="K229" s="52" cm="1">
        <f t="array" ref="K229">IFERROR(
  VALUE($H229) *
  VALUE(
    _xlfn.XLOOKUP(
      TRIM($F229) &amp; "|" &amp; LEFT(SUBSTITUTE($G229,CHAR(160)," "),5) &amp; "|Ideas Rate",
      TRIM(SUBSTITUTE($Q$2:$Q$47,CHAR(160)," ")) &amp; "|" &amp;
      LEFT(SUBSTITUTE($R$2:$R$47,CHAR(160)," "),5) &amp; "|" &amp;
      TRIM(SUBSTITUTE($S$2:$S$47,CHAR(160)," ")),
      $T$2:$T$47
    )
  ),
"")</f>
        <v>665</v>
      </c>
    </row>
    <row r="230" spans="1:11" x14ac:dyDescent="0.2">
      <c r="A230" s="109">
        <v>46087</v>
      </c>
      <c r="B230" s="5" t="s">
        <v>714</v>
      </c>
      <c r="C230" s="20" t="s">
        <v>151</v>
      </c>
      <c r="D230" t="s">
        <v>187</v>
      </c>
      <c r="E230" s="54" t="s">
        <v>789</v>
      </c>
      <c r="F230" s="54" t="s">
        <v>439</v>
      </c>
      <c r="G230" t="s">
        <v>380</v>
      </c>
      <c r="H230" s="110">
        <v>1.5</v>
      </c>
      <c r="I230" s="32" cm="1">
        <f t="array" ref="I230">IFERROR(
  VALUE($H230) *
  VALUE(
    _xlfn.XLOOKUP(
      TRIM($F230) &amp; "|" &amp; LEFT(SUBSTITUTE($G230,CHAR(160)," "),5) &amp; "|Full Rate",
      TRIM(SUBSTITUTE($Q$2:$Q$48,CHAR(160)," ")) &amp; "|" &amp;
      LEFT(SUBSTITUTE($R$2:$R$48,CHAR(160)," "),5) &amp; "|" &amp;
      TRIM(SUBSTITUTE($S$2:$S$48,CHAR(160)," ")),
      $T$2:$T$48
    )
  ),
"")</f>
        <v>292.5</v>
      </c>
      <c r="J230" s="52" cm="1">
        <f t="array" ref="J230">IFERROR(
  VALUE($H230) *
  VALUE(
    _xlfn.XLOOKUP(
      TRIM($F230) &amp; "|" &amp; LEFT(SUBSTITUTE($G230,CHAR(160)," "),5) &amp; "|Reduced Rate",
      TRIM(SUBSTITUTE($Q$2:$Q$47,CHAR(160)," ")) &amp; "|" &amp;
      LEFT(SUBSTITUTE($R$2:$R$47,CHAR(160)," "),5) &amp; "|" &amp;
      TRIM(SUBSTITUTE($S$2:$S$47,CHAR(160)," ")),
      $T$2:$T$47
    )
  ),
"")</f>
        <v>135</v>
      </c>
      <c r="K230" s="52" cm="1">
        <f t="array" ref="K230">IFERROR(
  VALUE($H230) *
  VALUE(
    _xlfn.XLOOKUP(
      TRIM($F230) &amp; "|" &amp; LEFT(SUBSTITUTE($G230,CHAR(160)," "),5) &amp; "|Ideas Rate",
      TRIM(SUBSTITUTE($Q$2:$Q$47,CHAR(160)," ")) &amp; "|" &amp;
      LEFT(SUBSTITUTE($R$2:$R$47,CHAR(160)," "),5) &amp; "|" &amp;
      TRIM(SUBSTITUTE($S$2:$S$47,CHAR(160)," ")),
      $T$2:$T$47
    )
  ),
"")</f>
        <v>67.5</v>
      </c>
    </row>
    <row r="231" spans="1:11" x14ac:dyDescent="0.2">
      <c r="A231" s="109">
        <v>46089</v>
      </c>
      <c r="B231" s="5" t="s">
        <v>714</v>
      </c>
      <c r="C231" s="20" t="s">
        <v>151</v>
      </c>
      <c r="D231" t="s">
        <v>187</v>
      </c>
      <c r="E231" s="54" t="s">
        <v>790</v>
      </c>
      <c r="F231" s="54" t="s">
        <v>439</v>
      </c>
      <c r="G231" t="s">
        <v>380</v>
      </c>
      <c r="H231" s="110">
        <v>7.5</v>
      </c>
      <c r="I231" s="32" cm="1">
        <f t="array" ref="I231">IFERROR(
  VALUE($H231) *
  VALUE(
    _xlfn.XLOOKUP(
      TRIM($F231) &amp; "|" &amp; LEFT(SUBSTITUTE($G231,CHAR(160)," "),5) &amp; "|Full Rate",
      TRIM(SUBSTITUTE($Q$2:$Q$48,CHAR(160)," ")) &amp; "|" &amp;
      LEFT(SUBSTITUTE($R$2:$R$48,CHAR(160)," "),5) &amp; "|" &amp;
      TRIM(SUBSTITUTE($S$2:$S$48,CHAR(160)," ")),
      $T$2:$T$48
    )
  ),
"")</f>
        <v>1462.5</v>
      </c>
      <c r="J231" s="52" cm="1">
        <f t="array" ref="J231">IFERROR(
  VALUE($H231) *
  VALUE(
    _xlfn.XLOOKUP(
      TRIM($F231) &amp; "|" &amp; LEFT(SUBSTITUTE($G231,CHAR(160)," "),5) &amp; "|Reduced Rate",
      TRIM(SUBSTITUTE($Q$2:$Q$47,CHAR(160)," ")) &amp; "|" &amp;
      LEFT(SUBSTITUTE($R$2:$R$47,CHAR(160)," "),5) &amp; "|" &amp;
      TRIM(SUBSTITUTE($S$2:$S$47,CHAR(160)," ")),
      $T$2:$T$47
    )
  ),
"")</f>
        <v>675</v>
      </c>
      <c r="K231" s="52" cm="1">
        <f t="array" ref="K231">IFERROR(
  VALUE($H231) *
  VALUE(
    _xlfn.XLOOKUP(
      TRIM($F231) &amp; "|" &amp; LEFT(SUBSTITUTE($G231,CHAR(160)," "),5) &amp; "|Ideas Rate",
      TRIM(SUBSTITUTE($Q$2:$Q$47,CHAR(160)," ")) &amp; "|" &amp;
      LEFT(SUBSTITUTE($R$2:$R$47,CHAR(160)," "),5) &amp; "|" &amp;
      TRIM(SUBSTITUTE($S$2:$S$47,CHAR(160)," ")),
      $T$2:$T$47
    )
  ),
"")</f>
        <v>337.5</v>
      </c>
    </row>
    <row r="232" spans="1:11" x14ac:dyDescent="0.2">
      <c r="A232" s="109">
        <v>46092</v>
      </c>
      <c r="B232" s="5" t="s">
        <v>714</v>
      </c>
      <c r="C232" s="20" t="s">
        <v>151</v>
      </c>
      <c r="D232" t="s">
        <v>187</v>
      </c>
      <c r="E232" s="54" t="s">
        <v>791</v>
      </c>
      <c r="F232" s="54" t="s">
        <v>439</v>
      </c>
      <c r="G232" t="s">
        <v>380</v>
      </c>
      <c r="H232" s="110">
        <v>5</v>
      </c>
      <c r="I232" s="32" cm="1">
        <f t="array" ref="I232">IFERROR(
  VALUE($H232) *
  VALUE(
    _xlfn.XLOOKUP(
      TRIM($F232) &amp; "|" &amp; LEFT(SUBSTITUTE($G232,CHAR(160)," "),5) &amp; "|Full Rate",
      TRIM(SUBSTITUTE($Q$2:$Q$48,CHAR(160)," ")) &amp; "|" &amp;
      LEFT(SUBSTITUTE($R$2:$R$48,CHAR(160)," "),5) &amp; "|" &amp;
      TRIM(SUBSTITUTE($S$2:$S$48,CHAR(160)," ")),
      $T$2:$T$48
    )
  ),
"")</f>
        <v>975</v>
      </c>
      <c r="J232" s="52" cm="1">
        <f t="array" ref="J232">IFERROR(
  VALUE($H232) *
  VALUE(
    _xlfn.XLOOKUP(
      TRIM($F232) &amp; "|" &amp; LEFT(SUBSTITUTE($G232,CHAR(160)," "),5) &amp; "|Reduced Rate",
      TRIM(SUBSTITUTE($Q$2:$Q$47,CHAR(160)," ")) &amp; "|" &amp;
      LEFT(SUBSTITUTE($R$2:$R$47,CHAR(160)," "),5) &amp; "|" &amp;
      TRIM(SUBSTITUTE($S$2:$S$47,CHAR(160)," ")),
      $T$2:$T$47
    )
  ),
"")</f>
        <v>450</v>
      </c>
      <c r="K232" s="52" cm="1">
        <f t="array" ref="K232">IFERROR(
  VALUE($H232) *
  VALUE(
    _xlfn.XLOOKUP(
      TRIM($F232) &amp; "|" &amp; LEFT(SUBSTITUTE($G232,CHAR(160)," "),5) &amp; "|Ideas Rate",
      TRIM(SUBSTITUTE($Q$2:$Q$47,CHAR(160)," ")) &amp; "|" &amp;
      LEFT(SUBSTITUTE($R$2:$R$47,CHAR(160)," "),5) &amp; "|" &amp;
      TRIM(SUBSTITUTE($S$2:$S$47,CHAR(160)," ")),
      $T$2:$T$47
    )
  ),
"")</f>
        <v>225</v>
      </c>
    </row>
    <row r="233" spans="1:11" x14ac:dyDescent="0.2">
      <c r="A233" s="109">
        <v>46093</v>
      </c>
      <c r="B233" s="5" t="s">
        <v>714</v>
      </c>
      <c r="C233" s="20" t="s">
        <v>151</v>
      </c>
      <c r="D233" t="s">
        <v>187</v>
      </c>
      <c r="E233" s="54" t="s">
        <v>792</v>
      </c>
      <c r="F233" s="54" t="s">
        <v>439</v>
      </c>
      <c r="G233" t="s">
        <v>380</v>
      </c>
      <c r="H233" s="110">
        <v>7</v>
      </c>
      <c r="I233" s="32" cm="1">
        <f t="array" ref="I233">IFERROR(
  VALUE($H233) *
  VALUE(
    _xlfn.XLOOKUP(
      TRIM($F233) &amp; "|" &amp; LEFT(SUBSTITUTE($G233,CHAR(160)," "),5) &amp; "|Full Rate",
      TRIM(SUBSTITUTE($Q$2:$Q$48,CHAR(160)," ")) &amp; "|" &amp;
      LEFT(SUBSTITUTE($R$2:$R$48,CHAR(160)," "),5) &amp; "|" &amp;
      TRIM(SUBSTITUTE($S$2:$S$48,CHAR(160)," ")),
      $T$2:$T$48
    )
  ),
"")</f>
        <v>1365</v>
      </c>
      <c r="J233" s="52" cm="1">
        <f t="array" ref="J233">IFERROR(
  VALUE($H233) *
  VALUE(
    _xlfn.XLOOKUP(
      TRIM($F233) &amp; "|" &amp; LEFT(SUBSTITUTE($G233,CHAR(160)," "),5) &amp; "|Reduced Rate",
      TRIM(SUBSTITUTE($Q$2:$Q$47,CHAR(160)," ")) &amp; "|" &amp;
      LEFT(SUBSTITUTE($R$2:$R$47,CHAR(160)," "),5) &amp; "|" &amp;
      TRIM(SUBSTITUTE($S$2:$S$47,CHAR(160)," ")),
      $T$2:$T$47
    )
  ),
"")</f>
        <v>630</v>
      </c>
      <c r="K233" s="52" cm="1">
        <f t="array" ref="K233">IFERROR(
  VALUE($H233) *
  VALUE(
    _xlfn.XLOOKUP(
      TRIM($F233) &amp; "|" &amp; LEFT(SUBSTITUTE($G233,CHAR(160)," "),5) &amp; "|Ideas Rate",
      TRIM(SUBSTITUTE($Q$2:$Q$47,CHAR(160)," ")) &amp; "|" &amp;
      LEFT(SUBSTITUTE($R$2:$R$47,CHAR(160)," "),5) &amp; "|" &amp;
      TRIM(SUBSTITUTE($S$2:$S$47,CHAR(160)," ")),
      $T$2:$T$47
    )
  ),
"")</f>
        <v>315</v>
      </c>
    </row>
    <row r="234" spans="1:11" x14ac:dyDescent="0.2">
      <c r="A234" s="109">
        <v>46094</v>
      </c>
      <c r="B234" s="5" t="s">
        <v>714</v>
      </c>
      <c r="C234" s="20" t="s">
        <v>151</v>
      </c>
      <c r="D234" t="s">
        <v>187</v>
      </c>
      <c r="E234" s="54" t="s">
        <v>793</v>
      </c>
      <c r="F234" s="54" t="s">
        <v>439</v>
      </c>
      <c r="G234" t="s">
        <v>380</v>
      </c>
      <c r="H234" s="110">
        <v>8</v>
      </c>
      <c r="I234" s="32" cm="1">
        <f t="array" ref="I234">IFERROR(
  VALUE($H234) *
  VALUE(
    _xlfn.XLOOKUP(
      TRIM($F234) &amp; "|" &amp; LEFT(SUBSTITUTE($G234,CHAR(160)," "),5) &amp; "|Full Rate",
      TRIM(SUBSTITUTE($Q$2:$Q$48,CHAR(160)," ")) &amp; "|" &amp;
      LEFT(SUBSTITUTE($R$2:$R$48,CHAR(160)," "),5) &amp; "|" &amp;
      TRIM(SUBSTITUTE($S$2:$S$48,CHAR(160)," ")),
      $T$2:$T$48
    )
  ),
"")</f>
        <v>1560</v>
      </c>
      <c r="J234" s="52" cm="1">
        <f t="array" ref="J234">IFERROR(
  VALUE($H234) *
  VALUE(
    _xlfn.XLOOKUP(
      TRIM($F234) &amp; "|" &amp; LEFT(SUBSTITUTE($G234,CHAR(160)," "),5) &amp; "|Reduced Rate",
      TRIM(SUBSTITUTE($Q$2:$Q$47,CHAR(160)," ")) &amp; "|" &amp;
      LEFT(SUBSTITUTE($R$2:$R$47,CHAR(160)," "),5) &amp; "|" &amp;
      TRIM(SUBSTITUTE($S$2:$S$47,CHAR(160)," ")),
      $T$2:$T$47
    )
  ),
"")</f>
        <v>720</v>
      </c>
      <c r="K234" s="52" cm="1">
        <f t="array" ref="K234">IFERROR(
  VALUE($H234) *
  VALUE(
    _xlfn.XLOOKUP(
      TRIM($F234) &amp; "|" &amp; LEFT(SUBSTITUTE($G234,CHAR(160)," "),5) &amp; "|Ideas Rate",
      TRIM(SUBSTITUTE($Q$2:$Q$47,CHAR(160)," ")) &amp; "|" &amp;
      LEFT(SUBSTITUTE($R$2:$R$47,CHAR(160)," "),5) &amp; "|" &amp;
      TRIM(SUBSTITUTE($S$2:$S$47,CHAR(160)," ")),
      $T$2:$T$47
    )
  ),
"")</f>
        <v>360</v>
      </c>
    </row>
    <row r="235" spans="1:11" x14ac:dyDescent="0.2">
      <c r="A235" s="109">
        <v>46095</v>
      </c>
      <c r="B235" s="5" t="s">
        <v>714</v>
      </c>
      <c r="C235" s="20" t="s">
        <v>151</v>
      </c>
      <c r="D235" t="s">
        <v>187</v>
      </c>
      <c r="E235" s="54" t="s">
        <v>794</v>
      </c>
      <c r="F235" s="54" t="s">
        <v>439</v>
      </c>
      <c r="G235" t="s">
        <v>380</v>
      </c>
      <c r="H235" s="110">
        <v>8</v>
      </c>
      <c r="I235" s="32" cm="1">
        <f t="array" ref="I235">IFERROR(
  VALUE($H235) *
  VALUE(
    _xlfn.XLOOKUP(
      TRIM($F235) &amp; "|" &amp; LEFT(SUBSTITUTE($G235,CHAR(160)," "),5) &amp; "|Full Rate",
      TRIM(SUBSTITUTE($Q$2:$Q$48,CHAR(160)," ")) &amp; "|" &amp;
      LEFT(SUBSTITUTE($R$2:$R$48,CHAR(160)," "),5) &amp; "|" &amp;
      TRIM(SUBSTITUTE($S$2:$S$48,CHAR(160)," ")),
      $T$2:$T$48
    )
  ),
"")</f>
        <v>1560</v>
      </c>
      <c r="J235" s="52" cm="1">
        <f t="array" ref="J235">IFERROR(
  VALUE($H235) *
  VALUE(
    _xlfn.XLOOKUP(
      TRIM($F235) &amp; "|" &amp; LEFT(SUBSTITUTE($G235,CHAR(160)," "),5) &amp; "|Reduced Rate",
      TRIM(SUBSTITUTE($Q$2:$Q$47,CHAR(160)," ")) &amp; "|" &amp;
      LEFT(SUBSTITUTE($R$2:$R$47,CHAR(160)," "),5) &amp; "|" &amp;
      TRIM(SUBSTITUTE($S$2:$S$47,CHAR(160)," ")),
      $T$2:$T$47
    )
  ),
"")</f>
        <v>720</v>
      </c>
      <c r="K235" s="52" cm="1">
        <f t="array" ref="K235">IFERROR(
  VALUE($H235) *
  VALUE(
    _xlfn.XLOOKUP(
      TRIM($F235) &amp; "|" &amp; LEFT(SUBSTITUTE($G235,CHAR(160)," "),5) &amp; "|Ideas Rate",
      TRIM(SUBSTITUTE($Q$2:$Q$47,CHAR(160)," ")) &amp; "|" &amp;
      LEFT(SUBSTITUTE($R$2:$R$47,CHAR(160)," "),5) &amp; "|" &amp;
      TRIM(SUBSTITUTE($S$2:$S$47,CHAR(160)," ")),
      $T$2:$T$47
    )
  ),
"")</f>
        <v>360</v>
      </c>
    </row>
    <row r="236" spans="1:11" x14ac:dyDescent="0.2">
      <c r="A236" s="109">
        <v>46096</v>
      </c>
      <c r="B236" s="5" t="s">
        <v>714</v>
      </c>
      <c r="C236" s="20" t="s">
        <v>151</v>
      </c>
      <c r="D236" t="s">
        <v>187</v>
      </c>
      <c r="E236" s="54" t="s">
        <v>795</v>
      </c>
      <c r="F236" s="54" t="s">
        <v>439</v>
      </c>
      <c r="G236" t="s">
        <v>380</v>
      </c>
      <c r="H236" s="110">
        <v>8</v>
      </c>
      <c r="I236" s="32" cm="1">
        <f t="array" ref="I236">IFERROR(
  VALUE($H236) *
  VALUE(
    _xlfn.XLOOKUP(
      TRIM($F236) &amp; "|" &amp; LEFT(SUBSTITUTE($G236,CHAR(160)," "),5) &amp; "|Full Rate",
      TRIM(SUBSTITUTE($Q$2:$Q$48,CHAR(160)," ")) &amp; "|" &amp;
      LEFT(SUBSTITUTE($R$2:$R$48,CHAR(160)," "),5) &amp; "|" &amp;
      TRIM(SUBSTITUTE($S$2:$S$48,CHAR(160)," ")),
      $T$2:$T$48
    )
  ),
"")</f>
        <v>1560</v>
      </c>
      <c r="J236" s="52" cm="1">
        <f t="array" ref="J236">IFERROR(
  VALUE($H236) *
  VALUE(
    _xlfn.XLOOKUP(
      TRIM($F236) &amp; "|" &amp; LEFT(SUBSTITUTE($G236,CHAR(160)," "),5) &amp; "|Reduced Rate",
      TRIM(SUBSTITUTE($Q$2:$Q$47,CHAR(160)," ")) &amp; "|" &amp;
      LEFT(SUBSTITUTE($R$2:$R$47,CHAR(160)," "),5) &amp; "|" &amp;
      TRIM(SUBSTITUTE($S$2:$S$47,CHAR(160)," ")),
      $T$2:$T$47
    )
  ),
"")</f>
        <v>720</v>
      </c>
      <c r="K236" s="52" cm="1">
        <f t="array" ref="K236">IFERROR(
  VALUE($H236) *
  VALUE(
    _xlfn.XLOOKUP(
      TRIM($F236) &amp; "|" &amp; LEFT(SUBSTITUTE($G236,CHAR(160)," "),5) &amp; "|Ideas Rate",
      TRIM(SUBSTITUTE($Q$2:$Q$47,CHAR(160)," ")) &amp; "|" &amp;
      LEFT(SUBSTITUTE($R$2:$R$47,CHAR(160)," "),5) &amp; "|" &amp;
      TRIM(SUBSTITUTE($S$2:$S$47,CHAR(160)," ")),
      $T$2:$T$47
    )
  ),
"")</f>
        <v>360</v>
      </c>
    </row>
    <row r="237" spans="1:11" x14ac:dyDescent="0.2">
      <c r="A237" s="109">
        <v>46097</v>
      </c>
      <c r="B237" s="5" t="s">
        <v>714</v>
      </c>
      <c r="C237" s="20" t="s">
        <v>151</v>
      </c>
      <c r="D237" t="s">
        <v>187</v>
      </c>
      <c r="E237" s="54" t="s">
        <v>796</v>
      </c>
      <c r="F237" s="54" t="s">
        <v>439</v>
      </c>
      <c r="G237" t="s">
        <v>380</v>
      </c>
      <c r="H237" s="110">
        <v>6</v>
      </c>
      <c r="I237" s="32" cm="1">
        <f t="array" ref="I237">IFERROR(
  VALUE($H237) *
  VALUE(
    _xlfn.XLOOKUP(
      TRIM($F237) &amp; "|" &amp; LEFT(SUBSTITUTE($G237,CHAR(160)," "),5) &amp; "|Full Rate",
      TRIM(SUBSTITUTE($Q$2:$Q$48,CHAR(160)," ")) &amp; "|" &amp;
      LEFT(SUBSTITUTE($R$2:$R$48,CHAR(160)," "),5) &amp; "|" &amp;
      TRIM(SUBSTITUTE($S$2:$S$48,CHAR(160)," ")),
      $T$2:$T$48
    )
  ),
"")</f>
        <v>1170</v>
      </c>
      <c r="J237" s="52" cm="1">
        <f t="array" ref="J237">IFERROR(
  VALUE($H237) *
  VALUE(
    _xlfn.XLOOKUP(
      TRIM($F237) &amp; "|" &amp; LEFT(SUBSTITUTE($G237,CHAR(160)," "),5) &amp; "|Reduced Rate",
      TRIM(SUBSTITUTE($Q$2:$Q$47,CHAR(160)," ")) &amp; "|" &amp;
      LEFT(SUBSTITUTE($R$2:$R$47,CHAR(160)," "),5) &amp; "|" &amp;
      TRIM(SUBSTITUTE($S$2:$S$47,CHAR(160)," ")),
      $T$2:$T$47
    )
  ),
"")</f>
        <v>540</v>
      </c>
      <c r="K237" s="52" cm="1">
        <f t="array" ref="K237">IFERROR(
  VALUE($H237) *
  VALUE(
    _xlfn.XLOOKUP(
      TRIM($F237) &amp; "|" &amp; LEFT(SUBSTITUTE($G237,CHAR(160)," "),5) &amp; "|Ideas Rate",
      TRIM(SUBSTITUTE($Q$2:$Q$47,CHAR(160)," ")) &amp; "|" &amp;
      LEFT(SUBSTITUTE($R$2:$R$47,CHAR(160)," "),5) &amp; "|" &amp;
      TRIM(SUBSTITUTE($S$2:$S$47,CHAR(160)," ")),
      $T$2:$T$47
    )
  ),
"")</f>
        <v>270</v>
      </c>
    </row>
    <row r="238" spans="1:11" x14ac:dyDescent="0.2">
      <c r="A238" s="109">
        <v>46098</v>
      </c>
      <c r="B238" s="5" t="s">
        <v>772</v>
      </c>
      <c r="C238" s="20" t="s">
        <v>151</v>
      </c>
      <c r="D238" t="s">
        <v>187</v>
      </c>
      <c r="E238" s="54" t="s">
        <v>797</v>
      </c>
      <c r="F238" s="54" t="s">
        <v>439</v>
      </c>
      <c r="G238" t="s">
        <v>380</v>
      </c>
      <c r="H238" s="110">
        <v>8</v>
      </c>
      <c r="I238" s="32" cm="1">
        <f t="array" ref="I238">IFERROR(
  VALUE($H238) *
  VALUE(
    _xlfn.XLOOKUP(
      TRIM($F238) &amp; "|" &amp; LEFT(SUBSTITUTE($G238,CHAR(160)," "),5) &amp; "|Full Rate",
      TRIM(SUBSTITUTE($Q$2:$Q$48,CHAR(160)," ")) &amp; "|" &amp;
      LEFT(SUBSTITUTE($R$2:$R$48,CHAR(160)," "),5) &amp; "|" &amp;
      TRIM(SUBSTITUTE($S$2:$S$48,CHAR(160)," ")),
      $T$2:$T$48
    )
  ),
"")</f>
        <v>1560</v>
      </c>
      <c r="J238" s="52" cm="1">
        <f t="array" ref="J238">IFERROR(
  VALUE($H238) *
  VALUE(
    _xlfn.XLOOKUP(
      TRIM($F238) &amp; "|" &amp; LEFT(SUBSTITUTE($G238,CHAR(160)," "),5) &amp; "|Reduced Rate",
      TRIM(SUBSTITUTE($Q$2:$Q$47,CHAR(160)," ")) &amp; "|" &amp;
      LEFT(SUBSTITUTE($R$2:$R$47,CHAR(160)," "),5) &amp; "|" &amp;
      TRIM(SUBSTITUTE($S$2:$S$47,CHAR(160)," ")),
      $T$2:$T$47
    )
  ),
"")</f>
        <v>720</v>
      </c>
      <c r="K238" s="52" cm="1">
        <f t="array" ref="K238">IFERROR(
  VALUE($H238) *
  VALUE(
    _xlfn.XLOOKUP(
      TRIM($F238) &amp; "|" &amp; LEFT(SUBSTITUTE($G238,CHAR(160)," "),5) &amp; "|Ideas Rate",
      TRIM(SUBSTITUTE($Q$2:$Q$47,CHAR(160)," ")) &amp; "|" &amp;
      LEFT(SUBSTITUTE($R$2:$R$47,CHAR(160)," "),5) &amp; "|" &amp;
      TRIM(SUBSTITUTE($S$2:$S$47,CHAR(160)," ")),
      $T$2:$T$47
    )
  ),
"")</f>
        <v>360</v>
      </c>
    </row>
    <row r="239" spans="1:11" x14ac:dyDescent="0.2">
      <c r="A239" s="109">
        <v>46099</v>
      </c>
      <c r="B239" s="5" t="s">
        <v>714</v>
      </c>
      <c r="C239" s="20" t="s">
        <v>151</v>
      </c>
      <c r="D239" t="s">
        <v>187</v>
      </c>
      <c r="E239" s="54" t="s">
        <v>798</v>
      </c>
      <c r="F239" s="54" t="s">
        <v>439</v>
      </c>
      <c r="G239" t="s">
        <v>380</v>
      </c>
      <c r="H239" s="110">
        <v>7</v>
      </c>
      <c r="I239" s="32" cm="1">
        <f t="array" ref="I239">IFERROR(
  VALUE($H239) *
  VALUE(
    _xlfn.XLOOKUP(
      TRIM($F239) &amp; "|" &amp; LEFT(SUBSTITUTE($G239,CHAR(160)," "),5) &amp; "|Full Rate",
      TRIM(SUBSTITUTE($Q$2:$Q$48,CHAR(160)," ")) &amp; "|" &amp;
      LEFT(SUBSTITUTE($R$2:$R$48,CHAR(160)," "),5) &amp; "|" &amp;
      TRIM(SUBSTITUTE($S$2:$S$48,CHAR(160)," ")),
      $T$2:$T$48
    )
  ),
"")</f>
        <v>1365</v>
      </c>
      <c r="J239" s="52" cm="1">
        <f t="array" ref="J239">IFERROR(
  VALUE($H239) *
  VALUE(
    _xlfn.XLOOKUP(
      TRIM($F239) &amp; "|" &amp; LEFT(SUBSTITUTE($G239,CHAR(160)," "),5) &amp; "|Reduced Rate",
      TRIM(SUBSTITUTE($Q$2:$Q$47,CHAR(160)," ")) &amp; "|" &amp;
      LEFT(SUBSTITUTE($R$2:$R$47,CHAR(160)," "),5) &amp; "|" &amp;
      TRIM(SUBSTITUTE($S$2:$S$47,CHAR(160)," ")),
      $T$2:$T$47
    )
  ),
"")</f>
        <v>630</v>
      </c>
      <c r="K239" s="52" cm="1">
        <f t="array" ref="K239">IFERROR(
  VALUE($H239) *
  VALUE(
    _xlfn.XLOOKUP(
      TRIM($F239) &amp; "|" &amp; LEFT(SUBSTITUTE($G239,CHAR(160)," "),5) &amp; "|Ideas Rate",
      TRIM(SUBSTITUTE($Q$2:$Q$47,CHAR(160)," ")) &amp; "|" &amp;
      LEFT(SUBSTITUTE($R$2:$R$47,CHAR(160)," "),5) &amp; "|" &amp;
      TRIM(SUBSTITUTE($S$2:$S$47,CHAR(160)," ")),
      $T$2:$T$47
    )
  ),
"")</f>
        <v>315</v>
      </c>
    </row>
    <row r="240" spans="1:11" x14ac:dyDescent="0.2">
      <c r="A240" s="109">
        <v>46100</v>
      </c>
      <c r="B240" s="5" t="s">
        <v>714</v>
      </c>
      <c r="C240" s="20" t="s">
        <v>151</v>
      </c>
      <c r="D240" t="s">
        <v>187</v>
      </c>
      <c r="E240" s="54" t="s">
        <v>799</v>
      </c>
      <c r="F240" s="54" t="s">
        <v>439</v>
      </c>
      <c r="G240" t="s">
        <v>380</v>
      </c>
      <c r="H240" s="110">
        <v>7.5</v>
      </c>
      <c r="I240" s="32" cm="1">
        <f t="array" ref="I240">IFERROR(
  VALUE($H240) *
  VALUE(
    _xlfn.XLOOKUP(
      TRIM($F240) &amp; "|" &amp; LEFT(SUBSTITUTE($G240,CHAR(160)," "),5) &amp; "|Full Rate",
      TRIM(SUBSTITUTE($Q$2:$Q$48,CHAR(160)," ")) &amp; "|" &amp;
      LEFT(SUBSTITUTE($R$2:$R$48,CHAR(160)," "),5) &amp; "|" &amp;
      TRIM(SUBSTITUTE($S$2:$S$48,CHAR(160)," ")),
      $T$2:$T$48
    )
  ),
"")</f>
        <v>1462.5</v>
      </c>
      <c r="J240" s="52" cm="1">
        <f t="array" ref="J240">IFERROR(
  VALUE($H240) *
  VALUE(
    _xlfn.XLOOKUP(
      TRIM($F240) &amp; "|" &amp; LEFT(SUBSTITUTE($G240,CHAR(160)," "),5) &amp; "|Reduced Rate",
      TRIM(SUBSTITUTE($Q$2:$Q$47,CHAR(160)," ")) &amp; "|" &amp;
      LEFT(SUBSTITUTE($R$2:$R$47,CHAR(160)," "),5) &amp; "|" &amp;
      TRIM(SUBSTITUTE($S$2:$S$47,CHAR(160)," ")),
      $T$2:$T$47
    )
  ),
"")</f>
        <v>675</v>
      </c>
      <c r="K240" s="52" cm="1">
        <f t="array" ref="K240">IFERROR(
  VALUE($H240) *
  VALUE(
    _xlfn.XLOOKUP(
      TRIM($F240) &amp; "|" &amp; LEFT(SUBSTITUTE($G240,CHAR(160)," "),5) &amp; "|Ideas Rate",
      TRIM(SUBSTITUTE($Q$2:$Q$47,CHAR(160)," ")) &amp; "|" &amp;
      LEFT(SUBSTITUTE($R$2:$R$47,CHAR(160)," "),5) &amp; "|" &amp;
      TRIM(SUBSTITUTE($S$2:$S$47,CHAR(160)," ")),
      $T$2:$T$47
    )
  ),
"")</f>
        <v>337.5</v>
      </c>
    </row>
    <row r="241" spans="1:11" x14ac:dyDescent="0.2">
      <c r="A241" s="109">
        <v>46100</v>
      </c>
      <c r="B241" s="5" t="s">
        <v>772</v>
      </c>
      <c r="C241" s="20" t="s">
        <v>151</v>
      </c>
      <c r="D241" t="s">
        <v>190</v>
      </c>
      <c r="E241" s="54" t="s">
        <v>773</v>
      </c>
      <c r="F241" s="54" t="s">
        <v>10</v>
      </c>
      <c r="G241" t="s">
        <v>380</v>
      </c>
      <c r="H241" s="110">
        <v>6</v>
      </c>
      <c r="I241" s="32" cm="1">
        <f t="array" ref="I241">IFERROR(
  VALUE($H241) *
  VALUE(
    _xlfn.XLOOKUP(
      TRIM($F241) &amp; "|" &amp; LEFT(SUBSTITUTE($G241,CHAR(160)," "),5) &amp; "|Full Rate",
      TRIM(SUBSTITUTE($Q$2:$Q$48,CHAR(160)," ")) &amp; "|" &amp;
      LEFT(SUBSTITUTE($R$2:$R$48,CHAR(160)," "),5) &amp; "|" &amp;
      TRIM(SUBSTITUTE($S$2:$S$48,CHAR(160)," ")),
      $T$2:$T$48
    )
  ),
"")</f>
        <v>1500</v>
      </c>
      <c r="J241" s="52" cm="1">
        <f t="array" ref="J241">IFERROR(
  VALUE($H241) *
  VALUE(
    _xlfn.XLOOKUP(
      TRIM($F241) &amp; "|" &amp; LEFT(SUBSTITUTE($G241,CHAR(160)," "),5) &amp; "|Reduced Rate",
      TRIM(SUBSTITUTE($Q$2:$Q$47,CHAR(160)," ")) &amp; "|" &amp;
      LEFT(SUBSTITUTE($R$2:$R$47,CHAR(160)," "),5) &amp; "|" &amp;
      TRIM(SUBSTITUTE($S$2:$S$47,CHAR(160)," ")),
      $T$2:$T$47
    )
  ),
"")</f>
        <v>900</v>
      </c>
      <c r="K241" s="52" cm="1">
        <f t="array" ref="K241">IFERROR(
  VALUE($H241) *
  VALUE(
    _xlfn.XLOOKUP(
      TRIM($F241) &amp; "|" &amp; LEFT(SUBSTITUTE($G241,CHAR(160)," "),5) &amp; "|Ideas Rate",
      TRIM(SUBSTITUTE($Q$2:$Q$47,CHAR(160)," ")) &amp; "|" &amp;
      LEFT(SUBSTITUTE($R$2:$R$47,CHAR(160)," "),5) &amp; "|" &amp;
      TRIM(SUBSTITUTE($S$2:$S$47,CHAR(160)," ")),
      $T$2:$T$47
    )
  ),
"")</f>
        <v>450</v>
      </c>
    </row>
    <row r="242" spans="1:11" x14ac:dyDescent="0.2">
      <c r="A242" s="109">
        <v>46101</v>
      </c>
      <c r="B242" s="5" t="s">
        <v>714</v>
      </c>
      <c r="C242" s="20" t="s">
        <v>151</v>
      </c>
      <c r="D242" t="s">
        <v>187</v>
      </c>
      <c r="E242" s="54" t="s">
        <v>800</v>
      </c>
      <c r="F242" s="54" t="s">
        <v>439</v>
      </c>
      <c r="G242" t="s">
        <v>380</v>
      </c>
      <c r="H242" s="110">
        <v>8</v>
      </c>
      <c r="I242" s="32" cm="1">
        <f t="array" ref="I242">IFERROR(
  VALUE($H242) *
  VALUE(
    _xlfn.XLOOKUP(
      TRIM($F242) &amp; "|" &amp; LEFT(SUBSTITUTE($G242,CHAR(160)," "),5) &amp; "|Full Rate",
      TRIM(SUBSTITUTE($Q$2:$Q$48,CHAR(160)," ")) &amp; "|" &amp;
      LEFT(SUBSTITUTE($R$2:$R$48,CHAR(160)," "),5) &amp; "|" &amp;
      TRIM(SUBSTITUTE($S$2:$S$48,CHAR(160)," ")),
      $T$2:$T$48
    )
  ),
"")</f>
        <v>1560</v>
      </c>
      <c r="J242" s="52" cm="1">
        <f t="array" ref="J242">IFERROR(
  VALUE($H242) *
  VALUE(
    _xlfn.XLOOKUP(
      TRIM($F242) &amp; "|" &amp; LEFT(SUBSTITUTE($G242,CHAR(160)," "),5) &amp; "|Reduced Rate",
      TRIM(SUBSTITUTE($Q$2:$Q$47,CHAR(160)," ")) &amp; "|" &amp;
      LEFT(SUBSTITUTE($R$2:$R$47,CHAR(160)," "),5) &amp; "|" &amp;
      TRIM(SUBSTITUTE($S$2:$S$47,CHAR(160)," ")),
      $T$2:$T$47
    )
  ),
"")</f>
        <v>720</v>
      </c>
      <c r="K242" s="52" cm="1">
        <f t="array" ref="K242">IFERROR(
  VALUE($H242) *
  VALUE(
    _xlfn.XLOOKUP(
      TRIM($F242) &amp; "|" &amp; LEFT(SUBSTITUTE($G242,CHAR(160)," "),5) &amp; "|Ideas Rate",
      TRIM(SUBSTITUTE($Q$2:$Q$47,CHAR(160)," ")) &amp; "|" &amp;
      LEFT(SUBSTITUTE($R$2:$R$47,CHAR(160)," "),5) &amp; "|" &amp;
      TRIM(SUBSTITUTE($S$2:$S$47,CHAR(160)," ")),
      $T$2:$T$47
    )
  ),
"")</f>
        <v>360</v>
      </c>
    </row>
    <row r="243" spans="1:11" x14ac:dyDescent="0.2">
      <c r="A243" s="109">
        <v>46103</v>
      </c>
      <c r="B243" s="5" t="s">
        <v>714</v>
      </c>
      <c r="C243" s="20" t="s">
        <v>151</v>
      </c>
      <c r="D243" t="s">
        <v>187</v>
      </c>
      <c r="E243" s="54" t="s">
        <v>801</v>
      </c>
      <c r="F243" s="54" t="s">
        <v>439</v>
      </c>
      <c r="G243" t="s">
        <v>380</v>
      </c>
      <c r="H243" s="110">
        <v>3</v>
      </c>
      <c r="I243" s="32" cm="1">
        <f t="array" ref="I243">IFERROR(
  VALUE($H243) *
  VALUE(
    _xlfn.XLOOKUP(
      TRIM($F243) &amp; "|" &amp; LEFT(SUBSTITUTE($G243,CHAR(160)," "),5) &amp; "|Full Rate",
      TRIM(SUBSTITUTE($Q$2:$Q$48,CHAR(160)," ")) &amp; "|" &amp;
      LEFT(SUBSTITUTE($R$2:$R$48,CHAR(160)," "),5) &amp; "|" &amp;
      TRIM(SUBSTITUTE($S$2:$S$48,CHAR(160)," ")),
      $T$2:$T$48
    )
  ),
"")</f>
        <v>585</v>
      </c>
      <c r="J243" s="52" cm="1">
        <f t="array" ref="J243">IFERROR(
  VALUE($H243) *
  VALUE(
    _xlfn.XLOOKUP(
      TRIM($F243) &amp; "|" &amp; LEFT(SUBSTITUTE($G243,CHAR(160)," "),5) &amp; "|Reduced Rate",
      TRIM(SUBSTITUTE($Q$2:$Q$47,CHAR(160)," ")) &amp; "|" &amp;
      LEFT(SUBSTITUTE($R$2:$R$47,CHAR(160)," "),5) &amp; "|" &amp;
      TRIM(SUBSTITUTE($S$2:$S$47,CHAR(160)," ")),
      $T$2:$T$47
    )
  ),
"")</f>
        <v>270</v>
      </c>
      <c r="K243" s="52" cm="1">
        <f t="array" ref="K243">IFERROR(
  VALUE($H243) *
  VALUE(
    _xlfn.XLOOKUP(
      TRIM($F243) &amp; "|" &amp; LEFT(SUBSTITUTE($G243,CHAR(160)," "),5) &amp; "|Ideas Rate",
      TRIM(SUBSTITUTE($Q$2:$Q$47,CHAR(160)," ")) &amp; "|" &amp;
      LEFT(SUBSTITUTE($R$2:$R$47,CHAR(160)," "),5) &amp; "|" &amp;
      TRIM(SUBSTITUTE($S$2:$S$47,CHAR(160)," ")),
      $T$2:$T$47
    )
  ),
"")</f>
        <v>135</v>
      </c>
    </row>
    <row r="244" spans="1:11" x14ac:dyDescent="0.2">
      <c r="A244" s="109">
        <v>46104</v>
      </c>
      <c r="B244" s="5" t="s">
        <v>714</v>
      </c>
      <c r="C244" s="20" t="s">
        <v>151</v>
      </c>
      <c r="D244" t="s">
        <v>187</v>
      </c>
      <c r="E244" s="54" t="s">
        <v>802</v>
      </c>
      <c r="F244" s="54" t="s">
        <v>439</v>
      </c>
      <c r="G244" t="s">
        <v>380</v>
      </c>
      <c r="H244" s="110">
        <v>8</v>
      </c>
      <c r="I244" s="32" cm="1">
        <f t="array" ref="I244">IFERROR(
  VALUE($H244) *
  VALUE(
    _xlfn.XLOOKUP(
      TRIM($F244) &amp; "|" &amp; LEFT(SUBSTITUTE($G244,CHAR(160)," "),5) &amp; "|Full Rate",
      TRIM(SUBSTITUTE($Q$2:$Q$48,CHAR(160)," ")) &amp; "|" &amp;
      LEFT(SUBSTITUTE($R$2:$R$48,CHAR(160)," "),5) &amp; "|" &amp;
      TRIM(SUBSTITUTE($S$2:$S$48,CHAR(160)," ")),
      $T$2:$T$48
    )
  ),
"")</f>
        <v>1560</v>
      </c>
      <c r="J244" s="52" cm="1">
        <f t="array" ref="J244">IFERROR(
  VALUE($H244) *
  VALUE(
    _xlfn.XLOOKUP(
      TRIM($F244) &amp; "|" &amp; LEFT(SUBSTITUTE($G244,CHAR(160)," "),5) &amp; "|Reduced Rate",
      TRIM(SUBSTITUTE($Q$2:$Q$47,CHAR(160)," ")) &amp; "|" &amp;
      LEFT(SUBSTITUTE($R$2:$R$47,CHAR(160)," "),5) &amp; "|" &amp;
      TRIM(SUBSTITUTE($S$2:$S$47,CHAR(160)," ")),
      $T$2:$T$47
    )
  ),
"")</f>
        <v>720</v>
      </c>
      <c r="K244" s="52" cm="1">
        <f t="array" ref="K244">IFERROR(
  VALUE($H244) *
  VALUE(
    _xlfn.XLOOKUP(
      TRIM($F244) &amp; "|" &amp; LEFT(SUBSTITUTE($G244,CHAR(160)," "),5) &amp; "|Ideas Rate",
      TRIM(SUBSTITUTE($Q$2:$Q$47,CHAR(160)," ")) &amp; "|" &amp;
      LEFT(SUBSTITUTE($R$2:$R$47,CHAR(160)," "),5) &amp; "|" &amp;
      TRIM(SUBSTITUTE($S$2:$S$47,CHAR(160)," ")),
      $T$2:$T$47
    )
  ),
"")</f>
        <v>360</v>
      </c>
    </row>
    <row r="245" spans="1:11" x14ac:dyDescent="0.2">
      <c r="A245" s="109">
        <v>46104</v>
      </c>
      <c r="B245" s="5" t="s">
        <v>772</v>
      </c>
      <c r="C245" s="20" t="s">
        <v>151</v>
      </c>
      <c r="D245" t="s">
        <v>187</v>
      </c>
      <c r="E245" s="54" t="s">
        <v>781</v>
      </c>
      <c r="F245" s="54" t="s">
        <v>156</v>
      </c>
      <c r="G245" t="s">
        <v>367</v>
      </c>
      <c r="H245" s="110">
        <v>1.5</v>
      </c>
      <c r="I245" s="32" cm="1">
        <f t="array" ref="I245">IFERROR(
  VALUE($H245) *
  VALUE(
    _xlfn.XLOOKUP(
      TRIM($F245) &amp; "|" &amp; LEFT(SUBSTITUTE($G245,CHAR(160)," "),5) &amp; "|Full Rate",
      TRIM(SUBSTITUTE($Q$2:$Q$48,CHAR(160)," ")) &amp; "|" &amp;
      LEFT(SUBSTITUTE($R$2:$R$48,CHAR(160)," "),5) &amp; "|" &amp;
      TRIM(SUBSTITUTE($S$2:$S$48,CHAR(160)," ")),
      $T$2:$T$48
    )
  ),
"")</f>
        <v>487.5</v>
      </c>
      <c r="J245" s="52" cm="1">
        <f t="array" ref="J245">IFERROR(
  VALUE($H245) *
  VALUE(
    _xlfn.XLOOKUP(
      TRIM($F245) &amp; "|" &amp; LEFT(SUBSTITUTE($G245,CHAR(160)," "),5) &amp; "|Reduced Rate",
      TRIM(SUBSTITUTE($Q$2:$Q$47,CHAR(160)," ")) &amp; "|" &amp;
      LEFT(SUBSTITUTE($R$2:$R$47,CHAR(160)," "),5) &amp; "|" &amp;
      TRIM(SUBSTITUTE($S$2:$S$47,CHAR(160)," ")),
      $T$2:$T$47
    )
  ),
"")</f>
        <v>262.5</v>
      </c>
      <c r="K245" s="52" cm="1">
        <f t="array" ref="K245">IFERROR(
  VALUE($H245) *
  VALUE(
    _xlfn.XLOOKUP(
      TRIM($F245) &amp; "|" &amp; LEFT(SUBSTITUTE($G245,CHAR(160)," "),5) &amp; "|Ideas Rate",
      TRIM(SUBSTITUTE($Q$2:$Q$47,CHAR(160)," ")) &amp; "|" &amp;
      LEFT(SUBSTITUTE($R$2:$R$47,CHAR(160)," "),5) &amp; "|" &amp;
      TRIM(SUBSTITUTE($S$2:$S$47,CHAR(160)," ")),
      $T$2:$T$47
    )
  ),
"")</f>
        <v>142.5</v>
      </c>
    </row>
    <row r="246" spans="1:11" x14ac:dyDescent="0.2">
      <c r="A246" s="109">
        <v>46105</v>
      </c>
      <c r="B246" s="5" t="s">
        <v>772</v>
      </c>
      <c r="C246" s="20" t="s">
        <v>151</v>
      </c>
      <c r="D246" t="s">
        <v>187</v>
      </c>
      <c r="E246" s="54" t="s">
        <v>781</v>
      </c>
      <c r="F246" s="54" t="s">
        <v>156</v>
      </c>
      <c r="G246" t="s">
        <v>367</v>
      </c>
      <c r="H246" s="110">
        <v>2</v>
      </c>
      <c r="I246" s="32" cm="1">
        <f t="array" ref="I246">IFERROR(
  VALUE($H246) *
  VALUE(
    _xlfn.XLOOKUP(
      TRIM($F246) &amp; "|" &amp; LEFT(SUBSTITUTE($G246,CHAR(160)," "),5) &amp; "|Full Rate",
      TRIM(SUBSTITUTE($Q$2:$Q$48,CHAR(160)," ")) &amp; "|" &amp;
      LEFT(SUBSTITUTE($R$2:$R$48,CHAR(160)," "),5) &amp; "|" &amp;
      TRIM(SUBSTITUTE($S$2:$S$48,CHAR(160)," ")),
      $T$2:$T$48
    )
  ),
"")</f>
        <v>650</v>
      </c>
      <c r="J246" s="52" cm="1">
        <f t="array" ref="J246">IFERROR(
  VALUE($H246) *
  VALUE(
    _xlfn.XLOOKUP(
      TRIM($F246) &amp; "|" &amp; LEFT(SUBSTITUTE($G246,CHAR(160)," "),5) &amp; "|Reduced Rate",
      TRIM(SUBSTITUTE($Q$2:$Q$47,CHAR(160)," ")) &amp; "|" &amp;
      LEFT(SUBSTITUTE($R$2:$R$47,CHAR(160)," "),5) &amp; "|" &amp;
      TRIM(SUBSTITUTE($S$2:$S$47,CHAR(160)," ")),
      $T$2:$T$47
    )
  ),
"")</f>
        <v>350</v>
      </c>
      <c r="K246" s="52" cm="1">
        <f t="array" ref="K246">IFERROR(
  VALUE($H246) *
  VALUE(
    _xlfn.XLOOKUP(
      TRIM($F246) &amp; "|" &amp; LEFT(SUBSTITUTE($G246,CHAR(160)," "),5) &amp; "|Ideas Rate",
      TRIM(SUBSTITUTE($Q$2:$Q$47,CHAR(160)," ")) &amp; "|" &amp;
      LEFT(SUBSTITUTE($R$2:$R$47,CHAR(160)," "),5) &amp; "|" &amp;
      TRIM(SUBSTITUTE($S$2:$S$47,CHAR(160)," ")),
      $T$2:$T$47
    )
  ),
"")</f>
        <v>190</v>
      </c>
    </row>
    <row r="247" spans="1:11" x14ac:dyDescent="0.2">
      <c r="A247" s="109">
        <v>46105</v>
      </c>
      <c r="B247" s="5" t="s">
        <v>772</v>
      </c>
      <c r="C247" s="20" t="s">
        <v>151</v>
      </c>
      <c r="D247" t="s">
        <v>187</v>
      </c>
      <c r="E247" s="54" t="s">
        <v>803</v>
      </c>
      <c r="F247" s="54" t="s">
        <v>439</v>
      </c>
      <c r="G247" t="s">
        <v>367</v>
      </c>
      <c r="H247" s="110">
        <v>9</v>
      </c>
      <c r="I247" s="32" cm="1">
        <f t="array" ref="I247">IFERROR(
  VALUE($H247) *
  VALUE(
    _xlfn.XLOOKUP(
      TRIM($F247) &amp; "|" &amp; LEFT(SUBSTITUTE($G247,CHAR(160)," "),5) &amp; "|Full Rate",
      TRIM(SUBSTITUTE($Q$2:$Q$48,CHAR(160)," ")) &amp; "|" &amp;
      LEFT(SUBSTITUTE($R$2:$R$48,CHAR(160)," "),5) &amp; "|" &amp;
      TRIM(SUBSTITUTE($S$2:$S$48,CHAR(160)," ")),
      $T$2:$T$48
    )
  ),
"")</f>
        <v>2925</v>
      </c>
      <c r="J247" s="52" cm="1">
        <f t="array" ref="J247">IFERROR(
  VALUE($H247) *
  VALUE(
    _xlfn.XLOOKUP(
      TRIM($F247) &amp; "|" &amp; LEFT(SUBSTITUTE($G247,CHAR(160)," "),5) &amp; "|Reduced Rate",
      TRIM(SUBSTITUTE($Q$2:$Q$47,CHAR(160)," ")) &amp; "|" &amp;
      LEFT(SUBSTITUTE($R$2:$R$47,CHAR(160)," "),5) &amp; "|" &amp;
      TRIM(SUBSTITUTE($S$2:$S$47,CHAR(160)," ")),
      $T$2:$T$47
    )
  ),
"")</f>
        <v>1575</v>
      </c>
      <c r="K247" s="52" cm="1">
        <f t="array" ref="K247">IFERROR(
  VALUE($H247) *
  VALUE(
    _xlfn.XLOOKUP(
      TRIM($F247) &amp; "|" &amp; LEFT(SUBSTITUTE($G247,CHAR(160)," "),5) &amp; "|Ideas Rate",
      TRIM(SUBSTITUTE($Q$2:$Q$47,CHAR(160)," ")) &amp; "|" &amp;
      LEFT(SUBSTITUTE($R$2:$R$47,CHAR(160)," "),5) &amp; "|" &amp;
      TRIM(SUBSTITUTE($S$2:$S$47,CHAR(160)," ")),
      $T$2:$T$47
    )
  ),
"")</f>
        <v>855</v>
      </c>
    </row>
    <row r="248" spans="1:11" x14ac:dyDescent="0.2">
      <c r="A248" s="109">
        <v>46106</v>
      </c>
      <c r="B248" s="5" t="s">
        <v>772</v>
      </c>
      <c r="C248" s="20" t="s">
        <v>151</v>
      </c>
      <c r="D248" t="s">
        <v>187</v>
      </c>
      <c r="E248" s="54" t="s">
        <v>804</v>
      </c>
      <c r="F248" s="54" t="s">
        <v>439</v>
      </c>
      <c r="G248" t="s">
        <v>367</v>
      </c>
      <c r="H248" s="110">
        <v>8</v>
      </c>
      <c r="I248" s="32" cm="1">
        <f t="array" ref="I248">IFERROR(
  VALUE($H248) *
  VALUE(
    _xlfn.XLOOKUP(
      TRIM($F248) &amp; "|" &amp; LEFT(SUBSTITUTE($G248,CHAR(160)," "),5) &amp; "|Full Rate",
      TRIM(SUBSTITUTE($Q$2:$Q$48,CHAR(160)," ")) &amp; "|" &amp;
      LEFT(SUBSTITUTE($R$2:$R$48,CHAR(160)," "),5) &amp; "|" &amp;
      TRIM(SUBSTITUTE($S$2:$S$48,CHAR(160)," ")),
      $T$2:$T$48
    )
  ),
"")</f>
        <v>2600</v>
      </c>
      <c r="J248" s="52" cm="1">
        <f t="array" ref="J248">IFERROR(
  VALUE($H248) *
  VALUE(
    _xlfn.XLOOKUP(
      TRIM($F248) &amp; "|" &amp; LEFT(SUBSTITUTE($G248,CHAR(160)," "),5) &amp; "|Reduced Rate",
      TRIM(SUBSTITUTE($Q$2:$Q$47,CHAR(160)," ")) &amp; "|" &amp;
      LEFT(SUBSTITUTE($R$2:$R$47,CHAR(160)," "),5) &amp; "|" &amp;
      TRIM(SUBSTITUTE($S$2:$S$47,CHAR(160)," ")),
      $T$2:$T$47
    )
  ),
"")</f>
        <v>1400</v>
      </c>
      <c r="K248" s="52" cm="1">
        <f t="array" ref="K248">IFERROR(
  VALUE($H248) *
  VALUE(
    _xlfn.XLOOKUP(
      TRIM($F248) &amp; "|" &amp; LEFT(SUBSTITUTE($G248,CHAR(160)," "),5) &amp; "|Ideas Rate",
      TRIM(SUBSTITUTE($Q$2:$Q$47,CHAR(160)," ")) &amp; "|" &amp;
      LEFT(SUBSTITUTE($R$2:$R$47,CHAR(160)," "),5) &amp; "|" &amp;
      TRIM(SUBSTITUTE($S$2:$S$47,CHAR(160)," ")),
      $T$2:$T$47
    )
  ),
"")</f>
        <v>760</v>
      </c>
    </row>
    <row r="249" spans="1:11" x14ac:dyDescent="0.2">
      <c r="A249" s="109">
        <v>46107</v>
      </c>
      <c r="B249" s="5" t="s">
        <v>772</v>
      </c>
      <c r="C249" s="20" t="s">
        <v>151</v>
      </c>
      <c r="D249" t="s">
        <v>187</v>
      </c>
      <c r="E249" s="54" t="s">
        <v>781</v>
      </c>
      <c r="F249" s="54" t="s">
        <v>156</v>
      </c>
      <c r="G249" t="s">
        <v>367</v>
      </c>
      <c r="H249" s="110">
        <v>3.5</v>
      </c>
      <c r="I249" s="32" cm="1">
        <f t="array" ref="I249">IFERROR(
  VALUE($H249) *
  VALUE(
    _xlfn.XLOOKUP(
      TRIM($F249) &amp; "|" &amp; LEFT(SUBSTITUTE($G249,CHAR(160)," "),5) &amp; "|Full Rate",
      TRIM(SUBSTITUTE($Q$2:$Q$48,CHAR(160)," ")) &amp; "|" &amp;
      LEFT(SUBSTITUTE($R$2:$R$48,CHAR(160)," "),5) &amp; "|" &amp;
      TRIM(SUBSTITUTE($S$2:$S$48,CHAR(160)," ")),
      $T$2:$T$48
    )
  ),
"")</f>
        <v>1137.5</v>
      </c>
      <c r="J249" s="52" cm="1">
        <f t="array" ref="J249">IFERROR(
  VALUE($H249) *
  VALUE(
    _xlfn.XLOOKUP(
      TRIM($F249) &amp; "|" &amp; LEFT(SUBSTITUTE($G249,CHAR(160)," "),5) &amp; "|Reduced Rate",
      TRIM(SUBSTITUTE($Q$2:$Q$47,CHAR(160)," ")) &amp; "|" &amp;
      LEFT(SUBSTITUTE($R$2:$R$47,CHAR(160)," "),5) &amp; "|" &amp;
      TRIM(SUBSTITUTE($S$2:$S$47,CHAR(160)," ")),
      $T$2:$T$47
    )
  ),
"")</f>
        <v>612.5</v>
      </c>
      <c r="K249" s="52" cm="1">
        <f t="array" ref="K249">IFERROR(
  VALUE($H249) *
  VALUE(
    _xlfn.XLOOKUP(
      TRIM($F249) &amp; "|" &amp; LEFT(SUBSTITUTE($G249,CHAR(160)," "),5) &amp; "|Ideas Rate",
      TRIM(SUBSTITUTE($Q$2:$Q$47,CHAR(160)," ")) &amp; "|" &amp;
      LEFT(SUBSTITUTE($R$2:$R$47,CHAR(160)," "),5) &amp; "|" &amp;
      TRIM(SUBSTITUTE($S$2:$S$47,CHAR(160)," ")),
      $T$2:$T$47
    )
  ),
"")</f>
        <v>332.5</v>
      </c>
    </row>
    <row r="250" spans="1:11" x14ac:dyDescent="0.2">
      <c r="A250" s="109">
        <v>46107</v>
      </c>
      <c r="B250" s="5" t="s">
        <v>772</v>
      </c>
      <c r="C250" s="20" t="s">
        <v>151</v>
      </c>
      <c r="D250" t="s">
        <v>187</v>
      </c>
      <c r="E250" s="54" t="s">
        <v>805</v>
      </c>
      <c r="F250" s="54" t="s">
        <v>439</v>
      </c>
      <c r="G250" t="s">
        <v>367</v>
      </c>
      <c r="H250" s="110">
        <v>8</v>
      </c>
      <c r="I250" s="32" cm="1">
        <f t="array" ref="I250">IFERROR(
  VALUE($H250) *
  VALUE(
    _xlfn.XLOOKUP(
      TRIM($F250) &amp; "|" &amp; LEFT(SUBSTITUTE($G250,CHAR(160)," "),5) &amp; "|Full Rate",
      TRIM(SUBSTITUTE($Q$2:$Q$48,CHAR(160)," ")) &amp; "|" &amp;
      LEFT(SUBSTITUTE($R$2:$R$48,CHAR(160)," "),5) &amp; "|" &amp;
      TRIM(SUBSTITUTE($S$2:$S$48,CHAR(160)," ")),
      $T$2:$T$48
    )
  ),
"")</f>
        <v>2600</v>
      </c>
      <c r="J250" s="52" cm="1">
        <f t="array" ref="J250">IFERROR(
  VALUE($H250) *
  VALUE(
    _xlfn.XLOOKUP(
      TRIM($F250) &amp; "|" &amp; LEFT(SUBSTITUTE($G250,CHAR(160)," "),5) &amp; "|Reduced Rate",
      TRIM(SUBSTITUTE($Q$2:$Q$47,CHAR(160)," ")) &amp; "|" &amp;
      LEFT(SUBSTITUTE($R$2:$R$47,CHAR(160)," "),5) &amp; "|" &amp;
      TRIM(SUBSTITUTE($S$2:$S$47,CHAR(160)," ")),
      $T$2:$T$47
    )
  ),
"")</f>
        <v>1400</v>
      </c>
      <c r="K250" s="52" cm="1">
        <f t="array" ref="K250">IFERROR(
  VALUE($H250) *
  VALUE(
    _xlfn.XLOOKUP(
      TRIM($F250) &amp; "|" &amp; LEFT(SUBSTITUTE($G250,CHAR(160)," "),5) &amp; "|Ideas Rate",
      TRIM(SUBSTITUTE($Q$2:$Q$47,CHAR(160)," ")) &amp; "|" &amp;
      LEFT(SUBSTITUTE($R$2:$R$47,CHAR(160)," "),5) &amp; "|" &amp;
      TRIM(SUBSTITUTE($S$2:$S$47,CHAR(160)," ")),
      $T$2:$T$47
    )
  ),
"")</f>
        <v>760</v>
      </c>
    </row>
    <row r="251" spans="1:11" x14ac:dyDescent="0.2">
      <c r="A251" s="109">
        <v>46108</v>
      </c>
      <c r="B251" s="5" t="s">
        <v>772</v>
      </c>
      <c r="C251" s="20" t="s">
        <v>151</v>
      </c>
      <c r="D251" t="s">
        <v>187</v>
      </c>
      <c r="E251" s="54" t="s">
        <v>806</v>
      </c>
      <c r="F251" s="54" t="s">
        <v>439</v>
      </c>
      <c r="G251" t="s">
        <v>367</v>
      </c>
      <c r="H251" s="110">
        <v>2.5</v>
      </c>
      <c r="I251" s="32" cm="1">
        <f t="array" ref="I251">IFERROR(
  VALUE($H251) *
  VALUE(
    _xlfn.XLOOKUP(
      TRIM($F251) &amp; "|" &amp; LEFT(SUBSTITUTE($G251,CHAR(160)," "),5) &amp; "|Full Rate",
      TRIM(SUBSTITUTE($Q$2:$Q$48,CHAR(160)," ")) &amp; "|" &amp;
      LEFT(SUBSTITUTE($R$2:$R$48,CHAR(160)," "),5) &amp; "|" &amp;
      TRIM(SUBSTITUTE($S$2:$S$48,CHAR(160)," ")),
      $T$2:$T$48
    )
  ),
"")</f>
        <v>812.5</v>
      </c>
      <c r="J251" s="52" cm="1">
        <f t="array" ref="J251">IFERROR(
  VALUE($H251) *
  VALUE(
    _xlfn.XLOOKUP(
      TRIM($F251) &amp; "|" &amp; LEFT(SUBSTITUTE($G251,CHAR(160)," "),5) &amp; "|Reduced Rate",
      TRIM(SUBSTITUTE($Q$2:$Q$47,CHAR(160)," ")) &amp; "|" &amp;
      LEFT(SUBSTITUTE($R$2:$R$47,CHAR(160)," "),5) &amp; "|" &amp;
      TRIM(SUBSTITUTE($S$2:$S$47,CHAR(160)," ")),
      $T$2:$T$47
    )
  ),
"")</f>
        <v>437.5</v>
      </c>
      <c r="K251" s="52" cm="1">
        <f t="array" ref="K251">IFERROR(
  VALUE($H251) *
  VALUE(
    _xlfn.XLOOKUP(
      TRIM($F251) &amp; "|" &amp; LEFT(SUBSTITUTE($G251,CHAR(160)," "),5) &amp; "|Ideas Rate",
      TRIM(SUBSTITUTE($Q$2:$Q$47,CHAR(160)," ")) &amp; "|" &amp;
      LEFT(SUBSTITUTE($R$2:$R$47,CHAR(160)," "),5) &amp; "|" &amp;
      TRIM(SUBSTITUTE($S$2:$S$47,CHAR(160)," ")),
      $T$2:$T$47
    )
  ),
"")</f>
        <v>237.5</v>
      </c>
    </row>
    <row r="252" spans="1:11" x14ac:dyDescent="0.2">
      <c r="A252" s="109">
        <v>46111</v>
      </c>
      <c r="B252" s="5" t="s">
        <v>772</v>
      </c>
      <c r="C252" s="20" t="s">
        <v>151</v>
      </c>
      <c r="D252" t="s">
        <v>187</v>
      </c>
      <c r="E252" s="54" t="s">
        <v>807</v>
      </c>
      <c r="F252" s="54" t="s">
        <v>439</v>
      </c>
      <c r="G252" t="s">
        <v>367</v>
      </c>
      <c r="H252" s="110">
        <v>7.5</v>
      </c>
      <c r="I252" s="32" cm="1">
        <f t="array" ref="I252">IFERROR(
  VALUE($H252) *
  VALUE(
    _xlfn.XLOOKUP(
      TRIM($F252) &amp; "|" &amp; LEFT(SUBSTITUTE($G252,CHAR(160)," "),5) &amp; "|Full Rate",
      TRIM(SUBSTITUTE($Q$2:$Q$48,CHAR(160)," ")) &amp; "|" &amp;
      LEFT(SUBSTITUTE($R$2:$R$48,CHAR(160)," "),5) &amp; "|" &amp;
      TRIM(SUBSTITUTE($S$2:$S$48,CHAR(160)," ")),
      $T$2:$T$48
    )
  ),
"")</f>
        <v>2437.5</v>
      </c>
      <c r="J252" s="52" cm="1">
        <f t="array" ref="J252">IFERROR(
  VALUE($H252) *
  VALUE(
    _xlfn.XLOOKUP(
      TRIM($F252) &amp; "|" &amp; LEFT(SUBSTITUTE($G252,CHAR(160)," "),5) &amp; "|Reduced Rate",
      TRIM(SUBSTITUTE($Q$2:$Q$47,CHAR(160)," ")) &amp; "|" &amp;
      LEFT(SUBSTITUTE($R$2:$R$47,CHAR(160)," "),5) &amp; "|" &amp;
      TRIM(SUBSTITUTE($S$2:$S$47,CHAR(160)," ")),
      $T$2:$T$47
    )
  ),
"")</f>
        <v>1312.5</v>
      </c>
      <c r="K252" s="52" cm="1">
        <f t="array" ref="K252">IFERROR(
  VALUE($H252) *
  VALUE(
    _xlfn.XLOOKUP(
      TRIM($F252) &amp; "|" &amp; LEFT(SUBSTITUTE($G252,CHAR(160)," "),5) &amp; "|Ideas Rate",
      TRIM(SUBSTITUTE($Q$2:$Q$47,CHAR(160)," ")) &amp; "|" &amp;
      LEFT(SUBSTITUTE($R$2:$R$47,CHAR(160)," "),5) &amp; "|" &amp;
      TRIM(SUBSTITUTE($S$2:$S$47,CHAR(160)," ")),
      $T$2:$T$47
    )
  ),
"")</f>
        <v>712.5</v>
      </c>
    </row>
    <row r="253" spans="1:11" x14ac:dyDescent="0.2">
      <c r="A253" s="109">
        <v>46112</v>
      </c>
      <c r="B253" s="5" t="s">
        <v>772</v>
      </c>
      <c r="C253" s="20" t="s">
        <v>151</v>
      </c>
      <c r="D253" t="s">
        <v>187</v>
      </c>
      <c r="E253" s="54" t="s">
        <v>808</v>
      </c>
      <c r="F253" s="54" t="s">
        <v>439</v>
      </c>
      <c r="G253" t="s">
        <v>367</v>
      </c>
      <c r="H253" s="110">
        <v>3</v>
      </c>
      <c r="I253" s="32" cm="1">
        <f t="array" ref="I253">IFERROR(
  VALUE($H253) *
  VALUE(
    _xlfn.XLOOKUP(
      TRIM($F253) &amp; "|" &amp; LEFT(SUBSTITUTE($G253,CHAR(160)," "),5) &amp; "|Full Rate",
      TRIM(SUBSTITUTE($Q$2:$Q$48,CHAR(160)," ")) &amp; "|" &amp;
      LEFT(SUBSTITUTE($R$2:$R$48,CHAR(160)," "),5) &amp; "|" &amp;
      TRIM(SUBSTITUTE($S$2:$S$48,CHAR(160)," ")),
      $T$2:$T$48
    )
  ),
"")</f>
        <v>975</v>
      </c>
      <c r="J253" s="52" cm="1">
        <f t="array" ref="J253">IFERROR(
  VALUE($H252) *
  VALUE(
    _xlfn.XLOOKUP(
      TRIM($F253) &amp; "|" &amp; LEFT(SUBSTITUTE($G253,CHAR(160)," "),5) &amp; "|Reduced Rate",
      TRIM(SUBSTITUTE($Q$2:$Q$47,CHAR(160)," ")) &amp; "|" &amp;
      LEFT(SUBSTITUTE($R$2:$R$47,CHAR(160)," "),5) &amp; "|" &amp;
      TRIM(SUBSTITUTE($S$2:$S$47,CHAR(160)," ")),
      $T$2:$T$47
    )
  ),
"")</f>
        <v>1312.5</v>
      </c>
      <c r="K253" s="52" cm="1">
        <f t="array" ref="K253">IFERROR(
  VALUE($H252) *
  VALUE(
    _xlfn.XLOOKUP(
      TRIM($F253) &amp; "|" &amp; LEFT(SUBSTITUTE($G253,CHAR(160)," "),5) &amp; "|Ideas Rate",
      TRIM(SUBSTITUTE($Q$2:$Q$47,CHAR(160)," ")) &amp; "|" &amp;
      LEFT(SUBSTITUTE($R$2:$R$47,CHAR(160)," "),5) &amp; "|" &amp;
      TRIM(SUBSTITUTE($S$2:$S$47,CHAR(160)," ")),
      $T$2:$T$47
    )
  ),
"")</f>
        <v>712.5</v>
      </c>
    </row>
    <row r="254" spans="1:11" x14ac:dyDescent="0.2">
      <c r="A254" s="109">
        <v>46113</v>
      </c>
      <c r="B254" s="5" t="s">
        <v>787</v>
      </c>
      <c r="C254" s="20" t="s">
        <v>151</v>
      </c>
      <c r="D254" t="s">
        <v>187</v>
      </c>
      <c r="E254" s="54" t="s">
        <v>832</v>
      </c>
      <c r="F254" s="54" t="s">
        <v>156</v>
      </c>
      <c r="G254" t="s">
        <v>367</v>
      </c>
      <c r="H254" s="110">
        <v>1.5</v>
      </c>
      <c r="I254" s="32" cm="1">
        <f t="array" ref="I254">IFERROR(
  VALUE($H254) *
  VALUE(
    _xlfn.XLOOKUP(
      TRIM($F254) &amp; "|" &amp; LEFT(SUBSTITUTE($G254,CHAR(160)," "),5) &amp; "|Full Rate",
      TRIM(SUBSTITUTE($Q$2:$Q$48,CHAR(160)," ")) &amp; "|" &amp;
      LEFT(SUBSTITUTE($R$2:$R$48,CHAR(160)," "),5) &amp; "|" &amp;
      TRIM(SUBSTITUTE($S$2:$S$48,CHAR(160)," ")),
      $T$2:$T$48
    )
  ),
"")</f>
        <v>487.5</v>
      </c>
      <c r="J254" s="52" cm="1">
        <f t="array" ref="J254">IFERROR(
  VALUE($H254) *
  VALUE(
    _xlfn.XLOOKUP(
      TRIM($F254) &amp; "|" &amp; LEFT(SUBSTITUTE($G254,CHAR(160)," "),5) &amp; "|Reduced Rate",
      TRIM(SUBSTITUTE($Q$2:$Q$47,CHAR(160)," ")) &amp; "|" &amp;
      LEFT(SUBSTITUTE($R$2:$R$47,CHAR(160)," "),5) &amp; "|" &amp;
      TRIM(SUBSTITUTE($S$2:$S$47,CHAR(160)," ")),
      $T$2:$T$47
    )
  ),
"")</f>
        <v>262.5</v>
      </c>
      <c r="K254" s="52" cm="1">
        <f t="array" ref="K254">IFERROR(
  VALUE($H254) *
  VALUE(
    _xlfn.XLOOKUP(
      TRIM($F254) &amp; "|" &amp; LEFT(SUBSTITUTE($G254,CHAR(160)," "),5) &amp; "|Ideas Rate",
      TRIM(SUBSTITUTE($Q$2:$Q$47,CHAR(160)," ")) &amp; "|" &amp;
      LEFT(SUBSTITUTE($R$2:$R$47,CHAR(160)," "),5) &amp; "|" &amp;
      TRIM(SUBSTITUTE($S$2:$S$47,CHAR(160)," ")),
      $T$2:$T$47
    )
  ),
"")</f>
        <v>142.5</v>
      </c>
    </row>
    <row r="255" spans="1:11" x14ac:dyDescent="0.2">
      <c r="A255" s="109">
        <v>46120</v>
      </c>
      <c r="B255" s="5" t="s">
        <v>787</v>
      </c>
      <c r="C255" s="20" t="s">
        <v>151</v>
      </c>
      <c r="D255" t="s">
        <v>187</v>
      </c>
      <c r="E255" s="54" t="s">
        <v>499</v>
      </c>
      <c r="F255" s="54" t="s">
        <v>156</v>
      </c>
      <c r="G255" t="s">
        <v>367</v>
      </c>
      <c r="H255" s="110">
        <v>2</v>
      </c>
      <c r="I255" s="32" cm="1">
        <f t="array" ref="I255">IFERROR(
  VALUE($H255) *
  VALUE(
    _xlfn.XLOOKUP(
      TRIM($F255) &amp; "|" &amp; LEFT(SUBSTITUTE($G255,CHAR(160)," "),5) &amp; "|Full Rate",
      TRIM(SUBSTITUTE($Q$2:$Q$48,CHAR(160)," ")) &amp; "|" &amp;
      LEFT(SUBSTITUTE($R$2:$R$48,CHAR(160)," "),5) &amp; "|" &amp;
      TRIM(SUBSTITUTE($S$2:$S$48,CHAR(160)," ")),
      $T$2:$T$48
    )
  ),
"")</f>
        <v>650</v>
      </c>
      <c r="J255" s="52" cm="1">
        <f t="array" ref="J255">IFERROR(
  VALUE($H255) *
  VALUE(
    _xlfn.XLOOKUP(
      TRIM($F255) &amp; "|" &amp; LEFT(SUBSTITUTE($G255,CHAR(160)," "),5) &amp; "|Reduced Rate",
      TRIM(SUBSTITUTE($Q$2:$Q$47,CHAR(160)," ")) &amp; "|" &amp;
      LEFT(SUBSTITUTE($R$2:$R$47,CHAR(160)," "),5) &amp; "|" &amp;
      TRIM(SUBSTITUTE($S$2:$S$47,CHAR(160)," ")),
      $T$2:$T$47
    )
  ),
"")</f>
        <v>350</v>
      </c>
      <c r="K255" s="52" cm="1">
        <f t="array" ref="K255">IFERROR(
  VALUE($H255) *
  VALUE(
    _xlfn.XLOOKUP(
      TRIM($F255) &amp; "|" &amp; LEFT(SUBSTITUTE($G255,CHAR(160)," "),5) &amp; "|Ideas Rate",
      TRIM(SUBSTITUTE($Q$2:$Q$47,CHAR(160)," ")) &amp; "|" &amp;
      LEFT(SUBSTITUTE($R$2:$R$47,CHAR(160)," "),5) &amp; "|" &amp;
      TRIM(SUBSTITUTE($S$2:$S$47,CHAR(160)," ")),
      $T$2:$T$47
    )
  ),
"")</f>
        <v>190</v>
      </c>
    </row>
    <row r="256" spans="1:11" x14ac:dyDescent="0.2">
      <c r="A256" s="109">
        <v>46121</v>
      </c>
      <c r="B256" s="5" t="s">
        <v>787</v>
      </c>
      <c r="C256" s="20" t="s">
        <v>151</v>
      </c>
      <c r="D256" t="s">
        <v>187</v>
      </c>
      <c r="E256" s="54" t="s">
        <v>499</v>
      </c>
      <c r="F256" s="54" t="s">
        <v>156</v>
      </c>
      <c r="G256" t="s">
        <v>367</v>
      </c>
      <c r="H256" s="110">
        <v>3</v>
      </c>
      <c r="I256" s="32" cm="1">
        <f t="array" ref="I256">IFERROR(
  VALUE($H256) *
  VALUE(
    _xlfn.XLOOKUP(
      TRIM($F256) &amp; "|" &amp; LEFT(SUBSTITUTE($G256,CHAR(160)," "),5) &amp; "|Full Rate",
      TRIM(SUBSTITUTE($Q$2:$Q$48,CHAR(160)," ")) &amp; "|" &amp;
      LEFT(SUBSTITUTE($R$2:$R$48,CHAR(160)," "),5) &amp; "|" &amp;
      TRIM(SUBSTITUTE($S$2:$S$48,CHAR(160)," ")),
      $T$2:$T$48
    )
  ),
"")</f>
        <v>975</v>
      </c>
      <c r="J256" s="52" cm="1">
        <f t="array" ref="J256">IFERROR(
  VALUE($H256) *
  VALUE(
    _xlfn.XLOOKUP(
      TRIM($F256) &amp; "|" &amp; LEFT(SUBSTITUTE($G256,CHAR(160)," "),5) &amp; "|Reduced Rate",
      TRIM(SUBSTITUTE($Q$2:$Q$47,CHAR(160)," ")) &amp; "|" &amp;
      LEFT(SUBSTITUTE($R$2:$R$47,CHAR(160)," "),5) &amp; "|" &amp;
      TRIM(SUBSTITUTE($S$2:$S$47,CHAR(160)," ")),
      $T$2:$T$47
    )
  ),
"")</f>
        <v>525</v>
      </c>
      <c r="K256" s="52" cm="1">
        <f t="array" ref="K256">IFERROR(
  VALUE($H256) *
  VALUE(
    _xlfn.XLOOKUP(
      TRIM($F256) &amp; "|" &amp; LEFT(SUBSTITUTE($G256,CHAR(160)," "),5) &amp; "|Ideas Rate",
      TRIM(SUBSTITUTE($Q$2:$Q$47,CHAR(160)," ")) &amp; "|" &amp;
      LEFT(SUBSTITUTE($R$2:$R$47,CHAR(160)," "),5) &amp; "|" &amp;
      TRIM(SUBSTITUTE($S$2:$S$47,CHAR(160)," ")),
      $T$2:$T$47
    )
  ),
"")</f>
        <v>285</v>
      </c>
    </row>
    <row r="257" spans="1:11" x14ac:dyDescent="0.2">
      <c r="A257" s="109">
        <v>46122</v>
      </c>
      <c r="B257" s="5" t="s">
        <v>787</v>
      </c>
      <c r="C257" s="20" t="s">
        <v>151</v>
      </c>
      <c r="D257" t="s">
        <v>187</v>
      </c>
      <c r="E257" s="54" t="s">
        <v>499</v>
      </c>
      <c r="F257" s="54" t="s">
        <v>156</v>
      </c>
      <c r="G257" t="s">
        <v>367</v>
      </c>
      <c r="H257" s="110">
        <v>2</v>
      </c>
      <c r="I257" s="32" cm="1">
        <f t="array" ref="I257">IFERROR(
  VALUE($H257) *
  VALUE(
    _xlfn.XLOOKUP(
      TRIM($F257) &amp; "|" &amp; LEFT(SUBSTITUTE($G257,CHAR(160)," "),5) &amp; "|Full Rate",
      TRIM(SUBSTITUTE($Q$2:$Q$48,CHAR(160)," ")) &amp; "|" &amp;
      LEFT(SUBSTITUTE($R$2:$R$48,CHAR(160)," "),5) &amp; "|" &amp;
      TRIM(SUBSTITUTE($S$2:$S$48,CHAR(160)," ")),
      $T$2:$T$48
    )
  ),
"")</f>
        <v>650</v>
      </c>
      <c r="J257" s="52" cm="1">
        <f t="array" ref="J257">IFERROR(
  VALUE($H257) *
  VALUE(
    _xlfn.XLOOKUP(
      TRIM($F257) &amp; "|" &amp; LEFT(SUBSTITUTE($G257,CHAR(160)," "),5) &amp; "|Reduced Rate",
      TRIM(SUBSTITUTE($Q$2:$Q$47,CHAR(160)," ")) &amp; "|" &amp;
      LEFT(SUBSTITUTE($R$2:$R$47,CHAR(160)," "),5) &amp; "|" &amp;
      TRIM(SUBSTITUTE($S$2:$S$47,CHAR(160)," ")),
      $T$2:$T$47
    )
  ),
"")</f>
        <v>350</v>
      </c>
      <c r="K257" s="52" cm="1">
        <f t="array" ref="K257">IFERROR(
  VALUE($H257) *
  VALUE(
    _xlfn.XLOOKUP(
      TRIM($F257) &amp; "|" &amp; LEFT(SUBSTITUTE($G257,CHAR(160)," "),5) &amp; "|Ideas Rate",
      TRIM(SUBSTITUTE($Q$2:$Q$47,CHAR(160)," ")) &amp; "|" &amp;
      LEFT(SUBSTITUTE($R$2:$R$47,CHAR(160)," "),5) &amp; "|" &amp;
      TRIM(SUBSTITUTE($S$2:$S$47,CHAR(160)," ")),
      $T$2:$T$47
    )
  ),
"")</f>
        <v>190</v>
      </c>
    </row>
    <row r="258" spans="1:11" x14ac:dyDescent="0.2">
      <c r="A258" s="109">
        <v>46134</v>
      </c>
      <c r="B258" s="5" t="s">
        <v>787</v>
      </c>
      <c r="C258" s="20" t="s">
        <v>151</v>
      </c>
      <c r="D258" t="s">
        <v>187</v>
      </c>
      <c r="E258" s="54" t="s">
        <v>504</v>
      </c>
      <c r="F258" s="54" t="s">
        <v>156</v>
      </c>
      <c r="G258" t="s">
        <v>367</v>
      </c>
      <c r="H258" s="110">
        <v>2</v>
      </c>
      <c r="I258" s="32" cm="1">
        <f t="array" ref="I258">IFERROR(
  VALUE($H258) *
  VALUE(
    _xlfn.XLOOKUP(
      TRIM($F258) &amp; "|" &amp; LEFT(SUBSTITUTE($G258,CHAR(160)," "),5) &amp; "|Full Rate",
      TRIM(SUBSTITUTE($Q$2:$Q$48,CHAR(160)," ")) &amp; "|" &amp;
      LEFT(SUBSTITUTE($R$2:$R$48,CHAR(160)," "),5) &amp; "|" &amp;
      TRIM(SUBSTITUTE($S$2:$S$48,CHAR(160)," ")),
      $T$2:$T$48
    )
  ),
"")</f>
        <v>650</v>
      </c>
      <c r="J258" s="52" cm="1">
        <f t="array" ref="J258">IFERROR(
  VALUE($H258) *
  VALUE(
    _xlfn.XLOOKUP(
      TRIM($F258) &amp; "|" &amp; LEFT(SUBSTITUTE($G258,CHAR(160)," "),5) &amp; "|Reduced Rate",
      TRIM(SUBSTITUTE($Q$2:$Q$47,CHAR(160)," ")) &amp; "|" &amp;
      LEFT(SUBSTITUTE($R$2:$R$47,CHAR(160)," "),5) &amp; "|" &amp;
      TRIM(SUBSTITUTE($S$2:$S$47,CHAR(160)," ")),
      $T$2:$T$47
    )
  ),
"")</f>
        <v>350</v>
      </c>
      <c r="K258" s="52" cm="1">
        <f t="array" ref="K258">IFERROR(
  VALUE($H258) *
  VALUE(
    _xlfn.XLOOKUP(
      TRIM($F258) &amp; "|" &amp; LEFT(SUBSTITUTE($G258,CHAR(160)," "),5) &amp; "|Ideas Rate",
      TRIM(SUBSTITUTE($Q$2:$Q$47,CHAR(160)," ")) &amp; "|" &amp;
      LEFT(SUBSTITUTE($R$2:$R$47,CHAR(160)," "),5) &amp; "|" &amp;
      TRIM(SUBSTITUTE($S$2:$S$47,CHAR(160)," ")),
      $T$2:$T$47
    )
  ),
"")</f>
        <v>190</v>
      </c>
    </row>
    <row r="259" spans="1:11" x14ac:dyDescent="0.2">
      <c r="B259" s="5" t="s">
        <v>787</v>
      </c>
      <c r="C259" s="20" t="s">
        <v>151</v>
      </c>
      <c r="F259" s="54" t="s">
        <v>156</v>
      </c>
      <c r="G259" t="s">
        <v>367</v>
      </c>
      <c r="H259" s="22">
        <v>4.5</v>
      </c>
      <c r="I259" s="32" cm="1">
        <f t="array" ref="I259">IFERROR(
  VALUE($H259) *
  VALUE(
    _xlfn.XLOOKUP(
      TRIM($F259) &amp; "|" &amp; LEFT(SUBSTITUTE($G259,CHAR(160)," "),5) &amp; "|Full Rate",
      TRIM(SUBSTITUTE($Q$2:$Q$48,CHAR(160)," ")) &amp; "|" &amp;
      LEFT(SUBSTITUTE($R$2:$R$48,CHAR(160)," "),5) &amp; "|" &amp;
      TRIM(SUBSTITUTE($S$2:$S$48,CHAR(160)," ")),
      $T$2:$T$48
    )
  ),
"")</f>
        <v>1462.5</v>
      </c>
      <c r="J259" s="52" cm="1">
        <f t="array" ref="J259">IFERROR(
  VALUE($H259) *
  VALUE(
    _xlfn.XLOOKUP(
      TRIM($F259) &amp; "|" &amp; LEFT(SUBSTITUTE($G259,CHAR(160)," "),5) &amp; "|Reduced Rate",
      TRIM(SUBSTITUTE($Q$2:$Q$47,CHAR(160)," ")) &amp; "|" &amp;
      LEFT(SUBSTITUTE($R$2:$R$47,CHAR(160)," "),5) &amp; "|" &amp;
      TRIM(SUBSTITUTE($S$2:$S$47,CHAR(160)," ")),
      $T$2:$T$47
    )
  ),
"")</f>
        <v>787.5</v>
      </c>
      <c r="K259" s="52" cm="1">
        <f t="array" ref="K259">IFERROR(
  VALUE($H259) *
  VALUE(
    _xlfn.XLOOKUP(
      TRIM($F259) &amp; "|" &amp; LEFT(SUBSTITUTE($G259,CHAR(160)," "),5) &amp; "|Ideas Rate",
      TRIM(SUBSTITUTE($Q$2:$Q$47,CHAR(160)," ")) &amp; "|" &amp;
      LEFT(SUBSTITUTE($R$2:$R$47,CHAR(160)," "),5) &amp; "|" &amp;
      TRIM(SUBSTITUTE($S$2:$S$47,CHAR(160)," ")),
      $T$2:$T$47
    )
  ),
"")</f>
        <v>427.5</v>
      </c>
    </row>
    <row r="260" spans="1:11" x14ac:dyDescent="0.2">
      <c r="B260" s="5" t="s">
        <v>787</v>
      </c>
      <c r="C260" s="20" t="s">
        <v>151</v>
      </c>
      <c r="I260" s="32" t="str" cm="1">
        <f t="array" ref="I260">IFERROR(
  VALUE($H260) *
  VALUE(
    _xlfn.XLOOKUP(
      TRIM($F260) &amp; "|" &amp; LEFT(SUBSTITUTE($G260,CHAR(160)," "),5) &amp; "|Full Rate",
      TRIM(SUBSTITUTE($Q$2:$Q$48,CHAR(160)," ")) &amp; "|" &amp;
      LEFT(SUBSTITUTE($R$2:$R$48,CHAR(160)," "),5) &amp; "|" &amp;
      TRIM(SUBSTITUTE($S$2:$S$48,CHAR(160)," ")),
      $T$2:$T$48
    )
  ),
"")</f>
        <v/>
      </c>
      <c r="J260" s="52" t="str" cm="1">
        <f t="array" ref="J260">IFERROR(
  VALUE($H260) *
  VALUE(
    _xlfn.XLOOKUP(
      TRIM($F260) &amp; "|" &amp; LEFT(SUBSTITUTE($G260,CHAR(160)," "),5) &amp; "|Reduced Rate",
      TRIM(SUBSTITUTE($Q$2:$Q$47,CHAR(160)," ")) &amp; "|" &amp;
      LEFT(SUBSTITUTE($R$2:$R$47,CHAR(160)," "),5) &amp; "|" &amp;
      TRIM(SUBSTITUTE($S$2:$S$47,CHAR(160)," ")),
      $T$2:$T$47
    )
  ),
"")</f>
        <v/>
      </c>
      <c r="K260" s="52" t="str" cm="1">
        <f t="array" ref="K260">IFERROR(
  VALUE($H260) *
  VALUE(
    _xlfn.XLOOKUP(
      TRIM($F260) &amp; "|" &amp; LEFT(SUBSTITUTE($G260,CHAR(160)," "),5) &amp; "|Ideas Rate",
      TRIM(SUBSTITUTE($Q$2:$Q$47,CHAR(160)," ")) &amp; "|" &amp;
      LEFT(SUBSTITUTE($R$2:$R$47,CHAR(160)," "),5) &amp; "|" &amp;
      TRIM(SUBSTITUTE($S$2:$S$47,CHAR(160)," ")),
      $T$2:$T$47
    )
  ),
"")</f>
        <v/>
      </c>
    </row>
    <row r="261" spans="1:11" x14ac:dyDescent="0.2">
      <c r="B261" s="5" t="s">
        <v>787</v>
      </c>
      <c r="C261" s="20" t="s">
        <v>151</v>
      </c>
      <c r="I261" s="32" t="str" cm="1">
        <f t="array" ref="I261">IFERROR(
  VALUE($H261) *
  VALUE(
    _xlfn.XLOOKUP(
      TRIM($F261) &amp; "|" &amp; LEFT(SUBSTITUTE($G261,CHAR(160)," "),5) &amp; "|Full Rate",
      TRIM(SUBSTITUTE($Q$2:$Q$48,CHAR(160)," ")) &amp; "|" &amp;
      LEFT(SUBSTITUTE($R$2:$R$48,CHAR(160)," "),5) &amp; "|" &amp;
      TRIM(SUBSTITUTE($S$2:$S$48,CHAR(160)," ")),
      $T$2:$T$48
    )
  ),
"")</f>
        <v/>
      </c>
      <c r="J261" s="52" t="str" cm="1">
        <f t="array" ref="J261">IFERROR(
  VALUE($H261) *
  VALUE(
    _xlfn.XLOOKUP(
      TRIM($F261) &amp; "|" &amp; LEFT(SUBSTITUTE($G261,CHAR(160)," "),5) &amp; "|Reduced Rate",
      TRIM(SUBSTITUTE($Q$2:$Q$47,CHAR(160)," ")) &amp; "|" &amp;
      LEFT(SUBSTITUTE($R$2:$R$47,CHAR(160)," "),5) &amp; "|" &amp;
      TRIM(SUBSTITUTE($S$2:$S$47,CHAR(160)," ")),
      $T$2:$T$47
    )
  ),
"")</f>
        <v/>
      </c>
      <c r="K261" s="52" t="str" cm="1">
        <f t="array" ref="K261">IFERROR(
  VALUE($H261) *
  VALUE(
    _xlfn.XLOOKUP(
      TRIM($F261) &amp; "|" &amp; LEFT(SUBSTITUTE($G261,CHAR(160)," "),5) &amp; "|Ideas Rate",
      TRIM(SUBSTITUTE($Q$2:$Q$47,CHAR(160)," ")) &amp; "|" &amp;
      LEFT(SUBSTITUTE($R$2:$R$47,CHAR(160)," "),5) &amp; "|" &amp;
      TRIM(SUBSTITUTE($S$2:$S$47,CHAR(160)," ")),
      $T$2:$T$47
    )
  ),
"")</f>
        <v/>
      </c>
    </row>
    <row r="262" spans="1:11" x14ac:dyDescent="0.2">
      <c r="B262" s="5" t="s">
        <v>787</v>
      </c>
      <c r="C262" s="20" t="s">
        <v>151</v>
      </c>
      <c r="I262" s="32" t="str" cm="1">
        <f t="array" ref="I262">IFERROR(
  VALUE($H262) *
  VALUE(
    _xlfn.XLOOKUP(
      TRIM($F262) &amp; "|" &amp; LEFT(SUBSTITUTE($G262,CHAR(160)," "),5) &amp; "|Full Rate",
      TRIM(SUBSTITUTE($Q$2:$Q$48,CHAR(160)," ")) &amp; "|" &amp;
      LEFT(SUBSTITUTE($R$2:$R$48,CHAR(160)," "),5) &amp; "|" &amp;
      TRIM(SUBSTITUTE($S$2:$S$48,CHAR(160)," ")),
      $T$2:$T$48
    )
  ),
"")</f>
        <v/>
      </c>
      <c r="J262" s="52" t="str" cm="1">
        <f t="array" ref="J262">IFERROR(
  VALUE($H262) *
  VALUE(
    _xlfn.XLOOKUP(
      TRIM($F262) &amp; "|" &amp; LEFT(SUBSTITUTE($G262,CHAR(160)," "),5) &amp; "|Reduced Rate",
      TRIM(SUBSTITUTE($Q$2:$Q$47,CHAR(160)," ")) &amp; "|" &amp;
      LEFT(SUBSTITUTE($R$2:$R$47,CHAR(160)," "),5) &amp; "|" &amp;
      TRIM(SUBSTITUTE($S$2:$S$47,CHAR(160)," ")),
      $T$2:$T$47
    )
  ),
"")</f>
        <v/>
      </c>
      <c r="K262" s="52" t="str" cm="1">
        <f t="array" ref="K262">IFERROR(
  VALUE($H262) *
  VALUE(
    _xlfn.XLOOKUP(
      TRIM($F262) &amp; "|" &amp; LEFT(SUBSTITUTE($G262,CHAR(160)," "),5) &amp; "|Ideas Rate",
      TRIM(SUBSTITUTE($Q$2:$Q$47,CHAR(160)," ")) &amp; "|" &amp;
      LEFT(SUBSTITUTE($R$2:$R$47,CHAR(160)," "),5) &amp; "|" &amp;
      TRIM(SUBSTITUTE($S$2:$S$47,CHAR(160)," ")),
      $T$2:$T$47
    )
  ),
"")</f>
        <v/>
      </c>
    </row>
    <row r="263" spans="1:11" x14ac:dyDescent="0.2">
      <c r="B263" s="5" t="s">
        <v>787</v>
      </c>
      <c r="C263" s="20" t="s">
        <v>151</v>
      </c>
      <c r="J263" s="52" t="str" cm="1">
        <f t="array" ref="J263">IFERROR(
  VALUE($H263) *
  VALUE(
    _xlfn.XLOOKUP(
      TRIM($F263) &amp; "|" &amp; LEFT(SUBSTITUTE($G263,CHAR(160)," "),5) &amp; "|Reduced Rate",
      TRIM(SUBSTITUTE($Q$2:$Q$47,CHAR(160)," ")) &amp; "|" &amp;
      LEFT(SUBSTITUTE($R$2:$R$47,CHAR(160)," "),5) &amp; "|" &amp;
      TRIM(SUBSTITUTE($S$2:$S$47,CHAR(160)," ")),
      $T$2:$T$47
    )
  ),
"")</f>
        <v/>
      </c>
      <c r="K263" s="52" t="str" cm="1">
        <f t="array" ref="K263">IFERROR(
  VALUE($H263) *
  VALUE(
    _xlfn.XLOOKUP(
      TRIM($F263) &amp; "|" &amp; LEFT(SUBSTITUTE($G263,CHAR(160)," "),5) &amp; "|Ideas Rate",
      TRIM(SUBSTITUTE($Q$2:$Q$47,CHAR(160)," ")) &amp; "|" &amp;
      LEFT(SUBSTITUTE($R$2:$R$47,CHAR(160)," "),5) &amp; "|" &amp;
      TRIM(SUBSTITUTE($S$2:$S$47,CHAR(160)," ")),
      $T$2:$T$47
    )
  ),
"")</f>
        <v/>
      </c>
    </row>
    <row r="264" spans="1:11" x14ac:dyDescent="0.2">
      <c r="B264" s="5" t="s">
        <v>787</v>
      </c>
      <c r="C264" s="20" t="s">
        <v>151</v>
      </c>
      <c r="J264" s="52" t="str" cm="1">
        <f t="array" ref="J264">IFERROR(
  VALUE($H264) *
  VALUE(
    _xlfn.XLOOKUP(
      TRIM($F264) &amp; "|" &amp; LEFT(SUBSTITUTE($G264,CHAR(160)," "),5) &amp; "|Reduced Rate",
      TRIM(SUBSTITUTE($Q$2:$Q$47,CHAR(160)," ")) &amp; "|" &amp;
      LEFT(SUBSTITUTE($R$2:$R$47,CHAR(160)," "),5) &amp; "|" &amp;
      TRIM(SUBSTITUTE($S$2:$S$47,CHAR(160)," ")),
      $T$2:$T$47
    )
  ),
"")</f>
        <v/>
      </c>
      <c r="K264" s="52" t="str" cm="1">
        <f t="array" ref="K264">IFERROR(
  VALUE($H264) *
  VALUE(
    _xlfn.XLOOKUP(
      TRIM($F264) &amp; "|" &amp; LEFT(SUBSTITUTE($G264,CHAR(160)," "),5) &amp; "|Ideas Rate",
      TRIM(SUBSTITUTE($Q$2:$Q$47,CHAR(160)," ")) &amp; "|" &amp;
      LEFT(SUBSTITUTE($R$2:$R$47,CHAR(160)," "),5) &amp; "|" &amp;
      TRIM(SUBSTITUTE($S$2:$S$47,CHAR(160)," ")),
      $T$2:$T$47
    )
  ),
"")</f>
        <v/>
      </c>
    </row>
    <row r="265" spans="1:11" x14ac:dyDescent="0.2">
      <c r="B265" s="5" t="s">
        <v>787</v>
      </c>
      <c r="C265" s="20" t="s">
        <v>151</v>
      </c>
      <c r="J265" s="52" t="str" cm="1">
        <f t="array" ref="J265">IFERROR(
  VALUE($H265) *
  VALUE(
    _xlfn.XLOOKUP(
      TRIM($F265) &amp; "|" &amp; LEFT(SUBSTITUTE($G265,CHAR(160)," "),5) &amp; "|Reduced Rate",
      TRIM(SUBSTITUTE($Q$2:$Q$47,CHAR(160)," ")) &amp; "|" &amp;
      LEFT(SUBSTITUTE($R$2:$R$47,CHAR(160)," "),5) &amp; "|" &amp;
      TRIM(SUBSTITUTE($S$2:$S$47,CHAR(160)," ")),
      $T$2:$T$47
    )
  ),
"")</f>
        <v/>
      </c>
      <c r="K265" s="52" t="str" cm="1">
        <f t="array" ref="K265">IFERROR(
  VALUE($H265) *
  VALUE(
    _xlfn.XLOOKUP(
      TRIM($F265) &amp; "|" &amp; LEFT(SUBSTITUTE($G265,CHAR(160)," "),5) &amp; "|Ideas Rate",
      TRIM(SUBSTITUTE($Q$2:$Q$47,CHAR(160)," ")) &amp; "|" &amp;
      LEFT(SUBSTITUTE($R$2:$R$47,CHAR(160)," "),5) &amp; "|" &amp;
      TRIM(SUBSTITUTE($S$2:$S$47,CHAR(160)," ")),
      $T$2:$T$47
    )
  ),
"")</f>
        <v/>
      </c>
    </row>
    <row r="266" spans="1:11" x14ac:dyDescent="0.2">
      <c r="B266" s="5"/>
      <c r="C266" s="20" t="s">
        <v>151</v>
      </c>
      <c r="J266" s="52" t="str" cm="1">
        <f t="array" ref="J266">IFERROR(
  VALUE($H266) *
  VALUE(
    _xlfn.XLOOKUP(
      TRIM($F266) &amp; "|" &amp; LEFT(SUBSTITUTE($G266,CHAR(160)," "),5) &amp; "|Reduced Rate",
      TRIM(SUBSTITUTE($Q$2:$Q$47,CHAR(160)," ")) &amp; "|" &amp;
      LEFT(SUBSTITUTE($R$2:$R$47,CHAR(160)," "),5) &amp; "|" &amp;
      TRIM(SUBSTITUTE($S$2:$S$47,CHAR(160)," ")),
      $T$2:$T$47
    )
  ),
"")</f>
        <v/>
      </c>
      <c r="K266" s="52" t="str" cm="1">
        <f t="array" ref="K266">IFERROR(
  VALUE($H266) *
  VALUE(
    _xlfn.XLOOKUP(
      TRIM($F266) &amp; "|" &amp; LEFT(SUBSTITUTE($G266,CHAR(160)," "),5) &amp; "|Ideas Rate",
      TRIM(SUBSTITUTE($Q$2:$Q$47,CHAR(160)," ")) &amp; "|" &amp;
      LEFT(SUBSTITUTE($R$2:$R$47,CHAR(160)," "),5) &amp; "|" &amp;
      TRIM(SUBSTITUTE($S$2:$S$47,CHAR(160)," ")),
      $T$2:$T$47
    )
  ),
"")</f>
        <v/>
      </c>
    </row>
    <row r="267" spans="1:11" x14ac:dyDescent="0.2">
      <c r="B267" s="5"/>
      <c r="J267" s="52" t="str" cm="1">
        <f t="array" ref="J267">IFERROR(
  VALUE($H267) *
  VALUE(
    _xlfn.XLOOKUP(
      TRIM($F267) &amp; "|" &amp; LEFT(SUBSTITUTE($G267,CHAR(160)," "),5) &amp; "|Reduced Rate",
      TRIM(SUBSTITUTE($Q$2:$Q$47,CHAR(160)," ")) &amp; "|" &amp;
      LEFT(SUBSTITUTE($R$2:$R$47,CHAR(160)," "),5) &amp; "|" &amp;
      TRIM(SUBSTITUTE($S$2:$S$47,CHAR(160)," ")),
      $T$2:$T$47
    )
  ),
"")</f>
        <v/>
      </c>
      <c r="K267" s="52" t="str" cm="1">
        <f t="array" ref="K267">IFERROR(
  VALUE($H267) *
  VALUE(
    _xlfn.XLOOKUP(
      TRIM($F267) &amp; "|" &amp; LEFT(SUBSTITUTE($G267,CHAR(160)," "),5) &amp; "|Ideas Rate",
      TRIM(SUBSTITUTE($Q$2:$Q$47,CHAR(160)," ")) &amp; "|" &amp;
      LEFT(SUBSTITUTE($R$2:$R$47,CHAR(160)," "),5) &amp; "|" &amp;
      TRIM(SUBSTITUTE($S$2:$S$47,CHAR(160)," ")),
      $T$2:$T$47
    )
  ),
"")</f>
        <v/>
      </c>
    </row>
    <row r="268" spans="1:11" x14ac:dyDescent="0.2">
      <c r="B268" s="5"/>
      <c r="J268" s="52" t="str" cm="1">
        <f t="array" ref="J268">IFERROR(
  VALUE($H268) *
  VALUE(
    _xlfn.XLOOKUP(
      TRIM($F268) &amp; "|" &amp; LEFT(SUBSTITUTE($G268,CHAR(160)," "),5) &amp; "|Reduced Rate",
      TRIM(SUBSTITUTE($Q$2:$Q$47,CHAR(160)," ")) &amp; "|" &amp;
      LEFT(SUBSTITUTE($R$2:$R$47,CHAR(160)," "),5) &amp; "|" &amp;
      TRIM(SUBSTITUTE($S$2:$S$47,CHAR(160)," ")),
      $T$2:$T$47
    )
  ),
"")</f>
        <v/>
      </c>
      <c r="K268" s="52" t="str" cm="1">
        <f t="array" ref="K268">IFERROR(
  VALUE($H268) *
  VALUE(
    _xlfn.XLOOKUP(
      TRIM($F268) &amp; "|" &amp; LEFT(SUBSTITUTE($G268,CHAR(160)," "),5) &amp; "|Ideas Rate",
      TRIM(SUBSTITUTE($Q$2:$Q$47,CHAR(160)," ")) &amp; "|" &amp;
      LEFT(SUBSTITUTE($R$2:$R$47,CHAR(160)," "),5) &amp; "|" &amp;
      TRIM(SUBSTITUTE($S$2:$S$47,CHAR(160)," ")),
      $T$2:$T$47
    )
  ),
"")</f>
        <v/>
      </c>
    </row>
    <row r="269" spans="1:11" x14ac:dyDescent="0.2">
      <c r="B269" s="5"/>
      <c r="J269" s="52" t="str" cm="1">
        <f t="array" ref="J269">IFERROR(
  VALUE($H269) *
  VALUE(
    _xlfn.XLOOKUP(
      TRIM($F269) &amp; "|" &amp; LEFT(SUBSTITUTE($G269,CHAR(160)," "),5) &amp; "|Reduced Rate",
      TRIM(SUBSTITUTE($Q$2:$Q$47,CHAR(160)," ")) &amp; "|" &amp;
      LEFT(SUBSTITUTE($R$2:$R$47,CHAR(160)," "),5) &amp; "|" &amp;
      TRIM(SUBSTITUTE($S$2:$S$47,CHAR(160)," ")),
      $T$2:$T$47
    )
  ),
"")</f>
        <v/>
      </c>
      <c r="K269" s="52" t="str" cm="1">
        <f t="array" ref="K269">IFERROR(
  VALUE($H269) *
  VALUE(
    _xlfn.XLOOKUP(
      TRIM($F269) &amp; "|" &amp; LEFT(SUBSTITUTE($G269,CHAR(160)," "),5) &amp; "|Ideas Rate",
      TRIM(SUBSTITUTE($Q$2:$Q$47,CHAR(160)," ")) &amp; "|" &amp;
      LEFT(SUBSTITUTE($R$2:$R$47,CHAR(160)," "),5) &amp; "|" &amp;
      TRIM(SUBSTITUTE($S$2:$S$47,CHAR(160)," ")),
      $T$2:$T$47
    )
  ),
"")</f>
        <v/>
      </c>
    </row>
    <row r="270" spans="1:11" x14ac:dyDescent="0.2">
      <c r="B270" s="5"/>
      <c r="J270" s="52" t="str" cm="1">
        <f t="array" ref="J270">IFERROR(
  VALUE($H270) *
  VALUE(
    _xlfn.XLOOKUP(
      TRIM($F270) &amp; "|" &amp; LEFT(SUBSTITUTE($G270,CHAR(160)," "),5) &amp; "|Reduced Rate",
      TRIM(SUBSTITUTE($Q$2:$Q$47,CHAR(160)," ")) &amp; "|" &amp;
      LEFT(SUBSTITUTE($R$2:$R$47,CHAR(160)," "),5) &amp; "|" &amp;
      TRIM(SUBSTITUTE($S$2:$S$47,CHAR(160)," ")),
      $T$2:$T$47
    )
  ),
"")</f>
        <v/>
      </c>
      <c r="K270" s="52" t="str" cm="1">
        <f t="array" ref="K270">IFERROR(
  VALUE($H270) *
  VALUE(
    _xlfn.XLOOKUP(
      TRIM($F270) &amp; "|" &amp; LEFT(SUBSTITUTE($G270,CHAR(160)," "),5) &amp; "|Ideas Rate",
      TRIM(SUBSTITUTE($Q$2:$Q$47,CHAR(160)," ")) &amp; "|" &amp;
      LEFT(SUBSTITUTE($R$2:$R$47,CHAR(160)," "),5) &amp; "|" &amp;
      TRIM(SUBSTITUTE($S$2:$S$47,CHAR(160)," ")),
      $T$2:$T$47
    )
  ),
"")</f>
        <v/>
      </c>
    </row>
    <row r="271" spans="1:11" x14ac:dyDescent="0.2">
      <c r="J271" s="52" t="str" cm="1">
        <f t="array" ref="J271">IFERROR(
  VALUE($H271) *
  VALUE(
    _xlfn.XLOOKUP(
      TRIM($F271) &amp; "|" &amp; LEFT(SUBSTITUTE($G271,CHAR(160)," "),5) &amp; "|Reduced Rate",
      TRIM(SUBSTITUTE($Q$2:$Q$47,CHAR(160)," ")) &amp; "|" &amp;
      LEFT(SUBSTITUTE($R$2:$R$47,CHAR(160)," "),5) &amp; "|" &amp;
      TRIM(SUBSTITUTE($S$2:$S$47,CHAR(160)," ")),
      $T$2:$T$47
    )
  ),
"")</f>
        <v/>
      </c>
      <c r="K271" s="52" t="str" cm="1">
        <f t="array" ref="K271">IFERROR(
  VALUE($H271) *
  VALUE(
    _xlfn.XLOOKUP(
      TRIM($F271) &amp; "|" &amp; LEFT(SUBSTITUTE($G271,CHAR(160)," "),5) &amp; "|Ideas Rate",
      TRIM(SUBSTITUTE($Q$2:$Q$47,CHAR(160)," ")) &amp; "|" &amp;
      LEFT(SUBSTITUTE($R$2:$R$47,CHAR(160)," "),5) &amp; "|" &amp;
      TRIM(SUBSTITUTE($S$2:$S$47,CHAR(160)," ")),
      $T$2:$T$47
    )
  ),
"")</f>
        <v/>
      </c>
    </row>
    <row r="272" spans="1:11" x14ac:dyDescent="0.2">
      <c r="J272" s="52" t="str" cm="1">
        <f t="array" ref="J272">IFERROR(
  VALUE($H272) *
  VALUE(
    _xlfn.XLOOKUP(
      TRIM($F272) &amp; "|" &amp; LEFT(SUBSTITUTE($G272,CHAR(160)," "),5) &amp; "|Reduced Rate",
      TRIM(SUBSTITUTE($Q$2:$Q$47,CHAR(160)," ")) &amp; "|" &amp;
      LEFT(SUBSTITUTE($R$2:$R$47,CHAR(160)," "),5) &amp; "|" &amp;
      TRIM(SUBSTITUTE($S$2:$S$47,CHAR(160)," ")),
      $T$2:$T$47
    )
  ),
"")</f>
        <v/>
      </c>
      <c r="K272" s="52" t="str" cm="1">
        <f t="array" ref="K272">IFERROR(
  VALUE($H272) *
  VALUE(
    _xlfn.XLOOKUP(
      TRIM($F272) &amp; "|" &amp; LEFT(SUBSTITUTE($G272,CHAR(160)," "),5) &amp; "|Ideas Rate",
      TRIM(SUBSTITUTE($Q$2:$Q$47,CHAR(160)," ")) &amp; "|" &amp;
      LEFT(SUBSTITUTE($R$2:$R$47,CHAR(160)," "),5) &amp; "|" &amp;
      TRIM(SUBSTITUTE($S$2:$S$47,CHAR(160)," ")),
      $T$2:$T$47
    )
  ),
"")</f>
        <v/>
      </c>
    </row>
    <row r="273" spans="10:11" x14ac:dyDescent="0.2">
      <c r="J273" s="52" t="str" cm="1">
        <f t="array" ref="J273">IFERROR(
  VALUE($H273) *
  VALUE(
    _xlfn.XLOOKUP(
      TRIM($F273) &amp; "|" &amp; LEFT(SUBSTITUTE($G273,CHAR(160)," "),5) &amp; "|Reduced Rate",
      TRIM(SUBSTITUTE($Q$2:$Q$47,CHAR(160)," ")) &amp; "|" &amp;
      LEFT(SUBSTITUTE($R$2:$R$47,CHAR(160)," "),5) &amp; "|" &amp;
      TRIM(SUBSTITUTE($S$2:$S$47,CHAR(160)," ")),
      $T$2:$T$47
    )
  ),
"")</f>
        <v/>
      </c>
      <c r="K273" s="52" t="str" cm="1">
        <f t="array" ref="K273">IFERROR(
  VALUE($H273) *
  VALUE(
    _xlfn.XLOOKUP(
      TRIM($F273) &amp; "|" &amp; LEFT(SUBSTITUTE($G273,CHAR(160)," "),5) &amp; "|Ideas Rate",
      TRIM(SUBSTITUTE($Q$2:$Q$47,CHAR(160)," ")) &amp; "|" &amp;
      LEFT(SUBSTITUTE($R$2:$R$47,CHAR(160)," "),5) &amp; "|" &amp;
      TRIM(SUBSTITUTE($S$2:$S$47,CHAR(160)," ")),
      $T$2:$T$47
    )
  ),
"")</f>
        <v/>
      </c>
    </row>
    <row r="274" spans="10:11" x14ac:dyDescent="0.2">
      <c r="J274" s="52" t="str" cm="1">
        <f t="array" ref="J274">IFERROR(
  VALUE($H274) *
  VALUE(
    _xlfn.XLOOKUP(
      TRIM($F274) &amp; "|" &amp; LEFT(SUBSTITUTE($G274,CHAR(160)," "),5) &amp; "|Reduced Rate",
      TRIM(SUBSTITUTE($Q$2:$Q$47,CHAR(160)," ")) &amp; "|" &amp;
      LEFT(SUBSTITUTE($R$2:$R$47,CHAR(160)," "),5) &amp; "|" &amp;
      TRIM(SUBSTITUTE($S$2:$S$47,CHAR(160)," ")),
      $T$2:$T$47
    )
  ),
"")</f>
        <v/>
      </c>
      <c r="K274" s="52" t="str" cm="1">
        <f t="array" ref="K274">IFERROR(
  VALUE($H274) *
  VALUE(
    _xlfn.XLOOKUP(
      TRIM($F274) &amp; "|" &amp; LEFT(SUBSTITUTE($G274,CHAR(160)," "),5) &amp; "|Ideas Rate",
      TRIM(SUBSTITUTE($Q$2:$Q$47,CHAR(160)," ")) &amp; "|" &amp;
      LEFT(SUBSTITUTE($R$2:$R$47,CHAR(160)," "),5) &amp; "|" &amp;
      TRIM(SUBSTITUTE($S$2:$S$47,CHAR(160)," ")),
      $T$2:$T$47
    )
  ),
"")</f>
        <v/>
      </c>
    </row>
    <row r="275" spans="10:11" x14ac:dyDescent="0.2">
      <c r="J275" s="52" t="str" cm="1">
        <f t="array" ref="J275">IFERROR(
  VALUE($H275) *
  VALUE(
    _xlfn.XLOOKUP(
      TRIM($F275) &amp; "|" &amp; LEFT(SUBSTITUTE($G275,CHAR(160)," "),5) &amp; "|Reduced Rate",
      TRIM(SUBSTITUTE($Q$2:$Q$47,CHAR(160)," ")) &amp; "|" &amp;
      LEFT(SUBSTITUTE($R$2:$R$47,CHAR(160)," "),5) &amp; "|" &amp;
      TRIM(SUBSTITUTE($S$2:$S$47,CHAR(160)," ")),
      $T$2:$T$47
    )
  ),
"")</f>
        <v/>
      </c>
      <c r="K275" s="52" t="str" cm="1">
        <f t="array" ref="K275">IFERROR(
  VALUE($H275) *
  VALUE(
    _xlfn.XLOOKUP(
      TRIM($F275) &amp; "|" &amp; LEFT(SUBSTITUTE($G275,CHAR(160)," "),5) &amp; "|Ideas Rate",
      TRIM(SUBSTITUTE($Q$2:$Q$47,CHAR(160)," ")) &amp; "|" &amp;
      LEFT(SUBSTITUTE($R$2:$R$47,CHAR(160)," "),5) &amp; "|" &amp;
      TRIM(SUBSTITUTE($S$2:$S$47,CHAR(160)," ")),
      $T$2:$T$47
    )
  ),
"")</f>
        <v/>
      </c>
    </row>
    <row r="276" spans="10:11" x14ac:dyDescent="0.2">
      <c r="J276" s="52" t="str" cm="1">
        <f t="array" ref="J276">IFERROR(
  VALUE($H276) *
  VALUE(
    _xlfn.XLOOKUP(
      TRIM($F276) &amp; "|" &amp; LEFT(SUBSTITUTE($G276,CHAR(160)," "),5) &amp; "|Reduced Rate",
      TRIM(SUBSTITUTE($Q$2:$Q$47,CHAR(160)," ")) &amp; "|" &amp;
      LEFT(SUBSTITUTE($R$2:$R$47,CHAR(160)," "),5) &amp; "|" &amp;
      TRIM(SUBSTITUTE($S$2:$S$47,CHAR(160)," ")),
      $T$2:$T$47
    )
  ),
"")</f>
        <v/>
      </c>
      <c r="K276" s="52" t="str" cm="1">
        <f t="array" ref="K276">IFERROR(
  VALUE($H276) *
  VALUE(
    _xlfn.XLOOKUP(
      TRIM($F276) &amp; "|" &amp; LEFT(SUBSTITUTE($G276,CHAR(160)," "),5) &amp; "|Ideas Rate",
      TRIM(SUBSTITUTE($Q$2:$Q$47,CHAR(160)," ")) &amp; "|" &amp;
      LEFT(SUBSTITUTE($R$2:$R$47,CHAR(160)," "),5) &amp; "|" &amp;
      TRIM(SUBSTITUTE($S$2:$S$47,CHAR(160)," ")),
      $T$2:$T$47
    )
  ),
"")</f>
        <v/>
      </c>
    </row>
    <row r="277" spans="10:11" x14ac:dyDescent="0.2">
      <c r="J277" s="52" t="str" cm="1">
        <f t="array" ref="J277">IFERROR(
  VALUE($H277) *
  VALUE(
    _xlfn.XLOOKUP(
      TRIM($F277) &amp; "|" &amp; LEFT(SUBSTITUTE($G277,CHAR(160)," "),5) &amp; "|Reduced Rate",
      TRIM(SUBSTITUTE($Q$2:$Q$47,CHAR(160)," ")) &amp; "|" &amp;
      LEFT(SUBSTITUTE($R$2:$R$47,CHAR(160)," "),5) &amp; "|" &amp;
      TRIM(SUBSTITUTE($S$2:$S$47,CHAR(160)," ")),
      $T$2:$T$47
    )
  ),
"")</f>
        <v/>
      </c>
      <c r="K277" s="52" t="str" cm="1">
        <f t="array" ref="K277">IFERROR(
  VALUE($H277) *
  VALUE(
    _xlfn.XLOOKUP(
      TRIM($F277) &amp; "|" &amp; LEFT(SUBSTITUTE($G277,CHAR(160)," "),5) &amp; "|Ideas Rate",
      TRIM(SUBSTITUTE($Q$2:$Q$47,CHAR(160)," ")) &amp; "|" &amp;
      LEFT(SUBSTITUTE($R$2:$R$47,CHAR(160)," "),5) &amp; "|" &amp;
      TRIM(SUBSTITUTE($S$2:$S$47,CHAR(160)," ")),
      $T$2:$T$47
    )
  ),
"")</f>
        <v/>
      </c>
    </row>
    <row r="278" spans="10:11" x14ac:dyDescent="0.2">
      <c r="J278" s="52" t="str" cm="1">
        <f t="array" ref="J278">IFERROR(
  VALUE($H278) *
  VALUE(
    _xlfn.XLOOKUP(
      TRIM($F278) &amp; "|" &amp; LEFT(SUBSTITUTE($G278,CHAR(160)," "),5) &amp; "|Reduced Rate",
      TRIM(SUBSTITUTE($Q$2:$Q$47,CHAR(160)," ")) &amp; "|" &amp;
      LEFT(SUBSTITUTE($R$2:$R$47,CHAR(160)," "),5) &amp; "|" &amp;
      TRIM(SUBSTITUTE($S$2:$S$47,CHAR(160)," ")),
      $T$2:$T$47
    )
  ),
"")</f>
        <v/>
      </c>
      <c r="K278" s="52" t="str" cm="1">
        <f t="array" ref="K278">IFERROR(
  VALUE($H278) *
  VALUE(
    _xlfn.XLOOKUP(
      TRIM($F278) &amp; "|" &amp; LEFT(SUBSTITUTE($G278,CHAR(160)," "),5) &amp; "|Ideas Rate",
      TRIM(SUBSTITUTE($Q$2:$Q$47,CHAR(160)," ")) &amp; "|" &amp;
      LEFT(SUBSTITUTE($R$2:$R$47,CHAR(160)," "),5) &amp; "|" &amp;
      TRIM(SUBSTITUTE($S$2:$S$47,CHAR(160)," ")),
      $T$2:$T$47
    )
  ),
"")</f>
        <v/>
      </c>
    </row>
    <row r="279" spans="10:11" x14ac:dyDescent="0.2">
      <c r="J279" s="52" t="str" cm="1">
        <f t="array" ref="J279">IFERROR(
  VALUE($H279) *
  VALUE(
    _xlfn.XLOOKUP(
      TRIM($F279) &amp; "|" &amp; LEFT(SUBSTITUTE($G279,CHAR(160)," "),5) &amp; "|Reduced Rate",
      TRIM(SUBSTITUTE($Q$2:$Q$47,CHAR(160)," ")) &amp; "|" &amp;
      LEFT(SUBSTITUTE($R$2:$R$47,CHAR(160)," "),5) &amp; "|" &amp;
      TRIM(SUBSTITUTE($S$2:$S$47,CHAR(160)," ")),
      $T$2:$T$47
    )
  ),
"")</f>
        <v/>
      </c>
      <c r="K279" s="52" t="str" cm="1">
        <f t="array" ref="K279">IFERROR(
  VALUE($H279) *
  VALUE(
    _xlfn.XLOOKUP(
      TRIM($F279) &amp; "|" &amp; LEFT(SUBSTITUTE($G279,CHAR(160)," "),5) &amp; "|Ideas Rate",
      TRIM(SUBSTITUTE($Q$2:$Q$47,CHAR(160)," ")) &amp; "|" &amp;
      LEFT(SUBSTITUTE($R$2:$R$47,CHAR(160)," "),5) &amp; "|" &amp;
      TRIM(SUBSTITUTE($S$2:$S$47,CHAR(160)," ")),
      $T$2:$T$47
    )
  ),
"")</f>
        <v/>
      </c>
    </row>
    <row r="280" spans="10:11" x14ac:dyDescent="0.2">
      <c r="J280" s="52" t="str" cm="1">
        <f t="array" ref="J280">IFERROR(
  VALUE($H280) *
  VALUE(
    _xlfn.XLOOKUP(
      TRIM($F280) &amp; "|" &amp; LEFT(SUBSTITUTE($G280,CHAR(160)," "),5) &amp; "|Reduced Rate",
      TRIM(SUBSTITUTE($Q$2:$Q$47,CHAR(160)," ")) &amp; "|" &amp;
      LEFT(SUBSTITUTE($R$2:$R$47,CHAR(160)," "),5) &amp; "|" &amp;
      TRIM(SUBSTITUTE($S$2:$S$47,CHAR(160)," ")),
      $T$2:$T$47
    )
  ),
"")</f>
        <v/>
      </c>
      <c r="K280" s="52" t="str" cm="1">
        <f t="array" ref="K280">IFERROR(
  VALUE($H280) *
  VALUE(
    _xlfn.XLOOKUP(
      TRIM($F280) &amp; "|" &amp; LEFT(SUBSTITUTE($G280,CHAR(160)," "),5) &amp; "|Ideas Rate",
      TRIM(SUBSTITUTE($Q$2:$Q$47,CHAR(160)," ")) &amp; "|" &amp;
      LEFT(SUBSTITUTE($R$2:$R$47,CHAR(160)," "),5) &amp; "|" &amp;
      TRIM(SUBSTITUTE($S$2:$S$47,CHAR(160)," ")),
      $T$2:$T$47
    )
  ),
"")</f>
        <v/>
      </c>
    </row>
    <row r="281" spans="10:11" x14ac:dyDescent="0.2">
      <c r="J281" s="52" t="str" cm="1">
        <f t="array" ref="J281">IFERROR(
  VALUE($H281) *
  VALUE(
    _xlfn.XLOOKUP(
      TRIM($F281) &amp; "|" &amp; LEFT(SUBSTITUTE($G281,CHAR(160)," "),5) &amp; "|Reduced Rate",
      TRIM(SUBSTITUTE($Q$2:$Q$47,CHAR(160)," ")) &amp; "|" &amp;
      LEFT(SUBSTITUTE($R$2:$R$47,CHAR(160)," "),5) &amp; "|" &amp;
      TRIM(SUBSTITUTE($S$2:$S$47,CHAR(160)," ")),
      $T$2:$T$47
    )
  ),
"")</f>
        <v/>
      </c>
      <c r="K281" s="52" t="str" cm="1">
        <f t="array" ref="K281">IFERROR(
  VALUE($H281) *
  VALUE(
    _xlfn.XLOOKUP(
      TRIM($F281) &amp; "|" &amp; LEFT(SUBSTITUTE($G281,CHAR(160)," "),5) &amp; "|Ideas Rate",
      TRIM(SUBSTITUTE($Q$2:$Q$47,CHAR(160)," ")) &amp; "|" &amp;
      LEFT(SUBSTITUTE($R$2:$R$47,CHAR(160)," "),5) &amp; "|" &amp;
      TRIM(SUBSTITUTE($S$2:$S$47,CHAR(160)," ")),
      $T$2:$T$47
    )
  ),
"")</f>
        <v/>
      </c>
    </row>
    <row r="282" spans="10:11" x14ac:dyDescent="0.2">
      <c r="J282" s="52" t="str" cm="1">
        <f t="array" ref="J282">IFERROR(
  VALUE($H282) *
  VALUE(
    _xlfn.XLOOKUP(
      TRIM($F282) &amp; "|" &amp; LEFT(SUBSTITUTE($G282,CHAR(160)," "),5) &amp; "|Reduced Rate",
      TRIM(SUBSTITUTE($Q$2:$Q$47,CHAR(160)," ")) &amp; "|" &amp;
      LEFT(SUBSTITUTE($R$2:$R$47,CHAR(160)," "),5) &amp; "|" &amp;
      TRIM(SUBSTITUTE($S$2:$S$47,CHAR(160)," ")),
      $T$2:$T$47
    )
  ),
"")</f>
        <v/>
      </c>
      <c r="K282" s="52" t="str" cm="1">
        <f t="array" ref="K282">IFERROR(
  VALUE($H282) *
  VALUE(
    _xlfn.XLOOKUP(
      TRIM($F282) &amp; "|" &amp; LEFT(SUBSTITUTE($G282,CHAR(160)," "),5) &amp; "|Ideas Rate",
      TRIM(SUBSTITUTE($Q$2:$Q$47,CHAR(160)," ")) &amp; "|" &amp;
      LEFT(SUBSTITUTE($R$2:$R$47,CHAR(160)," "),5) &amp; "|" &amp;
      TRIM(SUBSTITUTE($S$2:$S$47,CHAR(160)," ")),
      $T$2:$T$47
    )
  ),
"")</f>
        <v/>
      </c>
    </row>
    <row r="283" spans="10:11" x14ac:dyDescent="0.2">
      <c r="J283" s="52" t="str" cm="1">
        <f t="array" ref="J283">IFERROR(
  VALUE($H283) *
  VALUE(
    _xlfn.XLOOKUP(
      TRIM($F283) &amp; "|" &amp; LEFT(SUBSTITUTE($G283,CHAR(160)," "),5) &amp; "|Reduced Rate",
      TRIM(SUBSTITUTE($Q$2:$Q$47,CHAR(160)," ")) &amp; "|" &amp;
      LEFT(SUBSTITUTE($R$2:$R$47,CHAR(160)," "),5) &amp; "|" &amp;
      TRIM(SUBSTITUTE($S$2:$S$47,CHAR(160)," ")),
      $T$2:$T$47
    )
  ),
"")</f>
        <v/>
      </c>
      <c r="K283" s="52" t="str" cm="1">
        <f t="array" ref="K283">IFERROR(
  VALUE($H283) *
  VALUE(
    _xlfn.XLOOKUP(
      TRIM($F283) &amp; "|" &amp; LEFT(SUBSTITUTE($G283,CHAR(160)," "),5) &amp; "|Ideas Rate",
      TRIM(SUBSTITUTE($Q$2:$Q$47,CHAR(160)," ")) &amp; "|" &amp;
      LEFT(SUBSTITUTE($R$2:$R$47,CHAR(160)," "),5) &amp; "|" &amp;
      TRIM(SUBSTITUTE($S$2:$S$47,CHAR(160)," ")),
      $T$2:$T$47
    )
  ),
"")</f>
        <v/>
      </c>
    </row>
    <row r="284" spans="10:11" x14ac:dyDescent="0.2">
      <c r="J284" s="52" t="str" cm="1">
        <f t="array" ref="J284">IFERROR(
  VALUE($H284) *
  VALUE(
    _xlfn.XLOOKUP(
      TRIM($F284) &amp; "|" &amp; LEFT(SUBSTITUTE($G284,CHAR(160)," "),5) &amp; "|Reduced Rate",
      TRIM(SUBSTITUTE($Q$2:$Q$47,CHAR(160)," ")) &amp; "|" &amp;
      LEFT(SUBSTITUTE($R$2:$R$47,CHAR(160)," "),5) &amp; "|" &amp;
      TRIM(SUBSTITUTE($S$2:$S$47,CHAR(160)," ")),
      $T$2:$T$47
    )
  ),
"")</f>
        <v/>
      </c>
      <c r="K284" s="52" t="str" cm="1">
        <f t="array" ref="K284">IFERROR(
  VALUE($H284) *
  VALUE(
    _xlfn.XLOOKUP(
      TRIM($F284) &amp; "|" &amp; LEFT(SUBSTITUTE($G284,CHAR(160)," "),5) &amp; "|Ideas Rate",
      TRIM(SUBSTITUTE($Q$2:$Q$47,CHAR(160)," ")) &amp; "|" &amp;
      LEFT(SUBSTITUTE($R$2:$R$47,CHAR(160)," "),5) &amp; "|" &amp;
      TRIM(SUBSTITUTE($S$2:$S$47,CHAR(160)," ")),
      $T$2:$T$47
    )
  ),
"")</f>
        <v/>
      </c>
    </row>
    <row r="285" spans="10:11" x14ac:dyDescent="0.2">
      <c r="J285" s="52" t="str" cm="1">
        <f t="array" ref="J285">IFERROR(
  VALUE($H285) *
  VALUE(
    _xlfn.XLOOKUP(
      TRIM($F285) &amp; "|" &amp; LEFT(SUBSTITUTE($G285,CHAR(160)," "),5) &amp; "|Reduced Rate",
      TRIM(SUBSTITUTE($Q$2:$Q$47,CHAR(160)," ")) &amp; "|" &amp;
      LEFT(SUBSTITUTE($R$2:$R$47,CHAR(160)," "),5) &amp; "|" &amp;
      TRIM(SUBSTITUTE($S$2:$S$47,CHAR(160)," ")),
      $T$2:$T$47
    )
  ),
"")</f>
        <v/>
      </c>
      <c r="K285" s="52" t="str" cm="1">
        <f t="array" ref="K285">IFERROR(
  VALUE($H285) *
  VALUE(
    _xlfn.XLOOKUP(
      TRIM($F285) &amp; "|" &amp; LEFT(SUBSTITUTE($G285,CHAR(160)," "),5) &amp; "|Ideas Rate",
      TRIM(SUBSTITUTE($Q$2:$Q$47,CHAR(160)," ")) &amp; "|" &amp;
      LEFT(SUBSTITUTE($R$2:$R$47,CHAR(160)," "),5) &amp; "|" &amp;
      TRIM(SUBSTITUTE($S$2:$S$47,CHAR(160)," ")),
      $T$2:$T$47
    )
  ),
"")</f>
        <v/>
      </c>
    </row>
    <row r="286" spans="10:11" x14ac:dyDescent="0.2">
      <c r="J286" s="52" t="str" cm="1">
        <f t="array" ref="J286">IFERROR(
  VALUE($H286) *
  VALUE(
    _xlfn.XLOOKUP(
      TRIM($F286) &amp; "|" &amp; LEFT(SUBSTITUTE($G286,CHAR(160)," "),5) &amp; "|Reduced Rate",
      TRIM(SUBSTITUTE($Q$2:$Q$47,CHAR(160)," ")) &amp; "|" &amp;
      LEFT(SUBSTITUTE($R$2:$R$47,CHAR(160)," "),5) &amp; "|" &amp;
      TRIM(SUBSTITUTE($S$2:$S$47,CHAR(160)," ")),
      $T$2:$T$47
    )
  ),
"")</f>
        <v/>
      </c>
      <c r="K286" s="52" t="str" cm="1">
        <f t="array" ref="K286">IFERROR(
  VALUE($H286) *
  VALUE(
    _xlfn.XLOOKUP(
      TRIM($F286) &amp; "|" &amp; LEFT(SUBSTITUTE($G286,CHAR(160)," "),5) &amp; "|Ideas Rate",
      TRIM(SUBSTITUTE($Q$2:$Q$47,CHAR(160)," ")) &amp; "|" &amp;
      LEFT(SUBSTITUTE($R$2:$R$47,CHAR(160)," "),5) &amp; "|" &amp;
      TRIM(SUBSTITUTE($S$2:$S$47,CHAR(160)," ")),
      $T$2:$T$47
    )
  ),
"")</f>
        <v/>
      </c>
    </row>
    <row r="287" spans="10:11" x14ac:dyDescent="0.2">
      <c r="J287" s="52" t="str" cm="1">
        <f t="array" ref="J287">IFERROR(
  VALUE($H287) *
  VALUE(
    _xlfn.XLOOKUP(
      TRIM($F287) &amp; "|" &amp; LEFT(SUBSTITUTE($G287,CHAR(160)," "),5) &amp; "|Reduced Rate",
      TRIM(SUBSTITUTE($Q$2:$Q$47,CHAR(160)," ")) &amp; "|" &amp;
      LEFT(SUBSTITUTE($R$2:$R$47,CHAR(160)," "),5) &amp; "|" &amp;
      TRIM(SUBSTITUTE($S$2:$S$47,CHAR(160)," ")),
      $T$2:$T$47
    )
  ),
"")</f>
        <v/>
      </c>
      <c r="K287" s="52" t="str" cm="1">
        <f t="array" ref="K287">IFERROR(
  VALUE($H287) *
  VALUE(
    _xlfn.XLOOKUP(
      TRIM($F287) &amp; "|" &amp; LEFT(SUBSTITUTE($G287,CHAR(160)," "),5) &amp; "|Ideas Rate",
      TRIM(SUBSTITUTE($Q$2:$Q$47,CHAR(160)," ")) &amp; "|" &amp;
      LEFT(SUBSTITUTE($R$2:$R$47,CHAR(160)," "),5) &amp; "|" &amp;
      TRIM(SUBSTITUTE($S$2:$S$47,CHAR(160)," ")),
      $T$2:$T$47
    )
  ),
"")</f>
        <v/>
      </c>
    </row>
    <row r="288" spans="10:11" x14ac:dyDescent="0.2">
      <c r="J288" s="52" t="str" cm="1">
        <f t="array" ref="J288">IFERROR(
  VALUE($H288) *
  VALUE(
    _xlfn.XLOOKUP(
      TRIM($F288) &amp; "|" &amp; LEFT(SUBSTITUTE($G288,CHAR(160)," "),5) &amp; "|Reduced Rate",
      TRIM(SUBSTITUTE($Q$2:$Q$47,CHAR(160)," ")) &amp; "|" &amp;
      LEFT(SUBSTITUTE($R$2:$R$47,CHAR(160)," "),5) &amp; "|" &amp;
      TRIM(SUBSTITUTE($S$2:$S$47,CHAR(160)," ")),
      $T$2:$T$47
    )
  ),
"")</f>
        <v/>
      </c>
      <c r="K288" s="52" t="str" cm="1">
        <f t="array" ref="K288">IFERROR(
  VALUE($H288) *
  VALUE(
    _xlfn.XLOOKUP(
      TRIM($F288) &amp; "|" &amp; LEFT(SUBSTITUTE($G288,CHAR(160)," "),5) &amp; "|Ideas Rate",
      TRIM(SUBSTITUTE($Q$2:$Q$47,CHAR(160)," ")) &amp; "|" &amp;
      LEFT(SUBSTITUTE($R$2:$R$47,CHAR(160)," "),5) &amp; "|" &amp;
      TRIM(SUBSTITUTE($S$2:$S$47,CHAR(160)," ")),
      $T$2:$T$47
    )
  ),
"")</f>
        <v/>
      </c>
    </row>
    <row r="289" spans="10:11" x14ac:dyDescent="0.2">
      <c r="J289" s="52" t="str" cm="1">
        <f t="array" ref="J289">IFERROR(
  VALUE($H289) *
  VALUE(
    _xlfn.XLOOKUP(
      TRIM($F289) &amp; "|" &amp; LEFT(SUBSTITUTE($G289,CHAR(160)," "),5) &amp; "|Reduced Rate",
      TRIM(SUBSTITUTE($Q$2:$Q$47,CHAR(160)," ")) &amp; "|" &amp;
      LEFT(SUBSTITUTE($R$2:$R$47,CHAR(160)," "),5) &amp; "|" &amp;
      TRIM(SUBSTITUTE($S$2:$S$47,CHAR(160)," ")),
      $T$2:$T$47
    )
  ),
"")</f>
        <v/>
      </c>
      <c r="K289" s="52" t="str" cm="1">
        <f t="array" ref="K289">IFERROR(
  VALUE($H289) *
  VALUE(
    _xlfn.XLOOKUP(
      TRIM($F289) &amp; "|" &amp; LEFT(SUBSTITUTE($G289,CHAR(160)," "),5) &amp; "|Ideas Rate",
      TRIM(SUBSTITUTE($Q$2:$Q$47,CHAR(160)," ")) &amp; "|" &amp;
      LEFT(SUBSTITUTE($R$2:$R$47,CHAR(160)," "),5) &amp; "|" &amp;
      TRIM(SUBSTITUTE($S$2:$S$47,CHAR(160)," ")),
      $T$2:$T$47
    )
  ),
"")</f>
        <v/>
      </c>
    </row>
    <row r="290" spans="10:11" x14ac:dyDescent="0.2">
      <c r="J290" s="52" t="str" cm="1">
        <f t="array" ref="J290">IFERROR(
  VALUE($H290) *
  VALUE(
    _xlfn.XLOOKUP(
      TRIM($F290) &amp; "|" &amp; LEFT(SUBSTITUTE($G290,CHAR(160)," "),5) &amp; "|Reduced Rate",
      TRIM(SUBSTITUTE($Q$2:$Q$47,CHAR(160)," ")) &amp; "|" &amp;
      LEFT(SUBSTITUTE($R$2:$R$47,CHAR(160)," "),5) &amp; "|" &amp;
      TRIM(SUBSTITUTE($S$2:$S$47,CHAR(160)," ")),
      $T$2:$T$47
    )
  ),
"")</f>
        <v/>
      </c>
      <c r="K290" s="52" t="str" cm="1">
        <f t="array" ref="K290">IFERROR(
  VALUE($H290) *
  VALUE(
    _xlfn.XLOOKUP(
      TRIM($F290) &amp; "|" &amp; LEFT(SUBSTITUTE($G290,CHAR(160)," "),5) &amp; "|Ideas Rate",
      TRIM(SUBSTITUTE($Q$2:$Q$47,CHAR(160)," ")) &amp; "|" &amp;
      LEFT(SUBSTITUTE($R$2:$R$47,CHAR(160)," "),5) &amp; "|" &amp;
      TRIM(SUBSTITUTE($S$2:$S$47,CHAR(160)," ")),
      $T$2:$T$47
    )
  ),
"")</f>
        <v/>
      </c>
    </row>
    <row r="291" spans="10:11" x14ac:dyDescent="0.2">
      <c r="J291" s="52" t="str" cm="1">
        <f t="array" ref="J291">IFERROR(
  VALUE($H291) *
  VALUE(
    _xlfn.XLOOKUP(
      TRIM($F291) &amp; "|" &amp; LEFT(SUBSTITUTE($G291,CHAR(160)," "),5) &amp; "|Reduced Rate",
      TRIM(SUBSTITUTE($Q$2:$Q$47,CHAR(160)," ")) &amp; "|" &amp;
      LEFT(SUBSTITUTE($R$2:$R$47,CHAR(160)," "),5) &amp; "|" &amp;
      TRIM(SUBSTITUTE($S$2:$S$47,CHAR(160)," ")),
      $T$2:$T$47
    )
  ),
"")</f>
        <v/>
      </c>
      <c r="K291" s="52" t="str" cm="1">
        <f t="array" ref="K291">IFERROR(
  VALUE($H291) *
  VALUE(
    _xlfn.XLOOKUP(
      TRIM($F291) &amp; "|" &amp; LEFT(SUBSTITUTE($G291,CHAR(160)," "),5) &amp; "|Ideas Rate",
      TRIM(SUBSTITUTE($Q$2:$Q$47,CHAR(160)," ")) &amp; "|" &amp;
      LEFT(SUBSTITUTE($R$2:$R$47,CHAR(160)," "),5) &amp; "|" &amp;
      TRIM(SUBSTITUTE($S$2:$S$47,CHAR(160)," ")),
      $T$2:$T$47
    )
  ),
"")</f>
        <v/>
      </c>
    </row>
    <row r="292" spans="10:11" x14ac:dyDescent="0.2">
      <c r="J292" s="52" t="str" cm="1">
        <f t="array" ref="J292">IFERROR(
  VALUE($H292) *
  VALUE(
    _xlfn.XLOOKUP(
      TRIM($F292) &amp; "|" &amp; LEFT(SUBSTITUTE($G292,CHAR(160)," "),5) &amp; "|Reduced Rate",
      TRIM(SUBSTITUTE($Q$2:$Q$47,CHAR(160)," ")) &amp; "|" &amp;
      LEFT(SUBSTITUTE($R$2:$R$47,CHAR(160)," "),5) &amp; "|" &amp;
      TRIM(SUBSTITUTE($S$2:$S$47,CHAR(160)," ")),
      $T$2:$T$47
    )
  ),
"")</f>
        <v/>
      </c>
      <c r="K292" s="52" t="str" cm="1">
        <f t="array" ref="K292">IFERROR(
  VALUE($H292) *
  VALUE(
    _xlfn.XLOOKUP(
      TRIM($F292) &amp; "|" &amp; LEFT(SUBSTITUTE($G292,CHAR(160)," "),5) &amp; "|Ideas Rate",
      TRIM(SUBSTITUTE($Q$2:$Q$47,CHAR(160)," ")) &amp; "|" &amp;
      LEFT(SUBSTITUTE($R$2:$R$47,CHAR(160)," "),5) &amp; "|" &amp;
      TRIM(SUBSTITUTE($S$2:$S$47,CHAR(160)," ")),
      $T$2:$T$47
    )
  ),
"")</f>
        <v/>
      </c>
    </row>
    <row r="293" spans="10:11" x14ac:dyDescent="0.2">
      <c r="J293" s="52" t="str" cm="1">
        <f t="array" ref="J293">IFERROR(
  VALUE($H293) *
  VALUE(
    _xlfn.XLOOKUP(
      TRIM($F293) &amp; "|" &amp; LEFT(SUBSTITUTE($G293,CHAR(160)," "),5) &amp; "|Reduced Rate",
      TRIM(SUBSTITUTE($Q$2:$Q$47,CHAR(160)," ")) &amp; "|" &amp;
      LEFT(SUBSTITUTE($R$2:$R$47,CHAR(160)," "),5) &amp; "|" &amp;
      TRIM(SUBSTITUTE($S$2:$S$47,CHAR(160)," ")),
      $T$2:$T$47
    )
  ),
"")</f>
        <v/>
      </c>
      <c r="K293" s="52" t="str" cm="1">
        <f t="array" ref="K293">IFERROR(
  VALUE($H293) *
  VALUE(
    _xlfn.XLOOKUP(
      TRIM($F293) &amp; "|" &amp; LEFT(SUBSTITUTE($G293,CHAR(160)," "),5) &amp; "|Ideas Rate",
      TRIM(SUBSTITUTE($Q$2:$Q$47,CHAR(160)," ")) &amp; "|" &amp;
      LEFT(SUBSTITUTE($R$2:$R$47,CHAR(160)," "),5) &amp; "|" &amp;
      TRIM(SUBSTITUTE($S$2:$S$47,CHAR(160)," ")),
      $T$2:$T$47
    )
  ),
"")</f>
        <v/>
      </c>
    </row>
    <row r="294" spans="10:11" x14ac:dyDescent="0.2">
      <c r="J294" s="52" t="str" cm="1">
        <f t="array" ref="J294">IFERROR(
  VALUE($H294) *
  VALUE(
    _xlfn.XLOOKUP(
      TRIM($F294) &amp; "|" &amp; LEFT(SUBSTITUTE($G294,CHAR(160)," "),5) &amp; "|Reduced Rate",
      TRIM(SUBSTITUTE($Q$2:$Q$47,CHAR(160)," ")) &amp; "|" &amp;
      LEFT(SUBSTITUTE($R$2:$R$47,CHAR(160)," "),5) &amp; "|" &amp;
      TRIM(SUBSTITUTE($S$2:$S$47,CHAR(160)," ")),
      $T$2:$T$47
    )
  ),
"")</f>
        <v/>
      </c>
      <c r="K294" s="52" t="str" cm="1">
        <f t="array" ref="K294">IFERROR(
  VALUE($H294) *
  VALUE(
    _xlfn.XLOOKUP(
      TRIM($F294) &amp; "|" &amp; LEFT(SUBSTITUTE($G294,CHAR(160)," "),5) &amp; "|Ideas Rate",
      TRIM(SUBSTITUTE($Q$2:$Q$47,CHAR(160)," ")) &amp; "|" &amp;
      LEFT(SUBSTITUTE($R$2:$R$47,CHAR(160)," "),5) &amp; "|" &amp;
      TRIM(SUBSTITUTE($S$2:$S$47,CHAR(160)," ")),
      $T$2:$T$47
    )
  ),
"")</f>
        <v/>
      </c>
    </row>
    <row r="295" spans="10:11" x14ac:dyDescent="0.2">
      <c r="J295" s="52" t="str" cm="1">
        <f t="array" ref="J295">IFERROR(
  VALUE($H295) *
  VALUE(
    _xlfn.XLOOKUP(
      TRIM($F295) &amp; "|" &amp; LEFT(SUBSTITUTE($G295,CHAR(160)," "),5) &amp; "|Reduced Rate",
      TRIM(SUBSTITUTE($Q$2:$Q$47,CHAR(160)," ")) &amp; "|" &amp;
      LEFT(SUBSTITUTE($R$2:$R$47,CHAR(160)," "),5) &amp; "|" &amp;
      TRIM(SUBSTITUTE($S$2:$S$47,CHAR(160)," ")),
      $T$2:$T$47
    )
  ),
"")</f>
        <v/>
      </c>
      <c r="K295" s="52" t="str" cm="1">
        <f t="array" ref="K295">IFERROR(
  VALUE($H295) *
  VALUE(
    _xlfn.XLOOKUP(
      TRIM($F295) &amp; "|" &amp; LEFT(SUBSTITUTE($G295,CHAR(160)," "),5) &amp; "|Ideas Rate",
      TRIM(SUBSTITUTE($Q$2:$Q$47,CHAR(160)," ")) &amp; "|" &amp;
      LEFT(SUBSTITUTE($R$2:$R$47,CHAR(160)," "),5) &amp; "|" &amp;
      TRIM(SUBSTITUTE($S$2:$S$47,CHAR(160)," ")),
      $T$2:$T$47
    )
  ),
"")</f>
        <v/>
      </c>
    </row>
    <row r="296" spans="10:11" x14ac:dyDescent="0.2">
      <c r="J296" s="52" t="str" cm="1">
        <f t="array" ref="J296">IFERROR(
  VALUE($H296) *
  VALUE(
    _xlfn.XLOOKUP(
      TRIM($F296) &amp; "|" &amp; LEFT(SUBSTITUTE($G296,CHAR(160)," "),5) &amp; "|Reduced Rate",
      TRIM(SUBSTITUTE($Q$2:$Q$47,CHAR(160)," ")) &amp; "|" &amp;
      LEFT(SUBSTITUTE($R$2:$R$47,CHAR(160)," "),5) &amp; "|" &amp;
      TRIM(SUBSTITUTE($S$2:$S$47,CHAR(160)," ")),
      $T$2:$T$47
    )
  ),
"")</f>
        <v/>
      </c>
      <c r="K296" s="52" t="str" cm="1">
        <f t="array" ref="K296">IFERROR(
  VALUE($H296) *
  VALUE(
    _xlfn.XLOOKUP(
      TRIM($F296) &amp; "|" &amp; LEFT(SUBSTITUTE($G296,CHAR(160)," "),5) &amp; "|Ideas Rate",
      TRIM(SUBSTITUTE($Q$2:$Q$47,CHAR(160)," ")) &amp; "|" &amp;
      LEFT(SUBSTITUTE($R$2:$R$47,CHAR(160)," "),5) &amp; "|" &amp;
      TRIM(SUBSTITUTE($S$2:$S$47,CHAR(160)," ")),
      $T$2:$T$47
    )
  ),
"")</f>
        <v/>
      </c>
    </row>
    <row r="297" spans="10:11" x14ac:dyDescent="0.2">
      <c r="J297" s="52" t="str" cm="1">
        <f t="array" ref="J297">IFERROR(
  VALUE($H297) *
  VALUE(
    _xlfn.XLOOKUP(
      TRIM($F297) &amp; "|" &amp; LEFT(SUBSTITUTE($G297,CHAR(160)," "),5) &amp; "|Reduced Rate",
      TRIM(SUBSTITUTE($Q$2:$Q$47,CHAR(160)," ")) &amp; "|" &amp;
      LEFT(SUBSTITUTE($R$2:$R$47,CHAR(160)," "),5) &amp; "|" &amp;
      TRIM(SUBSTITUTE($S$2:$S$47,CHAR(160)," ")),
      $T$2:$T$47
    )
  ),
"")</f>
        <v/>
      </c>
      <c r="K297" s="52" t="str" cm="1">
        <f t="array" ref="K297">IFERROR(
  VALUE($H297) *
  VALUE(
    _xlfn.XLOOKUP(
      TRIM($F297) &amp; "|" &amp; LEFT(SUBSTITUTE($G297,CHAR(160)," "),5) &amp; "|Ideas Rate",
      TRIM(SUBSTITUTE($Q$2:$Q$47,CHAR(160)," ")) &amp; "|" &amp;
      LEFT(SUBSTITUTE($R$2:$R$47,CHAR(160)," "),5) &amp; "|" &amp;
      TRIM(SUBSTITUTE($S$2:$S$47,CHAR(160)," ")),
      $T$2:$T$47
    )
  ),
"")</f>
        <v/>
      </c>
    </row>
    <row r="298" spans="10:11" x14ac:dyDescent="0.2">
      <c r="J298" s="52" t="str" cm="1">
        <f t="array" ref="J298">IFERROR(
  VALUE($H298) *
  VALUE(
    _xlfn.XLOOKUP(
      TRIM($F298) &amp; "|" &amp; LEFT(SUBSTITUTE($G298,CHAR(160)," "),5) &amp; "|Reduced Rate",
      TRIM(SUBSTITUTE($Q$2:$Q$47,CHAR(160)," ")) &amp; "|" &amp;
      LEFT(SUBSTITUTE($R$2:$R$47,CHAR(160)," "),5) &amp; "|" &amp;
      TRIM(SUBSTITUTE($S$2:$S$47,CHAR(160)," ")),
      $T$2:$T$47
    )
  ),
"")</f>
        <v/>
      </c>
      <c r="K298" s="52" t="str" cm="1">
        <f t="array" ref="K298">IFERROR(
  VALUE($H298) *
  VALUE(
    _xlfn.XLOOKUP(
      TRIM($F298) &amp; "|" &amp; LEFT(SUBSTITUTE($G298,CHAR(160)," "),5) &amp; "|Ideas Rate",
      TRIM(SUBSTITUTE($Q$2:$Q$47,CHAR(160)," ")) &amp; "|" &amp;
      LEFT(SUBSTITUTE($R$2:$R$47,CHAR(160)," "),5) &amp; "|" &amp;
      TRIM(SUBSTITUTE($S$2:$S$47,CHAR(160)," ")),
      $T$2:$T$47
    )
  ),
"")</f>
        <v/>
      </c>
    </row>
    <row r="299" spans="10:11" x14ac:dyDescent="0.2">
      <c r="J299" s="52" t="str" cm="1">
        <f t="array" ref="J299">IFERROR(
  VALUE($H299) *
  VALUE(
    _xlfn.XLOOKUP(
      TRIM($F299) &amp; "|" &amp; LEFT(SUBSTITUTE($G299,CHAR(160)," "),5) &amp; "|Reduced Rate",
      TRIM(SUBSTITUTE($Q$2:$Q$47,CHAR(160)," ")) &amp; "|" &amp;
      LEFT(SUBSTITUTE($R$2:$R$47,CHAR(160)," "),5) &amp; "|" &amp;
      TRIM(SUBSTITUTE($S$2:$S$47,CHAR(160)," ")),
      $T$2:$T$47
    )
  ),
"")</f>
        <v/>
      </c>
      <c r="K299" s="52" t="str" cm="1">
        <f t="array" ref="K299">IFERROR(
  VALUE($H299) *
  VALUE(
    _xlfn.XLOOKUP(
      TRIM($F299) &amp; "|" &amp; LEFT(SUBSTITUTE($G299,CHAR(160)," "),5) &amp; "|Ideas Rate",
      TRIM(SUBSTITUTE($Q$2:$Q$47,CHAR(160)," ")) &amp; "|" &amp;
      LEFT(SUBSTITUTE($R$2:$R$47,CHAR(160)," "),5) &amp; "|" &amp;
      TRIM(SUBSTITUTE($S$2:$S$47,CHAR(160)," ")),
      $T$2:$T$47
    )
  ),
"")</f>
        <v/>
      </c>
    </row>
    <row r="300" spans="10:11" x14ac:dyDescent="0.2">
      <c r="J300" s="52" t="str" cm="1">
        <f t="array" ref="J300">IFERROR(
  VALUE($H300) *
  VALUE(
    _xlfn.XLOOKUP(
      TRIM($F300) &amp; "|" &amp; LEFT(SUBSTITUTE($G300,CHAR(160)," "),5) &amp; "|Reduced Rate",
      TRIM(SUBSTITUTE($Q$2:$Q$47,CHAR(160)," ")) &amp; "|" &amp;
      LEFT(SUBSTITUTE($R$2:$R$47,CHAR(160)," "),5) &amp; "|" &amp;
      TRIM(SUBSTITUTE($S$2:$S$47,CHAR(160)," ")),
      $T$2:$T$47
    )
  ),
"")</f>
        <v/>
      </c>
      <c r="K300" s="52" t="str" cm="1">
        <f t="array" ref="K300">IFERROR(
  VALUE($H300) *
  VALUE(
    _xlfn.XLOOKUP(
      TRIM($F300) &amp; "|" &amp; LEFT(SUBSTITUTE($G300,CHAR(160)," "),5) &amp; "|Ideas Rate",
      TRIM(SUBSTITUTE($Q$2:$Q$47,CHAR(160)," ")) &amp; "|" &amp;
      LEFT(SUBSTITUTE($R$2:$R$47,CHAR(160)," "),5) &amp; "|" &amp;
      TRIM(SUBSTITUTE($S$2:$S$47,CHAR(160)," ")),
      $T$2:$T$47
    )
  ),
"")</f>
        <v/>
      </c>
    </row>
    <row r="301" spans="10:11" x14ac:dyDescent="0.2">
      <c r="J301" s="52" t="str" cm="1">
        <f t="array" ref="J301">IFERROR(
  VALUE($H301) *
  VALUE(
    _xlfn.XLOOKUP(
      TRIM($F301) &amp; "|" &amp; LEFT(SUBSTITUTE($G301,CHAR(160)," "),5) &amp; "|Reduced Rate",
      TRIM(SUBSTITUTE($Q$2:$Q$47,CHAR(160)," ")) &amp; "|" &amp;
      LEFT(SUBSTITUTE($R$2:$R$47,CHAR(160)," "),5) &amp; "|" &amp;
      TRIM(SUBSTITUTE($S$2:$S$47,CHAR(160)," ")),
      $T$2:$T$47
    )
  ),
"")</f>
        <v/>
      </c>
      <c r="K301" s="52" t="str" cm="1">
        <f t="array" ref="K301">IFERROR(
  VALUE($H301) *
  VALUE(
    _xlfn.XLOOKUP(
      TRIM($F301) &amp; "|" &amp; LEFT(SUBSTITUTE($G301,CHAR(160)," "),5) &amp; "|Ideas Rate",
      TRIM(SUBSTITUTE($Q$2:$Q$47,CHAR(160)," ")) &amp; "|" &amp;
      LEFT(SUBSTITUTE($R$2:$R$47,CHAR(160)," "),5) &amp; "|" &amp;
      TRIM(SUBSTITUTE($S$2:$S$47,CHAR(160)," ")),
      $T$2:$T$47
    )
  ),
"")</f>
        <v/>
      </c>
    </row>
    <row r="302" spans="10:11" x14ac:dyDescent="0.2">
      <c r="J302" s="52" t="str" cm="1">
        <f t="array" ref="J302">IFERROR(
  VALUE($H302) *
  VALUE(
    _xlfn.XLOOKUP(
      TRIM($F302) &amp; "|" &amp; LEFT(SUBSTITUTE($G302,CHAR(160)," "),5) &amp; "|Reduced Rate",
      TRIM(SUBSTITUTE($Q$2:$Q$47,CHAR(160)," ")) &amp; "|" &amp;
      LEFT(SUBSTITUTE($R$2:$R$47,CHAR(160)," "),5) &amp; "|" &amp;
      TRIM(SUBSTITUTE($S$2:$S$47,CHAR(160)," ")),
      $T$2:$T$47
    )
  ),
"")</f>
        <v/>
      </c>
      <c r="K302" s="52" t="str" cm="1">
        <f t="array" ref="K302">IFERROR(
  VALUE($H302) *
  VALUE(
    _xlfn.XLOOKUP(
      TRIM($F302) &amp; "|" &amp; LEFT(SUBSTITUTE($G302,CHAR(160)," "),5) &amp; "|Ideas Rate",
      TRIM(SUBSTITUTE($Q$2:$Q$47,CHAR(160)," ")) &amp; "|" &amp;
      LEFT(SUBSTITUTE($R$2:$R$47,CHAR(160)," "),5) &amp; "|" &amp;
      TRIM(SUBSTITUTE($S$2:$S$47,CHAR(160)," ")),
      $T$2:$T$47
    )
  ),
"")</f>
        <v/>
      </c>
    </row>
    <row r="303" spans="10:11" x14ac:dyDescent="0.2">
      <c r="J303" s="52" t="str" cm="1">
        <f t="array" ref="J303">IFERROR(
  VALUE($H303) *
  VALUE(
    _xlfn.XLOOKUP(
      TRIM($F303) &amp; "|" &amp; LEFT(SUBSTITUTE($G303,CHAR(160)," "),5) &amp; "|Reduced Rate",
      TRIM(SUBSTITUTE($Q$2:$Q$47,CHAR(160)," ")) &amp; "|" &amp;
      LEFT(SUBSTITUTE($R$2:$R$47,CHAR(160)," "),5) &amp; "|" &amp;
      TRIM(SUBSTITUTE($S$2:$S$47,CHAR(160)," ")),
      $T$2:$T$47
    )
  ),
"")</f>
        <v/>
      </c>
      <c r="K303" s="52" t="str" cm="1">
        <f t="array" ref="K303">IFERROR(
  VALUE($H303) *
  VALUE(
    _xlfn.XLOOKUP(
      TRIM($F303) &amp; "|" &amp; LEFT(SUBSTITUTE($G303,CHAR(160)," "),5) &amp; "|Ideas Rate",
      TRIM(SUBSTITUTE($Q$2:$Q$47,CHAR(160)," ")) &amp; "|" &amp;
      LEFT(SUBSTITUTE($R$2:$R$47,CHAR(160)," "),5) &amp; "|" &amp;
      TRIM(SUBSTITUTE($S$2:$S$47,CHAR(160)," ")),
      $T$2:$T$47
    )
  ),
"")</f>
        <v/>
      </c>
    </row>
    <row r="304" spans="10:11" x14ac:dyDescent="0.2">
      <c r="J304" s="52" t="str" cm="1">
        <f t="array" ref="J304">IFERROR(
  VALUE($H304) *
  VALUE(
    _xlfn.XLOOKUP(
      TRIM($F304) &amp; "|" &amp; LEFT(SUBSTITUTE($G304,CHAR(160)," "),5) &amp; "|Reduced Rate",
      TRIM(SUBSTITUTE($Q$2:$Q$47,CHAR(160)," ")) &amp; "|" &amp;
      LEFT(SUBSTITUTE($R$2:$R$47,CHAR(160)," "),5) &amp; "|" &amp;
      TRIM(SUBSTITUTE($S$2:$S$47,CHAR(160)," ")),
      $T$2:$T$47
    )
  ),
"")</f>
        <v/>
      </c>
      <c r="K304" s="52" t="str" cm="1">
        <f t="array" ref="K304">IFERROR(
  VALUE($H304) *
  VALUE(
    _xlfn.XLOOKUP(
      TRIM($F304) &amp; "|" &amp; LEFT(SUBSTITUTE($G304,CHAR(160)," "),5) &amp; "|Ideas Rate",
      TRIM(SUBSTITUTE($Q$2:$Q$47,CHAR(160)," ")) &amp; "|" &amp;
      LEFT(SUBSTITUTE($R$2:$R$47,CHAR(160)," "),5) &amp; "|" &amp;
      TRIM(SUBSTITUTE($S$2:$S$47,CHAR(160)," ")),
      $T$2:$T$47
    )
  ),
"")</f>
        <v/>
      </c>
    </row>
    <row r="305" spans="10:11" x14ac:dyDescent="0.2">
      <c r="J305" s="52" t="str" cm="1">
        <f t="array" ref="J305">IFERROR(
  VALUE($H305) *
  VALUE(
    _xlfn.XLOOKUP(
      TRIM($F305) &amp; "|" &amp; LEFT(SUBSTITUTE($G305,CHAR(160)," "),5) &amp; "|Reduced Rate",
      TRIM(SUBSTITUTE($Q$2:$Q$47,CHAR(160)," ")) &amp; "|" &amp;
      LEFT(SUBSTITUTE($R$2:$R$47,CHAR(160)," "),5) &amp; "|" &amp;
      TRIM(SUBSTITUTE($S$2:$S$47,CHAR(160)," ")),
      $T$2:$T$47
    )
  ),
"")</f>
        <v/>
      </c>
      <c r="K305" s="52" t="str" cm="1">
        <f t="array" ref="K305">IFERROR(
  VALUE($H305) *
  VALUE(
    _xlfn.XLOOKUP(
      TRIM($F305) &amp; "|" &amp; LEFT(SUBSTITUTE($G305,CHAR(160)," "),5) &amp; "|Ideas Rate",
      TRIM(SUBSTITUTE($Q$2:$Q$47,CHAR(160)," ")) &amp; "|" &amp;
      LEFT(SUBSTITUTE($R$2:$R$47,CHAR(160)," "),5) &amp; "|" &amp;
      TRIM(SUBSTITUTE($S$2:$S$47,CHAR(160)," ")),
      $T$2:$T$47
    )
  ),
"")</f>
        <v/>
      </c>
    </row>
    <row r="306" spans="10:11" x14ac:dyDescent="0.2">
      <c r="J306" s="52" t="str" cm="1">
        <f t="array" ref="J306">IFERROR(
  VALUE($H306) *
  VALUE(
    _xlfn.XLOOKUP(
      TRIM($F306) &amp; "|" &amp; LEFT(SUBSTITUTE($G306,CHAR(160)," "),5) &amp; "|Reduced Rate",
      TRIM(SUBSTITUTE($Q$2:$Q$47,CHAR(160)," ")) &amp; "|" &amp;
      LEFT(SUBSTITUTE($R$2:$R$47,CHAR(160)," "),5) &amp; "|" &amp;
      TRIM(SUBSTITUTE($S$2:$S$47,CHAR(160)," ")),
      $T$2:$T$47
    )
  ),
"")</f>
        <v/>
      </c>
      <c r="K306" s="52" t="str" cm="1">
        <f t="array" ref="K306">IFERROR(
  VALUE($H306) *
  VALUE(
    _xlfn.XLOOKUP(
      TRIM($F306) &amp; "|" &amp; LEFT(SUBSTITUTE($G306,CHAR(160)," "),5) &amp; "|Ideas Rate",
      TRIM(SUBSTITUTE($Q$2:$Q$47,CHAR(160)," ")) &amp; "|" &amp;
      LEFT(SUBSTITUTE($R$2:$R$47,CHAR(160)," "),5) &amp; "|" &amp;
      TRIM(SUBSTITUTE($S$2:$S$47,CHAR(160)," ")),
      $T$2:$T$47
    )
  ),
"")</f>
        <v/>
      </c>
    </row>
    <row r="307" spans="10:11" x14ac:dyDescent="0.2">
      <c r="J307" s="52" t="str" cm="1">
        <f t="array" ref="J307">IFERROR(
  VALUE($H307) *
  VALUE(
    _xlfn.XLOOKUP(
      TRIM($F307) &amp; "|" &amp; LEFT(SUBSTITUTE($G307,CHAR(160)," "),5) &amp; "|Reduced Rate",
      TRIM(SUBSTITUTE($Q$2:$Q$47,CHAR(160)," ")) &amp; "|" &amp;
      LEFT(SUBSTITUTE($R$2:$R$47,CHAR(160)," "),5) &amp; "|" &amp;
      TRIM(SUBSTITUTE($S$2:$S$47,CHAR(160)," ")),
      $T$2:$T$47
    )
  ),
"")</f>
        <v/>
      </c>
      <c r="K307" s="52" t="str" cm="1">
        <f t="array" ref="K307">IFERROR(
  VALUE($H307) *
  VALUE(
    _xlfn.XLOOKUP(
      TRIM($F307) &amp; "|" &amp; LEFT(SUBSTITUTE($G307,CHAR(160)," "),5) &amp; "|Ideas Rate",
      TRIM(SUBSTITUTE($Q$2:$Q$47,CHAR(160)," ")) &amp; "|" &amp;
      LEFT(SUBSTITUTE($R$2:$R$47,CHAR(160)," "),5) &amp; "|" &amp;
      TRIM(SUBSTITUTE($S$2:$S$47,CHAR(160)," ")),
      $T$2:$T$47
    )
  ),
"")</f>
        <v/>
      </c>
    </row>
    <row r="308" spans="10:11" x14ac:dyDescent="0.2">
      <c r="J308" s="52" t="str" cm="1">
        <f t="array" ref="J308">IFERROR(
  VALUE($H308) *
  VALUE(
    _xlfn.XLOOKUP(
      TRIM($F308) &amp; "|" &amp; LEFT(SUBSTITUTE($G308,CHAR(160)," "),5) &amp; "|Reduced Rate",
      TRIM(SUBSTITUTE($Q$2:$Q$47,CHAR(160)," ")) &amp; "|" &amp;
      LEFT(SUBSTITUTE($R$2:$R$47,CHAR(160)," "),5) &amp; "|" &amp;
      TRIM(SUBSTITUTE($S$2:$S$47,CHAR(160)," ")),
      $T$2:$T$47
    )
  ),
"")</f>
        <v/>
      </c>
      <c r="K308" s="52" t="str" cm="1">
        <f t="array" ref="K308">IFERROR(
  VALUE($H308) *
  VALUE(
    _xlfn.XLOOKUP(
      TRIM($F308) &amp; "|" &amp; LEFT(SUBSTITUTE($G308,CHAR(160)," "),5) &amp; "|Ideas Rate",
      TRIM(SUBSTITUTE($Q$2:$Q$47,CHAR(160)," ")) &amp; "|" &amp;
      LEFT(SUBSTITUTE($R$2:$R$47,CHAR(160)," "),5) &amp; "|" &amp;
      TRIM(SUBSTITUTE($S$2:$S$47,CHAR(160)," ")),
      $T$2:$T$47
    )
  ),
"")</f>
        <v/>
      </c>
    </row>
    <row r="309" spans="10:11" x14ac:dyDescent="0.2">
      <c r="J309" s="52" t="str" cm="1">
        <f t="array" ref="J309">IFERROR(
  VALUE($H309) *
  VALUE(
    _xlfn.XLOOKUP(
      TRIM($F309) &amp; "|" &amp; LEFT(SUBSTITUTE($G309,CHAR(160)," "),5) &amp; "|Reduced Rate",
      TRIM(SUBSTITUTE($Q$2:$Q$47,CHAR(160)," ")) &amp; "|" &amp;
      LEFT(SUBSTITUTE($R$2:$R$47,CHAR(160)," "),5) &amp; "|" &amp;
      TRIM(SUBSTITUTE($S$2:$S$47,CHAR(160)," ")),
      $T$2:$T$47
    )
  ),
"")</f>
        <v/>
      </c>
      <c r="K309" s="52" t="str" cm="1">
        <f t="array" ref="K309">IFERROR(
  VALUE($H309) *
  VALUE(
    _xlfn.XLOOKUP(
      TRIM($F309) &amp; "|" &amp; LEFT(SUBSTITUTE($G309,CHAR(160)," "),5) &amp; "|Ideas Rate",
      TRIM(SUBSTITUTE($Q$2:$Q$47,CHAR(160)," ")) &amp; "|" &amp;
      LEFT(SUBSTITUTE($R$2:$R$47,CHAR(160)," "),5) &amp; "|" &amp;
      TRIM(SUBSTITUTE($S$2:$S$47,CHAR(160)," ")),
      $T$2:$T$47
    )
  ),
"")</f>
        <v/>
      </c>
    </row>
    <row r="310" spans="10:11" x14ac:dyDescent="0.2">
      <c r="J310" s="52" t="str" cm="1">
        <f t="array" ref="J310">IFERROR(
  VALUE($H310) *
  VALUE(
    _xlfn.XLOOKUP(
      TRIM($F310) &amp; "|" &amp; LEFT(SUBSTITUTE($G310,CHAR(160)," "),5) &amp; "|Reduced Rate",
      TRIM(SUBSTITUTE($Q$2:$Q$47,CHAR(160)," ")) &amp; "|" &amp;
      LEFT(SUBSTITUTE($R$2:$R$47,CHAR(160)," "),5) &amp; "|" &amp;
      TRIM(SUBSTITUTE($S$2:$S$47,CHAR(160)," ")),
      $T$2:$T$47
    )
  ),
"")</f>
        <v/>
      </c>
      <c r="K310" s="52" t="str" cm="1">
        <f t="array" ref="K310">IFERROR(
  VALUE($H310) *
  VALUE(
    _xlfn.XLOOKUP(
      TRIM($F310) &amp; "|" &amp; LEFT(SUBSTITUTE($G310,CHAR(160)," "),5) &amp; "|Ideas Rate",
      TRIM(SUBSTITUTE($Q$2:$Q$47,CHAR(160)," ")) &amp; "|" &amp;
      LEFT(SUBSTITUTE($R$2:$R$47,CHAR(160)," "),5) &amp; "|" &amp;
      TRIM(SUBSTITUTE($S$2:$S$47,CHAR(160)," ")),
      $T$2:$T$47
    )
  ),
"")</f>
        <v/>
      </c>
    </row>
    <row r="311" spans="10:11" x14ac:dyDescent="0.2">
      <c r="J311" s="52" t="str" cm="1">
        <f t="array" ref="J311">IFERROR(
  VALUE($H311) *
  VALUE(
    _xlfn.XLOOKUP(
      TRIM($F311) &amp; "|" &amp; LEFT(SUBSTITUTE($G311,CHAR(160)," "),5) &amp; "|Reduced Rate",
      TRIM(SUBSTITUTE($Q$2:$Q$47,CHAR(160)," ")) &amp; "|" &amp;
      LEFT(SUBSTITUTE($R$2:$R$47,CHAR(160)," "),5) &amp; "|" &amp;
      TRIM(SUBSTITUTE($S$2:$S$47,CHAR(160)," ")),
      $T$2:$T$47
    )
  ),
"")</f>
        <v/>
      </c>
      <c r="K311" s="52" t="str" cm="1">
        <f t="array" ref="K311">IFERROR(
  VALUE($H311) *
  VALUE(
    _xlfn.XLOOKUP(
      TRIM($F311) &amp; "|" &amp; LEFT(SUBSTITUTE($G311,CHAR(160)," "),5) &amp; "|Ideas Rate",
      TRIM(SUBSTITUTE($Q$2:$Q$47,CHAR(160)," ")) &amp; "|" &amp;
      LEFT(SUBSTITUTE($R$2:$R$47,CHAR(160)," "),5) &amp; "|" &amp;
      TRIM(SUBSTITUTE($S$2:$S$47,CHAR(160)," ")),
      $T$2:$T$47
    )
  ),
"")</f>
        <v/>
      </c>
    </row>
    <row r="312" spans="10:11" x14ac:dyDescent="0.2">
      <c r="J312" s="52" t="str" cm="1">
        <f t="array" ref="J312">IFERROR(
  VALUE($H312) *
  VALUE(
    _xlfn.XLOOKUP(
      TRIM($F312) &amp; "|" &amp; LEFT(SUBSTITUTE($G312,CHAR(160)," "),5) &amp; "|Reduced Rate",
      TRIM(SUBSTITUTE($Q$2:$Q$47,CHAR(160)," ")) &amp; "|" &amp;
      LEFT(SUBSTITUTE($R$2:$R$47,CHAR(160)," "),5) &amp; "|" &amp;
      TRIM(SUBSTITUTE($S$2:$S$47,CHAR(160)," ")),
      $T$2:$T$47
    )
  ),
"")</f>
        <v/>
      </c>
      <c r="K312" s="52" t="str" cm="1">
        <f t="array" ref="K312">IFERROR(
  VALUE($H312) *
  VALUE(
    _xlfn.XLOOKUP(
      TRIM($F312) &amp; "|" &amp; LEFT(SUBSTITUTE($G312,CHAR(160)," "),5) &amp; "|Ideas Rate",
      TRIM(SUBSTITUTE($Q$2:$Q$47,CHAR(160)," ")) &amp; "|" &amp;
      LEFT(SUBSTITUTE($R$2:$R$47,CHAR(160)," "),5) &amp; "|" &amp;
      TRIM(SUBSTITUTE($S$2:$S$47,CHAR(160)," ")),
      $T$2:$T$47
    )
  ),
"")</f>
        <v/>
      </c>
    </row>
    <row r="313" spans="10:11" x14ac:dyDescent="0.2">
      <c r="J313" s="52" t="str" cm="1">
        <f t="array" ref="J313">IFERROR(
  VALUE($H313) *
  VALUE(
    _xlfn.XLOOKUP(
      TRIM($F313) &amp; "|" &amp; LEFT(SUBSTITUTE($G313,CHAR(160)," "),5) &amp; "|Reduced Rate",
      TRIM(SUBSTITUTE($Q$2:$Q$47,CHAR(160)," ")) &amp; "|" &amp;
      LEFT(SUBSTITUTE($R$2:$R$47,CHAR(160)," "),5) &amp; "|" &amp;
      TRIM(SUBSTITUTE($S$2:$S$47,CHAR(160)," ")),
      $T$2:$T$47
    )
  ),
"")</f>
        <v/>
      </c>
      <c r="K313" s="52" t="str" cm="1">
        <f t="array" ref="K313">IFERROR(
  VALUE($H313) *
  VALUE(
    _xlfn.XLOOKUP(
      TRIM($F313) &amp; "|" &amp; LEFT(SUBSTITUTE($G313,CHAR(160)," "),5) &amp; "|Ideas Rate",
      TRIM(SUBSTITUTE($Q$2:$Q$47,CHAR(160)," ")) &amp; "|" &amp;
      LEFT(SUBSTITUTE($R$2:$R$47,CHAR(160)," "),5) &amp; "|" &amp;
      TRIM(SUBSTITUTE($S$2:$S$47,CHAR(160)," ")),
      $T$2:$T$47
    )
  ),
"")</f>
        <v/>
      </c>
    </row>
    <row r="314" spans="10:11" x14ac:dyDescent="0.2">
      <c r="J314" s="52" t="str" cm="1">
        <f t="array" ref="J314">IFERROR(
  VALUE($H314) *
  VALUE(
    _xlfn.XLOOKUP(
      TRIM($F314) &amp; "|" &amp; LEFT(SUBSTITUTE($G314,CHAR(160)," "),5) &amp; "|Reduced Rate",
      TRIM(SUBSTITUTE($Q$2:$Q$47,CHAR(160)," ")) &amp; "|" &amp;
      LEFT(SUBSTITUTE($R$2:$R$47,CHAR(160)," "),5) &amp; "|" &amp;
      TRIM(SUBSTITUTE($S$2:$S$47,CHAR(160)," ")),
      $T$2:$T$47
    )
  ),
"")</f>
        <v/>
      </c>
      <c r="K314" s="52" t="str" cm="1">
        <f t="array" ref="K314">IFERROR(
  VALUE($H314) *
  VALUE(
    _xlfn.XLOOKUP(
      TRIM($F314) &amp; "|" &amp; LEFT(SUBSTITUTE($G314,CHAR(160)," "),5) &amp; "|Ideas Rate",
      TRIM(SUBSTITUTE($Q$2:$Q$47,CHAR(160)," ")) &amp; "|" &amp;
      LEFT(SUBSTITUTE($R$2:$R$47,CHAR(160)," "),5) &amp; "|" &amp;
      TRIM(SUBSTITUTE($S$2:$S$47,CHAR(160)," ")),
      $T$2:$T$47
    )
  ),
"")</f>
        <v/>
      </c>
    </row>
    <row r="315" spans="10:11" x14ac:dyDescent="0.2">
      <c r="J315" s="52" t="str" cm="1">
        <f t="array" ref="J315">IFERROR(
  VALUE($H315) *
  VALUE(
    _xlfn.XLOOKUP(
      TRIM($F315) &amp; "|" &amp; LEFT(SUBSTITUTE($G315,CHAR(160)," "),5) &amp; "|Reduced Rate",
      TRIM(SUBSTITUTE($Q$2:$Q$47,CHAR(160)," ")) &amp; "|" &amp;
      LEFT(SUBSTITUTE($R$2:$R$47,CHAR(160)," "),5) &amp; "|" &amp;
      TRIM(SUBSTITUTE($S$2:$S$47,CHAR(160)," ")),
      $T$2:$T$47
    )
  ),
"")</f>
        <v/>
      </c>
      <c r="K315" s="52" t="str" cm="1">
        <f t="array" ref="K315">IFERROR(
  VALUE($H315) *
  VALUE(
    _xlfn.XLOOKUP(
      TRIM($F315) &amp; "|" &amp; LEFT(SUBSTITUTE($G315,CHAR(160)," "),5) &amp; "|Ideas Rate",
      TRIM(SUBSTITUTE($Q$2:$Q$47,CHAR(160)," ")) &amp; "|" &amp;
      LEFT(SUBSTITUTE($R$2:$R$47,CHAR(160)," "),5) &amp; "|" &amp;
      TRIM(SUBSTITUTE($S$2:$S$47,CHAR(160)," ")),
      $T$2:$T$47
    )
  ),
"")</f>
        <v/>
      </c>
    </row>
    <row r="316" spans="10:11" x14ac:dyDescent="0.2">
      <c r="J316" s="52" t="str" cm="1">
        <f t="array" ref="J316">IFERROR(
  VALUE($H316) *
  VALUE(
    _xlfn.XLOOKUP(
      TRIM($F316) &amp; "|" &amp; LEFT(SUBSTITUTE($G316,CHAR(160)," "),5) &amp; "|Reduced Rate",
      TRIM(SUBSTITUTE($Q$2:$Q$47,CHAR(160)," ")) &amp; "|" &amp;
      LEFT(SUBSTITUTE($R$2:$R$47,CHAR(160)," "),5) &amp; "|" &amp;
      TRIM(SUBSTITUTE($S$2:$S$47,CHAR(160)," ")),
      $T$2:$T$47
    )
  ),
"")</f>
        <v/>
      </c>
      <c r="K316" s="52" t="str" cm="1">
        <f t="array" ref="K316">IFERROR(
  VALUE($H316) *
  VALUE(
    _xlfn.XLOOKUP(
      TRIM($F316) &amp; "|" &amp; LEFT(SUBSTITUTE($G316,CHAR(160)," "),5) &amp; "|Ideas Rate",
      TRIM(SUBSTITUTE($Q$2:$Q$47,CHAR(160)," ")) &amp; "|" &amp;
      LEFT(SUBSTITUTE($R$2:$R$47,CHAR(160)," "),5) &amp; "|" &amp;
      TRIM(SUBSTITUTE($S$2:$S$47,CHAR(160)," ")),
      $T$2:$T$47
    )
  ),
"")</f>
        <v/>
      </c>
    </row>
    <row r="317" spans="10:11" x14ac:dyDescent="0.2">
      <c r="J317" s="52" t="str" cm="1">
        <f t="array" ref="J317">IFERROR(
  VALUE($H317) *
  VALUE(
    _xlfn.XLOOKUP(
      TRIM($F317) &amp; "|" &amp; LEFT(SUBSTITUTE($G317,CHAR(160)," "),5) &amp; "|Reduced Rate",
      TRIM(SUBSTITUTE($Q$2:$Q$47,CHAR(160)," ")) &amp; "|" &amp;
      LEFT(SUBSTITUTE($R$2:$R$47,CHAR(160)," "),5) &amp; "|" &amp;
      TRIM(SUBSTITUTE($S$2:$S$47,CHAR(160)," ")),
      $T$2:$T$47
    )
  ),
"")</f>
        <v/>
      </c>
      <c r="K317" s="52" t="str" cm="1">
        <f t="array" ref="K317">IFERROR(
  VALUE($H317) *
  VALUE(
    _xlfn.XLOOKUP(
      TRIM($F317) &amp; "|" &amp; LEFT(SUBSTITUTE($G317,CHAR(160)," "),5) &amp; "|Ideas Rate",
      TRIM(SUBSTITUTE($Q$2:$Q$47,CHAR(160)," ")) &amp; "|" &amp;
      LEFT(SUBSTITUTE($R$2:$R$47,CHAR(160)," "),5) &amp; "|" &amp;
      TRIM(SUBSTITUTE($S$2:$S$47,CHAR(160)," ")),
      $T$2:$T$47
    )
  ),
"")</f>
        <v/>
      </c>
    </row>
    <row r="318" spans="10:11" x14ac:dyDescent="0.2">
      <c r="J318" s="52" t="str" cm="1">
        <f t="array" ref="J318">IFERROR(
  VALUE($H318) *
  VALUE(
    _xlfn.XLOOKUP(
      TRIM($F318) &amp; "|" &amp; LEFT(SUBSTITUTE($G318,CHAR(160)," "),5) &amp; "|Reduced Rate",
      TRIM(SUBSTITUTE($Q$2:$Q$47,CHAR(160)," ")) &amp; "|" &amp;
      LEFT(SUBSTITUTE($R$2:$R$47,CHAR(160)," "),5) &amp; "|" &amp;
      TRIM(SUBSTITUTE($S$2:$S$47,CHAR(160)," ")),
      $T$2:$T$47
    )
  ),
"")</f>
        <v/>
      </c>
      <c r="K318" s="52" t="str" cm="1">
        <f t="array" ref="K318">IFERROR(
  VALUE($H318) *
  VALUE(
    _xlfn.XLOOKUP(
      TRIM($F318) &amp; "|" &amp; LEFT(SUBSTITUTE($G318,CHAR(160)," "),5) &amp; "|Ideas Rate",
      TRIM(SUBSTITUTE($Q$2:$Q$47,CHAR(160)," ")) &amp; "|" &amp;
      LEFT(SUBSTITUTE($R$2:$R$47,CHAR(160)," "),5) &amp; "|" &amp;
      TRIM(SUBSTITUTE($S$2:$S$47,CHAR(160)," ")),
      $T$2:$T$47
    )
  ),
"")</f>
        <v/>
      </c>
    </row>
    <row r="319" spans="10:11" x14ac:dyDescent="0.2">
      <c r="J319" s="52" t="str" cm="1">
        <f t="array" ref="J319">IFERROR(
  VALUE($H319) *
  VALUE(
    _xlfn.XLOOKUP(
      TRIM($F319) &amp; "|" &amp; LEFT(SUBSTITUTE($G319,CHAR(160)," "),5) &amp; "|Reduced Rate",
      TRIM(SUBSTITUTE($Q$2:$Q$47,CHAR(160)," ")) &amp; "|" &amp;
      LEFT(SUBSTITUTE($R$2:$R$47,CHAR(160)," "),5) &amp; "|" &amp;
      TRIM(SUBSTITUTE($S$2:$S$47,CHAR(160)," ")),
      $T$2:$T$47
    )
  ),
"")</f>
        <v/>
      </c>
      <c r="K319" s="52" t="str" cm="1">
        <f t="array" ref="K319">IFERROR(
  VALUE($H319) *
  VALUE(
    _xlfn.XLOOKUP(
      TRIM($F319) &amp; "|" &amp; LEFT(SUBSTITUTE($G319,CHAR(160)," "),5) &amp; "|Ideas Rate",
      TRIM(SUBSTITUTE($Q$2:$Q$47,CHAR(160)," ")) &amp; "|" &amp;
      LEFT(SUBSTITUTE($R$2:$R$47,CHAR(160)," "),5) &amp; "|" &amp;
      TRIM(SUBSTITUTE($S$2:$S$47,CHAR(160)," ")),
      $T$2:$T$47
    )
  ),
"")</f>
        <v/>
      </c>
    </row>
    <row r="320" spans="10:11" x14ac:dyDescent="0.2">
      <c r="J320" s="52" t="str" cm="1">
        <f t="array" ref="J320">IFERROR(
  VALUE($H320) *
  VALUE(
    _xlfn.XLOOKUP(
      TRIM($F320) &amp; "|" &amp; LEFT(SUBSTITUTE($G320,CHAR(160)," "),5) &amp; "|Reduced Rate",
      TRIM(SUBSTITUTE($Q$2:$Q$47,CHAR(160)," ")) &amp; "|" &amp;
      LEFT(SUBSTITUTE($R$2:$R$47,CHAR(160)," "),5) &amp; "|" &amp;
      TRIM(SUBSTITUTE($S$2:$S$47,CHAR(160)," ")),
      $T$2:$T$47
    )
  ),
"")</f>
        <v/>
      </c>
      <c r="K320" s="52" t="str" cm="1">
        <f t="array" ref="K320">IFERROR(
  VALUE($H320) *
  VALUE(
    _xlfn.XLOOKUP(
      TRIM($F320) &amp; "|" &amp; LEFT(SUBSTITUTE($G320,CHAR(160)," "),5) &amp; "|Ideas Rate",
      TRIM(SUBSTITUTE($Q$2:$Q$47,CHAR(160)," ")) &amp; "|" &amp;
      LEFT(SUBSTITUTE($R$2:$R$47,CHAR(160)," "),5) &amp; "|" &amp;
      TRIM(SUBSTITUTE($S$2:$S$47,CHAR(160)," ")),
      $T$2:$T$47
    )
  ),
"")</f>
        <v/>
      </c>
    </row>
    <row r="321" spans="10:11" x14ac:dyDescent="0.2">
      <c r="J321" s="52" t="str" cm="1">
        <f t="array" ref="J321">IFERROR(
  VALUE($H321) *
  VALUE(
    _xlfn.XLOOKUP(
      TRIM($F321) &amp; "|" &amp; LEFT(SUBSTITUTE($G321,CHAR(160)," "),5) &amp; "|Reduced Rate",
      TRIM(SUBSTITUTE($Q$2:$Q$47,CHAR(160)," ")) &amp; "|" &amp;
      LEFT(SUBSTITUTE($R$2:$R$47,CHAR(160)," "),5) &amp; "|" &amp;
      TRIM(SUBSTITUTE($S$2:$S$47,CHAR(160)," ")),
      $T$2:$T$47
    )
  ),
"")</f>
        <v/>
      </c>
      <c r="K321" s="52" t="str" cm="1">
        <f t="array" ref="K321">IFERROR(
  VALUE($H321) *
  VALUE(
    _xlfn.XLOOKUP(
      TRIM($F321) &amp; "|" &amp; LEFT(SUBSTITUTE($G321,CHAR(160)," "),5) &amp; "|Ideas Rate",
      TRIM(SUBSTITUTE($Q$2:$Q$47,CHAR(160)," ")) &amp; "|" &amp;
      LEFT(SUBSTITUTE($R$2:$R$47,CHAR(160)," "),5) &amp; "|" &amp;
      TRIM(SUBSTITUTE($S$2:$S$47,CHAR(160)," ")),
      $T$2:$T$47
    )
  ),
"")</f>
        <v/>
      </c>
    </row>
    <row r="322" spans="10:11" x14ac:dyDescent="0.2">
      <c r="J322" s="52" t="str" cm="1">
        <f t="array" ref="J322">IFERROR(
  VALUE($H322) *
  VALUE(
    _xlfn.XLOOKUP(
      TRIM($F322) &amp; "|" &amp; LEFT(SUBSTITUTE($G322,CHAR(160)," "),5) &amp; "|Reduced Rate",
      TRIM(SUBSTITUTE($Q$2:$Q$47,CHAR(160)," ")) &amp; "|" &amp;
      LEFT(SUBSTITUTE($R$2:$R$47,CHAR(160)," "),5) &amp; "|" &amp;
      TRIM(SUBSTITUTE($S$2:$S$47,CHAR(160)," ")),
      $T$2:$T$47
    )
  ),
"")</f>
        <v/>
      </c>
      <c r="K322" s="52" t="str" cm="1">
        <f t="array" ref="K322">IFERROR(
  VALUE($H322) *
  VALUE(
    _xlfn.XLOOKUP(
      TRIM($F322) &amp; "|" &amp; LEFT(SUBSTITUTE($G322,CHAR(160)," "),5) &amp; "|Ideas Rate",
      TRIM(SUBSTITUTE($Q$2:$Q$47,CHAR(160)," ")) &amp; "|" &amp;
      LEFT(SUBSTITUTE($R$2:$R$47,CHAR(160)," "),5) &amp; "|" &amp;
      TRIM(SUBSTITUTE($S$2:$S$47,CHAR(160)," ")),
      $T$2:$T$47
    )
  ),
"")</f>
        <v/>
      </c>
    </row>
    <row r="323" spans="10:11" x14ac:dyDescent="0.2">
      <c r="J323" s="52" t="str" cm="1">
        <f t="array" ref="J323">IFERROR(
  VALUE($H323) *
  VALUE(
    _xlfn.XLOOKUP(
      TRIM($F323) &amp; "|" &amp; LEFT(SUBSTITUTE($G323,CHAR(160)," "),5) &amp; "|Reduced Rate",
      TRIM(SUBSTITUTE($Q$2:$Q$47,CHAR(160)," ")) &amp; "|" &amp;
      LEFT(SUBSTITUTE($R$2:$R$47,CHAR(160)," "),5) &amp; "|" &amp;
      TRIM(SUBSTITUTE($S$2:$S$47,CHAR(160)," ")),
      $T$2:$T$47
    )
  ),
"")</f>
        <v/>
      </c>
      <c r="K323" s="52" t="str" cm="1">
        <f t="array" ref="K323">IFERROR(
  VALUE($H323) *
  VALUE(
    _xlfn.XLOOKUP(
      TRIM($F323) &amp; "|" &amp; LEFT(SUBSTITUTE($G323,CHAR(160)," "),5) &amp; "|Ideas Rate",
      TRIM(SUBSTITUTE($Q$2:$Q$47,CHAR(160)," ")) &amp; "|" &amp;
      LEFT(SUBSTITUTE($R$2:$R$47,CHAR(160)," "),5) &amp; "|" &amp;
      TRIM(SUBSTITUTE($S$2:$S$47,CHAR(160)," ")),
      $T$2:$T$47
    )
  ),
"")</f>
        <v/>
      </c>
    </row>
    <row r="324" spans="10:11" x14ac:dyDescent="0.2">
      <c r="J324" s="52" t="str" cm="1">
        <f t="array" ref="J324">IFERROR(
  VALUE($H324) *
  VALUE(
    _xlfn.XLOOKUP(
      TRIM($F324) &amp; "|" &amp; LEFT(SUBSTITUTE($G324,CHAR(160)," "),5) &amp; "|Reduced Rate",
      TRIM(SUBSTITUTE($Q$2:$Q$47,CHAR(160)," ")) &amp; "|" &amp;
      LEFT(SUBSTITUTE($R$2:$R$47,CHAR(160)," "),5) &amp; "|" &amp;
      TRIM(SUBSTITUTE($S$2:$S$47,CHAR(160)," ")),
      $T$2:$T$47
    )
  ),
"")</f>
        <v/>
      </c>
      <c r="K324" s="52" t="str" cm="1">
        <f t="array" ref="K324">IFERROR(
  VALUE($H324) *
  VALUE(
    _xlfn.XLOOKUP(
      TRIM($F324) &amp; "|" &amp; LEFT(SUBSTITUTE($G324,CHAR(160)," "),5) &amp; "|Ideas Rate",
      TRIM(SUBSTITUTE($Q$2:$Q$47,CHAR(160)," ")) &amp; "|" &amp;
      LEFT(SUBSTITUTE($R$2:$R$47,CHAR(160)," "),5) &amp; "|" &amp;
      TRIM(SUBSTITUTE($S$2:$S$47,CHAR(160)," ")),
      $T$2:$T$47
    )
  ),
"")</f>
        <v/>
      </c>
    </row>
    <row r="325" spans="10:11" x14ac:dyDescent="0.2">
      <c r="J325" s="52" t="str" cm="1">
        <f t="array" ref="J325">IFERROR(
  VALUE($H325) *
  VALUE(
    _xlfn.XLOOKUP(
      TRIM($F325) &amp; "|" &amp; LEFT(SUBSTITUTE($G325,CHAR(160)," "),5) &amp; "|Reduced Rate",
      TRIM(SUBSTITUTE($Q$2:$Q$47,CHAR(160)," ")) &amp; "|" &amp;
      LEFT(SUBSTITUTE($R$2:$R$47,CHAR(160)," "),5) &amp; "|" &amp;
      TRIM(SUBSTITUTE($S$2:$S$47,CHAR(160)," ")),
      $T$2:$T$47
    )
  ),
"")</f>
        <v/>
      </c>
      <c r="K325" s="52" t="str" cm="1">
        <f t="array" ref="K325">IFERROR(
  VALUE($H325) *
  VALUE(
    _xlfn.XLOOKUP(
      TRIM($F325) &amp; "|" &amp; LEFT(SUBSTITUTE($G325,CHAR(160)," "),5) &amp; "|Ideas Rate",
      TRIM(SUBSTITUTE($Q$2:$Q$47,CHAR(160)," ")) &amp; "|" &amp;
      LEFT(SUBSTITUTE($R$2:$R$47,CHAR(160)," "),5) &amp; "|" &amp;
      TRIM(SUBSTITUTE($S$2:$S$47,CHAR(160)," ")),
      $T$2:$T$47
    )
  ),
"")</f>
        <v/>
      </c>
    </row>
    <row r="326" spans="10:11" x14ac:dyDescent="0.2">
      <c r="J326" s="52" t="str" cm="1">
        <f t="array" ref="J326">IFERROR(
  VALUE($H326) *
  VALUE(
    _xlfn.XLOOKUP(
      TRIM($F326) &amp; "|" &amp; LEFT(SUBSTITUTE($G326,CHAR(160)," "),5) &amp; "|Reduced Rate",
      TRIM(SUBSTITUTE($Q$2:$Q$47,CHAR(160)," ")) &amp; "|" &amp;
      LEFT(SUBSTITUTE($R$2:$R$47,CHAR(160)," "),5) &amp; "|" &amp;
      TRIM(SUBSTITUTE($S$2:$S$47,CHAR(160)," ")),
      $T$2:$T$47
    )
  ),
"")</f>
        <v/>
      </c>
      <c r="K326" s="52" t="str" cm="1">
        <f t="array" ref="K326">IFERROR(
  VALUE($H326) *
  VALUE(
    _xlfn.XLOOKUP(
      TRIM($F326) &amp; "|" &amp; LEFT(SUBSTITUTE($G326,CHAR(160)," "),5) &amp; "|Ideas Rate",
      TRIM(SUBSTITUTE($Q$2:$Q$47,CHAR(160)," ")) &amp; "|" &amp;
      LEFT(SUBSTITUTE($R$2:$R$47,CHAR(160)," "),5) &amp; "|" &amp;
      TRIM(SUBSTITUTE($S$2:$S$47,CHAR(160)," ")),
      $T$2:$T$47
    )
  ),
"")</f>
        <v/>
      </c>
    </row>
    <row r="327" spans="10:11" x14ac:dyDescent="0.2">
      <c r="J327" s="52" t="str" cm="1">
        <f t="array" ref="J327">IFERROR(
  VALUE($H327) *
  VALUE(
    _xlfn.XLOOKUP(
      TRIM($F327) &amp; "|" &amp; LEFT(SUBSTITUTE($G327,CHAR(160)," "),5) &amp; "|Reduced Rate",
      TRIM(SUBSTITUTE($Q$2:$Q$47,CHAR(160)," ")) &amp; "|" &amp;
      LEFT(SUBSTITUTE($R$2:$R$47,CHAR(160)," "),5) &amp; "|" &amp;
      TRIM(SUBSTITUTE($S$2:$S$47,CHAR(160)," ")),
      $T$2:$T$47
    )
  ),
"")</f>
        <v/>
      </c>
      <c r="K327" s="52" t="str" cm="1">
        <f t="array" ref="K327">IFERROR(
  VALUE($H327) *
  VALUE(
    _xlfn.XLOOKUP(
      TRIM($F327) &amp; "|" &amp; LEFT(SUBSTITUTE($G327,CHAR(160)," "),5) &amp; "|Ideas Rate",
      TRIM(SUBSTITUTE($Q$2:$Q$47,CHAR(160)," ")) &amp; "|" &amp;
      LEFT(SUBSTITUTE($R$2:$R$47,CHAR(160)," "),5) &amp; "|" &amp;
      TRIM(SUBSTITUTE($S$2:$S$47,CHAR(160)," ")),
      $T$2:$T$47
    )
  ),
"")</f>
        <v/>
      </c>
    </row>
    <row r="328" spans="10:11" x14ac:dyDescent="0.2">
      <c r="J328" s="52" t="str" cm="1">
        <f t="array" ref="J328">IFERROR(
  VALUE($H328) *
  VALUE(
    _xlfn.XLOOKUP(
      TRIM($F328) &amp; "|" &amp; LEFT(SUBSTITUTE($G328,CHAR(160)," "),5) &amp; "|Reduced Rate",
      TRIM(SUBSTITUTE($Q$2:$Q$47,CHAR(160)," ")) &amp; "|" &amp;
      LEFT(SUBSTITUTE($R$2:$R$47,CHAR(160)," "),5) &amp; "|" &amp;
      TRIM(SUBSTITUTE($S$2:$S$47,CHAR(160)," ")),
      $T$2:$T$47
    )
  ),
"")</f>
        <v/>
      </c>
      <c r="K328" s="52" t="str" cm="1">
        <f t="array" ref="K328">IFERROR(
  VALUE($H328) *
  VALUE(
    _xlfn.XLOOKUP(
      TRIM($F328) &amp; "|" &amp; LEFT(SUBSTITUTE($G328,CHAR(160)," "),5) &amp; "|Ideas Rate",
      TRIM(SUBSTITUTE($Q$2:$Q$47,CHAR(160)," ")) &amp; "|" &amp;
      LEFT(SUBSTITUTE($R$2:$R$47,CHAR(160)," "),5) &amp; "|" &amp;
      TRIM(SUBSTITUTE($S$2:$S$47,CHAR(160)," ")),
      $T$2:$T$47
    )
  ),
"")</f>
        <v/>
      </c>
    </row>
    <row r="329" spans="10:11" x14ac:dyDescent="0.2">
      <c r="J329" s="52" t="str" cm="1">
        <f t="array" ref="J329">IFERROR(
  VALUE($H329) *
  VALUE(
    _xlfn.XLOOKUP(
      TRIM($F329) &amp; "|" &amp; LEFT(SUBSTITUTE($G329,CHAR(160)," "),5) &amp; "|Reduced Rate",
      TRIM(SUBSTITUTE($Q$2:$Q$47,CHAR(160)," ")) &amp; "|" &amp;
      LEFT(SUBSTITUTE($R$2:$R$47,CHAR(160)," "),5) &amp; "|" &amp;
      TRIM(SUBSTITUTE($S$2:$S$47,CHAR(160)," ")),
      $T$2:$T$47
    )
  ),
"")</f>
        <v/>
      </c>
      <c r="K329" s="52" t="str" cm="1">
        <f t="array" ref="K329">IFERROR(
  VALUE($H329) *
  VALUE(
    _xlfn.XLOOKUP(
      TRIM($F329) &amp; "|" &amp; LEFT(SUBSTITUTE($G329,CHAR(160)," "),5) &amp; "|Ideas Rate",
      TRIM(SUBSTITUTE($Q$2:$Q$47,CHAR(160)," ")) &amp; "|" &amp;
      LEFT(SUBSTITUTE($R$2:$R$47,CHAR(160)," "),5) &amp; "|" &amp;
      TRIM(SUBSTITUTE($S$2:$S$47,CHAR(160)," ")),
      $T$2:$T$47
    )
  ),
"")</f>
        <v/>
      </c>
    </row>
    <row r="330" spans="10:11" x14ac:dyDescent="0.2">
      <c r="J330" s="52" t="str" cm="1">
        <f t="array" ref="J330">IFERROR(
  VALUE($H330) *
  VALUE(
    _xlfn.XLOOKUP(
      TRIM($F330) &amp; "|" &amp; LEFT(SUBSTITUTE($G330,CHAR(160)," "),5) &amp; "|Reduced Rate",
      TRIM(SUBSTITUTE($Q$2:$Q$47,CHAR(160)," ")) &amp; "|" &amp;
      LEFT(SUBSTITUTE($R$2:$R$47,CHAR(160)," "),5) &amp; "|" &amp;
      TRIM(SUBSTITUTE($S$2:$S$47,CHAR(160)," ")),
      $T$2:$T$47
    )
  ),
"")</f>
        <v/>
      </c>
      <c r="K330" s="52" t="str" cm="1">
        <f t="array" ref="K330">IFERROR(
  VALUE($H330) *
  VALUE(
    _xlfn.XLOOKUP(
      TRIM($F330) &amp; "|" &amp; LEFT(SUBSTITUTE($G330,CHAR(160)," "),5) &amp; "|Ideas Rate",
      TRIM(SUBSTITUTE($Q$2:$Q$47,CHAR(160)," ")) &amp; "|" &amp;
      LEFT(SUBSTITUTE($R$2:$R$47,CHAR(160)," "),5) &amp; "|" &amp;
      TRIM(SUBSTITUTE($S$2:$S$47,CHAR(160)," ")),
      $T$2:$T$47
    )
  ),
"")</f>
        <v/>
      </c>
    </row>
    <row r="331" spans="10:11" x14ac:dyDescent="0.2">
      <c r="J331" s="52" t="str" cm="1">
        <f t="array" ref="J331">IFERROR(
  VALUE($H331) *
  VALUE(
    _xlfn.XLOOKUP(
      TRIM($F331) &amp; "|" &amp; LEFT(SUBSTITUTE($G331,CHAR(160)," "),5) &amp; "|Reduced Rate",
      TRIM(SUBSTITUTE($Q$2:$Q$47,CHAR(160)," ")) &amp; "|" &amp;
      LEFT(SUBSTITUTE($R$2:$R$47,CHAR(160)," "),5) &amp; "|" &amp;
      TRIM(SUBSTITUTE($S$2:$S$47,CHAR(160)," ")),
      $T$2:$T$47
    )
  ),
"")</f>
        <v/>
      </c>
      <c r="K331" s="52" t="str" cm="1">
        <f t="array" ref="K331">IFERROR(
  VALUE($H331) *
  VALUE(
    _xlfn.XLOOKUP(
      TRIM($F331) &amp; "|" &amp; LEFT(SUBSTITUTE($G331,CHAR(160)," "),5) &amp; "|Ideas Rate",
      TRIM(SUBSTITUTE($Q$2:$Q$47,CHAR(160)," ")) &amp; "|" &amp;
      LEFT(SUBSTITUTE($R$2:$R$47,CHAR(160)," "),5) &amp; "|" &amp;
      TRIM(SUBSTITUTE($S$2:$S$47,CHAR(160)," ")),
      $T$2:$T$47
    )
  ),
"")</f>
        <v/>
      </c>
    </row>
    <row r="332" spans="10:11" x14ac:dyDescent="0.2">
      <c r="J332" s="52" t="str" cm="1">
        <f t="array" ref="J332">IFERROR(
  VALUE($H332) *
  VALUE(
    _xlfn.XLOOKUP(
      TRIM($F332) &amp; "|" &amp; LEFT(SUBSTITUTE($G332,CHAR(160)," "),5) &amp; "|Reduced Rate",
      TRIM(SUBSTITUTE($Q$2:$Q$47,CHAR(160)," ")) &amp; "|" &amp;
      LEFT(SUBSTITUTE($R$2:$R$47,CHAR(160)," "),5) &amp; "|" &amp;
      TRIM(SUBSTITUTE($S$2:$S$47,CHAR(160)," ")),
      $T$2:$T$47
    )
  ),
"")</f>
        <v/>
      </c>
      <c r="K332" s="52" t="str" cm="1">
        <f t="array" ref="K332">IFERROR(
  VALUE($H332) *
  VALUE(
    _xlfn.XLOOKUP(
      TRIM($F332) &amp; "|" &amp; LEFT(SUBSTITUTE($G332,CHAR(160)," "),5) &amp; "|Ideas Rate",
      TRIM(SUBSTITUTE($Q$2:$Q$47,CHAR(160)," ")) &amp; "|" &amp;
      LEFT(SUBSTITUTE($R$2:$R$47,CHAR(160)," "),5) &amp; "|" &amp;
      TRIM(SUBSTITUTE($S$2:$S$47,CHAR(160)," ")),
      $T$2:$T$47
    )
  ),
"")</f>
        <v/>
      </c>
    </row>
    <row r="333" spans="10:11" x14ac:dyDescent="0.2">
      <c r="J333" s="52" t="str" cm="1">
        <f t="array" ref="J333">IFERROR(
  VALUE($H333) *
  VALUE(
    _xlfn.XLOOKUP(
      TRIM($F333) &amp; "|" &amp; LEFT(SUBSTITUTE($G333,CHAR(160)," "),5) &amp; "|Reduced Rate",
      TRIM(SUBSTITUTE($Q$2:$Q$47,CHAR(160)," ")) &amp; "|" &amp;
      LEFT(SUBSTITUTE($R$2:$R$47,CHAR(160)," "),5) &amp; "|" &amp;
      TRIM(SUBSTITUTE($S$2:$S$47,CHAR(160)," ")),
      $T$2:$T$47
    )
  ),
"")</f>
        <v/>
      </c>
      <c r="K333" s="52" t="str" cm="1">
        <f t="array" ref="K333">IFERROR(
  VALUE($H333) *
  VALUE(
    _xlfn.XLOOKUP(
      TRIM($F333) &amp; "|" &amp; LEFT(SUBSTITUTE($G333,CHAR(160)," "),5) &amp; "|Ideas Rate",
      TRIM(SUBSTITUTE($Q$2:$Q$47,CHAR(160)," ")) &amp; "|" &amp;
      LEFT(SUBSTITUTE($R$2:$R$47,CHAR(160)," "),5) &amp; "|" &amp;
      TRIM(SUBSTITUTE($S$2:$S$47,CHAR(160)," ")),
      $T$2:$T$47
    )
  ),
"")</f>
        <v/>
      </c>
    </row>
    <row r="334" spans="10:11" x14ac:dyDescent="0.2">
      <c r="J334" s="52" t="str" cm="1">
        <f t="array" ref="J334">IFERROR(
  VALUE($H334) *
  VALUE(
    _xlfn.XLOOKUP(
      TRIM($F334) &amp; "|" &amp; LEFT(SUBSTITUTE($G334,CHAR(160)," "),5) &amp; "|Reduced Rate",
      TRIM(SUBSTITUTE($Q$2:$Q$47,CHAR(160)," ")) &amp; "|" &amp;
      LEFT(SUBSTITUTE($R$2:$R$47,CHAR(160)," "),5) &amp; "|" &amp;
      TRIM(SUBSTITUTE($S$2:$S$47,CHAR(160)," ")),
      $T$2:$T$47
    )
  ),
"")</f>
        <v/>
      </c>
      <c r="K334" s="52" t="str" cm="1">
        <f t="array" ref="K334">IFERROR(
  VALUE($H334) *
  VALUE(
    _xlfn.XLOOKUP(
      TRIM($F334) &amp; "|" &amp; LEFT(SUBSTITUTE($G334,CHAR(160)," "),5) &amp; "|Ideas Rate",
      TRIM(SUBSTITUTE($Q$2:$Q$47,CHAR(160)," ")) &amp; "|" &amp;
      LEFT(SUBSTITUTE($R$2:$R$47,CHAR(160)," "),5) &amp; "|" &amp;
      TRIM(SUBSTITUTE($S$2:$S$47,CHAR(160)," ")),
      $T$2:$T$47
    )
  ),
"")</f>
        <v/>
      </c>
    </row>
    <row r="335" spans="10:11" x14ac:dyDescent="0.2">
      <c r="J335" s="52" t="str" cm="1">
        <f t="array" ref="J335">IFERROR(
  VALUE($H335) *
  VALUE(
    _xlfn.XLOOKUP(
      TRIM($F335) &amp; "|" &amp; LEFT(SUBSTITUTE($G335,CHAR(160)," "),5) &amp; "|Reduced Rate",
      TRIM(SUBSTITUTE($Q$2:$Q$47,CHAR(160)," ")) &amp; "|" &amp;
      LEFT(SUBSTITUTE($R$2:$R$47,CHAR(160)," "),5) &amp; "|" &amp;
      TRIM(SUBSTITUTE($S$2:$S$47,CHAR(160)," ")),
      $T$2:$T$47
    )
  ),
"")</f>
        <v/>
      </c>
      <c r="K335" s="52" t="str" cm="1">
        <f t="array" ref="K335">IFERROR(
  VALUE($H335) *
  VALUE(
    _xlfn.XLOOKUP(
      TRIM($F335) &amp; "|" &amp; LEFT(SUBSTITUTE($G335,CHAR(160)," "),5) &amp; "|Ideas Rate",
      TRIM(SUBSTITUTE($Q$2:$Q$47,CHAR(160)," ")) &amp; "|" &amp;
      LEFT(SUBSTITUTE($R$2:$R$47,CHAR(160)," "),5) &amp; "|" &amp;
      TRIM(SUBSTITUTE($S$2:$S$47,CHAR(160)," ")),
      $T$2:$T$47
    )
  ),
"")</f>
        <v/>
      </c>
    </row>
    <row r="336" spans="10:11" x14ac:dyDescent="0.2">
      <c r="J336" s="52" t="str" cm="1">
        <f t="array" ref="J336">IFERROR(
  VALUE($H336) *
  VALUE(
    _xlfn.XLOOKUP(
      TRIM($F336) &amp; "|" &amp; LEFT(SUBSTITUTE($G336,CHAR(160)," "),5) &amp; "|Reduced Rate",
      TRIM(SUBSTITUTE($Q$2:$Q$47,CHAR(160)," ")) &amp; "|" &amp;
      LEFT(SUBSTITUTE($R$2:$R$47,CHAR(160)," "),5) &amp; "|" &amp;
      TRIM(SUBSTITUTE($S$2:$S$47,CHAR(160)," ")),
      $T$2:$T$47
    )
  ),
"")</f>
        <v/>
      </c>
      <c r="K336" s="52" t="str" cm="1">
        <f t="array" ref="K336">IFERROR(
  VALUE($H336) *
  VALUE(
    _xlfn.XLOOKUP(
      TRIM($F336) &amp; "|" &amp; LEFT(SUBSTITUTE($G336,CHAR(160)," "),5) &amp; "|Ideas Rate",
      TRIM(SUBSTITUTE($Q$2:$Q$47,CHAR(160)," ")) &amp; "|" &amp;
      LEFT(SUBSTITUTE($R$2:$R$47,CHAR(160)," "),5) &amp; "|" &amp;
      TRIM(SUBSTITUTE($S$2:$S$47,CHAR(160)," ")),
      $T$2:$T$47
    )
  ),
"")</f>
        <v/>
      </c>
    </row>
    <row r="337" spans="10:11" x14ac:dyDescent="0.2">
      <c r="J337" s="52" t="str" cm="1">
        <f t="array" ref="J337">IFERROR(
  VALUE($H337) *
  VALUE(
    _xlfn.XLOOKUP(
      TRIM($F337) &amp; "|" &amp; LEFT(SUBSTITUTE($G337,CHAR(160)," "),5) &amp; "|Reduced Rate",
      TRIM(SUBSTITUTE($Q$2:$Q$47,CHAR(160)," ")) &amp; "|" &amp;
      LEFT(SUBSTITUTE($R$2:$R$47,CHAR(160)," "),5) &amp; "|" &amp;
      TRIM(SUBSTITUTE($S$2:$S$47,CHAR(160)," ")),
      $T$2:$T$47
    )
  ),
"")</f>
        <v/>
      </c>
      <c r="K337" s="52" t="str" cm="1">
        <f t="array" ref="K337">IFERROR(
  VALUE($H337) *
  VALUE(
    _xlfn.XLOOKUP(
      TRIM($F337) &amp; "|" &amp; LEFT(SUBSTITUTE($G337,CHAR(160)," "),5) &amp; "|Ideas Rate",
      TRIM(SUBSTITUTE($Q$2:$Q$47,CHAR(160)," ")) &amp; "|" &amp;
      LEFT(SUBSTITUTE($R$2:$R$47,CHAR(160)," "),5) &amp; "|" &amp;
      TRIM(SUBSTITUTE($S$2:$S$47,CHAR(160)," ")),
      $T$2:$T$47
    )
  ),
"")</f>
        <v/>
      </c>
    </row>
    <row r="338" spans="10:11" x14ac:dyDescent="0.2">
      <c r="J338" s="52" t="str" cm="1">
        <f t="array" ref="J338">IFERROR(
  VALUE($H338) *
  VALUE(
    _xlfn.XLOOKUP(
      TRIM($F338) &amp; "|" &amp; LEFT(SUBSTITUTE($G338,CHAR(160)," "),5) &amp; "|Reduced Rate",
      TRIM(SUBSTITUTE($Q$2:$Q$47,CHAR(160)," ")) &amp; "|" &amp;
      LEFT(SUBSTITUTE($R$2:$R$47,CHAR(160)," "),5) &amp; "|" &amp;
      TRIM(SUBSTITUTE($S$2:$S$47,CHAR(160)," ")),
      $T$2:$T$47
    )
  ),
"")</f>
        <v/>
      </c>
      <c r="K338" s="52" t="str" cm="1">
        <f t="array" ref="K338">IFERROR(
  VALUE($H338) *
  VALUE(
    _xlfn.XLOOKUP(
      TRIM($F338) &amp; "|" &amp; LEFT(SUBSTITUTE($G338,CHAR(160)," "),5) &amp; "|Ideas Rate",
      TRIM(SUBSTITUTE($Q$2:$Q$47,CHAR(160)," ")) &amp; "|" &amp;
      LEFT(SUBSTITUTE($R$2:$R$47,CHAR(160)," "),5) &amp; "|" &amp;
      TRIM(SUBSTITUTE($S$2:$S$47,CHAR(160)," ")),
      $T$2:$T$47
    )
  ),
"")</f>
        <v/>
      </c>
    </row>
    <row r="339" spans="10:11" x14ac:dyDescent="0.2">
      <c r="J339" s="52" t="str" cm="1">
        <f t="array" ref="J339">IFERROR(
  VALUE($H339) *
  VALUE(
    _xlfn.XLOOKUP(
      TRIM($F339) &amp; "|" &amp; LEFT(SUBSTITUTE($G339,CHAR(160)," "),5) &amp; "|Reduced Rate",
      TRIM(SUBSTITUTE($Q$2:$Q$47,CHAR(160)," ")) &amp; "|" &amp;
      LEFT(SUBSTITUTE($R$2:$R$47,CHAR(160)," "),5) &amp; "|" &amp;
      TRIM(SUBSTITUTE($S$2:$S$47,CHAR(160)," ")),
      $T$2:$T$47
    )
  ),
"")</f>
        <v/>
      </c>
      <c r="K339" s="52" t="str" cm="1">
        <f t="array" ref="K339">IFERROR(
  VALUE($H339) *
  VALUE(
    _xlfn.XLOOKUP(
      TRIM($F339) &amp; "|" &amp; LEFT(SUBSTITUTE($G339,CHAR(160)," "),5) &amp; "|Ideas Rate",
      TRIM(SUBSTITUTE($Q$2:$Q$47,CHAR(160)," ")) &amp; "|" &amp;
      LEFT(SUBSTITUTE($R$2:$R$47,CHAR(160)," "),5) &amp; "|" &amp;
      TRIM(SUBSTITUTE($S$2:$S$47,CHAR(160)," ")),
      $T$2:$T$47
    )
  ),
"")</f>
        <v/>
      </c>
    </row>
    <row r="340" spans="10:11" x14ac:dyDescent="0.2">
      <c r="J340" s="52" t="str" cm="1">
        <f t="array" ref="J340">IFERROR(
  VALUE($H340) *
  VALUE(
    _xlfn.XLOOKUP(
      TRIM($F340) &amp; "|" &amp; LEFT(SUBSTITUTE($G340,CHAR(160)," "),5) &amp; "|Reduced Rate",
      TRIM(SUBSTITUTE($Q$2:$Q$47,CHAR(160)," ")) &amp; "|" &amp;
      LEFT(SUBSTITUTE($R$2:$R$47,CHAR(160)," "),5) &amp; "|" &amp;
      TRIM(SUBSTITUTE($S$2:$S$47,CHAR(160)," ")),
      $T$2:$T$47
    )
  ),
"")</f>
        <v/>
      </c>
      <c r="K340" s="52" t="str" cm="1">
        <f t="array" ref="K340">IFERROR(
  VALUE($H340) *
  VALUE(
    _xlfn.XLOOKUP(
      TRIM($F340) &amp; "|" &amp; LEFT(SUBSTITUTE($G340,CHAR(160)," "),5) &amp; "|Ideas Rate",
      TRIM(SUBSTITUTE($Q$2:$Q$47,CHAR(160)," ")) &amp; "|" &amp;
      LEFT(SUBSTITUTE($R$2:$R$47,CHAR(160)," "),5) &amp; "|" &amp;
      TRIM(SUBSTITUTE($S$2:$S$47,CHAR(160)," ")),
      $T$2:$T$47
    )
  ),
"")</f>
        <v/>
      </c>
    </row>
    <row r="341" spans="10:11" x14ac:dyDescent="0.2">
      <c r="J341" s="52" t="str" cm="1">
        <f t="array" ref="J341">IFERROR(
  VALUE($H341) *
  VALUE(
    _xlfn.XLOOKUP(
      TRIM($F341) &amp; "|" &amp; LEFT(SUBSTITUTE($G341,CHAR(160)," "),5) &amp; "|Reduced Rate",
      TRIM(SUBSTITUTE($Q$2:$Q$47,CHAR(160)," ")) &amp; "|" &amp;
      LEFT(SUBSTITUTE($R$2:$R$47,CHAR(160)," "),5) &amp; "|" &amp;
      TRIM(SUBSTITUTE($S$2:$S$47,CHAR(160)," ")),
      $T$2:$T$47
    )
  ),
"")</f>
        <v/>
      </c>
      <c r="K341" s="52" t="str" cm="1">
        <f t="array" ref="K341">IFERROR(
  VALUE($H341) *
  VALUE(
    _xlfn.XLOOKUP(
      TRIM($F341) &amp; "|" &amp; LEFT(SUBSTITUTE($G341,CHAR(160)," "),5) &amp; "|Ideas Rate",
      TRIM(SUBSTITUTE($Q$2:$Q$47,CHAR(160)," ")) &amp; "|" &amp;
      LEFT(SUBSTITUTE($R$2:$R$47,CHAR(160)," "),5) &amp; "|" &amp;
      TRIM(SUBSTITUTE($S$2:$S$47,CHAR(160)," ")),
      $T$2:$T$47
    )
  ),
"")</f>
        <v/>
      </c>
    </row>
    <row r="342" spans="10:11" x14ac:dyDescent="0.2">
      <c r="J342" s="52" t="str" cm="1">
        <f t="array" ref="J342">IFERROR(
  VALUE($H342) *
  VALUE(
    _xlfn.XLOOKUP(
      TRIM($F342) &amp; "|" &amp; LEFT(SUBSTITUTE($G342,CHAR(160)," "),5) &amp; "|Reduced Rate",
      TRIM(SUBSTITUTE($Q$2:$Q$47,CHAR(160)," ")) &amp; "|" &amp;
      LEFT(SUBSTITUTE($R$2:$R$47,CHAR(160)," "),5) &amp; "|" &amp;
      TRIM(SUBSTITUTE($S$2:$S$47,CHAR(160)," ")),
      $T$2:$T$47
    )
  ),
"")</f>
        <v/>
      </c>
      <c r="K342" s="52" t="str" cm="1">
        <f t="array" ref="K342">IFERROR(
  VALUE($H342) *
  VALUE(
    _xlfn.XLOOKUP(
      TRIM($F342) &amp; "|" &amp; LEFT(SUBSTITUTE($G342,CHAR(160)," "),5) &amp; "|Ideas Rate",
      TRIM(SUBSTITUTE($Q$2:$Q$47,CHAR(160)," ")) &amp; "|" &amp;
      LEFT(SUBSTITUTE($R$2:$R$47,CHAR(160)," "),5) &amp; "|" &amp;
      TRIM(SUBSTITUTE($S$2:$S$47,CHAR(160)," ")),
      $T$2:$T$47
    )
  ),
"")</f>
        <v/>
      </c>
    </row>
    <row r="343" spans="10:11" x14ac:dyDescent="0.2">
      <c r="J343" s="52" t="str" cm="1">
        <f t="array" ref="J343">IFERROR(
  VALUE($H343) *
  VALUE(
    _xlfn.XLOOKUP(
      TRIM($F343) &amp; "|" &amp; LEFT(SUBSTITUTE($G343,CHAR(160)," "),5) &amp; "|Reduced Rate",
      TRIM(SUBSTITUTE($Q$2:$Q$47,CHAR(160)," ")) &amp; "|" &amp;
      LEFT(SUBSTITUTE($R$2:$R$47,CHAR(160)," "),5) &amp; "|" &amp;
      TRIM(SUBSTITUTE($S$2:$S$47,CHAR(160)," ")),
      $T$2:$T$47
    )
  ),
"")</f>
        <v/>
      </c>
      <c r="K343" s="52" t="str" cm="1">
        <f t="array" ref="K343">IFERROR(
  VALUE($H343) *
  VALUE(
    _xlfn.XLOOKUP(
      TRIM($F343) &amp; "|" &amp; LEFT(SUBSTITUTE($G343,CHAR(160)," "),5) &amp; "|Ideas Rate",
      TRIM(SUBSTITUTE($Q$2:$Q$47,CHAR(160)," ")) &amp; "|" &amp;
      LEFT(SUBSTITUTE($R$2:$R$47,CHAR(160)," "),5) &amp; "|" &amp;
      TRIM(SUBSTITUTE($S$2:$S$47,CHAR(160)," ")),
      $T$2:$T$47
    )
  ),
"")</f>
        <v/>
      </c>
    </row>
    <row r="344" spans="10:11" x14ac:dyDescent="0.2">
      <c r="J344" s="52" t="str" cm="1">
        <f t="array" ref="J344">IFERROR(
  VALUE($H344) *
  VALUE(
    _xlfn.XLOOKUP(
      TRIM($F344) &amp; "|" &amp; LEFT(SUBSTITUTE($G344,CHAR(160)," "),5) &amp; "|Reduced Rate",
      TRIM(SUBSTITUTE($Q$2:$Q$47,CHAR(160)," ")) &amp; "|" &amp;
      LEFT(SUBSTITUTE($R$2:$R$47,CHAR(160)," "),5) &amp; "|" &amp;
      TRIM(SUBSTITUTE($S$2:$S$47,CHAR(160)," ")),
      $T$2:$T$47
    )
  ),
"")</f>
        <v/>
      </c>
      <c r="K344" s="52" t="str" cm="1">
        <f t="array" ref="K344">IFERROR(
  VALUE($H344) *
  VALUE(
    _xlfn.XLOOKUP(
      TRIM($F344) &amp; "|" &amp; LEFT(SUBSTITUTE($G344,CHAR(160)," "),5) &amp; "|Ideas Rate",
      TRIM(SUBSTITUTE($Q$2:$Q$47,CHAR(160)," ")) &amp; "|" &amp;
      LEFT(SUBSTITUTE($R$2:$R$47,CHAR(160)," "),5) &amp; "|" &amp;
      TRIM(SUBSTITUTE($S$2:$S$47,CHAR(160)," ")),
      $T$2:$T$47
    )
  ),
"")</f>
        <v/>
      </c>
    </row>
    <row r="345" spans="10:11" x14ac:dyDescent="0.2">
      <c r="J345" s="52" t="str" cm="1">
        <f t="array" ref="J345">IFERROR(
  VALUE($H345) *
  VALUE(
    _xlfn.XLOOKUP(
      TRIM($F345) &amp; "|" &amp; LEFT(SUBSTITUTE($G345,CHAR(160)," "),5) &amp; "|Reduced Rate",
      TRIM(SUBSTITUTE($Q$2:$Q$47,CHAR(160)," ")) &amp; "|" &amp;
      LEFT(SUBSTITUTE($R$2:$R$47,CHAR(160)," "),5) &amp; "|" &amp;
      TRIM(SUBSTITUTE($S$2:$S$47,CHAR(160)," ")),
      $T$2:$T$47
    )
  ),
"")</f>
        <v/>
      </c>
      <c r="K345" s="52" t="str" cm="1">
        <f t="array" ref="K345">IFERROR(
  VALUE($H345) *
  VALUE(
    _xlfn.XLOOKUP(
      TRIM($F345) &amp; "|" &amp; LEFT(SUBSTITUTE($G345,CHAR(160)," "),5) &amp; "|Ideas Rate",
      TRIM(SUBSTITUTE($Q$2:$Q$47,CHAR(160)," ")) &amp; "|" &amp;
      LEFT(SUBSTITUTE($R$2:$R$47,CHAR(160)," "),5) &amp; "|" &amp;
      TRIM(SUBSTITUTE($S$2:$S$47,CHAR(160)," ")),
      $T$2:$T$47
    )
  ),
"")</f>
        <v/>
      </c>
    </row>
    <row r="346" spans="10:11" x14ac:dyDescent="0.2">
      <c r="J346" s="52" t="str" cm="1">
        <f t="array" ref="J346">IFERROR(
  VALUE($H346) *
  VALUE(
    _xlfn.XLOOKUP(
      TRIM($F346) &amp; "|" &amp; LEFT(SUBSTITUTE($G346,CHAR(160)," "),5) &amp; "|Reduced Rate",
      TRIM(SUBSTITUTE($Q$2:$Q$47,CHAR(160)," ")) &amp; "|" &amp;
      LEFT(SUBSTITUTE($R$2:$R$47,CHAR(160)," "),5) &amp; "|" &amp;
      TRIM(SUBSTITUTE($S$2:$S$47,CHAR(160)," ")),
      $T$2:$T$47
    )
  ),
"")</f>
        <v/>
      </c>
      <c r="K346" s="52" t="str" cm="1">
        <f t="array" ref="K346">IFERROR(
  VALUE($H346) *
  VALUE(
    _xlfn.XLOOKUP(
      TRIM($F346) &amp; "|" &amp; LEFT(SUBSTITUTE($G346,CHAR(160)," "),5) &amp; "|Ideas Rate",
      TRIM(SUBSTITUTE($Q$2:$Q$47,CHAR(160)," ")) &amp; "|" &amp;
      LEFT(SUBSTITUTE($R$2:$R$47,CHAR(160)," "),5) &amp; "|" &amp;
      TRIM(SUBSTITUTE($S$2:$S$47,CHAR(160)," ")),
      $T$2:$T$47
    )
  ),
"")</f>
        <v/>
      </c>
    </row>
    <row r="347" spans="10:11" x14ac:dyDescent="0.2">
      <c r="J347" s="52" t="str" cm="1">
        <f t="array" ref="J347">IFERROR(
  VALUE($H347) *
  VALUE(
    _xlfn.XLOOKUP(
      TRIM($F347) &amp; "|" &amp; LEFT(SUBSTITUTE($G347,CHAR(160)," "),5) &amp; "|Reduced Rate",
      TRIM(SUBSTITUTE($Q$2:$Q$47,CHAR(160)," ")) &amp; "|" &amp;
      LEFT(SUBSTITUTE($R$2:$R$47,CHAR(160)," "),5) &amp; "|" &amp;
      TRIM(SUBSTITUTE($S$2:$S$47,CHAR(160)," ")),
      $T$2:$T$47
    )
  ),
"")</f>
        <v/>
      </c>
      <c r="K347" s="52" t="str" cm="1">
        <f t="array" ref="K347">IFERROR(
  VALUE($H347) *
  VALUE(
    _xlfn.XLOOKUP(
      TRIM($F347) &amp; "|" &amp; LEFT(SUBSTITUTE($G347,CHAR(160)," "),5) &amp; "|Ideas Rate",
      TRIM(SUBSTITUTE($Q$2:$Q$47,CHAR(160)," ")) &amp; "|" &amp;
      LEFT(SUBSTITUTE($R$2:$R$47,CHAR(160)," "),5) &amp; "|" &amp;
      TRIM(SUBSTITUTE($S$2:$S$47,CHAR(160)," ")),
      $T$2:$T$47
    )
  ),
"")</f>
        <v/>
      </c>
    </row>
    <row r="348" spans="10:11" x14ac:dyDescent="0.2">
      <c r="J348" s="52" t="str" cm="1">
        <f t="array" ref="J348">IFERROR(
  VALUE($H348) *
  VALUE(
    _xlfn.XLOOKUP(
      TRIM($F348) &amp; "|" &amp; LEFT(SUBSTITUTE($G348,CHAR(160)," "),5) &amp; "|Reduced Rate",
      TRIM(SUBSTITUTE($Q$2:$Q$47,CHAR(160)," ")) &amp; "|" &amp;
      LEFT(SUBSTITUTE($R$2:$R$47,CHAR(160)," "),5) &amp; "|" &amp;
      TRIM(SUBSTITUTE($S$2:$S$47,CHAR(160)," ")),
      $T$2:$T$47
    )
  ),
"")</f>
        <v/>
      </c>
      <c r="K348" s="52" t="str" cm="1">
        <f t="array" ref="K348">IFERROR(
  VALUE($H348) *
  VALUE(
    _xlfn.XLOOKUP(
      TRIM($F348) &amp; "|" &amp; LEFT(SUBSTITUTE($G348,CHAR(160)," "),5) &amp; "|Ideas Rate",
      TRIM(SUBSTITUTE($Q$2:$Q$47,CHAR(160)," ")) &amp; "|" &amp;
      LEFT(SUBSTITUTE($R$2:$R$47,CHAR(160)," "),5) &amp; "|" &amp;
      TRIM(SUBSTITUTE($S$2:$S$47,CHAR(160)," ")),
      $T$2:$T$47
    )
  ),
"")</f>
        <v/>
      </c>
    </row>
    <row r="349" spans="10:11" x14ac:dyDescent="0.2">
      <c r="J349" s="52" t="str" cm="1">
        <f t="array" ref="J349">IFERROR(
  VALUE($H349) *
  VALUE(
    _xlfn.XLOOKUP(
      TRIM($F349) &amp; "|" &amp; LEFT(SUBSTITUTE($G349,CHAR(160)," "),5) &amp; "|Reduced Rate",
      TRIM(SUBSTITUTE($Q$2:$Q$47,CHAR(160)," ")) &amp; "|" &amp;
      LEFT(SUBSTITUTE($R$2:$R$47,CHAR(160)," "),5) &amp; "|" &amp;
      TRIM(SUBSTITUTE($S$2:$S$47,CHAR(160)," ")),
      $T$2:$T$47
    )
  ),
"")</f>
        <v/>
      </c>
      <c r="K349" s="52" t="str" cm="1">
        <f t="array" ref="K349">IFERROR(
  VALUE($H349) *
  VALUE(
    _xlfn.XLOOKUP(
      TRIM($F349) &amp; "|" &amp; LEFT(SUBSTITUTE($G349,CHAR(160)," "),5) &amp; "|Ideas Rate",
      TRIM(SUBSTITUTE($Q$2:$Q$47,CHAR(160)," ")) &amp; "|" &amp;
      LEFT(SUBSTITUTE($R$2:$R$47,CHAR(160)," "),5) &amp; "|" &amp;
      TRIM(SUBSTITUTE($S$2:$S$47,CHAR(160)," ")),
      $T$2:$T$47
    )
  ),
"")</f>
        <v/>
      </c>
    </row>
    <row r="350" spans="10:11" x14ac:dyDescent="0.2">
      <c r="J350" s="52" t="str" cm="1">
        <f t="array" ref="J350">IFERROR(
  VALUE($H350) *
  VALUE(
    _xlfn.XLOOKUP(
      TRIM($F350) &amp; "|" &amp; LEFT(SUBSTITUTE($G350,CHAR(160)," "),5) &amp; "|Reduced Rate",
      TRIM(SUBSTITUTE($Q$2:$Q$47,CHAR(160)," ")) &amp; "|" &amp;
      LEFT(SUBSTITUTE($R$2:$R$47,CHAR(160)," "),5) &amp; "|" &amp;
      TRIM(SUBSTITUTE($S$2:$S$47,CHAR(160)," ")),
      $T$2:$T$47
    )
  ),
"")</f>
        <v/>
      </c>
      <c r="K350" s="52" t="str" cm="1">
        <f t="array" ref="K350">IFERROR(
  VALUE($H350) *
  VALUE(
    _xlfn.XLOOKUP(
      TRIM($F350) &amp; "|" &amp; LEFT(SUBSTITUTE($G350,CHAR(160)," "),5) &amp; "|Ideas Rate",
      TRIM(SUBSTITUTE($Q$2:$Q$47,CHAR(160)," ")) &amp; "|" &amp;
      LEFT(SUBSTITUTE($R$2:$R$47,CHAR(160)," "),5) &amp; "|" &amp;
      TRIM(SUBSTITUTE($S$2:$S$47,CHAR(160)," ")),
      $T$2:$T$47
    )
  ),
"")</f>
        <v/>
      </c>
    </row>
    <row r="351" spans="10:11" x14ac:dyDescent="0.2">
      <c r="J351" s="52" t="str" cm="1">
        <f t="array" ref="J351">IFERROR(
  VALUE($H351) *
  VALUE(
    _xlfn.XLOOKUP(
      TRIM($F351) &amp; "|" &amp; LEFT(SUBSTITUTE($G351,CHAR(160)," "),5) &amp; "|Reduced Rate",
      TRIM(SUBSTITUTE($Q$2:$Q$47,CHAR(160)," ")) &amp; "|" &amp;
      LEFT(SUBSTITUTE($R$2:$R$47,CHAR(160)," "),5) &amp; "|" &amp;
      TRIM(SUBSTITUTE($S$2:$S$47,CHAR(160)," ")),
      $T$2:$T$47
    )
  ),
"")</f>
        <v/>
      </c>
      <c r="K351" s="52" t="str" cm="1">
        <f t="array" ref="K351">IFERROR(
  VALUE($H351) *
  VALUE(
    _xlfn.XLOOKUP(
      TRIM($F351) &amp; "|" &amp; LEFT(SUBSTITUTE($G351,CHAR(160)," "),5) &amp; "|Ideas Rate",
      TRIM(SUBSTITUTE($Q$2:$Q$47,CHAR(160)," ")) &amp; "|" &amp;
      LEFT(SUBSTITUTE($R$2:$R$47,CHAR(160)," "),5) &amp; "|" &amp;
      TRIM(SUBSTITUTE($S$2:$S$47,CHAR(160)," ")),
      $T$2:$T$47
    )
  ),
"")</f>
        <v/>
      </c>
    </row>
    <row r="352" spans="10:11" x14ac:dyDescent="0.2">
      <c r="J352" s="52" t="str" cm="1">
        <f t="array" ref="J352">IFERROR(
  VALUE($H352) *
  VALUE(
    _xlfn.XLOOKUP(
      TRIM($F352) &amp; "|" &amp; LEFT(SUBSTITUTE($G352,CHAR(160)," "),5) &amp; "|Reduced Rate",
      TRIM(SUBSTITUTE($Q$2:$Q$47,CHAR(160)," ")) &amp; "|" &amp;
      LEFT(SUBSTITUTE($R$2:$R$47,CHAR(160)," "),5) &amp; "|" &amp;
      TRIM(SUBSTITUTE($S$2:$S$47,CHAR(160)," ")),
      $T$2:$T$47
    )
  ),
"")</f>
        <v/>
      </c>
      <c r="K352" s="52" t="str" cm="1">
        <f t="array" ref="K352">IFERROR(
  VALUE($H352) *
  VALUE(
    _xlfn.XLOOKUP(
      TRIM($F352) &amp; "|" &amp; LEFT(SUBSTITUTE($G352,CHAR(160)," "),5) &amp; "|Ideas Rate",
      TRIM(SUBSTITUTE($Q$2:$Q$47,CHAR(160)," ")) &amp; "|" &amp;
      LEFT(SUBSTITUTE($R$2:$R$47,CHAR(160)," "),5) &amp; "|" &amp;
      TRIM(SUBSTITUTE($S$2:$S$47,CHAR(160)," ")),
      $T$2:$T$47
    )
  ),
"")</f>
        <v/>
      </c>
    </row>
    <row r="353" spans="10:11" x14ac:dyDescent="0.2">
      <c r="J353" s="52" t="str" cm="1">
        <f t="array" ref="J353">IFERROR(
  VALUE($H353) *
  VALUE(
    _xlfn.XLOOKUP(
      TRIM($F353) &amp; "|" &amp; LEFT(SUBSTITUTE($G353,CHAR(160)," "),5) &amp; "|Reduced Rate",
      TRIM(SUBSTITUTE($Q$2:$Q$47,CHAR(160)," ")) &amp; "|" &amp;
      LEFT(SUBSTITUTE($R$2:$R$47,CHAR(160)," "),5) &amp; "|" &amp;
      TRIM(SUBSTITUTE($S$2:$S$47,CHAR(160)," ")),
      $T$2:$T$47
    )
  ),
"")</f>
        <v/>
      </c>
      <c r="K353" s="52" t="str" cm="1">
        <f t="array" ref="K353">IFERROR(
  VALUE($H353) *
  VALUE(
    _xlfn.XLOOKUP(
      TRIM($F353) &amp; "|" &amp; LEFT(SUBSTITUTE($G353,CHAR(160)," "),5) &amp; "|Ideas Rate",
      TRIM(SUBSTITUTE($Q$2:$Q$47,CHAR(160)," ")) &amp; "|" &amp;
      LEFT(SUBSTITUTE($R$2:$R$47,CHAR(160)," "),5) &amp; "|" &amp;
      TRIM(SUBSTITUTE($S$2:$S$47,CHAR(160)," ")),
      $T$2:$T$47
    )
  ),
"")</f>
        <v/>
      </c>
    </row>
    <row r="354" spans="10:11" x14ac:dyDescent="0.2">
      <c r="J354" s="52" t="str" cm="1">
        <f t="array" ref="J354">IFERROR(
  VALUE($H354) *
  VALUE(
    _xlfn.XLOOKUP(
      TRIM($F354) &amp; "|" &amp; LEFT(SUBSTITUTE($G354,CHAR(160)," "),5) &amp; "|Reduced Rate",
      TRIM(SUBSTITUTE($Q$2:$Q$47,CHAR(160)," ")) &amp; "|" &amp;
      LEFT(SUBSTITUTE($R$2:$R$47,CHAR(160)," "),5) &amp; "|" &amp;
      TRIM(SUBSTITUTE($S$2:$S$47,CHAR(160)," ")),
      $T$2:$T$47
    )
  ),
"")</f>
        <v/>
      </c>
      <c r="K354" s="52" t="str" cm="1">
        <f t="array" ref="K354">IFERROR(
  VALUE($H354) *
  VALUE(
    _xlfn.XLOOKUP(
      TRIM($F354) &amp; "|" &amp; LEFT(SUBSTITUTE($G354,CHAR(160)," "),5) &amp; "|Ideas Rate",
      TRIM(SUBSTITUTE($Q$2:$Q$47,CHAR(160)," ")) &amp; "|" &amp;
      LEFT(SUBSTITUTE($R$2:$R$47,CHAR(160)," "),5) &amp; "|" &amp;
      TRIM(SUBSTITUTE($S$2:$S$47,CHAR(160)," ")),
      $T$2:$T$47
    )
  ),
"")</f>
        <v/>
      </c>
    </row>
    <row r="355" spans="10:11" x14ac:dyDescent="0.2">
      <c r="J355" s="52" t="str" cm="1">
        <f t="array" ref="J355">IFERROR(
  VALUE($H355) *
  VALUE(
    _xlfn.XLOOKUP(
      TRIM($F355) &amp; "|" &amp; LEFT(SUBSTITUTE($G355,CHAR(160)," "),5) &amp; "|Reduced Rate",
      TRIM(SUBSTITUTE($Q$2:$Q$47,CHAR(160)," ")) &amp; "|" &amp;
      LEFT(SUBSTITUTE($R$2:$R$47,CHAR(160)," "),5) &amp; "|" &amp;
      TRIM(SUBSTITUTE($S$2:$S$47,CHAR(160)," ")),
      $T$2:$T$47
    )
  ),
"")</f>
        <v/>
      </c>
      <c r="K355" s="52" t="str" cm="1">
        <f t="array" ref="K355">IFERROR(
  VALUE($H355) *
  VALUE(
    _xlfn.XLOOKUP(
      TRIM($F355) &amp; "|" &amp; LEFT(SUBSTITUTE($G355,CHAR(160)," "),5) &amp; "|Ideas Rate",
      TRIM(SUBSTITUTE($Q$2:$Q$47,CHAR(160)," ")) &amp; "|" &amp;
      LEFT(SUBSTITUTE($R$2:$R$47,CHAR(160)," "),5) &amp; "|" &amp;
      TRIM(SUBSTITUTE($S$2:$S$47,CHAR(160)," ")),
      $T$2:$T$47
    )
  ),
"")</f>
        <v/>
      </c>
    </row>
    <row r="356" spans="10:11" x14ac:dyDescent="0.2">
      <c r="J356" s="52" t="str" cm="1">
        <f t="array" ref="J356">IFERROR(
  VALUE($H356) *
  VALUE(
    _xlfn.XLOOKUP(
      TRIM($F356) &amp; "|" &amp; LEFT(SUBSTITUTE($G356,CHAR(160)," "),5) &amp; "|Reduced Rate",
      TRIM(SUBSTITUTE($Q$2:$Q$47,CHAR(160)," ")) &amp; "|" &amp;
      LEFT(SUBSTITUTE($R$2:$R$47,CHAR(160)," "),5) &amp; "|" &amp;
      TRIM(SUBSTITUTE($S$2:$S$47,CHAR(160)," ")),
      $T$2:$T$47
    )
  ),
"")</f>
        <v/>
      </c>
      <c r="K356" s="52" t="str" cm="1">
        <f t="array" ref="K356">IFERROR(
  VALUE($H356) *
  VALUE(
    _xlfn.XLOOKUP(
      TRIM($F356) &amp; "|" &amp; LEFT(SUBSTITUTE($G356,CHAR(160)," "),5) &amp; "|Ideas Rate",
      TRIM(SUBSTITUTE($Q$2:$Q$47,CHAR(160)," ")) &amp; "|" &amp;
      LEFT(SUBSTITUTE($R$2:$R$47,CHAR(160)," "),5) &amp; "|" &amp;
      TRIM(SUBSTITUTE($S$2:$S$47,CHAR(160)," ")),
      $T$2:$T$47
    )
  ),
"")</f>
        <v/>
      </c>
    </row>
    <row r="357" spans="10:11" x14ac:dyDescent="0.2">
      <c r="J357" s="52" t="str" cm="1">
        <f t="array" ref="J357">IFERROR(
  VALUE($H357) *
  VALUE(
    _xlfn.XLOOKUP(
      TRIM($F357) &amp; "|" &amp; LEFT(SUBSTITUTE($G357,CHAR(160)," "),5) &amp; "|Reduced Rate",
      TRIM(SUBSTITUTE($Q$2:$Q$47,CHAR(160)," ")) &amp; "|" &amp;
      LEFT(SUBSTITUTE($R$2:$R$47,CHAR(160)," "),5) &amp; "|" &amp;
      TRIM(SUBSTITUTE($S$2:$S$47,CHAR(160)," ")),
      $T$2:$T$47
    )
  ),
"")</f>
        <v/>
      </c>
      <c r="K357" s="52" t="str" cm="1">
        <f t="array" ref="K357">IFERROR(
  VALUE($H357) *
  VALUE(
    _xlfn.XLOOKUP(
      TRIM($F357) &amp; "|" &amp; LEFT(SUBSTITUTE($G357,CHAR(160)," "),5) &amp; "|Ideas Rate",
      TRIM(SUBSTITUTE($Q$2:$Q$47,CHAR(160)," ")) &amp; "|" &amp;
      LEFT(SUBSTITUTE($R$2:$R$47,CHAR(160)," "),5) &amp; "|" &amp;
      TRIM(SUBSTITUTE($S$2:$S$47,CHAR(160)," ")),
      $T$2:$T$47
    )
  ),
"")</f>
        <v/>
      </c>
    </row>
    <row r="358" spans="10:11" x14ac:dyDescent="0.2">
      <c r="J358" s="52" t="str" cm="1">
        <f t="array" ref="J358">IFERROR(
  VALUE($H358) *
  VALUE(
    _xlfn.XLOOKUP(
      TRIM($F358) &amp; "|" &amp; LEFT(SUBSTITUTE($G358,CHAR(160)," "),5) &amp; "|Reduced Rate",
      TRIM(SUBSTITUTE($Q$2:$Q$47,CHAR(160)," ")) &amp; "|" &amp;
      LEFT(SUBSTITUTE($R$2:$R$47,CHAR(160)," "),5) &amp; "|" &amp;
      TRIM(SUBSTITUTE($S$2:$S$47,CHAR(160)," ")),
      $T$2:$T$47
    )
  ),
"")</f>
        <v/>
      </c>
      <c r="K358" s="52" t="str" cm="1">
        <f t="array" ref="K358">IFERROR(
  VALUE($H358) *
  VALUE(
    _xlfn.XLOOKUP(
      TRIM($F358) &amp; "|" &amp; LEFT(SUBSTITUTE($G358,CHAR(160)," "),5) &amp; "|Ideas Rate",
      TRIM(SUBSTITUTE($Q$2:$Q$47,CHAR(160)," ")) &amp; "|" &amp;
      LEFT(SUBSTITUTE($R$2:$R$47,CHAR(160)," "),5) &amp; "|" &amp;
      TRIM(SUBSTITUTE($S$2:$S$47,CHAR(160)," ")),
      $T$2:$T$47
    )
  ),
"")</f>
        <v/>
      </c>
    </row>
    <row r="359" spans="10:11" x14ac:dyDescent="0.2">
      <c r="J359" s="52" t="str" cm="1">
        <f t="array" ref="J359">IFERROR(
  VALUE($H359) *
  VALUE(
    _xlfn.XLOOKUP(
      TRIM($F359) &amp; "|" &amp; LEFT(SUBSTITUTE($G359,CHAR(160)," "),5) &amp; "|Reduced Rate",
      TRIM(SUBSTITUTE($Q$2:$Q$47,CHAR(160)," ")) &amp; "|" &amp;
      LEFT(SUBSTITUTE($R$2:$R$47,CHAR(160)," "),5) &amp; "|" &amp;
      TRIM(SUBSTITUTE($S$2:$S$47,CHAR(160)," ")),
      $T$2:$T$47
    )
  ),
"")</f>
        <v/>
      </c>
      <c r="K359" s="52" t="str" cm="1">
        <f t="array" ref="K359">IFERROR(
  VALUE($H359) *
  VALUE(
    _xlfn.XLOOKUP(
      TRIM($F359) &amp; "|" &amp; LEFT(SUBSTITUTE($G359,CHAR(160)," "),5) &amp; "|Ideas Rate",
      TRIM(SUBSTITUTE($Q$2:$Q$47,CHAR(160)," ")) &amp; "|" &amp;
      LEFT(SUBSTITUTE($R$2:$R$47,CHAR(160)," "),5) &amp; "|" &amp;
      TRIM(SUBSTITUTE($S$2:$S$47,CHAR(160)," ")),
      $T$2:$T$47
    )
  ),
"")</f>
        <v/>
      </c>
    </row>
    <row r="360" spans="10:11" x14ac:dyDescent="0.2">
      <c r="J360" s="52" t="str" cm="1">
        <f t="array" ref="J360">IFERROR(
  VALUE($H360) *
  VALUE(
    _xlfn.XLOOKUP(
      TRIM($F360) &amp; "|" &amp; LEFT(SUBSTITUTE($G360,CHAR(160)," "),5) &amp; "|Reduced Rate",
      TRIM(SUBSTITUTE($Q$2:$Q$47,CHAR(160)," ")) &amp; "|" &amp;
      LEFT(SUBSTITUTE($R$2:$R$47,CHAR(160)," "),5) &amp; "|" &amp;
      TRIM(SUBSTITUTE($S$2:$S$47,CHAR(160)," ")),
      $T$2:$T$47
    )
  ),
"")</f>
        <v/>
      </c>
      <c r="K360" s="52" t="str" cm="1">
        <f t="array" ref="K360">IFERROR(
  VALUE($H360) *
  VALUE(
    _xlfn.XLOOKUP(
      TRIM($F360) &amp; "|" &amp; LEFT(SUBSTITUTE($G360,CHAR(160)," "),5) &amp; "|Ideas Rate",
      TRIM(SUBSTITUTE($Q$2:$Q$47,CHAR(160)," ")) &amp; "|" &amp;
      LEFT(SUBSTITUTE($R$2:$R$47,CHAR(160)," "),5) &amp; "|" &amp;
      TRIM(SUBSTITUTE($S$2:$S$47,CHAR(160)," ")),
      $T$2:$T$47
    )
  ),
"")</f>
        <v/>
      </c>
    </row>
    <row r="361" spans="10:11" x14ac:dyDescent="0.2">
      <c r="J361" s="52" t="str" cm="1">
        <f t="array" ref="J361">IFERROR(
  VALUE($H361) *
  VALUE(
    _xlfn.XLOOKUP(
      TRIM($F361) &amp; "|" &amp; LEFT(SUBSTITUTE($G361,CHAR(160)," "),5) &amp; "|Reduced Rate",
      TRIM(SUBSTITUTE($Q$2:$Q$47,CHAR(160)," ")) &amp; "|" &amp;
      LEFT(SUBSTITUTE($R$2:$R$47,CHAR(160)," "),5) &amp; "|" &amp;
      TRIM(SUBSTITUTE($S$2:$S$47,CHAR(160)," ")),
      $T$2:$T$47
    )
  ),
"")</f>
        <v/>
      </c>
      <c r="K361" s="52" t="str" cm="1">
        <f t="array" ref="K361">IFERROR(
  VALUE($H361) *
  VALUE(
    _xlfn.XLOOKUP(
      TRIM($F361) &amp; "|" &amp; LEFT(SUBSTITUTE($G361,CHAR(160)," "),5) &amp; "|Ideas Rate",
      TRIM(SUBSTITUTE($Q$2:$Q$47,CHAR(160)," ")) &amp; "|" &amp;
      LEFT(SUBSTITUTE($R$2:$R$47,CHAR(160)," "),5) &amp; "|" &amp;
      TRIM(SUBSTITUTE($S$2:$S$47,CHAR(160)," ")),
      $T$2:$T$47
    )
  ),
"")</f>
        <v/>
      </c>
    </row>
    <row r="362" spans="10:11" x14ac:dyDescent="0.2">
      <c r="J362" s="52" t="str" cm="1">
        <f t="array" ref="J362">IFERROR(
  VALUE($H362) *
  VALUE(
    _xlfn.XLOOKUP(
      TRIM($F362) &amp; "|" &amp; LEFT(SUBSTITUTE($G362,CHAR(160)," "),5) &amp; "|Reduced Rate",
      TRIM(SUBSTITUTE($Q$2:$Q$47,CHAR(160)," ")) &amp; "|" &amp;
      LEFT(SUBSTITUTE($R$2:$R$47,CHAR(160)," "),5) &amp; "|" &amp;
      TRIM(SUBSTITUTE($S$2:$S$47,CHAR(160)," ")),
      $T$2:$T$47
    )
  ),
"")</f>
        <v/>
      </c>
      <c r="K362" s="52" t="str" cm="1">
        <f t="array" ref="K362">IFERROR(
  VALUE($H362) *
  VALUE(
    _xlfn.XLOOKUP(
      TRIM($F362) &amp; "|" &amp; LEFT(SUBSTITUTE($G362,CHAR(160)," "),5) &amp; "|Ideas Rate",
      TRIM(SUBSTITUTE($Q$2:$Q$47,CHAR(160)," ")) &amp; "|" &amp;
      LEFT(SUBSTITUTE($R$2:$R$47,CHAR(160)," "),5) &amp; "|" &amp;
      TRIM(SUBSTITUTE($S$2:$S$47,CHAR(160)," ")),
      $T$2:$T$47
    )
  ),
"")</f>
        <v/>
      </c>
    </row>
    <row r="363" spans="10:11" x14ac:dyDescent="0.2">
      <c r="J363" s="52" t="str" cm="1">
        <f t="array" ref="J363">IFERROR(
  VALUE($H363) *
  VALUE(
    _xlfn.XLOOKUP(
      TRIM($F363) &amp; "|" &amp; LEFT(SUBSTITUTE($G363,CHAR(160)," "),5) &amp; "|Reduced Rate",
      TRIM(SUBSTITUTE($Q$2:$Q$47,CHAR(160)," ")) &amp; "|" &amp;
      LEFT(SUBSTITUTE($R$2:$R$47,CHAR(160)," "),5) &amp; "|" &amp;
      TRIM(SUBSTITUTE($S$2:$S$47,CHAR(160)," ")),
      $T$2:$T$47
    )
  ),
"")</f>
        <v/>
      </c>
      <c r="K363" s="52" t="str" cm="1">
        <f t="array" ref="K363">IFERROR(
  VALUE($H363) *
  VALUE(
    _xlfn.XLOOKUP(
      TRIM($F363) &amp; "|" &amp; LEFT(SUBSTITUTE($G363,CHAR(160)," "),5) &amp; "|Ideas Rate",
      TRIM(SUBSTITUTE($Q$2:$Q$47,CHAR(160)," ")) &amp; "|" &amp;
      LEFT(SUBSTITUTE($R$2:$R$47,CHAR(160)," "),5) &amp; "|" &amp;
      TRIM(SUBSTITUTE($S$2:$S$47,CHAR(160)," ")),
      $T$2:$T$47
    )
  ),
"")</f>
        <v/>
      </c>
    </row>
    <row r="364" spans="10:11" x14ac:dyDescent="0.2">
      <c r="J364" s="52" t="str" cm="1">
        <f t="array" ref="J364">IFERROR(
  VALUE($H364) *
  VALUE(
    _xlfn.XLOOKUP(
      TRIM($F364) &amp; "|" &amp; LEFT(SUBSTITUTE($G364,CHAR(160)," "),5) &amp; "|Reduced Rate",
      TRIM(SUBSTITUTE($Q$2:$Q$47,CHAR(160)," ")) &amp; "|" &amp;
      LEFT(SUBSTITUTE($R$2:$R$47,CHAR(160)," "),5) &amp; "|" &amp;
      TRIM(SUBSTITUTE($S$2:$S$47,CHAR(160)," ")),
      $T$2:$T$47
    )
  ),
"")</f>
        <v/>
      </c>
      <c r="K364" s="52" t="str" cm="1">
        <f t="array" ref="K364">IFERROR(
  VALUE($H364) *
  VALUE(
    _xlfn.XLOOKUP(
      TRIM($F364) &amp; "|" &amp; LEFT(SUBSTITUTE($G364,CHAR(160)," "),5) &amp; "|Ideas Rate",
      TRIM(SUBSTITUTE($Q$2:$Q$47,CHAR(160)," ")) &amp; "|" &amp;
      LEFT(SUBSTITUTE($R$2:$R$47,CHAR(160)," "),5) &amp; "|" &amp;
      TRIM(SUBSTITUTE($S$2:$S$47,CHAR(160)," ")),
      $T$2:$T$47
    )
  ),
"")</f>
        <v/>
      </c>
    </row>
    <row r="365" spans="10:11" x14ac:dyDescent="0.2">
      <c r="J365" s="52" t="str" cm="1">
        <f t="array" ref="J365">IFERROR(
  VALUE($H365) *
  VALUE(
    _xlfn.XLOOKUP(
      TRIM($F365) &amp; "|" &amp; LEFT(SUBSTITUTE($G365,CHAR(160)," "),5) &amp; "|Reduced Rate",
      TRIM(SUBSTITUTE($Q$2:$Q$47,CHAR(160)," ")) &amp; "|" &amp;
      LEFT(SUBSTITUTE($R$2:$R$47,CHAR(160)," "),5) &amp; "|" &amp;
      TRIM(SUBSTITUTE($S$2:$S$47,CHAR(160)," ")),
      $T$2:$T$47
    )
  ),
"")</f>
        <v/>
      </c>
      <c r="K365" s="52" t="str" cm="1">
        <f t="array" ref="K365">IFERROR(
  VALUE($H365) *
  VALUE(
    _xlfn.XLOOKUP(
      TRIM($F365) &amp; "|" &amp; LEFT(SUBSTITUTE($G365,CHAR(160)," "),5) &amp; "|Ideas Rate",
      TRIM(SUBSTITUTE($Q$2:$Q$47,CHAR(160)," ")) &amp; "|" &amp;
      LEFT(SUBSTITUTE($R$2:$R$47,CHAR(160)," "),5) &amp; "|" &amp;
      TRIM(SUBSTITUTE($S$2:$S$47,CHAR(160)," ")),
      $T$2:$T$47
    )
  ),
"")</f>
        <v/>
      </c>
    </row>
    <row r="366" spans="10:11" x14ac:dyDescent="0.2">
      <c r="J366" s="52" t="str" cm="1">
        <f t="array" ref="J366">IFERROR(
  VALUE($H366) *
  VALUE(
    _xlfn.XLOOKUP(
      TRIM($F366) &amp; "|" &amp; LEFT(SUBSTITUTE($G366,CHAR(160)," "),5) &amp; "|Reduced Rate",
      TRIM(SUBSTITUTE($Q$2:$Q$47,CHAR(160)," ")) &amp; "|" &amp;
      LEFT(SUBSTITUTE($R$2:$R$47,CHAR(160)," "),5) &amp; "|" &amp;
      TRIM(SUBSTITUTE($S$2:$S$47,CHAR(160)," ")),
      $T$2:$T$47
    )
  ),
"")</f>
        <v/>
      </c>
      <c r="K366" s="52" t="str" cm="1">
        <f t="array" ref="K366">IFERROR(
  VALUE($H366) *
  VALUE(
    _xlfn.XLOOKUP(
      TRIM($F366) &amp; "|" &amp; LEFT(SUBSTITUTE($G366,CHAR(160)," "),5) &amp; "|Ideas Rate",
      TRIM(SUBSTITUTE($Q$2:$Q$47,CHAR(160)," ")) &amp; "|" &amp;
      LEFT(SUBSTITUTE($R$2:$R$47,CHAR(160)," "),5) &amp; "|" &amp;
      TRIM(SUBSTITUTE($S$2:$S$47,CHAR(160)," ")),
      $T$2:$T$47
    )
  ),
"")</f>
        <v/>
      </c>
    </row>
    <row r="367" spans="10:11" x14ac:dyDescent="0.2">
      <c r="J367" s="52" t="str" cm="1">
        <f t="array" ref="J367">IFERROR(
  VALUE($H367) *
  VALUE(
    _xlfn.XLOOKUP(
      TRIM($F367) &amp; "|" &amp; LEFT(SUBSTITUTE($G367,CHAR(160)," "),5) &amp; "|Reduced Rate",
      TRIM(SUBSTITUTE($Q$2:$Q$47,CHAR(160)," ")) &amp; "|" &amp;
      LEFT(SUBSTITUTE($R$2:$R$47,CHAR(160)," "),5) &amp; "|" &amp;
      TRIM(SUBSTITUTE($S$2:$S$47,CHAR(160)," ")),
      $T$2:$T$47
    )
  ),
"")</f>
        <v/>
      </c>
      <c r="K367" s="52" t="str" cm="1">
        <f t="array" ref="K367">IFERROR(
  VALUE($H367) *
  VALUE(
    _xlfn.XLOOKUP(
      TRIM($F367) &amp; "|" &amp; LEFT(SUBSTITUTE($G367,CHAR(160)," "),5) &amp; "|Ideas Rate",
      TRIM(SUBSTITUTE($Q$2:$Q$47,CHAR(160)," ")) &amp; "|" &amp;
      LEFT(SUBSTITUTE($R$2:$R$47,CHAR(160)," "),5) &amp; "|" &amp;
      TRIM(SUBSTITUTE($S$2:$S$47,CHAR(160)," ")),
      $T$2:$T$47
    )
  ),
"")</f>
        <v/>
      </c>
    </row>
    <row r="368" spans="10:11" x14ac:dyDescent="0.2">
      <c r="J368" s="52" t="str" cm="1">
        <f t="array" ref="J368">IFERROR(
  VALUE($H368) *
  VALUE(
    _xlfn.XLOOKUP(
      TRIM($F368) &amp; "|" &amp; LEFT(SUBSTITUTE($G368,CHAR(160)," "),5) &amp; "|Reduced Rate",
      TRIM(SUBSTITUTE($Q$2:$Q$47,CHAR(160)," ")) &amp; "|" &amp;
      LEFT(SUBSTITUTE($R$2:$R$47,CHAR(160)," "),5) &amp; "|" &amp;
      TRIM(SUBSTITUTE($S$2:$S$47,CHAR(160)," ")),
      $T$2:$T$47
    )
  ),
"")</f>
        <v/>
      </c>
      <c r="K368" s="52" t="str" cm="1">
        <f t="array" ref="K368">IFERROR(
  VALUE($H368) *
  VALUE(
    _xlfn.XLOOKUP(
      TRIM($F368) &amp; "|" &amp; LEFT(SUBSTITUTE($G368,CHAR(160)," "),5) &amp; "|Ideas Rate",
      TRIM(SUBSTITUTE($Q$2:$Q$47,CHAR(160)," ")) &amp; "|" &amp;
      LEFT(SUBSTITUTE($R$2:$R$47,CHAR(160)," "),5) &amp; "|" &amp;
      TRIM(SUBSTITUTE($S$2:$S$47,CHAR(160)," ")),
      $T$2:$T$47
    )
  ),
"")</f>
        <v/>
      </c>
    </row>
    <row r="369" spans="10:11" x14ac:dyDescent="0.2">
      <c r="J369" s="52" t="str" cm="1">
        <f t="array" ref="J369">IFERROR(
  VALUE($H369) *
  VALUE(
    _xlfn.XLOOKUP(
      TRIM($F369) &amp; "|" &amp; LEFT(SUBSTITUTE($G369,CHAR(160)," "),5) &amp; "|Reduced Rate",
      TRIM(SUBSTITUTE($Q$2:$Q$47,CHAR(160)," ")) &amp; "|" &amp;
      LEFT(SUBSTITUTE($R$2:$R$47,CHAR(160)," "),5) &amp; "|" &amp;
      TRIM(SUBSTITUTE($S$2:$S$47,CHAR(160)," ")),
      $T$2:$T$47
    )
  ),
"")</f>
        <v/>
      </c>
      <c r="K369" s="52" t="str" cm="1">
        <f t="array" ref="K369">IFERROR(
  VALUE($H369) *
  VALUE(
    _xlfn.XLOOKUP(
      TRIM($F369) &amp; "|" &amp; LEFT(SUBSTITUTE($G369,CHAR(160)," "),5) &amp; "|Ideas Rate",
      TRIM(SUBSTITUTE($Q$2:$Q$47,CHAR(160)," ")) &amp; "|" &amp;
      LEFT(SUBSTITUTE($R$2:$R$47,CHAR(160)," "),5) &amp; "|" &amp;
      TRIM(SUBSTITUTE($S$2:$S$47,CHAR(160)," ")),
      $T$2:$T$47
    )
  ),
"")</f>
        <v/>
      </c>
    </row>
    <row r="370" spans="10:11" x14ac:dyDescent="0.2">
      <c r="J370" s="52" t="str" cm="1">
        <f t="array" ref="J370">IFERROR(
  VALUE($H370) *
  VALUE(
    _xlfn.XLOOKUP(
      TRIM($F370) &amp; "|" &amp; LEFT(SUBSTITUTE($G370,CHAR(160)," "),5) &amp; "|Reduced Rate",
      TRIM(SUBSTITUTE($Q$2:$Q$47,CHAR(160)," ")) &amp; "|" &amp;
      LEFT(SUBSTITUTE($R$2:$R$47,CHAR(160)," "),5) &amp; "|" &amp;
      TRIM(SUBSTITUTE($S$2:$S$47,CHAR(160)," ")),
      $T$2:$T$47
    )
  ),
"")</f>
        <v/>
      </c>
      <c r="K370" s="52" t="str" cm="1">
        <f t="array" ref="K370">IFERROR(
  VALUE($H370) *
  VALUE(
    _xlfn.XLOOKUP(
      TRIM($F370) &amp; "|" &amp; LEFT(SUBSTITUTE($G370,CHAR(160)," "),5) &amp; "|Ideas Rate",
      TRIM(SUBSTITUTE($Q$2:$Q$47,CHAR(160)," ")) &amp; "|" &amp;
      LEFT(SUBSTITUTE($R$2:$R$47,CHAR(160)," "),5) &amp; "|" &amp;
      TRIM(SUBSTITUTE($S$2:$S$47,CHAR(160)," ")),
      $T$2:$T$47
    )
  ),
"")</f>
        <v/>
      </c>
    </row>
    <row r="371" spans="10:11" x14ac:dyDescent="0.2">
      <c r="J371" s="52" t="str" cm="1">
        <f t="array" ref="J371">IFERROR(
  VALUE($H371) *
  VALUE(
    _xlfn.XLOOKUP(
      TRIM($F371) &amp; "|" &amp; LEFT(SUBSTITUTE($G371,CHAR(160)," "),5) &amp; "|Reduced Rate",
      TRIM(SUBSTITUTE($Q$2:$Q$47,CHAR(160)," ")) &amp; "|" &amp;
      LEFT(SUBSTITUTE($R$2:$R$47,CHAR(160)," "),5) &amp; "|" &amp;
      TRIM(SUBSTITUTE($S$2:$S$47,CHAR(160)," ")),
      $T$2:$T$47
    )
  ),
"")</f>
        <v/>
      </c>
      <c r="K371" s="52" t="str" cm="1">
        <f t="array" ref="K371">IFERROR(
  VALUE($H371) *
  VALUE(
    _xlfn.XLOOKUP(
      TRIM($F371) &amp; "|" &amp; LEFT(SUBSTITUTE($G371,CHAR(160)," "),5) &amp; "|Ideas Rate",
      TRIM(SUBSTITUTE($Q$2:$Q$47,CHAR(160)," ")) &amp; "|" &amp;
      LEFT(SUBSTITUTE($R$2:$R$47,CHAR(160)," "),5) &amp; "|" &amp;
      TRIM(SUBSTITUTE($S$2:$S$47,CHAR(160)," ")),
      $T$2:$T$47
    )
  ),
"")</f>
        <v/>
      </c>
    </row>
    <row r="372" spans="10:11" x14ac:dyDescent="0.2">
      <c r="J372" s="52" t="str" cm="1">
        <f t="array" ref="J372">IFERROR(
  VALUE($H372) *
  VALUE(
    _xlfn.XLOOKUP(
      TRIM($F372) &amp; "|" &amp; LEFT(SUBSTITUTE($G372,CHAR(160)," "),5) &amp; "|Reduced Rate",
      TRIM(SUBSTITUTE($Q$2:$Q$47,CHAR(160)," ")) &amp; "|" &amp;
      LEFT(SUBSTITUTE($R$2:$R$47,CHAR(160)," "),5) &amp; "|" &amp;
      TRIM(SUBSTITUTE($S$2:$S$47,CHAR(160)," ")),
      $T$2:$T$47
    )
  ),
"")</f>
        <v/>
      </c>
      <c r="K372" s="52" t="str" cm="1">
        <f t="array" ref="K372">IFERROR(
  VALUE($H372) *
  VALUE(
    _xlfn.XLOOKUP(
      TRIM($F372) &amp; "|" &amp; LEFT(SUBSTITUTE($G372,CHAR(160)," "),5) &amp; "|Ideas Rate",
      TRIM(SUBSTITUTE($Q$2:$Q$47,CHAR(160)," ")) &amp; "|" &amp;
      LEFT(SUBSTITUTE($R$2:$R$47,CHAR(160)," "),5) &amp; "|" &amp;
      TRIM(SUBSTITUTE($S$2:$S$47,CHAR(160)," ")),
      $T$2:$T$47
    )
  ),
"")</f>
        <v/>
      </c>
    </row>
    <row r="373" spans="10:11" x14ac:dyDescent="0.2">
      <c r="J373" s="52" t="str" cm="1">
        <f t="array" ref="J373">IFERROR(
  VALUE($H373) *
  VALUE(
    _xlfn.XLOOKUP(
      TRIM($F373) &amp; "|" &amp; LEFT(SUBSTITUTE($G373,CHAR(160)," "),5) &amp; "|Reduced Rate",
      TRIM(SUBSTITUTE($Q$2:$Q$47,CHAR(160)," ")) &amp; "|" &amp;
      LEFT(SUBSTITUTE($R$2:$R$47,CHAR(160)," "),5) &amp; "|" &amp;
      TRIM(SUBSTITUTE($S$2:$S$47,CHAR(160)," ")),
      $T$2:$T$47
    )
  ),
"")</f>
        <v/>
      </c>
      <c r="K373" s="52" t="str" cm="1">
        <f t="array" ref="K373">IFERROR(
  VALUE($H373) *
  VALUE(
    _xlfn.XLOOKUP(
      TRIM($F373) &amp; "|" &amp; LEFT(SUBSTITUTE($G373,CHAR(160)," "),5) &amp; "|Ideas Rate",
      TRIM(SUBSTITUTE($Q$2:$Q$47,CHAR(160)," ")) &amp; "|" &amp;
      LEFT(SUBSTITUTE($R$2:$R$47,CHAR(160)," "),5) &amp; "|" &amp;
      TRIM(SUBSTITUTE($S$2:$S$47,CHAR(160)," ")),
      $T$2:$T$47
    )
  ),
"")</f>
        <v/>
      </c>
    </row>
    <row r="374" spans="10:11" x14ac:dyDescent="0.2">
      <c r="J374" s="52" t="str" cm="1">
        <f t="array" ref="J374">IFERROR(
  VALUE($H374) *
  VALUE(
    _xlfn.XLOOKUP(
      TRIM($F374) &amp; "|" &amp; LEFT(SUBSTITUTE($G374,CHAR(160)," "),5) &amp; "|Reduced Rate",
      TRIM(SUBSTITUTE($Q$2:$Q$47,CHAR(160)," ")) &amp; "|" &amp;
      LEFT(SUBSTITUTE($R$2:$R$47,CHAR(160)," "),5) &amp; "|" &amp;
      TRIM(SUBSTITUTE($S$2:$S$47,CHAR(160)," ")),
      $T$2:$T$47
    )
  ),
"")</f>
        <v/>
      </c>
      <c r="K374" s="52" t="str" cm="1">
        <f t="array" ref="K374">IFERROR(
  VALUE($H374) *
  VALUE(
    _xlfn.XLOOKUP(
      TRIM($F374) &amp; "|" &amp; LEFT(SUBSTITUTE($G374,CHAR(160)," "),5) &amp; "|Ideas Rate",
      TRIM(SUBSTITUTE($Q$2:$Q$47,CHAR(160)," ")) &amp; "|" &amp;
      LEFT(SUBSTITUTE($R$2:$R$47,CHAR(160)," "),5) &amp; "|" &amp;
      TRIM(SUBSTITUTE($S$2:$S$47,CHAR(160)," ")),
      $T$2:$T$47
    )
  ),
"")</f>
        <v/>
      </c>
    </row>
    <row r="375" spans="10:11" x14ac:dyDescent="0.2">
      <c r="J375" s="52" t="str" cm="1">
        <f t="array" ref="J375">IFERROR(
  VALUE($H375) *
  VALUE(
    _xlfn.XLOOKUP(
      TRIM($F375) &amp; "|" &amp; LEFT(SUBSTITUTE($G375,CHAR(160)," "),5) &amp; "|Reduced Rate",
      TRIM(SUBSTITUTE($Q$2:$Q$47,CHAR(160)," ")) &amp; "|" &amp;
      LEFT(SUBSTITUTE($R$2:$R$47,CHAR(160)," "),5) &amp; "|" &amp;
      TRIM(SUBSTITUTE($S$2:$S$47,CHAR(160)," ")),
      $T$2:$T$47
    )
  ),
"")</f>
        <v/>
      </c>
      <c r="K375" s="52" t="str" cm="1">
        <f t="array" ref="K375">IFERROR(
  VALUE($H375) *
  VALUE(
    _xlfn.XLOOKUP(
      TRIM($F375) &amp; "|" &amp; LEFT(SUBSTITUTE($G375,CHAR(160)," "),5) &amp; "|Ideas Rate",
      TRIM(SUBSTITUTE($Q$2:$Q$47,CHAR(160)," ")) &amp; "|" &amp;
      LEFT(SUBSTITUTE($R$2:$R$47,CHAR(160)," "),5) &amp; "|" &amp;
      TRIM(SUBSTITUTE($S$2:$S$47,CHAR(160)," ")),
      $T$2:$T$47
    )
  ),
"")</f>
        <v/>
      </c>
    </row>
    <row r="376" spans="10:11" x14ac:dyDescent="0.2">
      <c r="J376" s="52" t="str" cm="1">
        <f t="array" ref="J376">IFERROR(
  VALUE($H376) *
  VALUE(
    _xlfn.XLOOKUP(
      TRIM($F376) &amp; "|" &amp; LEFT(SUBSTITUTE($G376,CHAR(160)," "),5) &amp; "|Reduced Rate",
      TRIM(SUBSTITUTE($Q$2:$Q$47,CHAR(160)," ")) &amp; "|" &amp;
      LEFT(SUBSTITUTE($R$2:$R$47,CHAR(160)," "),5) &amp; "|" &amp;
      TRIM(SUBSTITUTE($S$2:$S$47,CHAR(160)," ")),
      $T$2:$T$47
    )
  ),
"")</f>
        <v/>
      </c>
      <c r="K376" s="52" t="str" cm="1">
        <f t="array" ref="K376">IFERROR(
  VALUE($H376) *
  VALUE(
    _xlfn.XLOOKUP(
      TRIM($F376) &amp; "|" &amp; LEFT(SUBSTITUTE($G376,CHAR(160)," "),5) &amp; "|Ideas Rate",
      TRIM(SUBSTITUTE($Q$2:$Q$47,CHAR(160)," ")) &amp; "|" &amp;
      LEFT(SUBSTITUTE($R$2:$R$47,CHAR(160)," "),5) &amp; "|" &amp;
      TRIM(SUBSTITUTE($S$2:$S$47,CHAR(160)," ")),
      $T$2:$T$47
    )
  ),
"")</f>
        <v/>
      </c>
    </row>
    <row r="377" spans="10:11" x14ac:dyDescent="0.2">
      <c r="J377" s="52" t="str" cm="1">
        <f t="array" ref="J377">IFERROR(
  VALUE($H377) *
  VALUE(
    _xlfn.XLOOKUP(
      TRIM($F377) &amp; "|" &amp; LEFT(SUBSTITUTE($G377,CHAR(160)," "),5) &amp; "|Reduced Rate",
      TRIM(SUBSTITUTE($Q$2:$Q$47,CHAR(160)," ")) &amp; "|" &amp;
      LEFT(SUBSTITUTE($R$2:$R$47,CHAR(160)," "),5) &amp; "|" &amp;
      TRIM(SUBSTITUTE($S$2:$S$47,CHAR(160)," ")),
      $T$2:$T$47
    )
  ),
"")</f>
        <v/>
      </c>
      <c r="K377" s="52" t="str" cm="1">
        <f t="array" ref="K377">IFERROR(
  VALUE($H377) *
  VALUE(
    _xlfn.XLOOKUP(
      TRIM($F377) &amp; "|" &amp; LEFT(SUBSTITUTE($G377,CHAR(160)," "),5) &amp; "|Ideas Rate",
      TRIM(SUBSTITUTE($Q$2:$Q$47,CHAR(160)," ")) &amp; "|" &amp;
      LEFT(SUBSTITUTE($R$2:$R$47,CHAR(160)," "),5) &amp; "|" &amp;
      TRIM(SUBSTITUTE($S$2:$S$47,CHAR(160)," ")),
      $T$2:$T$47
    )
  ),
"")</f>
        <v/>
      </c>
    </row>
    <row r="378" spans="10:11" x14ac:dyDescent="0.2">
      <c r="J378" s="52" t="str" cm="1">
        <f t="array" ref="J378">IFERROR(
  VALUE($H378) *
  VALUE(
    _xlfn.XLOOKUP(
      TRIM($F378) &amp; "|" &amp; LEFT(SUBSTITUTE($G378,CHAR(160)," "),5) &amp; "|Reduced Rate",
      TRIM(SUBSTITUTE($Q$2:$Q$47,CHAR(160)," ")) &amp; "|" &amp;
      LEFT(SUBSTITUTE($R$2:$R$47,CHAR(160)," "),5) &amp; "|" &amp;
      TRIM(SUBSTITUTE($S$2:$S$47,CHAR(160)," ")),
      $T$2:$T$47
    )
  ),
"")</f>
        <v/>
      </c>
      <c r="K378" s="52" t="str" cm="1">
        <f t="array" ref="K378">IFERROR(
  VALUE($H378) *
  VALUE(
    _xlfn.XLOOKUP(
      TRIM($F378) &amp; "|" &amp; LEFT(SUBSTITUTE($G378,CHAR(160)," "),5) &amp; "|Ideas Rate",
      TRIM(SUBSTITUTE($Q$2:$Q$47,CHAR(160)," ")) &amp; "|" &amp;
      LEFT(SUBSTITUTE($R$2:$R$47,CHAR(160)," "),5) &amp; "|" &amp;
      TRIM(SUBSTITUTE($S$2:$S$47,CHAR(160)," ")),
      $T$2:$T$47
    )
  ),
"")</f>
        <v/>
      </c>
    </row>
    <row r="379" spans="10:11" x14ac:dyDescent="0.2">
      <c r="J379" s="52" t="str" cm="1">
        <f t="array" ref="J379">IFERROR(
  VALUE($H379) *
  VALUE(
    _xlfn.XLOOKUP(
      TRIM($F379) &amp; "|" &amp; LEFT(SUBSTITUTE($G379,CHAR(160)," "),5) &amp; "|Reduced Rate",
      TRIM(SUBSTITUTE($Q$2:$Q$47,CHAR(160)," ")) &amp; "|" &amp;
      LEFT(SUBSTITUTE($R$2:$R$47,CHAR(160)," "),5) &amp; "|" &amp;
      TRIM(SUBSTITUTE($S$2:$S$47,CHAR(160)," ")),
      $T$2:$T$47
    )
  ),
"")</f>
        <v/>
      </c>
      <c r="K379" s="52" t="str" cm="1">
        <f t="array" ref="K379">IFERROR(
  VALUE($H379) *
  VALUE(
    _xlfn.XLOOKUP(
      TRIM($F379) &amp; "|" &amp; LEFT(SUBSTITUTE($G379,CHAR(160)," "),5) &amp; "|Ideas Rate",
      TRIM(SUBSTITUTE($Q$2:$Q$47,CHAR(160)," ")) &amp; "|" &amp;
      LEFT(SUBSTITUTE($R$2:$R$47,CHAR(160)," "),5) &amp; "|" &amp;
      TRIM(SUBSTITUTE($S$2:$S$47,CHAR(160)," ")),
      $T$2:$T$47
    )
  ),
"")</f>
        <v/>
      </c>
    </row>
    <row r="380" spans="10:11" x14ac:dyDescent="0.2">
      <c r="J380" s="52" t="str" cm="1">
        <f t="array" ref="J380">IFERROR(
  VALUE($H380) *
  VALUE(
    _xlfn.XLOOKUP(
      TRIM($F380) &amp; "|" &amp; LEFT(SUBSTITUTE($G380,CHAR(160)," "),5) &amp; "|Reduced Rate",
      TRIM(SUBSTITUTE($Q$2:$Q$47,CHAR(160)," ")) &amp; "|" &amp;
      LEFT(SUBSTITUTE($R$2:$R$47,CHAR(160)," "),5) &amp; "|" &amp;
      TRIM(SUBSTITUTE($S$2:$S$47,CHAR(160)," ")),
      $T$2:$T$47
    )
  ),
"")</f>
        <v/>
      </c>
      <c r="K380" s="52" t="str" cm="1">
        <f t="array" ref="K380">IFERROR(
  VALUE($H380) *
  VALUE(
    _xlfn.XLOOKUP(
      TRIM($F380) &amp; "|" &amp; LEFT(SUBSTITUTE($G380,CHAR(160)," "),5) &amp; "|Ideas Rate",
      TRIM(SUBSTITUTE($Q$2:$Q$47,CHAR(160)," ")) &amp; "|" &amp;
      LEFT(SUBSTITUTE($R$2:$R$47,CHAR(160)," "),5) &amp; "|" &amp;
      TRIM(SUBSTITUTE($S$2:$S$47,CHAR(160)," ")),
      $T$2:$T$47
    )
  ),
"")</f>
        <v/>
      </c>
    </row>
    <row r="381" spans="10:11" x14ac:dyDescent="0.2">
      <c r="J381" s="52" t="str" cm="1">
        <f t="array" ref="J381">IFERROR(
  VALUE($H381) *
  VALUE(
    _xlfn.XLOOKUP(
      TRIM($F381) &amp; "|" &amp; LEFT(SUBSTITUTE($G381,CHAR(160)," "),5) &amp; "|Reduced Rate",
      TRIM(SUBSTITUTE($Q$2:$Q$47,CHAR(160)," ")) &amp; "|" &amp;
      LEFT(SUBSTITUTE($R$2:$R$47,CHAR(160)," "),5) &amp; "|" &amp;
      TRIM(SUBSTITUTE($S$2:$S$47,CHAR(160)," ")),
      $T$2:$T$47
    )
  ),
"")</f>
        <v/>
      </c>
      <c r="K381" s="52" t="str" cm="1">
        <f t="array" ref="K381">IFERROR(
  VALUE($H381) *
  VALUE(
    _xlfn.XLOOKUP(
      TRIM($F381) &amp; "|" &amp; LEFT(SUBSTITUTE($G381,CHAR(160)," "),5) &amp; "|Ideas Rate",
      TRIM(SUBSTITUTE($Q$2:$Q$47,CHAR(160)," ")) &amp; "|" &amp;
      LEFT(SUBSTITUTE($R$2:$R$47,CHAR(160)," "),5) &amp; "|" &amp;
      TRIM(SUBSTITUTE($S$2:$S$47,CHAR(160)," ")),
      $T$2:$T$47
    )
  ),
"")</f>
        <v/>
      </c>
    </row>
    <row r="382" spans="10:11" x14ac:dyDescent="0.2">
      <c r="J382" s="52" t="str" cm="1">
        <f t="array" ref="J382">IFERROR(
  VALUE($H382) *
  VALUE(
    _xlfn.XLOOKUP(
      TRIM($F382) &amp; "|" &amp; LEFT(SUBSTITUTE($G382,CHAR(160)," "),5) &amp; "|Reduced Rate",
      TRIM(SUBSTITUTE($Q$2:$Q$47,CHAR(160)," ")) &amp; "|" &amp;
      LEFT(SUBSTITUTE($R$2:$R$47,CHAR(160)," "),5) &amp; "|" &amp;
      TRIM(SUBSTITUTE($S$2:$S$47,CHAR(160)," ")),
      $T$2:$T$47
    )
  ),
"")</f>
        <v/>
      </c>
      <c r="K382" s="52" t="str" cm="1">
        <f t="array" ref="K382">IFERROR(
  VALUE($H382) *
  VALUE(
    _xlfn.XLOOKUP(
      TRIM($F382) &amp; "|" &amp; LEFT(SUBSTITUTE($G382,CHAR(160)," "),5) &amp; "|Ideas Rate",
      TRIM(SUBSTITUTE($Q$2:$Q$47,CHAR(160)," ")) &amp; "|" &amp;
      LEFT(SUBSTITUTE($R$2:$R$47,CHAR(160)," "),5) &amp; "|" &amp;
      TRIM(SUBSTITUTE($S$2:$S$47,CHAR(160)," ")),
      $T$2:$T$47
    )
  ),
"")</f>
        <v/>
      </c>
    </row>
    <row r="383" spans="10:11" x14ac:dyDescent="0.2">
      <c r="J383" s="52" t="str" cm="1">
        <f t="array" ref="J383">IFERROR(
  VALUE($H383) *
  VALUE(
    _xlfn.XLOOKUP(
      TRIM($F383) &amp; "|" &amp; LEFT(SUBSTITUTE($G383,CHAR(160)," "),5) &amp; "|Reduced Rate",
      TRIM(SUBSTITUTE($Q$2:$Q$47,CHAR(160)," ")) &amp; "|" &amp;
      LEFT(SUBSTITUTE($R$2:$R$47,CHAR(160)," "),5) &amp; "|" &amp;
      TRIM(SUBSTITUTE($S$2:$S$47,CHAR(160)," ")),
      $T$2:$T$47
    )
  ),
"")</f>
        <v/>
      </c>
      <c r="K383" s="52" t="str" cm="1">
        <f t="array" ref="K383">IFERROR(
  VALUE($H383) *
  VALUE(
    _xlfn.XLOOKUP(
      TRIM($F383) &amp; "|" &amp; LEFT(SUBSTITUTE($G383,CHAR(160)," "),5) &amp; "|Ideas Rate",
      TRIM(SUBSTITUTE($Q$2:$Q$47,CHAR(160)," ")) &amp; "|" &amp;
      LEFT(SUBSTITUTE($R$2:$R$47,CHAR(160)," "),5) &amp; "|" &amp;
      TRIM(SUBSTITUTE($S$2:$S$47,CHAR(160)," ")),
      $T$2:$T$47
    )
  ),
"")</f>
        <v/>
      </c>
    </row>
    <row r="384" spans="10:11" x14ac:dyDescent="0.2">
      <c r="J384" s="52" t="str" cm="1">
        <f t="array" ref="J384">IFERROR(
  VALUE($H384) *
  VALUE(
    _xlfn.XLOOKUP(
      TRIM($F384) &amp; "|" &amp; LEFT(SUBSTITUTE($G384,CHAR(160)," "),5) &amp; "|Reduced Rate",
      TRIM(SUBSTITUTE($Q$2:$Q$47,CHAR(160)," ")) &amp; "|" &amp;
      LEFT(SUBSTITUTE($R$2:$R$47,CHAR(160)," "),5) &amp; "|" &amp;
      TRIM(SUBSTITUTE($S$2:$S$47,CHAR(160)," ")),
      $T$2:$T$47
    )
  ),
"")</f>
        <v/>
      </c>
      <c r="K384" s="52" t="str" cm="1">
        <f t="array" ref="K384">IFERROR(
  VALUE($H384) *
  VALUE(
    _xlfn.XLOOKUP(
      TRIM($F384) &amp; "|" &amp; LEFT(SUBSTITUTE($G384,CHAR(160)," "),5) &amp; "|Ideas Rate",
      TRIM(SUBSTITUTE($Q$2:$Q$47,CHAR(160)," ")) &amp; "|" &amp;
      LEFT(SUBSTITUTE($R$2:$R$47,CHAR(160)," "),5) &amp; "|" &amp;
      TRIM(SUBSTITUTE($S$2:$S$47,CHAR(160)," ")),
      $T$2:$T$47
    )
  ),
"")</f>
        <v/>
      </c>
    </row>
    <row r="385" spans="10:11" x14ac:dyDescent="0.2">
      <c r="J385" s="52" t="str" cm="1">
        <f t="array" ref="J385">IFERROR(
  VALUE($H385) *
  VALUE(
    _xlfn.XLOOKUP(
      TRIM($F385) &amp; "|" &amp; LEFT(SUBSTITUTE($G385,CHAR(160)," "),5) &amp; "|Reduced Rate",
      TRIM(SUBSTITUTE($Q$2:$Q$47,CHAR(160)," ")) &amp; "|" &amp;
      LEFT(SUBSTITUTE($R$2:$R$47,CHAR(160)," "),5) &amp; "|" &amp;
      TRIM(SUBSTITUTE($S$2:$S$47,CHAR(160)," ")),
      $T$2:$T$47
    )
  ),
"")</f>
        <v/>
      </c>
      <c r="K385" s="52" t="str" cm="1">
        <f t="array" ref="K385">IFERROR(
  VALUE($H385) *
  VALUE(
    _xlfn.XLOOKUP(
      TRIM($F385) &amp; "|" &amp; LEFT(SUBSTITUTE($G385,CHAR(160)," "),5) &amp; "|Ideas Rate",
      TRIM(SUBSTITUTE($Q$2:$Q$47,CHAR(160)," ")) &amp; "|" &amp;
      LEFT(SUBSTITUTE($R$2:$R$47,CHAR(160)," "),5) &amp; "|" &amp;
      TRIM(SUBSTITUTE($S$2:$S$47,CHAR(160)," ")),
      $T$2:$T$47
    )
  ),
"")</f>
        <v/>
      </c>
    </row>
    <row r="386" spans="10:11" x14ac:dyDescent="0.2">
      <c r="J386" s="52" t="str" cm="1">
        <f t="array" ref="J386">IFERROR(
  VALUE($H386) *
  VALUE(
    _xlfn.XLOOKUP(
      TRIM($F386) &amp; "|" &amp; LEFT(SUBSTITUTE($G386,CHAR(160)," "),5) &amp; "|Reduced Rate",
      TRIM(SUBSTITUTE($Q$2:$Q$47,CHAR(160)," ")) &amp; "|" &amp;
      LEFT(SUBSTITUTE($R$2:$R$47,CHAR(160)," "),5) &amp; "|" &amp;
      TRIM(SUBSTITUTE($S$2:$S$47,CHAR(160)," ")),
      $T$2:$T$47
    )
  ),
"")</f>
        <v/>
      </c>
      <c r="K386" s="52" t="str" cm="1">
        <f t="array" ref="K386">IFERROR(
  VALUE($H386) *
  VALUE(
    _xlfn.XLOOKUP(
      TRIM($F386) &amp; "|" &amp; LEFT(SUBSTITUTE($G386,CHAR(160)," "),5) &amp; "|Ideas Rate",
      TRIM(SUBSTITUTE($Q$2:$Q$47,CHAR(160)," ")) &amp; "|" &amp;
      LEFT(SUBSTITUTE($R$2:$R$47,CHAR(160)," "),5) &amp; "|" &amp;
      TRIM(SUBSTITUTE($S$2:$S$47,CHAR(160)," ")),
      $T$2:$T$47
    )
  ),
"")</f>
        <v/>
      </c>
    </row>
    <row r="387" spans="10:11" x14ac:dyDescent="0.2">
      <c r="J387" s="52" t="str" cm="1">
        <f t="array" ref="J387">IFERROR(
  VALUE($H387) *
  VALUE(
    _xlfn.XLOOKUP(
      TRIM($F387) &amp; "|" &amp; LEFT(SUBSTITUTE($G387,CHAR(160)," "),5) &amp; "|Reduced Rate",
      TRIM(SUBSTITUTE($Q$2:$Q$47,CHAR(160)," ")) &amp; "|" &amp;
      LEFT(SUBSTITUTE($R$2:$R$47,CHAR(160)," "),5) &amp; "|" &amp;
      TRIM(SUBSTITUTE($S$2:$S$47,CHAR(160)," ")),
      $T$2:$T$47
    )
  ),
"")</f>
        <v/>
      </c>
      <c r="K387" s="52" t="str" cm="1">
        <f t="array" ref="K387">IFERROR(
  VALUE($H387) *
  VALUE(
    _xlfn.XLOOKUP(
      TRIM($F387) &amp; "|" &amp; LEFT(SUBSTITUTE($G387,CHAR(160)," "),5) &amp; "|Ideas Rate",
      TRIM(SUBSTITUTE($Q$2:$Q$47,CHAR(160)," ")) &amp; "|" &amp;
      LEFT(SUBSTITUTE($R$2:$R$47,CHAR(160)," "),5) &amp; "|" &amp;
      TRIM(SUBSTITUTE($S$2:$S$47,CHAR(160)," ")),
      $T$2:$T$47
    )
  ),
"")</f>
        <v/>
      </c>
    </row>
    <row r="388" spans="10:11" x14ac:dyDescent="0.2">
      <c r="J388" s="52" t="str" cm="1">
        <f t="array" ref="J388">IFERROR(
  VALUE($H388) *
  VALUE(
    _xlfn.XLOOKUP(
      TRIM($F388) &amp; "|" &amp; LEFT(SUBSTITUTE($G388,CHAR(160)," "),5) &amp; "|Reduced Rate",
      TRIM(SUBSTITUTE($Q$2:$Q$47,CHAR(160)," ")) &amp; "|" &amp;
      LEFT(SUBSTITUTE($R$2:$R$47,CHAR(160)," "),5) &amp; "|" &amp;
      TRIM(SUBSTITUTE($S$2:$S$47,CHAR(160)," ")),
      $T$2:$T$47
    )
  ),
"")</f>
        <v/>
      </c>
      <c r="K388" s="52" t="str" cm="1">
        <f t="array" ref="K388">IFERROR(
  VALUE($H388) *
  VALUE(
    _xlfn.XLOOKUP(
      TRIM($F388) &amp; "|" &amp; LEFT(SUBSTITUTE($G388,CHAR(160)," "),5) &amp; "|Ideas Rate",
      TRIM(SUBSTITUTE($Q$2:$Q$47,CHAR(160)," ")) &amp; "|" &amp;
      LEFT(SUBSTITUTE($R$2:$R$47,CHAR(160)," "),5) &amp; "|" &amp;
      TRIM(SUBSTITUTE($S$2:$S$47,CHAR(160)," ")),
      $T$2:$T$47
    )
  ),
"")</f>
        <v/>
      </c>
    </row>
    <row r="389" spans="10:11" x14ac:dyDescent="0.2">
      <c r="J389" s="52" t="str" cm="1">
        <f t="array" ref="J389">IFERROR(
  VALUE($H389) *
  VALUE(
    _xlfn.XLOOKUP(
      TRIM($F389) &amp; "|" &amp; LEFT(SUBSTITUTE($G389,CHAR(160)," "),5) &amp; "|Reduced Rate",
      TRIM(SUBSTITUTE($Q$2:$Q$47,CHAR(160)," ")) &amp; "|" &amp;
      LEFT(SUBSTITUTE($R$2:$R$47,CHAR(160)," "),5) &amp; "|" &amp;
      TRIM(SUBSTITUTE($S$2:$S$47,CHAR(160)," ")),
      $T$2:$T$47
    )
  ),
"")</f>
        <v/>
      </c>
      <c r="K389" s="52" t="str" cm="1">
        <f t="array" ref="K389">IFERROR(
  VALUE($H389) *
  VALUE(
    _xlfn.XLOOKUP(
      TRIM($F389) &amp; "|" &amp; LEFT(SUBSTITUTE($G389,CHAR(160)," "),5) &amp; "|Ideas Rate",
      TRIM(SUBSTITUTE($Q$2:$Q$47,CHAR(160)," ")) &amp; "|" &amp;
      LEFT(SUBSTITUTE($R$2:$R$47,CHAR(160)," "),5) &amp; "|" &amp;
      TRIM(SUBSTITUTE($S$2:$S$47,CHAR(160)," ")),
      $T$2:$T$47
    )
  ),
"")</f>
        <v/>
      </c>
    </row>
    <row r="390" spans="10:11" x14ac:dyDescent="0.2">
      <c r="J390" s="52" t="str" cm="1">
        <f t="array" ref="J390">IFERROR(
  VALUE($H390) *
  VALUE(
    _xlfn.XLOOKUP(
      TRIM($F390) &amp; "|" &amp; LEFT(SUBSTITUTE($G390,CHAR(160)," "),5) &amp; "|Reduced Rate",
      TRIM(SUBSTITUTE($Q$2:$Q$47,CHAR(160)," ")) &amp; "|" &amp;
      LEFT(SUBSTITUTE($R$2:$R$47,CHAR(160)," "),5) &amp; "|" &amp;
      TRIM(SUBSTITUTE($S$2:$S$47,CHAR(160)," ")),
      $T$2:$T$47
    )
  ),
"")</f>
        <v/>
      </c>
    </row>
    <row r="391" spans="10:11" x14ac:dyDescent="0.2">
      <c r="J391" s="52" t="str" cm="1">
        <f t="array" ref="J391">IFERROR(
  VALUE($H391) *
  VALUE(
    _xlfn.XLOOKUP(
      TRIM($F391) &amp; "|" &amp; LEFT(SUBSTITUTE($G391,CHAR(160)," "),5) &amp; "|Reduced Rate",
      TRIM(SUBSTITUTE($Q$2:$Q$47,CHAR(160)," ")) &amp; "|" &amp;
      LEFT(SUBSTITUTE($R$2:$R$47,CHAR(160)," "),5) &amp; "|" &amp;
      TRIM(SUBSTITUTE($S$2:$S$47,CHAR(160)," ")),
      $T$2:$T$47
    )
  ),
"")</f>
        <v/>
      </c>
    </row>
    <row r="392" spans="10:11" x14ac:dyDescent="0.2">
      <c r="J392" s="52" t="str" cm="1">
        <f t="array" ref="J392">IFERROR(
  VALUE($H392) *
  VALUE(
    _xlfn.XLOOKUP(
      TRIM($F392) &amp; "|" &amp; LEFT(SUBSTITUTE($G392,CHAR(160)," "),5) &amp; "|Reduced Rate",
      TRIM(SUBSTITUTE($Q$2:$Q$47,CHAR(160)," ")) &amp; "|" &amp;
      LEFT(SUBSTITUTE($R$2:$R$47,CHAR(160)," "),5) &amp; "|" &amp;
      TRIM(SUBSTITUTE($S$2:$S$47,CHAR(160)," ")),
      $T$2:$T$47
    )
  ),
"")</f>
        <v/>
      </c>
    </row>
    <row r="393" spans="10:11" x14ac:dyDescent="0.2">
      <c r="J393" s="52" t="str" cm="1">
        <f t="array" ref="J393">IFERROR(
  VALUE($H393) *
  VALUE(
    _xlfn.XLOOKUP(
      TRIM($F393) &amp; "|" &amp; LEFT(SUBSTITUTE($G393,CHAR(160)," "),5) &amp; "|Reduced Rate",
      TRIM(SUBSTITUTE($Q$2:$Q$47,CHAR(160)," ")) &amp; "|" &amp;
      LEFT(SUBSTITUTE($R$2:$R$47,CHAR(160)," "),5) &amp; "|" &amp;
      TRIM(SUBSTITUTE($S$2:$S$47,CHAR(160)," ")),
      $T$2:$T$47
    )
  ),
"")</f>
        <v/>
      </c>
    </row>
    <row r="394" spans="10:11" x14ac:dyDescent="0.2">
      <c r="J394" s="52" t="str" cm="1">
        <f t="array" ref="J394">IFERROR(
  VALUE($H394) *
  VALUE(
    _xlfn.XLOOKUP(
      TRIM($F394) &amp; "|" &amp; LEFT(SUBSTITUTE($G394,CHAR(160)," "),5) &amp; "|Reduced Rate",
      TRIM(SUBSTITUTE($Q$2:$Q$47,CHAR(160)," ")) &amp; "|" &amp;
      LEFT(SUBSTITUTE($R$2:$R$47,CHAR(160)," "),5) &amp; "|" &amp;
      TRIM(SUBSTITUTE($S$2:$S$47,CHAR(160)," ")),
      $T$2:$T$47
    )
  ),
"")</f>
        <v/>
      </c>
    </row>
    <row r="395" spans="10:11" x14ac:dyDescent="0.2">
      <c r="J395" s="52" t="str" cm="1">
        <f t="array" ref="J395">IFERROR(
  VALUE($H395) *
  VALUE(
    _xlfn.XLOOKUP(
      TRIM($F395) &amp; "|" &amp; LEFT(SUBSTITUTE($G395,CHAR(160)," "),5) &amp; "|Reduced Rate",
      TRIM(SUBSTITUTE($Q$2:$Q$47,CHAR(160)," ")) &amp; "|" &amp;
      LEFT(SUBSTITUTE($R$2:$R$47,CHAR(160)," "),5) &amp; "|" &amp;
      TRIM(SUBSTITUTE($S$2:$S$47,CHAR(160)," ")),
      $T$2:$T$47
    )
  ),
"")</f>
        <v/>
      </c>
    </row>
    <row r="396" spans="10:11" x14ac:dyDescent="0.2">
      <c r="J396" s="52" t="str" cm="1">
        <f t="array" ref="J396">IFERROR(
  VALUE($H396) *
  VALUE(
    _xlfn.XLOOKUP(
      TRIM($F396) &amp; "|" &amp; LEFT(SUBSTITUTE($G396,CHAR(160)," "),5) &amp; "|Reduced Rate",
      TRIM(SUBSTITUTE($Q$2:$Q$47,CHAR(160)," ")) &amp; "|" &amp;
      LEFT(SUBSTITUTE($R$2:$R$47,CHAR(160)," "),5) &amp; "|" &amp;
      TRIM(SUBSTITUTE($S$2:$S$47,CHAR(160)," ")),
      $T$2:$T$47
    )
  ),
"")</f>
        <v/>
      </c>
    </row>
    <row r="397" spans="10:11" x14ac:dyDescent="0.2">
      <c r="J397" s="52" t="str" cm="1">
        <f t="array" ref="J397">IFERROR(
  VALUE($H397) *
  VALUE(
    _xlfn.XLOOKUP(
      TRIM($F397) &amp; "|" &amp; LEFT(SUBSTITUTE($G397,CHAR(160)," "),5) &amp; "|Reduced Rate",
      TRIM(SUBSTITUTE($Q$2:$Q$47,CHAR(160)," ")) &amp; "|" &amp;
      LEFT(SUBSTITUTE($R$2:$R$47,CHAR(160)," "),5) &amp; "|" &amp;
      TRIM(SUBSTITUTE($S$2:$S$47,CHAR(160)," ")),
      $T$2:$T$47
    )
  ),
"")</f>
        <v/>
      </c>
    </row>
    <row r="398" spans="10:11" x14ac:dyDescent="0.2">
      <c r="J398" s="52" t="str" cm="1">
        <f t="array" ref="J398">IFERROR(
  VALUE($H398) *
  VALUE(
    _xlfn.XLOOKUP(
      TRIM($F398) &amp; "|" &amp; LEFT(SUBSTITUTE($G398,CHAR(160)," "),5) &amp; "|Reduced Rate",
      TRIM(SUBSTITUTE($Q$2:$Q$47,CHAR(160)," ")) &amp; "|" &amp;
      LEFT(SUBSTITUTE($R$2:$R$47,CHAR(160)," "),5) &amp; "|" &amp;
      TRIM(SUBSTITUTE($S$2:$S$47,CHAR(160)," ")),
      $T$2:$T$47
    )
  ),
"")</f>
        <v/>
      </c>
    </row>
    <row r="399" spans="10:11" x14ac:dyDescent="0.2">
      <c r="J399" s="52" t="str" cm="1">
        <f t="array" ref="J399">IFERROR(
  VALUE($H399) *
  VALUE(
    _xlfn.XLOOKUP(
      TRIM($F399) &amp; "|" &amp; LEFT(SUBSTITUTE($G399,CHAR(160)," "),5) &amp; "|Reduced Rate",
      TRIM(SUBSTITUTE($Q$2:$Q$47,CHAR(160)," ")) &amp; "|" &amp;
      LEFT(SUBSTITUTE($R$2:$R$47,CHAR(160)," "),5) &amp; "|" &amp;
      TRIM(SUBSTITUTE($S$2:$S$47,CHAR(160)," ")),
      $T$2:$T$47
    )
  ),
"")</f>
        <v/>
      </c>
    </row>
    <row r="400" spans="10:11" x14ac:dyDescent="0.2">
      <c r="J400" s="52" t="str" cm="1">
        <f t="array" ref="J400">IFERROR(
  VALUE($H400) *
  VALUE(
    _xlfn.XLOOKUP(
      TRIM($F400) &amp; "|" &amp; LEFT(SUBSTITUTE($G400,CHAR(160)," "),5) &amp; "|Reduced Rate",
      TRIM(SUBSTITUTE($Q$2:$Q$47,CHAR(160)," ")) &amp; "|" &amp;
      LEFT(SUBSTITUTE($R$2:$R$47,CHAR(160)," "),5) &amp; "|" &amp;
      TRIM(SUBSTITUTE($S$2:$S$47,CHAR(160)," ")),
      $T$2:$T$47
    )
  ),
"")</f>
        <v/>
      </c>
    </row>
    <row r="401" spans="10:10" x14ac:dyDescent="0.2">
      <c r="J401" s="52" t="str" cm="1">
        <f t="array" ref="J401">IFERROR(
  VALUE($H401) *
  VALUE(
    _xlfn.XLOOKUP(
      TRIM($F401) &amp; "|" &amp; LEFT(SUBSTITUTE($G401,CHAR(160)," "),5) &amp; "|Reduced Rate",
      TRIM(SUBSTITUTE($Q$2:$Q$47,CHAR(160)," ")) &amp; "|" &amp;
      LEFT(SUBSTITUTE($R$2:$R$47,CHAR(160)," "),5) &amp; "|" &amp;
      TRIM(SUBSTITUTE($S$2:$S$47,CHAR(160)," ")),
      $T$2:$T$47
    )
  ),
"")</f>
        <v/>
      </c>
    </row>
    <row r="402" spans="10:10" x14ac:dyDescent="0.2">
      <c r="J402" s="52" t="str" cm="1">
        <f t="array" ref="J402">IFERROR(
  VALUE($H402) *
  VALUE(
    _xlfn.XLOOKUP(
      TRIM($F402) &amp; "|" &amp; LEFT(SUBSTITUTE($G402,CHAR(160)," "),5) &amp; "|Reduced Rate",
      TRIM(SUBSTITUTE($Q$2:$Q$47,CHAR(160)," ")) &amp; "|" &amp;
      LEFT(SUBSTITUTE($R$2:$R$47,CHAR(160)," "),5) &amp; "|" &amp;
      TRIM(SUBSTITUTE($S$2:$S$47,CHAR(160)," ")),
      $T$2:$T$47
    )
  ),
"")</f>
        <v/>
      </c>
    </row>
    <row r="403" spans="10:10" x14ac:dyDescent="0.2">
      <c r="J403" s="52" t="str" cm="1">
        <f t="array" ref="J403">IFERROR(
  VALUE($H403) *
  VALUE(
    _xlfn.XLOOKUP(
      TRIM($F403) &amp; "|" &amp; LEFT(SUBSTITUTE($G403,CHAR(160)," "),5) &amp; "|Reduced Rate",
      TRIM(SUBSTITUTE($Q$2:$Q$47,CHAR(160)," ")) &amp; "|" &amp;
      LEFT(SUBSTITUTE($R$2:$R$47,CHAR(160)," "),5) &amp; "|" &amp;
      TRIM(SUBSTITUTE($S$2:$S$47,CHAR(160)," ")),
      $T$2:$T$47
    )
  ),
"")</f>
        <v/>
      </c>
    </row>
    <row r="404" spans="10:10" x14ac:dyDescent="0.2">
      <c r="J404" s="52" t="str" cm="1">
        <f t="array" ref="J404">IFERROR(
  VALUE($H404) *
  VALUE(
    _xlfn.XLOOKUP(
      TRIM($F404) &amp; "|" &amp; LEFT(SUBSTITUTE($G404,CHAR(160)," "),5) &amp; "|Reduced Rate",
      TRIM(SUBSTITUTE($Q$2:$Q$47,CHAR(160)," ")) &amp; "|" &amp;
      LEFT(SUBSTITUTE($R$2:$R$47,CHAR(160)," "),5) &amp; "|" &amp;
      TRIM(SUBSTITUTE($S$2:$S$47,CHAR(160)," ")),
      $T$2:$T$47
    )
  ),
"")</f>
        <v/>
      </c>
    </row>
    <row r="405" spans="10:10" x14ac:dyDescent="0.2">
      <c r="J405" s="52" t="str" cm="1">
        <f t="array" ref="J405">IFERROR(
  VALUE($H405) *
  VALUE(
    _xlfn.XLOOKUP(
      TRIM($F405) &amp; "|" &amp; LEFT(SUBSTITUTE($G405,CHAR(160)," "),5) &amp; "|Reduced Rate",
      TRIM(SUBSTITUTE($Q$2:$Q$47,CHAR(160)," ")) &amp; "|" &amp;
      LEFT(SUBSTITUTE($R$2:$R$47,CHAR(160)," "),5) &amp; "|" &amp;
      TRIM(SUBSTITUTE($S$2:$S$47,CHAR(160)," ")),
      $T$2:$T$47
    )
  ),
"")</f>
        <v/>
      </c>
    </row>
    <row r="406" spans="10:10" x14ac:dyDescent="0.2">
      <c r="J406" s="52" t="str" cm="1">
        <f t="array" ref="J406">IFERROR(
  VALUE($H406) *
  VALUE(
    _xlfn.XLOOKUP(
      TRIM($F406) &amp; "|" &amp; LEFT(SUBSTITUTE($G406,CHAR(160)," "),5) &amp; "|Reduced Rate",
      TRIM(SUBSTITUTE($Q$2:$Q$47,CHAR(160)," ")) &amp; "|" &amp;
      LEFT(SUBSTITUTE($R$2:$R$47,CHAR(160)," "),5) &amp; "|" &amp;
      TRIM(SUBSTITUTE($S$2:$S$47,CHAR(160)," ")),
      $T$2:$T$47
    )
  ),
"")</f>
        <v/>
      </c>
    </row>
    <row r="407" spans="10:10" x14ac:dyDescent="0.2">
      <c r="J407" s="52" t="str" cm="1">
        <f t="array" ref="J407">IFERROR(
  VALUE($H407) *
  VALUE(
    _xlfn.XLOOKUP(
      TRIM($F407) &amp; "|" &amp; LEFT(SUBSTITUTE($G407,CHAR(160)," "),5) &amp; "|Reduced Rate",
      TRIM(SUBSTITUTE($Q$2:$Q$47,CHAR(160)," ")) &amp; "|" &amp;
      LEFT(SUBSTITUTE($R$2:$R$47,CHAR(160)," "),5) &amp; "|" &amp;
      TRIM(SUBSTITUTE($S$2:$S$47,CHAR(160)," ")),
      $T$2:$T$47
    )
  ),
"")</f>
        <v/>
      </c>
    </row>
    <row r="408" spans="10:10" x14ac:dyDescent="0.2">
      <c r="J408" s="52" t="str" cm="1">
        <f t="array" ref="J408">IFERROR(
  VALUE($H408) *
  VALUE(
    _xlfn.XLOOKUP(
      TRIM($F408) &amp; "|" &amp; LEFT(SUBSTITUTE($G408,CHAR(160)," "),5) &amp; "|Reduced Rate",
      TRIM(SUBSTITUTE($Q$2:$Q$47,CHAR(160)," ")) &amp; "|" &amp;
      LEFT(SUBSTITUTE($R$2:$R$47,CHAR(160)," "),5) &amp; "|" &amp;
      TRIM(SUBSTITUTE($S$2:$S$47,CHAR(160)," ")),
      $T$2:$T$47
    )
  ),
"")</f>
        <v/>
      </c>
    </row>
    <row r="409" spans="10:10" x14ac:dyDescent="0.2">
      <c r="J409" s="52" t="str" cm="1">
        <f t="array" ref="J409">IFERROR(
  VALUE($H409) *
  VALUE(
    _xlfn.XLOOKUP(
      TRIM($F409) &amp; "|" &amp; LEFT(SUBSTITUTE($G409,CHAR(160)," "),5) &amp; "|Reduced Rate",
      TRIM(SUBSTITUTE($Q$2:$Q$47,CHAR(160)," ")) &amp; "|" &amp;
      LEFT(SUBSTITUTE($R$2:$R$47,CHAR(160)," "),5) &amp; "|" &amp;
      TRIM(SUBSTITUTE($S$2:$S$47,CHAR(160)," ")),
      $T$2:$T$47
    )
  ),
"")</f>
        <v/>
      </c>
    </row>
    <row r="410" spans="10:10" x14ac:dyDescent="0.2">
      <c r="J410" s="52" t="str" cm="1">
        <f t="array" ref="J410">IFERROR(
  VALUE($H410) *
  VALUE(
    _xlfn.XLOOKUP(
      TRIM($F410) &amp; "|" &amp; LEFT(SUBSTITUTE($G410,CHAR(160)," "),5) &amp; "|Reduced Rate",
      TRIM(SUBSTITUTE($Q$2:$Q$47,CHAR(160)," ")) &amp; "|" &amp;
      LEFT(SUBSTITUTE($R$2:$R$47,CHAR(160)," "),5) &amp; "|" &amp;
      TRIM(SUBSTITUTE($S$2:$S$47,CHAR(160)," ")),
      $T$2:$T$47
    )
  ),
"")</f>
        <v/>
      </c>
    </row>
    <row r="411" spans="10:10" x14ac:dyDescent="0.2">
      <c r="J411" s="52" t="str" cm="1">
        <f t="array" ref="J411">IFERROR(
  VALUE($H411) *
  VALUE(
    _xlfn.XLOOKUP(
      TRIM($F411) &amp; "|" &amp; LEFT(SUBSTITUTE($G411,CHAR(160)," "),5) &amp; "|Reduced Rate",
      TRIM(SUBSTITUTE($Q$2:$Q$47,CHAR(160)," ")) &amp; "|" &amp;
      LEFT(SUBSTITUTE($R$2:$R$47,CHAR(160)," "),5) &amp; "|" &amp;
      TRIM(SUBSTITUTE($S$2:$S$47,CHAR(160)," ")),
      $T$2:$T$47
    )
  ),
"")</f>
        <v/>
      </c>
    </row>
    <row r="412" spans="10:10" x14ac:dyDescent="0.2">
      <c r="J412" s="52" t="str" cm="1">
        <f t="array" ref="J412">IFERROR(
  VALUE($H412) *
  VALUE(
    _xlfn.XLOOKUP(
      TRIM($F412) &amp; "|" &amp; LEFT(SUBSTITUTE($G412,CHAR(160)," "),5) &amp; "|Reduced Rate",
      TRIM(SUBSTITUTE($Q$2:$Q$47,CHAR(160)," ")) &amp; "|" &amp;
      LEFT(SUBSTITUTE($R$2:$R$47,CHAR(160)," "),5) &amp; "|" &amp;
      TRIM(SUBSTITUTE($S$2:$S$47,CHAR(160)," ")),
      $T$2:$T$47
    )
  ),
"")</f>
        <v/>
      </c>
    </row>
    <row r="413" spans="10:10" x14ac:dyDescent="0.2">
      <c r="J413" s="52" t="str" cm="1">
        <f t="array" ref="J413">IFERROR(
  VALUE($H413) *
  VALUE(
    _xlfn.XLOOKUP(
      TRIM($F413) &amp; "|" &amp; LEFT(SUBSTITUTE($G413,CHAR(160)," "),5) &amp; "|Reduced Rate",
      TRIM(SUBSTITUTE($Q$2:$Q$47,CHAR(160)," ")) &amp; "|" &amp;
      LEFT(SUBSTITUTE($R$2:$R$47,CHAR(160)," "),5) &amp; "|" &amp;
      TRIM(SUBSTITUTE($S$2:$S$47,CHAR(160)," ")),
      $T$2:$T$47
    )
  ),
"")</f>
        <v/>
      </c>
    </row>
    <row r="414" spans="10:10" x14ac:dyDescent="0.2">
      <c r="J414" s="52" t="str" cm="1">
        <f t="array" ref="J414">IFERROR(
  VALUE($H414) *
  VALUE(
    _xlfn.XLOOKUP(
      TRIM($F414) &amp; "|" &amp; LEFT(SUBSTITUTE($G414,CHAR(160)," "),5) &amp; "|Reduced Rate",
      TRIM(SUBSTITUTE($Q$2:$Q$47,CHAR(160)," ")) &amp; "|" &amp;
      LEFT(SUBSTITUTE($R$2:$R$47,CHAR(160)," "),5) &amp; "|" &amp;
      TRIM(SUBSTITUTE($S$2:$S$47,CHAR(160)," ")),
      $T$2:$T$47
    )
  ),
"")</f>
        <v/>
      </c>
    </row>
    <row r="415" spans="10:10" x14ac:dyDescent="0.2">
      <c r="J415" s="52" t="str" cm="1">
        <f t="array" ref="J415">IFERROR(
  VALUE($H415) *
  VALUE(
    _xlfn.XLOOKUP(
      TRIM($F415) &amp; "|" &amp; LEFT(SUBSTITUTE($G415,CHAR(160)," "),5) &amp; "|Reduced Rate",
      TRIM(SUBSTITUTE($Q$2:$Q$47,CHAR(160)," ")) &amp; "|" &amp;
      LEFT(SUBSTITUTE($R$2:$R$47,CHAR(160)," "),5) &amp; "|" &amp;
      TRIM(SUBSTITUTE($S$2:$S$47,CHAR(160)," ")),
      $T$2:$T$47
    )
  ),
"")</f>
        <v/>
      </c>
    </row>
    <row r="416" spans="10:10" x14ac:dyDescent="0.2">
      <c r="J416" s="52" t="str" cm="1">
        <f t="array" ref="J416">IFERROR(
  VALUE($H416) *
  VALUE(
    _xlfn.XLOOKUP(
      TRIM($F416) &amp; "|" &amp; LEFT(SUBSTITUTE($G416,CHAR(160)," "),5) &amp; "|Reduced Rate",
      TRIM(SUBSTITUTE($Q$2:$Q$47,CHAR(160)," ")) &amp; "|" &amp;
      LEFT(SUBSTITUTE($R$2:$R$47,CHAR(160)," "),5) &amp; "|" &amp;
      TRIM(SUBSTITUTE($S$2:$S$47,CHAR(160)," ")),
      $T$2:$T$47
    )
  ),
"")</f>
        <v/>
      </c>
    </row>
    <row r="417" spans="10:10" x14ac:dyDescent="0.2">
      <c r="J417" s="52" t="str" cm="1">
        <f t="array" ref="J417">IFERROR(
  VALUE($H417) *
  VALUE(
    _xlfn.XLOOKUP(
      TRIM($F417) &amp; "|" &amp; LEFT(SUBSTITUTE($G417,CHAR(160)," "),5) &amp; "|Reduced Rate",
      TRIM(SUBSTITUTE($Q$2:$Q$47,CHAR(160)," ")) &amp; "|" &amp;
      LEFT(SUBSTITUTE($R$2:$R$47,CHAR(160)," "),5) &amp; "|" &amp;
      TRIM(SUBSTITUTE($S$2:$S$47,CHAR(160)," ")),
      $T$2:$T$47
    )
  ),
"")</f>
        <v/>
      </c>
    </row>
    <row r="418" spans="10:10" x14ac:dyDescent="0.2">
      <c r="J418" s="52" t="str" cm="1">
        <f t="array" ref="J418">IFERROR(
  VALUE($H418) *
  VALUE(
    _xlfn.XLOOKUP(
      TRIM($F418) &amp; "|" &amp; LEFT(SUBSTITUTE($G418,CHAR(160)," "),5) &amp; "|Reduced Rate",
      TRIM(SUBSTITUTE($Q$2:$Q$47,CHAR(160)," ")) &amp; "|" &amp;
      LEFT(SUBSTITUTE($R$2:$R$47,CHAR(160)," "),5) &amp; "|" &amp;
      TRIM(SUBSTITUTE($S$2:$S$47,CHAR(160)," ")),
      $T$2:$T$47
    )
  ),
"")</f>
        <v/>
      </c>
    </row>
    <row r="419" spans="10:10" x14ac:dyDescent="0.2">
      <c r="J419" s="52" t="str" cm="1">
        <f t="array" ref="J419">IFERROR(
  VALUE($H419) *
  VALUE(
    _xlfn.XLOOKUP(
      TRIM($F419) &amp; "|" &amp; LEFT(SUBSTITUTE($G419,CHAR(160)," "),5) &amp; "|Reduced Rate",
      TRIM(SUBSTITUTE($Q$2:$Q$47,CHAR(160)," ")) &amp; "|" &amp;
      LEFT(SUBSTITUTE($R$2:$R$47,CHAR(160)," "),5) &amp; "|" &amp;
      TRIM(SUBSTITUTE($S$2:$S$47,CHAR(160)," ")),
      $T$2:$T$47
    )
  ),
"")</f>
        <v/>
      </c>
    </row>
    <row r="420" spans="10:10" x14ac:dyDescent="0.2">
      <c r="J420" s="52" t="str" cm="1">
        <f t="array" ref="J420">IFERROR(
  VALUE($H420) *
  VALUE(
    _xlfn.XLOOKUP(
      TRIM($F420) &amp; "|" &amp; LEFT(SUBSTITUTE($G420,CHAR(160)," "),5) &amp; "|Reduced Rate",
      TRIM(SUBSTITUTE($Q$2:$Q$47,CHAR(160)," ")) &amp; "|" &amp;
      LEFT(SUBSTITUTE($R$2:$R$47,CHAR(160)," "),5) &amp; "|" &amp;
      TRIM(SUBSTITUTE($S$2:$S$47,CHAR(160)," ")),
      $T$2:$T$47
    )
  ),
"")</f>
        <v/>
      </c>
    </row>
    <row r="421" spans="10:10" x14ac:dyDescent="0.2">
      <c r="J421" s="52" t="str" cm="1">
        <f t="array" ref="J421">IFERROR(
  VALUE($H421) *
  VALUE(
    _xlfn.XLOOKUP(
      TRIM($F421) &amp; "|" &amp; LEFT(SUBSTITUTE($G421,CHAR(160)," "),5) &amp; "|Reduced Rate",
      TRIM(SUBSTITUTE($Q$2:$Q$47,CHAR(160)," ")) &amp; "|" &amp;
      LEFT(SUBSTITUTE($R$2:$R$47,CHAR(160)," "),5) &amp; "|" &amp;
      TRIM(SUBSTITUTE($S$2:$S$47,CHAR(160)," ")),
      $T$2:$T$47
    )
  ),
"")</f>
        <v/>
      </c>
    </row>
    <row r="422" spans="10:10" x14ac:dyDescent="0.2">
      <c r="J422" s="52" t="str" cm="1">
        <f t="array" ref="J422">IFERROR(
  VALUE($H422) *
  VALUE(
    _xlfn.XLOOKUP(
      TRIM($F422) &amp; "|" &amp; LEFT(SUBSTITUTE($G422,CHAR(160)," "),5) &amp; "|Reduced Rate",
      TRIM(SUBSTITUTE($Q$2:$Q$47,CHAR(160)," ")) &amp; "|" &amp;
      LEFT(SUBSTITUTE($R$2:$R$47,CHAR(160)," "),5) &amp; "|" &amp;
      TRIM(SUBSTITUTE($S$2:$S$47,CHAR(160)," ")),
      $T$2:$T$47
    )
  ),
"")</f>
        <v/>
      </c>
    </row>
    <row r="423" spans="10:10" x14ac:dyDescent="0.2">
      <c r="J423" s="52" t="str" cm="1">
        <f t="array" ref="J423">IFERROR(
  VALUE($H423) *
  VALUE(
    _xlfn.XLOOKUP(
      TRIM($F423) &amp; "|" &amp; LEFT(SUBSTITUTE($G423,CHAR(160)," "),5) &amp; "|Reduced Rate",
      TRIM(SUBSTITUTE($Q$2:$Q$47,CHAR(160)," ")) &amp; "|" &amp;
      LEFT(SUBSTITUTE($R$2:$R$47,CHAR(160)," "),5) &amp; "|" &amp;
      TRIM(SUBSTITUTE($S$2:$S$47,CHAR(160)," ")),
      $T$2:$T$47
    )
  ),
"")</f>
        <v/>
      </c>
    </row>
    <row r="424" spans="10:10" x14ac:dyDescent="0.2">
      <c r="J424" s="52" t="str" cm="1">
        <f t="array" ref="J424">IFERROR(
  VALUE($H424) *
  VALUE(
    _xlfn.XLOOKUP(
      TRIM($F424) &amp; "|" &amp; LEFT(SUBSTITUTE($G424,CHAR(160)," "),5) &amp; "|Reduced Rate",
      TRIM(SUBSTITUTE($Q$2:$Q$47,CHAR(160)," ")) &amp; "|" &amp;
      LEFT(SUBSTITUTE($R$2:$R$47,CHAR(160)," "),5) &amp; "|" &amp;
      TRIM(SUBSTITUTE($S$2:$S$47,CHAR(160)," ")),
      $T$2:$T$47
    )
  ),
"")</f>
        <v/>
      </c>
    </row>
    <row r="425" spans="10:10" x14ac:dyDescent="0.2">
      <c r="J425" s="52" t="str" cm="1">
        <f t="array" ref="J425">IFERROR(
  VALUE($H425) *
  VALUE(
    _xlfn.XLOOKUP(
      TRIM($F425) &amp; "|" &amp; LEFT(SUBSTITUTE($G425,CHAR(160)," "),5) &amp; "|Reduced Rate",
      TRIM(SUBSTITUTE($Q$2:$Q$47,CHAR(160)," ")) &amp; "|" &amp;
      LEFT(SUBSTITUTE($R$2:$R$47,CHAR(160)," "),5) &amp; "|" &amp;
      TRIM(SUBSTITUTE($S$2:$S$47,CHAR(160)," ")),
      $T$2:$T$47
    )
  ),
"")</f>
        <v/>
      </c>
    </row>
    <row r="426" spans="10:10" x14ac:dyDescent="0.2">
      <c r="J426" s="52" t="str" cm="1">
        <f t="array" ref="J426">IFERROR(
  VALUE($H426) *
  VALUE(
    _xlfn.XLOOKUP(
      TRIM($F426) &amp; "|" &amp; LEFT(SUBSTITUTE($G426,CHAR(160)," "),5) &amp; "|Reduced Rate",
      TRIM(SUBSTITUTE($Q$2:$Q$47,CHAR(160)," ")) &amp; "|" &amp;
      LEFT(SUBSTITUTE($R$2:$R$47,CHAR(160)," "),5) &amp; "|" &amp;
      TRIM(SUBSTITUTE($S$2:$S$47,CHAR(160)," ")),
      $T$2:$T$47
    )
  ),
"")</f>
        <v/>
      </c>
    </row>
    <row r="427" spans="10:10" x14ac:dyDescent="0.2">
      <c r="J427" s="52" t="str" cm="1">
        <f t="array" ref="J427">IFERROR(
  VALUE($H427) *
  VALUE(
    _xlfn.XLOOKUP(
      TRIM($F427) &amp; "|" &amp; LEFT(SUBSTITUTE($G427,CHAR(160)," "),5) &amp; "|Reduced Rate",
      TRIM(SUBSTITUTE($Q$2:$Q$47,CHAR(160)," ")) &amp; "|" &amp;
      LEFT(SUBSTITUTE($R$2:$R$47,CHAR(160)," "),5) &amp; "|" &amp;
      TRIM(SUBSTITUTE($S$2:$S$47,CHAR(160)," ")),
      $T$2:$T$47
    )
  ),
"")</f>
        <v/>
      </c>
    </row>
    <row r="428" spans="10:10" x14ac:dyDescent="0.2">
      <c r="J428" s="52" t="str" cm="1">
        <f t="array" ref="J428">IFERROR(
  VALUE($H428) *
  VALUE(
    _xlfn.XLOOKUP(
      TRIM($F428) &amp; "|" &amp; LEFT(SUBSTITUTE($G428,CHAR(160)," "),5) &amp; "|Reduced Rate",
      TRIM(SUBSTITUTE($Q$2:$Q$47,CHAR(160)," ")) &amp; "|" &amp;
      LEFT(SUBSTITUTE($R$2:$R$47,CHAR(160)," "),5) &amp; "|" &amp;
      TRIM(SUBSTITUTE($S$2:$S$47,CHAR(160)," ")),
      $T$2:$T$47
    )
  ),
"")</f>
        <v/>
      </c>
    </row>
    <row r="429" spans="10:10" x14ac:dyDescent="0.2">
      <c r="J429" s="52" t="str" cm="1">
        <f t="array" ref="J429">IFERROR(
  VALUE($H429) *
  VALUE(
    _xlfn.XLOOKUP(
      TRIM($F429) &amp; "|" &amp; LEFT(SUBSTITUTE($G429,CHAR(160)," "),5) &amp; "|Reduced Rate",
      TRIM(SUBSTITUTE($Q$2:$Q$47,CHAR(160)," ")) &amp; "|" &amp;
      LEFT(SUBSTITUTE($R$2:$R$47,CHAR(160)," "),5) &amp; "|" &amp;
      TRIM(SUBSTITUTE($S$2:$S$47,CHAR(160)," ")),
      $T$2:$T$47
    )
  ),
"")</f>
        <v/>
      </c>
    </row>
    <row r="430" spans="10:10" x14ac:dyDescent="0.2">
      <c r="J430" s="52" t="str" cm="1">
        <f t="array" ref="J430">IFERROR(
  VALUE($H430) *
  VALUE(
    _xlfn.XLOOKUP(
      TRIM($F430) &amp; "|" &amp; LEFT(SUBSTITUTE($G430,CHAR(160)," "),5) &amp; "|Reduced Rate",
      TRIM(SUBSTITUTE($Q$2:$Q$47,CHAR(160)," ")) &amp; "|" &amp;
      LEFT(SUBSTITUTE($R$2:$R$47,CHAR(160)," "),5) &amp; "|" &amp;
      TRIM(SUBSTITUTE($S$2:$S$47,CHAR(160)," ")),
      $T$2:$T$47
    )
  ),
"")</f>
        <v/>
      </c>
    </row>
    <row r="431" spans="10:10" x14ac:dyDescent="0.2">
      <c r="J431" s="52" t="str" cm="1">
        <f t="array" ref="J431">IFERROR(
  VALUE($H431) *
  VALUE(
    _xlfn.XLOOKUP(
      TRIM($F431) &amp; "|" &amp; LEFT(SUBSTITUTE($G431,CHAR(160)," "),5) &amp; "|Reduced Rate",
      TRIM(SUBSTITUTE($Q$2:$Q$47,CHAR(160)," ")) &amp; "|" &amp;
      LEFT(SUBSTITUTE($R$2:$R$47,CHAR(160)," "),5) &amp; "|" &amp;
      TRIM(SUBSTITUTE($S$2:$S$47,CHAR(160)," ")),
      $T$2:$T$47
    )
  ),
"")</f>
        <v/>
      </c>
    </row>
    <row r="432" spans="10:10" x14ac:dyDescent="0.2">
      <c r="J432" s="52" t="str" cm="1">
        <f t="array" ref="J432">IFERROR(
  VALUE($H432) *
  VALUE(
    _xlfn.XLOOKUP(
      TRIM($F432) &amp; "|" &amp; LEFT(SUBSTITUTE($G432,CHAR(160)," "),5) &amp; "|Reduced Rate",
      TRIM(SUBSTITUTE($Q$2:$Q$47,CHAR(160)," ")) &amp; "|" &amp;
      LEFT(SUBSTITUTE($R$2:$R$47,CHAR(160)," "),5) &amp; "|" &amp;
      TRIM(SUBSTITUTE($S$2:$S$47,CHAR(160)," ")),
      $T$2:$T$47
    )
  ),
"")</f>
        <v/>
      </c>
    </row>
    <row r="433" spans="10:10" x14ac:dyDescent="0.2">
      <c r="J433" s="52" t="str" cm="1">
        <f t="array" ref="J433">IFERROR(
  VALUE($H433) *
  VALUE(
    _xlfn.XLOOKUP(
      TRIM($F433) &amp; "|" &amp; LEFT(SUBSTITUTE($G433,CHAR(160)," "),5) &amp; "|Reduced Rate",
      TRIM(SUBSTITUTE($Q$2:$Q$47,CHAR(160)," ")) &amp; "|" &amp;
      LEFT(SUBSTITUTE($R$2:$R$47,CHAR(160)," "),5) &amp; "|" &amp;
      TRIM(SUBSTITUTE($S$2:$S$47,CHAR(160)," ")),
      $T$2:$T$47
    )
  ),
"")</f>
        <v/>
      </c>
    </row>
    <row r="434" spans="10:10" x14ac:dyDescent="0.2">
      <c r="J434" s="52" t="str" cm="1">
        <f t="array" ref="J434">IFERROR(
  VALUE($H434) *
  VALUE(
    _xlfn.XLOOKUP(
      TRIM($F434) &amp; "|" &amp; LEFT(SUBSTITUTE($G434,CHAR(160)," "),5) &amp; "|Reduced Rate",
      TRIM(SUBSTITUTE($Q$2:$Q$47,CHAR(160)," ")) &amp; "|" &amp;
      LEFT(SUBSTITUTE($R$2:$R$47,CHAR(160)," "),5) &amp; "|" &amp;
      TRIM(SUBSTITUTE($S$2:$S$47,CHAR(160)," ")),
      $T$2:$T$47
    )
  ),
"")</f>
        <v/>
      </c>
    </row>
    <row r="435" spans="10:10" x14ac:dyDescent="0.2">
      <c r="J435" s="52" t="str" cm="1">
        <f t="array" ref="J435">IFERROR(
  VALUE($H435) *
  VALUE(
    _xlfn.XLOOKUP(
      TRIM($F435) &amp; "|" &amp; LEFT(SUBSTITUTE($G435,CHAR(160)," "),5) &amp; "|Reduced Rate",
      TRIM(SUBSTITUTE($Q$2:$Q$47,CHAR(160)," ")) &amp; "|" &amp;
      LEFT(SUBSTITUTE($R$2:$R$47,CHAR(160)," "),5) &amp; "|" &amp;
      TRIM(SUBSTITUTE($S$2:$S$47,CHAR(160)," ")),
      $T$2:$T$47
    )
  ),
"")</f>
        <v/>
      </c>
    </row>
    <row r="436" spans="10:10" x14ac:dyDescent="0.2">
      <c r="J436" s="52" t="str" cm="1">
        <f t="array" ref="J436">IFERROR(
  VALUE($H436) *
  VALUE(
    _xlfn.XLOOKUP(
      TRIM($F436) &amp; "|" &amp; LEFT(SUBSTITUTE($G436,CHAR(160)," "),5) &amp; "|Reduced Rate",
      TRIM(SUBSTITUTE($Q$2:$Q$47,CHAR(160)," ")) &amp; "|" &amp;
      LEFT(SUBSTITUTE($R$2:$R$47,CHAR(160)," "),5) &amp; "|" &amp;
      TRIM(SUBSTITUTE($S$2:$S$47,CHAR(160)," ")),
      $T$2:$T$47
    )
  ),
"")</f>
        <v/>
      </c>
    </row>
    <row r="437" spans="10:10" x14ac:dyDescent="0.2">
      <c r="J437" s="52" t="str" cm="1">
        <f t="array" ref="J437">IFERROR(
  VALUE($H437) *
  VALUE(
    _xlfn.XLOOKUP(
      TRIM($F437) &amp; "|" &amp; LEFT(SUBSTITUTE($G437,CHAR(160)," "),5) &amp; "|Reduced Rate",
      TRIM(SUBSTITUTE($Q$2:$Q$47,CHAR(160)," ")) &amp; "|" &amp;
      LEFT(SUBSTITUTE($R$2:$R$47,CHAR(160)," "),5) &amp; "|" &amp;
      TRIM(SUBSTITUTE($S$2:$S$47,CHAR(160)," ")),
      $T$2:$T$47
    )
  ),
"")</f>
        <v/>
      </c>
    </row>
    <row r="438" spans="10:10" x14ac:dyDescent="0.2">
      <c r="J438" s="52" t="str" cm="1">
        <f t="array" ref="J438">IFERROR(
  VALUE($H438) *
  VALUE(
    _xlfn.XLOOKUP(
      TRIM($F438) &amp; "|" &amp; LEFT(SUBSTITUTE($G438,CHAR(160)," "),5) &amp; "|Reduced Rate",
      TRIM(SUBSTITUTE($Q$2:$Q$47,CHAR(160)," ")) &amp; "|" &amp;
      LEFT(SUBSTITUTE($R$2:$R$47,CHAR(160)," "),5) &amp; "|" &amp;
      TRIM(SUBSTITUTE($S$2:$S$47,CHAR(160)," ")),
      $T$2:$T$47
    )
  ),
"")</f>
        <v/>
      </c>
    </row>
    <row r="439" spans="10:10" x14ac:dyDescent="0.2">
      <c r="J439" s="52" t="str" cm="1">
        <f t="array" ref="J439">IFERROR(
  VALUE($H439) *
  VALUE(
    _xlfn.XLOOKUP(
      TRIM($F439) &amp; "|" &amp; LEFT(SUBSTITUTE($G439,CHAR(160)," "),5) &amp; "|Reduced Rate",
      TRIM(SUBSTITUTE($Q$2:$Q$47,CHAR(160)," ")) &amp; "|" &amp;
      LEFT(SUBSTITUTE($R$2:$R$47,CHAR(160)," "),5) &amp; "|" &amp;
      TRIM(SUBSTITUTE($S$2:$S$47,CHAR(160)," ")),
      $T$2:$T$47
    )
  ),
"")</f>
        <v/>
      </c>
    </row>
    <row r="440" spans="10:10" x14ac:dyDescent="0.2">
      <c r="J440" s="52" t="str" cm="1">
        <f t="array" ref="J440">IFERROR(
  VALUE($H440) *
  VALUE(
    _xlfn.XLOOKUP(
      TRIM($F440) &amp; "|" &amp; LEFT(SUBSTITUTE($G440,CHAR(160)," "),5) &amp; "|Reduced Rate",
      TRIM(SUBSTITUTE($Q$2:$Q$47,CHAR(160)," ")) &amp; "|" &amp;
      LEFT(SUBSTITUTE($R$2:$R$47,CHAR(160)," "),5) &amp; "|" &amp;
      TRIM(SUBSTITUTE($S$2:$S$47,CHAR(160)," ")),
      $T$2:$T$47
    )
  ),
"")</f>
        <v/>
      </c>
    </row>
    <row r="441" spans="10:10" x14ac:dyDescent="0.2">
      <c r="J441" s="52" t="str" cm="1">
        <f t="array" ref="J441">IFERROR(
  VALUE($H441) *
  VALUE(
    _xlfn.XLOOKUP(
      TRIM($F441) &amp; "|" &amp; LEFT(SUBSTITUTE($G441,CHAR(160)," "),5) &amp; "|Reduced Rate",
      TRIM(SUBSTITUTE($Q$2:$Q$47,CHAR(160)," ")) &amp; "|" &amp;
      LEFT(SUBSTITUTE($R$2:$R$47,CHAR(160)," "),5) &amp; "|" &amp;
      TRIM(SUBSTITUTE($S$2:$S$47,CHAR(160)," ")),
      $T$2:$T$47
    )
  ),
"")</f>
        <v/>
      </c>
    </row>
    <row r="442" spans="10:10" x14ac:dyDescent="0.2">
      <c r="J442" s="52" t="str" cm="1">
        <f t="array" ref="J442">IFERROR(
  VALUE($H442) *
  VALUE(
    _xlfn.XLOOKUP(
      TRIM($F442) &amp; "|" &amp; LEFT(SUBSTITUTE($G442,CHAR(160)," "),5) &amp; "|Reduced Rate",
      TRIM(SUBSTITUTE($Q$2:$Q$47,CHAR(160)," ")) &amp; "|" &amp;
      LEFT(SUBSTITUTE($R$2:$R$47,CHAR(160)," "),5) &amp; "|" &amp;
      TRIM(SUBSTITUTE($S$2:$S$47,CHAR(160)," ")),
      $T$2:$T$47
    )
  ),
"")</f>
        <v/>
      </c>
    </row>
    <row r="443" spans="10:10" x14ac:dyDescent="0.2">
      <c r="J443" s="52" t="str" cm="1">
        <f t="array" ref="J443">IFERROR(
  VALUE($H443) *
  VALUE(
    _xlfn.XLOOKUP(
      TRIM($F443) &amp; "|" &amp; LEFT(SUBSTITUTE($G443,CHAR(160)," "),5) &amp; "|Reduced Rate",
      TRIM(SUBSTITUTE($Q$2:$Q$47,CHAR(160)," ")) &amp; "|" &amp;
      LEFT(SUBSTITUTE($R$2:$R$47,CHAR(160)," "),5) &amp; "|" &amp;
      TRIM(SUBSTITUTE($S$2:$S$47,CHAR(160)," ")),
      $T$2:$T$47
    )
  ),
"")</f>
        <v/>
      </c>
    </row>
    <row r="444" spans="10:10" x14ac:dyDescent="0.2">
      <c r="J444" s="52" t="str" cm="1">
        <f t="array" ref="J444">IFERROR(
  VALUE($H444) *
  VALUE(
    _xlfn.XLOOKUP(
      TRIM($F444) &amp; "|" &amp; LEFT(SUBSTITUTE($G444,CHAR(160)," "),5) &amp; "|Reduced Rate",
      TRIM(SUBSTITUTE($Q$2:$Q$47,CHAR(160)," ")) &amp; "|" &amp;
      LEFT(SUBSTITUTE($R$2:$R$47,CHAR(160)," "),5) &amp; "|" &amp;
      TRIM(SUBSTITUTE($S$2:$S$47,CHAR(160)," ")),
      $T$2:$T$47
    )
  ),
"")</f>
        <v/>
      </c>
    </row>
    <row r="445" spans="10:10" x14ac:dyDescent="0.2">
      <c r="J445" s="52" t="str" cm="1">
        <f t="array" ref="J445">IFERROR(
  VALUE($H445) *
  VALUE(
    _xlfn.XLOOKUP(
      TRIM($F445) &amp; "|" &amp; LEFT(SUBSTITUTE($G445,CHAR(160)," "),5) &amp; "|Reduced Rate",
      TRIM(SUBSTITUTE($Q$2:$Q$47,CHAR(160)," ")) &amp; "|" &amp;
      LEFT(SUBSTITUTE($R$2:$R$47,CHAR(160)," "),5) &amp; "|" &amp;
      TRIM(SUBSTITUTE($S$2:$S$47,CHAR(160)," ")),
      $T$2:$T$47
    )
  ),
"")</f>
        <v/>
      </c>
    </row>
    <row r="446" spans="10:10" x14ac:dyDescent="0.2">
      <c r="J446" s="52" t="str" cm="1">
        <f t="array" ref="J446">IFERROR(
  VALUE($H446) *
  VALUE(
    _xlfn.XLOOKUP(
      TRIM($F446) &amp; "|" &amp; LEFT(SUBSTITUTE($G446,CHAR(160)," "),5) &amp; "|Reduced Rate",
      TRIM(SUBSTITUTE($Q$2:$Q$47,CHAR(160)," ")) &amp; "|" &amp;
      LEFT(SUBSTITUTE($R$2:$R$47,CHAR(160)," "),5) &amp; "|" &amp;
      TRIM(SUBSTITUTE($S$2:$S$47,CHAR(160)," ")),
      $T$2:$T$47
    )
  ),
"")</f>
        <v/>
      </c>
    </row>
    <row r="447" spans="10:10" x14ac:dyDescent="0.2">
      <c r="J447" s="52" t="str" cm="1">
        <f t="array" ref="J447">IFERROR(
  VALUE($H447) *
  VALUE(
    _xlfn.XLOOKUP(
      TRIM($F447) &amp; "|" &amp; LEFT(SUBSTITUTE($G447,CHAR(160)," "),5) &amp; "|Reduced Rate",
      TRIM(SUBSTITUTE($Q$2:$Q$47,CHAR(160)," ")) &amp; "|" &amp;
      LEFT(SUBSTITUTE($R$2:$R$47,CHAR(160)," "),5) &amp; "|" &amp;
      TRIM(SUBSTITUTE($S$2:$S$47,CHAR(160)," ")),
      $T$2:$T$47
    )
  ),
"")</f>
        <v/>
      </c>
    </row>
    <row r="448" spans="10:10" x14ac:dyDescent="0.2">
      <c r="J448" s="52" t="str" cm="1">
        <f t="array" ref="J448">IFERROR(
  VALUE($H448) *
  VALUE(
    _xlfn.XLOOKUP(
      TRIM($F448) &amp; "|" &amp; LEFT(SUBSTITUTE($G448,CHAR(160)," "),5) &amp; "|Reduced Rate",
      TRIM(SUBSTITUTE($Q$2:$Q$47,CHAR(160)," ")) &amp; "|" &amp;
      LEFT(SUBSTITUTE($R$2:$R$47,CHAR(160)," "),5) &amp; "|" &amp;
      TRIM(SUBSTITUTE($S$2:$S$47,CHAR(160)," ")),
      $T$2:$T$47
    )
  ),
"")</f>
        <v/>
      </c>
    </row>
    <row r="449" spans="10:10" x14ac:dyDescent="0.2">
      <c r="J449" s="52" t="str" cm="1">
        <f t="array" ref="J449">IFERROR(
  VALUE($H449) *
  VALUE(
    _xlfn.XLOOKUP(
      TRIM($F449) &amp; "|" &amp; LEFT(SUBSTITUTE($G449,CHAR(160)," "),5) &amp; "|Reduced Rate",
      TRIM(SUBSTITUTE($Q$2:$Q$47,CHAR(160)," ")) &amp; "|" &amp;
      LEFT(SUBSTITUTE($R$2:$R$47,CHAR(160)," "),5) &amp; "|" &amp;
      TRIM(SUBSTITUTE($S$2:$S$47,CHAR(160)," ")),
      $T$2:$T$47
    )
  ),
"")</f>
        <v/>
      </c>
    </row>
    <row r="450" spans="10:10" x14ac:dyDescent="0.2">
      <c r="J450" s="52" t="str" cm="1">
        <f t="array" ref="J450">IFERROR(
  VALUE($H450) *
  VALUE(
    _xlfn.XLOOKUP(
      TRIM($F450) &amp; "|" &amp; LEFT(SUBSTITUTE($G450,CHAR(160)," "),5) &amp; "|Reduced Rate",
      TRIM(SUBSTITUTE($Q$2:$Q$47,CHAR(160)," ")) &amp; "|" &amp;
      LEFT(SUBSTITUTE($R$2:$R$47,CHAR(160)," "),5) &amp; "|" &amp;
      TRIM(SUBSTITUTE($S$2:$S$47,CHAR(160)," ")),
      $T$2:$T$47
    )
  ),
"")</f>
        <v/>
      </c>
    </row>
    <row r="451" spans="10:10" x14ac:dyDescent="0.2">
      <c r="J451" s="52" t="str" cm="1">
        <f t="array" ref="J451">IFERROR(
  VALUE($H451) *
  VALUE(
    _xlfn.XLOOKUP(
      TRIM($F451) &amp; "|" &amp; LEFT(SUBSTITUTE($G451,CHAR(160)," "),5) &amp; "|Reduced Rate",
      TRIM(SUBSTITUTE($Q$2:$Q$47,CHAR(160)," ")) &amp; "|" &amp;
      LEFT(SUBSTITUTE($R$2:$R$47,CHAR(160)," "),5) &amp; "|" &amp;
      TRIM(SUBSTITUTE($S$2:$S$47,CHAR(160)," ")),
      $T$2:$T$47
    )
  ),
"")</f>
        <v/>
      </c>
    </row>
    <row r="452" spans="10:10" x14ac:dyDescent="0.2">
      <c r="J452" s="52" t="str" cm="1">
        <f t="array" ref="J452">IFERROR(
  VALUE($H452) *
  VALUE(
    _xlfn.XLOOKUP(
      TRIM($F452) &amp; "|" &amp; LEFT(SUBSTITUTE($G452,CHAR(160)," "),5) &amp; "|Reduced Rate",
      TRIM(SUBSTITUTE($Q$2:$Q$47,CHAR(160)," ")) &amp; "|" &amp;
      LEFT(SUBSTITUTE($R$2:$R$47,CHAR(160)," "),5) &amp; "|" &amp;
      TRIM(SUBSTITUTE($S$2:$S$47,CHAR(160)," ")),
      $T$2:$T$47
    )
  ),
"")</f>
        <v/>
      </c>
    </row>
    <row r="453" spans="10:10" x14ac:dyDescent="0.2">
      <c r="J453" s="52" t="str" cm="1">
        <f t="array" ref="J453">IFERROR(
  VALUE($H453) *
  VALUE(
    _xlfn.XLOOKUP(
      TRIM($F453) &amp; "|" &amp; LEFT(SUBSTITUTE($G453,CHAR(160)," "),5) &amp; "|Reduced Rate",
      TRIM(SUBSTITUTE($Q$2:$Q$47,CHAR(160)," ")) &amp; "|" &amp;
      LEFT(SUBSTITUTE($R$2:$R$47,CHAR(160)," "),5) &amp; "|" &amp;
      TRIM(SUBSTITUTE($S$2:$S$47,CHAR(160)," ")),
      $T$2:$T$47
    )
  ),
"")</f>
        <v/>
      </c>
    </row>
    <row r="454" spans="10:10" x14ac:dyDescent="0.2">
      <c r="J454" s="52" t="str" cm="1">
        <f t="array" ref="J454">IFERROR(
  VALUE($H454) *
  VALUE(
    _xlfn.XLOOKUP(
      TRIM($F454) &amp; "|" &amp; LEFT(SUBSTITUTE($G454,CHAR(160)," "),5) &amp; "|Reduced Rate",
      TRIM(SUBSTITUTE($Q$2:$Q$47,CHAR(160)," ")) &amp; "|" &amp;
      LEFT(SUBSTITUTE($R$2:$R$47,CHAR(160)," "),5) &amp; "|" &amp;
      TRIM(SUBSTITUTE($S$2:$S$47,CHAR(160)," ")),
      $T$2:$T$47
    )
  ),
"")</f>
        <v/>
      </c>
    </row>
    <row r="455" spans="10:10" x14ac:dyDescent="0.2">
      <c r="J455" s="52" t="str" cm="1">
        <f t="array" ref="J455">IFERROR(
  VALUE($H455) *
  VALUE(
    _xlfn.XLOOKUP(
      TRIM($F455) &amp; "|" &amp; LEFT(SUBSTITUTE($G455,CHAR(160)," "),5) &amp; "|Reduced Rate",
      TRIM(SUBSTITUTE($Q$2:$Q$47,CHAR(160)," ")) &amp; "|" &amp;
      LEFT(SUBSTITUTE($R$2:$R$47,CHAR(160)," "),5) &amp; "|" &amp;
      TRIM(SUBSTITUTE($S$2:$S$47,CHAR(160)," ")),
      $T$2:$T$47
    )
  ),
"")</f>
        <v/>
      </c>
    </row>
    <row r="456" spans="10:10" x14ac:dyDescent="0.2">
      <c r="J456" s="52" t="str" cm="1">
        <f t="array" ref="J456">IFERROR(
  VALUE($H456) *
  VALUE(
    _xlfn.XLOOKUP(
      TRIM($F456) &amp; "|" &amp; LEFT(SUBSTITUTE($G456,CHAR(160)," "),5) &amp; "|Reduced Rate",
      TRIM(SUBSTITUTE($Q$2:$Q$47,CHAR(160)," ")) &amp; "|" &amp;
      LEFT(SUBSTITUTE($R$2:$R$47,CHAR(160)," "),5) &amp; "|" &amp;
      TRIM(SUBSTITUTE($S$2:$S$47,CHAR(160)," ")),
      $T$2:$T$47
    )
  ),
"")</f>
        <v/>
      </c>
    </row>
    <row r="457" spans="10:10" x14ac:dyDescent="0.2">
      <c r="J457" s="52" t="str" cm="1">
        <f t="array" ref="J457">IFERROR(
  VALUE($H457) *
  VALUE(
    _xlfn.XLOOKUP(
      TRIM($F457) &amp; "|" &amp; LEFT(SUBSTITUTE($G457,CHAR(160)," "),5) &amp; "|Reduced Rate",
      TRIM(SUBSTITUTE($Q$2:$Q$47,CHAR(160)," ")) &amp; "|" &amp;
      LEFT(SUBSTITUTE($R$2:$R$47,CHAR(160)," "),5) &amp; "|" &amp;
      TRIM(SUBSTITUTE($S$2:$S$47,CHAR(160)," ")),
      $T$2:$T$47
    )
  ),
"")</f>
        <v/>
      </c>
    </row>
    <row r="458" spans="10:10" x14ac:dyDescent="0.2">
      <c r="J458" s="52" t="str" cm="1">
        <f t="array" ref="J458">IFERROR(
  VALUE($H458) *
  VALUE(
    _xlfn.XLOOKUP(
      TRIM($F458) &amp; "|" &amp; LEFT(SUBSTITUTE($G458,CHAR(160)," "),5) &amp; "|Reduced Rate",
      TRIM(SUBSTITUTE($Q$2:$Q$47,CHAR(160)," ")) &amp; "|" &amp;
      LEFT(SUBSTITUTE($R$2:$R$47,CHAR(160)," "),5) &amp; "|" &amp;
      TRIM(SUBSTITUTE($S$2:$S$47,CHAR(160)," ")),
      $T$2:$T$47
    )
  ),
"")</f>
        <v/>
      </c>
    </row>
    <row r="459" spans="10:10" x14ac:dyDescent="0.2">
      <c r="J459" s="52" t="str" cm="1">
        <f t="array" ref="J459">IFERROR(
  VALUE($H459) *
  VALUE(
    _xlfn.XLOOKUP(
      TRIM($F459) &amp; "|" &amp; LEFT(SUBSTITUTE($G459,CHAR(160)," "),5) &amp; "|Reduced Rate",
      TRIM(SUBSTITUTE($Q$2:$Q$47,CHAR(160)," ")) &amp; "|" &amp;
      LEFT(SUBSTITUTE($R$2:$R$47,CHAR(160)," "),5) &amp; "|" &amp;
      TRIM(SUBSTITUTE($S$2:$S$47,CHAR(160)," ")),
      $T$2:$T$47
    )
  ),
"")</f>
        <v/>
      </c>
    </row>
    <row r="460" spans="10:10" x14ac:dyDescent="0.2">
      <c r="J460" s="52" t="str" cm="1">
        <f t="array" ref="J460">IFERROR(
  VALUE($H460) *
  VALUE(
    _xlfn.XLOOKUP(
      TRIM($F460) &amp; "|" &amp; LEFT(SUBSTITUTE($G460,CHAR(160)," "),5) &amp; "|Reduced Rate",
      TRIM(SUBSTITUTE($Q$2:$Q$47,CHAR(160)," ")) &amp; "|" &amp;
      LEFT(SUBSTITUTE($R$2:$R$47,CHAR(160)," "),5) &amp; "|" &amp;
      TRIM(SUBSTITUTE($S$2:$S$47,CHAR(160)," ")),
      $T$2:$T$47
    )
  ),
"")</f>
        <v/>
      </c>
    </row>
    <row r="461" spans="10:10" x14ac:dyDescent="0.2">
      <c r="J461" s="52" t="str" cm="1">
        <f t="array" ref="J461">IFERROR(
  VALUE($H461) *
  VALUE(
    _xlfn.XLOOKUP(
      TRIM($F461) &amp; "|" &amp; LEFT(SUBSTITUTE($G461,CHAR(160)," "),5) &amp; "|Reduced Rate",
      TRIM(SUBSTITUTE($Q$2:$Q$47,CHAR(160)," ")) &amp; "|" &amp;
      LEFT(SUBSTITUTE($R$2:$R$47,CHAR(160)," "),5) &amp; "|" &amp;
      TRIM(SUBSTITUTE($S$2:$S$47,CHAR(160)," ")),
      $T$2:$T$47
    )
  ),
"")</f>
        <v/>
      </c>
    </row>
    <row r="462" spans="10:10" x14ac:dyDescent="0.2">
      <c r="J462" s="52" t="str" cm="1">
        <f t="array" ref="J462">IFERROR(
  VALUE($H462) *
  VALUE(
    _xlfn.XLOOKUP(
      TRIM($F462) &amp; "|" &amp; LEFT(SUBSTITUTE($G462,CHAR(160)," "),5) &amp; "|Reduced Rate",
      TRIM(SUBSTITUTE($Q$2:$Q$47,CHAR(160)," ")) &amp; "|" &amp;
      LEFT(SUBSTITUTE($R$2:$R$47,CHAR(160)," "),5) &amp; "|" &amp;
      TRIM(SUBSTITUTE($S$2:$S$47,CHAR(160)," ")),
      $T$2:$T$47
    )
  ),
"")</f>
        <v/>
      </c>
    </row>
    <row r="463" spans="10:10" x14ac:dyDescent="0.2">
      <c r="J463" s="52" t="str" cm="1">
        <f t="array" ref="J463">IFERROR(
  VALUE($H463) *
  VALUE(
    _xlfn.XLOOKUP(
      TRIM($F463) &amp; "|" &amp; LEFT(SUBSTITUTE($G463,CHAR(160)," "),5) &amp; "|Reduced Rate",
      TRIM(SUBSTITUTE($Q$2:$Q$47,CHAR(160)," ")) &amp; "|" &amp;
      LEFT(SUBSTITUTE($R$2:$R$47,CHAR(160)," "),5) &amp; "|" &amp;
      TRIM(SUBSTITUTE($S$2:$S$47,CHAR(160)," ")),
      $T$2:$T$47
    )
  ),
"")</f>
        <v/>
      </c>
    </row>
    <row r="464" spans="10:10" x14ac:dyDescent="0.2">
      <c r="J464" s="52" t="str" cm="1">
        <f t="array" ref="J464">IFERROR(
  VALUE($H464) *
  VALUE(
    _xlfn.XLOOKUP(
      TRIM($F464) &amp; "|" &amp; LEFT(SUBSTITUTE($G464,CHAR(160)," "),5) &amp; "|Reduced Rate",
      TRIM(SUBSTITUTE($Q$2:$Q$47,CHAR(160)," ")) &amp; "|" &amp;
      LEFT(SUBSTITUTE($R$2:$R$47,CHAR(160)," "),5) &amp; "|" &amp;
      TRIM(SUBSTITUTE($S$2:$S$47,CHAR(160)," ")),
      $T$2:$T$47
    )
  ),
"")</f>
        <v/>
      </c>
    </row>
    <row r="465" spans="10:10" x14ac:dyDescent="0.2">
      <c r="J465" s="52" t="str" cm="1">
        <f t="array" ref="J465">IFERROR(
  VALUE($H465) *
  VALUE(
    _xlfn.XLOOKUP(
      TRIM($F465) &amp; "|" &amp; LEFT(SUBSTITUTE($G465,CHAR(160)," "),5) &amp; "|Reduced Rate",
      TRIM(SUBSTITUTE($Q$2:$Q$47,CHAR(160)," ")) &amp; "|" &amp;
      LEFT(SUBSTITUTE($R$2:$R$47,CHAR(160)," "),5) &amp; "|" &amp;
      TRIM(SUBSTITUTE($S$2:$S$47,CHAR(160)," ")),
      $T$2:$T$47
    )
  ),
"")</f>
        <v/>
      </c>
    </row>
    <row r="466" spans="10:10" x14ac:dyDescent="0.2">
      <c r="J466" s="52" t="str" cm="1">
        <f t="array" ref="J466">IFERROR(
  VALUE($H466) *
  VALUE(
    _xlfn.XLOOKUP(
      TRIM($F466) &amp; "|" &amp; LEFT(SUBSTITUTE($G466,CHAR(160)," "),5) &amp; "|Reduced Rate",
      TRIM(SUBSTITUTE($Q$2:$Q$47,CHAR(160)," ")) &amp; "|" &amp;
      LEFT(SUBSTITUTE($R$2:$R$47,CHAR(160)," "),5) &amp; "|" &amp;
      TRIM(SUBSTITUTE($S$2:$S$47,CHAR(160)," ")),
      $T$2:$T$47
    )
  ),
"")</f>
        <v/>
      </c>
    </row>
    <row r="467" spans="10:10" x14ac:dyDescent="0.2">
      <c r="J467" s="52" t="str" cm="1">
        <f t="array" ref="J467">IFERROR(
  VALUE($H467) *
  VALUE(
    _xlfn.XLOOKUP(
      TRIM($F467) &amp; "|" &amp; LEFT(SUBSTITUTE($G467,CHAR(160)," "),5) &amp; "|Reduced Rate",
      TRIM(SUBSTITUTE($Q$2:$Q$47,CHAR(160)," ")) &amp; "|" &amp;
      LEFT(SUBSTITUTE($R$2:$R$47,CHAR(160)," "),5) &amp; "|" &amp;
      TRIM(SUBSTITUTE($S$2:$S$47,CHAR(160)," ")),
      $T$2:$T$47
    )
  ),
"")</f>
        <v/>
      </c>
    </row>
    <row r="468" spans="10:10" x14ac:dyDescent="0.2">
      <c r="J468" s="52" t="str" cm="1">
        <f t="array" ref="J468">IFERROR(
  VALUE($H468) *
  VALUE(
    _xlfn.XLOOKUP(
      TRIM($F468) &amp; "|" &amp; LEFT(SUBSTITUTE($G468,CHAR(160)," "),5) &amp; "|Reduced Rate",
      TRIM(SUBSTITUTE($Q$2:$Q$47,CHAR(160)," ")) &amp; "|" &amp;
      LEFT(SUBSTITUTE($R$2:$R$47,CHAR(160)," "),5) &amp; "|" &amp;
      TRIM(SUBSTITUTE($S$2:$S$47,CHAR(160)," ")),
      $T$2:$T$47
    )
  ),
"")</f>
        <v/>
      </c>
    </row>
    <row r="469" spans="10:10" x14ac:dyDescent="0.2">
      <c r="J469" s="52" t="str" cm="1">
        <f t="array" ref="J469">IFERROR(
  VALUE($H469) *
  VALUE(
    _xlfn.XLOOKUP(
      TRIM($F469) &amp; "|" &amp; LEFT(SUBSTITUTE($G469,CHAR(160)," "),5) &amp; "|Reduced Rate",
      TRIM(SUBSTITUTE($Q$2:$Q$47,CHAR(160)," ")) &amp; "|" &amp;
      LEFT(SUBSTITUTE($R$2:$R$47,CHAR(160)," "),5) &amp; "|" &amp;
      TRIM(SUBSTITUTE($S$2:$S$47,CHAR(160)," ")),
      $T$2:$T$47
    )
  ),
"")</f>
        <v/>
      </c>
    </row>
    <row r="470" spans="10:10" x14ac:dyDescent="0.2">
      <c r="J470" s="52" t="str" cm="1">
        <f t="array" ref="J470">IFERROR(
  VALUE($H470) *
  VALUE(
    _xlfn.XLOOKUP(
      TRIM($F470) &amp; "|" &amp; LEFT(SUBSTITUTE($G470,CHAR(160)," "),5) &amp; "|Reduced Rate",
      TRIM(SUBSTITUTE($Q$2:$Q$47,CHAR(160)," ")) &amp; "|" &amp;
      LEFT(SUBSTITUTE($R$2:$R$47,CHAR(160)," "),5) &amp; "|" &amp;
      TRIM(SUBSTITUTE($S$2:$S$47,CHAR(160)," ")),
      $T$2:$T$47
    )
  ),
"")</f>
        <v/>
      </c>
    </row>
    <row r="471" spans="10:10" x14ac:dyDescent="0.2">
      <c r="J471" s="52" t="str" cm="1">
        <f t="array" ref="J471">IFERROR(
  VALUE($H471) *
  VALUE(
    _xlfn.XLOOKUP(
      TRIM($F471) &amp; "|" &amp; LEFT(SUBSTITUTE($G471,CHAR(160)," "),5) &amp; "|Reduced Rate",
      TRIM(SUBSTITUTE($Q$2:$Q$47,CHAR(160)," ")) &amp; "|" &amp;
      LEFT(SUBSTITUTE($R$2:$R$47,CHAR(160)," "),5) &amp; "|" &amp;
      TRIM(SUBSTITUTE($S$2:$S$47,CHAR(160)," ")),
      $T$2:$T$47
    )
  ),
"")</f>
        <v/>
      </c>
    </row>
    <row r="472" spans="10:10" x14ac:dyDescent="0.2">
      <c r="J472" s="52" t="str" cm="1">
        <f t="array" ref="J472">IFERROR(
  VALUE($H472) *
  VALUE(
    _xlfn.XLOOKUP(
      TRIM($F472) &amp; "|" &amp; LEFT(SUBSTITUTE($G472,CHAR(160)," "),5) &amp; "|Reduced Rate",
      TRIM(SUBSTITUTE($Q$2:$Q$47,CHAR(160)," ")) &amp; "|" &amp;
      LEFT(SUBSTITUTE($R$2:$R$47,CHAR(160)," "),5) &amp; "|" &amp;
      TRIM(SUBSTITUTE($S$2:$S$47,CHAR(160)," ")),
      $T$2:$T$47
    )
  ),
"")</f>
        <v/>
      </c>
    </row>
    <row r="473" spans="10:10" x14ac:dyDescent="0.2">
      <c r="J473" s="52" t="str" cm="1">
        <f t="array" ref="J473">IFERROR(
  VALUE($H473) *
  VALUE(
    _xlfn.XLOOKUP(
      TRIM($F473) &amp; "|" &amp; LEFT(SUBSTITUTE($G473,CHAR(160)," "),5) &amp; "|Reduced Rate",
      TRIM(SUBSTITUTE($Q$2:$Q$47,CHAR(160)," ")) &amp; "|" &amp;
      LEFT(SUBSTITUTE($R$2:$R$47,CHAR(160)," "),5) &amp; "|" &amp;
      TRIM(SUBSTITUTE($S$2:$S$47,CHAR(160)," ")),
      $T$2:$T$47
    )
  ),
"")</f>
        <v/>
      </c>
    </row>
    <row r="474" spans="10:10" x14ac:dyDescent="0.2">
      <c r="J474" s="52" t="str" cm="1">
        <f t="array" ref="J474">IFERROR(
  VALUE($H474) *
  VALUE(
    _xlfn.XLOOKUP(
      TRIM($F474) &amp; "|" &amp; LEFT(SUBSTITUTE($G474,CHAR(160)," "),5) &amp; "|Reduced Rate",
      TRIM(SUBSTITUTE($Q$2:$Q$47,CHAR(160)," ")) &amp; "|" &amp;
      LEFT(SUBSTITUTE($R$2:$R$47,CHAR(160)," "),5) &amp; "|" &amp;
      TRIM(SUBSTITUTE($S$2:$S$47,CHAR(160)," ")),
      $T$2:$T$47
    )
  ),
"")</f>
        <v/>
      </c>
    </row>
    <row r="475" spans="10:10" x14ac:dyDescent="0.2">
      <c r="J475" s="52" t="str" cm="1">
        <f t="array" ref="J475">IFERROR(
  VALUE($H475) *
  VALUE(
    _xlfn.XLOOKUP(
      TRIM($F475) &amp; "|" &amp; LEFT(SUBSTITUTE($G475,CHAR(160)," "),5) &amp; "|Reduced Rate",
      TRIM(SUBSTITUTE($Q$2:$Q$47,CHAR(160)," ")) &amp; "|" &amp;
      LEFT(SUBSTITUTE($R$2:$R$47,CHAR(160)," "),5) &amp; "|" &amp;
      TRIM(SUBSTITUTE($S$2:$S$47,CHAR(160)," ")),
      $T$2:$T$47
    )
  ),
"")</f>
        <v/>
      </c>
    </row>
    <row r="476" spans="10:10" x14ac:dyDescent="0.2">
      <c r="J476" s="52" t="str" cm="1">
        <f t="array" ref="J476">IFERROR(
  VALUE($H476) *
  VALUE(
    _xlfn.XLOOKUP(
      TRIM($F476) &amp; "|" &amp; LEFT(SUBSTITUTE($G476,CHAR(160)," "),5) &amp; "|Reduced Rate",
      TRIM(SUBSTITUTE($Q$2:$Q$47,CHAR(160)," ")) &amp; "|" &amp;
      LEFT(SUBSTITUTE($R$2:$R$47,CHAR(160)," "),5) &amp; "|" &amp;
      TRIM(SUBSTITUTE($S$2:$S$47,CHAR(160)," ")),
      $T$2:$T$47
    )
  ),
"")</f>
        <v/>
      </c>
    </row>
    <row r="477" spans="10:10" x14ac:dyDescent="0.2">
      <c r="J477" s="52" t="str" cm="1">
        <f t="array" ref="J477">IFERROR(
  VALUE($H477) *
  VALUE(
    _xlfn.XLOOKUP(
      TRIM($F477) &amp; "|" &amp; LEFT(SUBSTITUTE($G477,CHAR(160)," "),5) &amp; "|Reduced Rate",
      TRIM(SUBSTITUTE($Q$2:$Q$47,CHAR(160)," ")) &amp; "|" &amp;
      LEFT(SUBSTITUTE($R$2:$R$47,CHAR(160)," "),5) &amp; "|" &amp;
      TRIM(SUBSTITUTE($S$2:$S$47,CHAR(160)," ")),
      $T$2:$T$47
    )
  ),
"")</f>
        <v/>
      </c>
    </row>
    <row r="478" spans="10:10" x14ac:dyDescent="0.2">
      <c r="J478" s="52" t="str" cm="1">
        <f t="array" ref="J478">IFERROR(
  VALUE($H478) *
  VALUE(
    _xlfn.XLOOKUP(
      TRIM($F478) &amp; "|" &amp; LEFT(SUBSTITUTE($G478,CHAR(160)," "),5) &amp; "|Reduced Rate",
      TRIM(SUBSTITUTE($Q$2:$Q$47,CHAR(160)," ")) &amp; "|" &amp;
      LEFT(SUBSTITUTE($R$2:$R$47,CHAR(160)," "),5) &amp; "|" &amp;
      TRIM(SUBSTITUTE($S$2:$S$47,CHAR(160)," ")),
      $T$2:$T$47
    )
  ),
"")</f>
        <v/>
      </c>
    </row>
    <row r="479" spans="10:10" x14ac:dyDescent="0.2">
      <c r="J479" s="52" t="str" cm="1">
        <f t="array" ref="J479">IFERROR(
  VALUE($H479) *
  VALUE(
    _xlfn.XLOOKUP(
      TRIM($F479) &amp; "|" &amp; LEFT(SUBSTITUTE($G479,CHAR(160)," "),5) &amp; "|Reduced Rate",
      TRIM(SUBSTITUTE($Q$2:$Q$47,CHAR(160)," ")) &amp; "|" &amp;
      LEFT(SUBSTITUTE($R$2:$R$47,CHAR(160)," "),5) &amp; "|" &amp;
      TRIM(SUBSTITUTE($S$2:$S$47,CHAR(160)," ")),
      $T$2:$T$47
    )
  ),
"")</f>
        <v/>
      </c>
    </row>
    <row r="480" spans="10:10" x14ac:dyDescent="0.2">
      <c r="J480" s="52" t="str" cm="1">
        <f t="array" ref="J480">IFERROR(
  VALUE($H480) *
  VALUE(
    _xlfn.XLOOKUP(
      TRIM($F480) &amp; "|" &amp; LEFT(SUBSTITUTE($G480,CHAR(160)," "),5) &amp; "|Reduced Rate",
      TRIM(SUBSTITUTE($Q$2:$Q$47,CHAR(160)," ")) &amp; "|" &amp;
      LEFT(SUBSTITUTE($R$2:$R$47,CHAR(160)," "),5) &amp; "|" &amp;
      TRIM(SUBSTITUTE($S$2:$S$47,CHAR(160)," ")),
      $T$2:$T$47
    )
  ),
"")</f>
        <v/>
      </c>
    </row>
    <row r="481" spans="10:10" x14ac:dyDescent="0.2">
      <c r="J481" s="52" t="str" cm="1">
        <f t="array" ref="J481">IFERROR(
  VALUE($H481) *
  VALUE(
    _xlfn.XLOOKUP(
      TRIM($F481) &amp; "|" &amp; LEFT(SUBSTITUTE($G481,CHAR(160)," "),5) &amp; "|Reduced Rate",
      TRIM(SUBSTITUTE($Q$2:$Q$47,CHAR(160)," ")) &amp; "|" &amp;
      LEFT(SUBSTITUTE($R$2:$R$47,CHAR(160)," "),5) &amp; "|" &amp;
      TRIM(SUBSTITUTE($S$2:$S$47,CHAR(160)," ")),
      $T$2:$T$47
    )
  ),
"")</f>
        <v/>
      </c>
    </row>
    <row r="482" spans="10:10" x14ac:dyDescent="0.2">
      <c r="J482" s="52" t="str" cm="1">
        <f t="array" ref="J482">IFERROR(
  VALUE($H482) *
  VALUE(
    _xlfn.XLOOKUP(
      TRIM($F482) &amp; "|" &amp; LEFT(SUBSTITUTE($G482,CHAR(160)," "),5) &amp; "|Reduced Rate",
      TRIM(SUBSTITUTE($Q$2:$Q$47,CHAR(160)," ")) &amp; "|" &amp;
      LEFT(SUBSTITUTE($R$2:$R$47,CHAR(160)," "),5) &amp; "|" &amp;
      TRIM(SUBSTITUTE($S$2:$S$47,CHAR(160)," ")),
      $T$2:$T$47
    )
  ),
"")</f>
        <v/>
      </c>
    </row>
    <row r="483" spans="10:10" x14ac:dyDescent="0.2">
      <c r="J483" s="52" t="str" cm="1">
        <f t="array" ref="J483">IFERROR(
  VALUE($H483) *
  VALUE(
    _xlfn.XLOOKUP(
      TRIM($F483) &amp; "|" &amp; LEFT(SUBSTITUTE($G483,CHAR(160)," "),5) &amp; "|Reduced Rate",
      TRIM(SUBSTITUTE($Q$2:$Q$47,CHAR(160)," ")) &amp; "|" &amp;
      LEFT(SUBSTITUTE($R$2:$R$47,CHAR(160)," "),5) &amp; "|" &amp;
      TRIM(SUBSTITUTE($S$2:$S$47,CHAR(160)," ")),
      $T$2:$T$47
    )
  ),
"")</f>
        <v/>
      </c>
    </row>
    <row r="484" spans="10:10" x14ac:dyDescent="0.2">
      <c r="J484" s="52" t="str" cm="1">
        <f t="array" ref="J484">IFERROR(
  VALUE($H484) *
  VALUE(
    _xlfn.XLOOKUP(
      TRIM($F484) &amp; "|" &amp; LEFT(SUBSTITUTE($G484,CHAR(160)," "),5) &amp; "|Reduced Rate",
      TRIM(SUBSTITUTE($Q$2:$Q$47,CHAR(160)," ")) &amp; "|" &amp;
      LEFT(SUBSTITUTE($R$2:$R$47,CHAR(160)," "),5) &amp; "|" &amp;
      TRIM(SUBSTITUTE($S$2:$S$47,CHAR(160)," ")),
      $T$2:$T$47
    )
  ),
"")</f>
        <v/>
      </c>
    </row>
    <row r="485" spans="10:10" x14ac:dyDescent="0.2">
      <c r="J485" s="52" t="str" cm="1">
        <f t="array" ref="J485">IFERROR(
  VALUE($H485) *
  VALUE(
    _xlfn.XLOOKUP(
      TRIM($F485) &amp; "|" &amp; LEFT(SUBSTITUTE($G485,CHAR(160)," "),5) &amp; "|Reduced Rate",
      TRIM(SUBSTITUTE($Q$2:$Q$47,CHAR(160)," ")) &amp; "|" &amp;
      LEFT(SUBSTITUTE($R$2:$R$47,CHAR(160)," "),5) &amp; "|" &amp;
      TRIM(SUBSTITUTE($S$2:$S$47,CHAR(160)," ")),
      $T$2:$T$47
    )
  ),
"")</f>
        <v/>
      </c>
    </row>
    <row r="486" spans="10:10" x14ac:dyDescent="0.2">
      <c r="J486" s="52" t="str" cm="1">
        <f t="array" ref="J486">IFERROR(
  VALUE($H486) *
  VALUE(
    _xlfn.XLOOKUP(
      TRIM($F486) &amp; "|" &amp; LEFT(SUBSTITUTE($G486,CHAR(160)," "),5) &amp; "|Reduced Rate",
      TRIM(SUBSTITUTE($Q$2:$Q$47,CHAR(160)," ")) &amp; "|" &amp;
      LEFT(SUBSTITUTE($R$2:$R$47,CHAR(160)," "),5) &amp; "|" &amp;
      TRIM(SUBSTITUTE($S$2:$S$47,CHAR(160)," ")),
      $T$2:$T$47
    )
  ),
"")</f>
        <v/>
      </c>
    </row>
    <row r="487" spans="10:10" x14ac:dyDescent="0.2">
      <c r="J487" s="52" t="str" cm="1">
        <f t="array" ref="J487">IFERROR(
  VALUE($H487) *
  VALUE(
    _xlfn.XLOOKUP(
      TRIM($F487) &amp; "|" &amp; LEFT(SUBSTITUTE($G487,CHAR(160)," "),5) &amp; "|Reduced Rate",
      TRIM(SUBSTITUTE($Q$2:$Q$47,CHAR(160)," ")) &amp; "|" &amp;
      LEFT(SUBSTITUTE($R$2:$R$47,CHAR(160)," "),5) &amp; "|" &amp;
      TRIM(SUBSTITUTE($S$2:$S$47,CHAR(160)," ")),
      $T$2:$T$47
    )
  ),
"")</f>
        <v/>
      </c>
    </row>
    <row r="488" spans="10:10" x14ac:dyDescent="0.2">
      <c r="J488" s="52" t="str" cm="1">
        <f t="array" ref="J488">IFERROR(
  VALUE($H488) *
  VALUE(
    _xlfn.XLOOKUP(
      TRIM($F488) &amp; "|" &amp; LEFT(SUBSTITUTE($G488,CHAR(160)," "),5) &amp; "|Reduced Rate",
      TRIM(SUBSTITUTE($Q$2:$Q$47,CHAR(160)," ")) &amp; "|" &amp;
      LEFT(SUBSTITUTE($R$2:$R$47,CHAR(160)," "),5) &amp; "|" &amp;
      TRIM(SUBSTITUTE($S$2:$S$47,CHAR(160)," ")),
      $T$2:$T$47
    )
  ),
"")</f>
        <v/>
      </c>
    </row>
    <row r="489" spans="10:10" x14ac:dyDescent="0.2">
      <c r="J489" s="52" t="str" cm="1">
        <f t="array" ref="J489">IFERROR(
  VALUE($H489) *
  VALUE(
    _xlfn.XLOOKUP(
      TRIM($F489) &amp; "|" &amp; LEFT(SUBSTITUTE($G489,CHAR(160)," "),5) &amp; "|Reduced Rate",
      TRIM(SUBSTITUTE($Q$2:$Q$47,CHAR(160)," ")) &amp; "|" &amp;
      LEFT(SUBSTITUTE($R$2:$R$47,CHAR(160)," "),5) &amp; "|" &amp;
      TRIM(SUBSTITUTE($S$2:$S$47,CHAR(160)," ")),
      $T$2:$T$47
    )
  ),
"")</f>
        <v/>
      </c>
    </row>
    <row r="490" spans="10:10" x14ac:dyDescent="0.2">
      <c r="J490" s="52" t="str" cm="1">
        <f t="array" ref="J490">IFERROR(
  VALUE($H490) *
  VALUE(
    _xlfn.XLOOKUP(
      TRIM($F490) &amp; "|" &amp; LEFT(SUBSTITUTE($G490,CHAR(160)," "),5) &amp; "|Reduced Rate",
      TRIM(SUBSTITUTE($Q$2:$Q$47,CHAR(160)," ")) &amp; "|" &amp;
      LEFT(SUBSTITUTE($R$2:$R$47,CHAR(160)," "),5) &amp; "|" &amp;
      TRIM(SUBSTITUTE($S$2:$S$47,CHAR(160)," ")),
      $T$2:$T$47
    )
  ),
"")</f>
        <v/>
      </c>
    </row>
    <row r="491" spans="10:10" x14ac:dyDescent="0.2">
      <c r="J491" s="52" t="str" cm="1">
        <f t="array" ref="J491">IFERROR(
  VALUE($H491) *
  VALUE(
    _xlfn.XLOOKUP(
      TRIM($F491) &amp; "|" &amp; LEFT(SUBSTITUTE($G491,CHAR(160)," "),5) &amp; "|Reduced Rate",
      TRIM(SUBSTITUTE($Q$2:$Q$47,CHAR(160)," ")) &amp; "|" &amp;
      LEFT(SUBSTITUTE($R$2:$R$47,CHAR(160)," "),5) &amp; "|" &amp;
      TRIM(SUBSTITUTE($S$2:$S$47,CHAR(160)," ")),
      $T$2:$T$47
    )
  ),
"")</f>
        <v/>
      </c>
    </row>
    <row r="492" spans="10:10" x14ac:dyDescent="0.2">
      <c r="J492" s="52" t="str" cm="1">
        <f t="array" ref="J492">IFERROR(
  VALUE($H492) *
  VALUE(
    _xlfn.XLOOKUP(
      TRIM($F492) &amp; "|" &amp; LEFT(SUBSTITUTE($G492,CHAR(160)," "),5) &amp; "|Reduced Rate",
      TRIM(SUBSTITUTE($Q$2:$Q$47,CHAR(160)," ")) &amp; "|" &amp;
      LEFT(SUBSTITUTE($R$2:$R$47,CHAR(160)," "),5) &amp; "|" &amp;
      TRIM(SUBSTITUTE($S$2:$S$47,CHAR(160)," ")),
      $T$2:$T$47
    )
  ),
"")</f>
        <v/>
      </c>
    </row>
    <row r="493" spans="10:10" x14ac:dyDescent="0.2">
      <c r="J493" s="52" t="str" cm="1">
        <f t="array" ref="J493">IFERROR(
  VALUE($H493) *
  VALUE(
    _xlfn.XLOOKUP(
      TRIM($F493) &amp; "|" &amp; LEFT(SUBSTITUTE($G493,CHAR(160)," "),5) &amp; "|Reduced Rate",
      TRIM(SUBSTITUTE($Q$2:$Q$47,CHAR(160)," ")) &amp; "|" &amp;
      LEFT(SUBSTITUTE($R$2:$R$47,CHAR(160)," "),5) &amp; "|" &amp;
      TRIM(SUBSTITUTE($S$2:$S$47,CHAR(160)," ")),
      $T$2:$T$47
    )
  ),
"")</f>
        <v/>
      </c>
    </row>
    <row r="494" spans="10:10" x14ac:dyDescent="0.2">
      <c r="J494" s="52" t="str" cm="1">
        <f t="array" ref="J494">IFERROR(
  VALUE($H494) *
  VALUE(
    _xlfn.XLOOKUP(
      TRIM($F494) &amp; "|" &amp; LEFT(SUBSTITUTE($G494,CHAR(160)," "),5) &amp; "|Reduced Rate",
      TRIM(SUBSTITUTE($Q$2:$Q$47,CHAR(160)," ")) &amp; "|" &amp;
      LEFT(SUBSTITUTE($R$2:$R$47,CHAR(160)," "),5) &amp; "|" &amp;
      TRIM(SUBSTITUTE($S$2:$S$47,CHAR(160)," ")),
      $T$2:$T$47
    )
  ),
"")</f>
        <v/>
      </c>
    </row>
    <row r="495" spans="10:10" x14ac:dyDescent="0.2">
      <c r="J495" s="52" t="str" cm="1">
        <f t="array" ref="J495">IFERROR(
  VALUE($H495) *
  VALUE(
    _xlfn.XLOOKUP(
      TRIM($F495) &amp; "|" &amp; LEFT(SUBSTITUTE($G495,CHAR(160)," "),5) &amp; "|Reduced Rate",
      TRIM(SUBSTITUTE($Q$2:$Q$47,CHAR(160)," ")) &amp; "|" &amp;
      LEFT(SUBSTITUTE($R$2:$R$47,CHAR(160)," "),5) &amp; "|" &amp;
      TRIM(SUBSTITUTE($S$2:$S$47,CHAR(160)," ")),
      $T$2:$T$47
    )
  ),
"")</f>
        <v/>
      </c>
    </row>
    <row r="496" spans="10:10" x14ac:dyDescent="0.2">
      <c r="J496" s="52" t="str" cm="1">
        <f t="array" ref="J496">IFERROR(
  VALUE($H496) *
  VALUE(
    _xlfn.XLOOKUP(
      TRIM($F496) &amp; "|" &amp; LEFT(SUBSTITUTE($G496,CHAR(160)," "),5) &amp; "|Reduced Rate",
      TRIM(SUBSTITUTE($Q$2:$Q$47,CHAR(160)," ")) &amp; "|" &amp;
      LEFT(SUBSTITUTE($R$2:$R$47,CHAR(160)," "),5) &amp; "|" &amp;
      TRIM(SUBSTITUTE($S$2:$S$47,CHAR(160)," ")),
      $T$2:$T$47
    )
  ),
"")</f>
        <v/>
      </c>
    </row>
    <row r="497" spans="10:10" x14ac:dyDescent="0.2">
      <c r="J497" s="52" t="str" cm="1">
        <f t="array" ref="J497">IFERROR(
  VALUE($H497) *
  VALUE(
    _xlfn.XLOOKUP(
      TRIM($F497) &amp; "|" &amp; LEFT(SUBSTITUTE($G497,CHAR(160)," "),5) &amp; "|Reduced Rate",
      TRIM(SUBSTITUTE($Q$2:$Q$47,CHAR(160)," ")) &amp; "|" &amp;
      LEFT(SUBSTITUTE($R$2:$R$47,CHAR(160)," "),5) &amp; "|" &amp;
      TRIM(SUBSTITUTE($S$2:$S$47,CHAR(160)," ")),
      $T$2:$T$47
    )
  ),
"")</f>
        <v/>
      </c>
    </row>
    <row r="498" spans="10:10" x14ac:dyDescent="0.2">
      <c r="J498" s="52" t="str" cm="1">
        <f t="array" ref="J498">IFERROR(
  VALUE($H498) *
  VALUE(
    _xlfn.XLOOKUP(
      TRIM($F498) &amp; "|" &amp; LEFT(SUBSTITUTE($G498,CHAR(160)," "),5) &amp; "|Reduced Rate",
      TRIM(SUBSTITUTE($Q$2:$Q$47,CHAR(160)," ")) &amp; "|" &amp;
      LEFT(SUBSTITUTE($R$2:$R$47,CHAR(160)," "),5) &amp; "|" &amp;
      TRIM(SUBSTITUTE($S$2:$S$47,CHAR(160)," ")),
      $T$2:$T$47
    )
  ),
"")</f>
        <v/>
      </c>
    </row>
    <row r="499" spans="10:10" x14ac:dyDescent="0.2">
      <c r="J499" s="52" t="str" cm="1">
        <f t="array" ref="J499">IFERROR(
  VALUE($H499) *
  VALUE(
    _xlfn.XLOOKUP(
      TRIM($F499) &amp; "|" &amp; LEFT(SUBSTITUTE($G499,CHAR(160)," "),5) &amp; "|Reduced Rate",
      TRIM(SUBSTITUTE($Q$2:$Q$47,CHAR(160)," ")) &amp; "|" &amp;
      LEFT(SUBSTITUTE($R$2:$R$47,CHAR(160)," "),5) &amp; "|" &amp;
      TRIM(SUBSTITUTE($S$2:$S$47,CHAR(160)," ")),
      $T$2:$T$47
    )
  ),
"")</f>
        <v/>
      </c>
    </row>
    <row r="500" spans="10:10" x14ac:dyDescent="0.2">
      <c r="J500" s="52" t="str" cm="1">
        <f t="array" ref="J500">IFERROR(
  VALUE($H500) *
  VALUE(
    _xlfn.XLOOKUP(
      TRIM($F500) &amp; "|" &amp; LEFT(SUBSTITUTE($G500,CHAR(160)," "),5) &amp; "|Reduced Rate",
      TRIM(SUBSTITUTE($Q$2:$Q$47,CHAR(160)," ")) &amp; "|" &amp;
      LEFT(SUBSTITUTE($R$2:$R$47,CHAR(160)," "),5) &amp; "|" &amp;
      TRIM(SUBSTITUTE($S$2:$S$47,CHAR(160)," ")),
      $T$2:$T$47
    )
  ),
"")</f>
        <v/>
      </c>
    </row>
    <row r="501" spans="10:10" x14ac:dyDescent="0.2">
      <c r="J501" s="52" t="str" cm="1">
        <f t="array" ref="J501">IFERROR(
  VALUE($H501) *
  VALUE(
    _xlfn.XLOOKUP(
      TRIM($F501) &amp; "|" &amp; LEFT(SUBSTITUTE($G501,CHAR(160)," "),5) &amp; "|Reduced Rate",
      TRIM(SUBSTITUTE($Q$2:$Q$47,CHAR(160)," ")) &amp; "|" &amp;
      LEFT(SUBSTITUTE($R$2:$R$47,CHAR(160)," "),5) &amp; "|" &amp;
      TRIM(SUBSTITUTE($S$2:$S$47,CHAR(160)," ")),
      $T$2:$T$47
    )
  ),
"")</f>
        <v/>
      </c>
    </row>
    <row r="502" spans="10:10" x14ac:dyDescent="0.2">
      <c r="J502" s="52" t="str" cm="1">
        <f t="array" ref="J502">IFERROR(
  VALUE($H502) *
  VALUE(
    _xlfn.XLOOKUP(
      TRIM($F502) &amp; "|" &amp; LEFT(SUBSTITUTE($G502,CHAR(160)," "),5) &amp; "|Reduced Rate",
      TRIM(SUBSTITUTE($Q$2:$Q$47,CHAR(160)," ")) &amp; "|" &amp;
      LEFT(SUBSTITUTE($R$2:$R$47,CHAR(160)," "),5) &amp; "|" &amp;
      TRIM(SUBSTITUTE($S$2:$S$47,CHAR(160)," ")),
      $T$2:$T$47
    )
  ),
"")</f>
        <v/>
      </c>
    </row>
    <row r="503" spans="10:10" x14ac:dyDescent="0.2">
      <c r="J503" s="52" t="str" cm="1">
        <f t="array" ref="J503">IFERROR(
  VALUE($H503) *
  VALUE(
    _xlfn.XLOOKUP(
      TRIM($F503) &amp; "|" &amp; LEFT(SUBSTITUTE($G503,CHAR(160)," "),5) &amp; "|Reduced Rate",
      TRIM(SUBSTITUTE($Q$2:$Q$47,CHAR(160)," ")) &amp; "|" &amp;
      LEFT(SUBSTITUTE($R$2:$R$47,CHAR(160)," "),5) &amp; "|" &amp;
      TRIM(SUBSTITUTE($S$2:$S$47,CHAR(160)," ")),
      $T$2:$T$47
    )
  ),
"")</f>
        <v/>
      </c>
    </row>
    <row r="504" spans="10:10" x14ac:dyDescent="0.2">
      <c r="J504" s="52" t="str" cm="1">
        <f t="array" ref="J504">IFERROR(
  VALUE($H504) *
  VALUE(
    _xlfn.XLOOKUP(
      TRIM($F504) &amp; "|" &amp; LEFT(SUBSTITUTE($G504,CHAR(160)," "),5) &amp; "|Reduced Rate",
      TRIM(SUBSTITUTE($Q$2:$Q$47,CHAR(160)," ")) &amp; "|" &amp;
      LEFT(SUBSTITUTE($R$2:$R$47,CHAR(160)," "),5) &amp; "|" &amp;
      TRIM(SUBSTITUTE($S$2:$S$47,CHAR(160)," ")),
      $T$2:$T$47
    )
  ),
"")</f>
        <v/>
      </c>
    </row>
    <row r="505" spans="10:10" x14ac:dyDescent="0.2">
      <c r="J505" s="52" t="str" cm="1">
        <f t="array" ref="J505">IFERROR(
  VALUE($H505) *
  VALUE(
    _xlfn.XLOOKUP(
      TRIM($F505) &amp; "|" &amp; LEFT(SUBSTITUTE($G505,CHAR(160)," "),5) &amp; "|Reduced Rate",
      TRIM(SUBSTITUTE($Q$2:$Q$47,CHAR(160)," ")) &amp; "|" &amp;
      LEFT(SUBSTITUTE($R$2:$R$47,CHAR(160)," "),5) &amp; "|" &amp;
      TRIM(SUBSTITUTE($S$2:$S$47,CHAR(160)," ")),
      $T$2:$T$47
    )
  ),
"")</f>
        <v/>
      </c>
    </row>
    <row r="506" spans="10:10" x14ac:dyDescent="0.2">
      <c r="J506" s="52" t="str" cm="1">
        <f t="array" ref="J506">IFERROR(
  VALUE($H506) *
  VALUE(
    _xlfn.XLOOKUP(
      TRIM($F506) &amp; "|" &amp; LEFT(SUBSTITUTE($G506,CHAR(160)," "),5) &amp; "|Reduced Rate",
      TRIM(SUBSTITUTE($Q$2:$Q$47,CHAR(160)," ")) &amp; "|" &amp;
      LEFT(SUBSTITUTE($R$2:$R$47,CHAR(160)," "),5) &amp; "|" &amp;
      TRIM(SUBSTITUTE($S$2:$S$47,CHAR(160)," ")),
      $T$2:$T$47
    )
  ),
"")</f>
        <v/>
      </c>
    </row>
    <row r="507" spans="10:10" x14ac:dyDescent="0.2">
      <c r="J507" s="52" t="str" cm="1">
        <f t="array" ref="J507">IFERROR(
  VALUE($H507) *
  VALUE(
    _xlfn.XLOOKUP(
      TRIM($F507) &amp; "|" &amp; LEFT(SUBSTITUTE($G507,CHAR(160)," "),5) &amp; "|Reduced Rate",
      TRIM(SUBSTITUTE($Q$2:$Q$47,CHAR(160)," ")) &amp; "|" &amp;
      LEFT(SUBSTITUTE($R$2:$R$47,CHAR(160)," "),5) &amp; "|" &amp;
      TRIM(SUBSTITUTE($S$2:$S$47,CHAR(160)," ")),
      $T$2:$T$47
    )
  ),
"")</f>
        <v/>
      </c>
    </row>
    <row r="508" spans="10:10" x14ac:dyDescent="0.2">
      <c r="J508" s="52" t="str" cm="1">
        <f t="array" ref="J508">IFERROR(
  VALUE($H508) *
  VALUE(
    _xlfn.XLOOKUP(
      TRIM($F508) &amp; "|" &amp; LEFT(SUBSTITUTE($G508,CHAR(160)," "),5) &amp; "|Reduced Rate",
      TRIM(SUBSTITUTE($Q$2:$Q$47,CHAR(160)," ")) &amp; "|" &amp;
      LEFT(SUBSTITUTE($R$2:$R$47,CHAR(160)," "),5) &amp; "|" &amp;
      TRIM(SUBSTITUTE($S$2:$S$47,CHAR(160)," ")),
      $T$2:$T$47
    )
  ),
"")</f>
        <v/>
      </c>
    </row>
    <row r="509" spans="10:10" x14ac:dyDescent="0.2">
      <c r="J509" s="52" t="str" cm="1">
        <f t="array" ref="J509">IFERROR(
  VALUE($H509) *
  VALUE(
    _xlfn.XLOOKUP(
      TRIM($F509) &amp; "|" &amp; LEFT(SUBSTITUTE($G509,CHAR(160)," "),5) &amp; "|Reduced Rate",
      TRIM(SUBSTITUTE($Q$2:$Q$47,CHAR(160)," ")) &amp; "|" &amp;
      LEFT(SUBSTITUTE($R$2:$R$47,CHAR(160)," "),5) &amp; "|" &amp;
      TRIM(SUBSTITUTE($S$2:$S$47,CHAR(160)," ")),
      $T$2:$T$47
    )
  ),
"")</f>
        <v/>
      </c>
    </row>
    <row r="510" spans="10:10" x14ac:dyDescent="0.2">
      <c r="J510" s="52" t="str" cm="1">
        <f t="array" ref="J510">IFERROR(
  VALUE($H510) *
  VALUE(
    _xlfn.XLOOKUP(
      TRIM($F510) &amp; "|" &amp; LEFT(SUBSTITUTE($G510,CHAR(160)," "),5) &amp; "|Reduced Rate",
      TRIM(SUBSTITUTE($Q$2:$Q$47,CHAR(160)," ")) &amp; "|" &amp;
      LEFT(SUBSTITUTE($R$2:$R$47,CHAR(160)," "),5) &amp; "|" &amp;
      TRIM(SUBSTITUTE($S$2:$S$47,CHAR(160)," ")),
      $T$2:$T$47
    )
  ),
"")</f>
        <v/>
      </c>
    </row>
    <row r="511" spans="10:10" x14ac:dyDescent="0.2">
      <c r="J511" s="52" t="str" cm="1">
        <f t="array" ref="J511">IFERROR(
  VALUE($H511) *
  VALUE(
    _xlfn.XLOOKUP(
      TRIM($F511) &amp; "|" &amp; LEFT(SUBSTITUTE($G511,CHAR(160)," "),5) &amp; "|Reduced Rate",
      TRIM(SUBSTITUTE($Q$2:$Q$47,CHAR(160)," ")) &amp; "|" &amp;
      LEFT(SUBSTITUTE($R$2:$R$47,CHAR(160)," "),5) &amp; "|" &amp;
      TRIM(SUBSTITUTE($S$2:$S$47,CHAR(160)," ")),
      $T$2:$T$47
    )
  ),
"")</f>
        <v/>
      </c>
    </row>
    <row r="512" spans="10:10" x14ac:dyDescent="0.2">
      <c r="J512" s="52" t="str" cm="1">
        <f t="array" ref="J512">IFERROR(
  VALUE($H512) *
  VALUE(
    _xlfn.XLOOKUP(
      TRIM($F512) &amp; "|" &amp; LEFT(SUBSTITUTE($G512,CHAR(160)," "),5) &amp; "|Reduced Rate",
      TRIM(SUBSTITUTE($Q$2:$Q$47,CHAR(160)," ")) &amp; "|" &amp;
      LEFT(SUBSTITUTE($R$2:$R$47,CHAR(160)," "),5) &amp; "|" &amp;
      TRIM(SUBSTITUTE($S$2:$S$47,CHAR(160)," ")),
      $T$2:$T$47
    )
  ),
"")</f>
        <v/>
      </c>
    </row>
    <row r="513" spans="10:10" x14ac:dyDescent="0.2">
      <c r="J513" s="52" t="str" cm="1">
        <f t="array" ref="J513">IFERROR(
  VALUE($H513) *
  VALUE(
    _xlfn.XLOOKUP(
      TRIM($F513) &amp; "|" &amp; LEFT(SUBSTITUTE($G513,CHAR(160)," "),5) &amp; "|Reduced Rate",
      TRIM(SUBSTITUTE($Q$2:$Q$47,CHAR(160)," ")) &amp; "|" &amp;
      LEFT(SUBSTITUTE($R$2:$R$47,CHAR(160)," "),5) &amp; "|" &amp;
      TRIM(SUBSTITUTE($S$2:$S$47,CHAR(160)," ")),
      $T$2:$T$47
    )
  ),
"")</f>
        <v/>
      </c>
    </row>
    <row r="514" spans="10:10" x14ac:dyDescent="0.2">
      <c r="J514" s="52" t="str" cm="1">
        <f t="array" ref="J514">IFERROR(
  VALUE($H514) *
  VALUE(
    _xlfn.XLOOKUP(
      TRIM($F514) &amp; "|" &amp; LEFT(SUBSTITUTE($G514,CHAR(160)," "),5) &amp; "|Reduced Rate",
      TRIM(SUBSTITUTE($Q$2:$Q$47,CHAR(160)," ")) &amp; "|" &amp;
      LEFT(SUBSTITUTE($R$2:$R$47,CHAR(160)," "),5) &amp; "|" &amp;
      TRIM(SUBSTITUTE($S$2:$S$47,CHAR(160)," ")),
      $T$2:$T$47
    )
  ),
"")</f>
        <v/>
      </c>
    </row>
    <row r="515" spans="10:10" x14ac:dyDescent="0.2">
      <c r="J515" s="52" t="str" cm="1">
        <f t="array" ref="J515">IFERROR(
  VALUE($H515) *
  VALUE(
    _xlfn.XLOOKUP(
      TRIM($F515) &amp; "|" &amp; LEFT(SUBSTITUTE($G515,CHAR(160)," "),5) &amp; "|Reduced Rate",
      TRIM(SUBSTITUTE($Q$2:$Q$47,CHAR(160)," ")) &amp; "|" &amp;
      LEFT(SUBSTITUTE($R$2:$R$47,CHAR(160)," "),5) &amp; "|" &amp;
      TRIM(SUBSTITUTE($S$2:$S$47,CHAR(160)," ")),
      $T$2:$T$47
    )
  ),
"")</f>
        <v/>
      </c>
    </row>
    <row r="516" spans="10:10" x14ac:dyDescent="0.2">
      <c r="J516" s="52" t="str" cm="1">
        <f t="array" ref="J516">IFERROR(
  VALUE($H516) *
  VALUE(
    _xlfn.XLOOKUP(
      TRIM($F516) &amp; "|" &amp; LEFT(SUBSTITUTE($G516,CHAR(160)," "),5) &amp; "|Reduced Rate",
      TRIM(SUBSTITUTE($Q$2:$Q$47,CHAR(160)," ")) &amp; "|" &amp;
      LEFT(SUBSTITUTE($R$2:$R$47,CHAR(160)," "),5) &amp; "|" &amp;
      TRIM(SUBSTITUTE($S$2:$S$47,CHAR(160)," ")),
      $T$2:$T$47
    )
  ),
"")</f>
        <v/>
      </c>
    </row>
    <row r="517" spans="10:10" x14ac:dyDescent="0.2">
      <c r="J517" s="52" t="str" cm="1">
        <f t="array" ref="J517">IFERROR(
  VALUE($H517) *
  VALUE(
    _xlfn.XLOOKUP(
      TRIM($F517) &amp; "|" &amp; LEFT(SUBSTITUTE($G517,CHAR(160)," "),5) &amp; "|Reduced Rate",
      TRIM(SUBSTITUTE($Q$2:$Q$47,CHAR(160)," ")) &amp; "|" &amp;
      LEFT(SUBSTITUTE($R$2:$R$47,CHAR(160)," "),5) &amp; "|" &amp;
      TRIM(SUBSTITUTE($S$2:$S$47,CHAR(160)," ")),
      $T$2:$T$47
    )
  ),
"")</f>
        <v/>
      </c>
    </row>
    <row r="518" spans="10:10" x14ac:dyDescent="0.2">
      <c r="J518" s="52" t="str" cm="1">
        <f t="array" ref="J518">IFERROR(
  VALUE($H518) *
  VALUE(
    _xlfn.XLOOKUP(
      TRIM($F518) &amp; "|" &amp; LEFT(SUBSTITUTE($G518,CHAR(160)," "),5) &amp; "|Reduced Rate",
      TRIM(SUBSTITUTE($Q$2:$Q$47,CHAR(160)," ")) &amp; "|" &amp;
      LEFT(SUBSTITUTE($R$2:$R$47,CHAR(160)," "),5) &amp; "|" &amp;
      TRIM(SUBSTITUTE($S$2:$S$47,CHAR(160)," ")),
      $T$2:$T$47
    )
  ),
"")</f>
        <v/>
      </c>
    </row>
    <row r="519" spans="10:10" x14ac:dyDescent="0.2">
      <c r="J519" s="52" t="str" cm="1">
        <f t="array" ref="J519">IFERROR(
  VALUE($H519) *
  VALUE(
    _xlfn.XLOOKUP(
      TRIM($F519) &amp; "|" &amp; LEFT(SUBSTITUTE($G519,CHAR(160)," "),5) &amp; "|Reduced Rate",
      TRIM(SUBSTITUTE($Q$2:$Q$47,CHAR(160)," ")) &amp; "|" &amp;
      LEFT(SUBSTITUTE($R$2:$R$47,CHAR(160)," "),5) &amp; "|" &amp;
      TRIM(SUBSTITUTE($S$2:$S$47,CHAR(160)," ")),
      $T$2:$T$47
    )
  ),
"")</f>
        <v/>
      </c>
    </row>
    <row r="520" spans="10:10" x14ac:dyDescent="0.2">
      <c r="J520" s="52" t="str" cm="1">
        <f t="array" ref="J520">IFERROR(
  VALUE($H520) *
  VALUE(
    _xlfn.XLOOKUP(
      TRIM($F520) &amp; "|" &amp; LEFT(SUBSTITUTE($G520,CHAR(160)," "),5) &amp; "|Reduced Rate",
      TRIM(SUBSTITUTE($Q$2:$Q$47,CHAR(160)," ")) &amp; "|" &amp;
      LEFT(SUBSTITUTE($R$2:$R$47,CHAR(160)," "),5) &amp; "|" &amp;
      TRIM(SUBSTITUTE($S$2:$S$47,CHAR(160)," ")),
      $T$2:$T$47
    )
  ),
"")</f>
        <v/>
      </c>
    </row>
    <row r="521" spans="10:10" x14ac:dyDescent="0.2">
      <c r="J521" s="52" t="str" cm="1">
        <f t="array" ref="J521">IFERROR(
  VALUE($H521) *
  VALUE(
    _xlfn.XLOOKUP(
      TRIM($F521) &amp; "|" &amp; LEFT(SUBSTITUTE($G521,CHAR(160)," "),5) &amp; "|Reduced Rate",
      TRIM(SUBSTITUTE($Q$2:$Q$47,CHAR(160)," ")) &amp; "|" &amp;
      LEFT(SUBSTITUTE($R$2:$R$47,CHAR(160)," "),5) &amp; "|" &amp;
      TRIM(SUBSTITUTE($S$2:$S$47,CHAR(160)," ")),
      $T$2:$T$47
    )
  ),
"")</f>
        <v/>
      </c>
    </row>
    <row r="522" spans="10:10" x14ac:dyDescent="0.2">
      <c r="J522" s="52" t="str" cm="1">
        <f t="array" ref="J522">IFERROR(
  VALUE($H522) *
  VALUE(
    _xlfn.XLOOKUP(
      TRIM($F522) &amp; "|" &amp; LEFT(SUBSTITUTE($G522,CHAR(160)," "),5) &amp; "|Reduced Rate",
      TRIM(SUBSTITUTE($Q$2:$Q$47,CHAR(160)," ")) &amp; "|" &amp;
      LEFT(SUBSTITUTE($R$2:$R$47,CHAR(160)," "),5) &amp; "|" &amp;
      TRIM(SUBSTITUTE($S$2:$S$47,CHAR(160)," ")),
      $T$2:$T$47
    )
  ),
"")</f>
        <v/>
      </c>
    </row>
    <row r="523" spans="10:10" x14ac:dyDescent="0.2">
      <c r="J523" s="52" t="str" cm="1">
        <f t="array" ref="J523">IFERROR(
  VALUE($H523) *
  VALUE(
    _xlfn.XLOOKUP(
      TRIM($F523) &amp; "|" &amp; LEFT(SUBSTITUTE($G523,CHAR(160)," "),5) &amp; "|Reduced Rate",
      TRIM(SUBSTITUTE($Q$2:$Q$47,CHAR(160)," ")) &amp; "|" &amp;
      LEFT(SUBSTITUTE($R$2:$R$47,CHAR(160)," "),5) &amp; "|" &amp;
      TRIM(SUBSTITUTE($S$2:$S$47,CHAR(160)," ")),
      $T$2:$T$47
    )
  ),
"")</f>
        <v/>
      </c>
    </row>
    <row r="524" spans="10:10" x14ac:dyDescent="0.2">
      <c r="J524" s="52" t="str" cm="1">
        <f t="array" ref="J524">IFERROR(
  VALUE($H524) *
  VALUE(
    _xlfn.XLOOKUP(
      TRIM($F524) &amp; "|" &amp; LEFT(SUBSTITUTE($G524,CHAR(160)," "),5) &amp; "|Reduced Rate",
      TRIM(SUBSTITUTE($Q$2:$Q$47,CHAR(160)," ")) &amp; "|" &amp;
      LEFT(SUBSTITUTE($R$2:$R$47,CHAR(160)," "),5) &amp; "|" &amp;
      TRIM(SUBSTITUTE($S$2:$S$47,CHAR(160)," ")),
      $T$2:$T$47
    )
  ),
"")</f>
        <v/>
      </c>
    </row>
    <row r="525" spans="10:10" x14ac:dyDescent="0.2">
      <c r="J525" s="52" t="str" cm="1">
        <f t="array" ref="J525">IFERROR(
  VALUE($H525) *
  VALUE(
    _xlfn.XLOOKUP(
      TRIM($F525) &amp; "|" &amp; LEFT(SUBSTITUTE($G525,CHAR(160)," "),5) &amp; "|Reduced Rate",
      TRIM(SUBSTITUTE($Q$2:$Q$47,CHAR(160)," ")) &amp; "|" &amp;
      LEFT(SUBSTITUTE($R$2:$R$47,CHAR(160)," "),5) &amp; "|" &amp;
      TRIM(SUBSTITUTE($S$2:$S$47,CHAR(160)," ")),
      $T$2:$T$47
    )
  ),
"")</f>
        <v/>
      </c>
    </row>
    <row r="526" spans="10:10" x14ac:dyDescent="0.2">
      <c r="J526" s="52" t="str" cm="1">
        <f t="array" ref="J526">IFERROR(
  VALUE($H526) *
  VALUE(
    _xlfn.XLOOKUP(
      TRIM($F526) &amp; "|" &amp; LEFT(SUBSTITUTE($G526,CHAR(160)," "),5) &amp; "|Reduced Rate",
      TRIM(SUBSTITUTE($Q$2:$Q$47,CHAR(160)," ")) &amp; "|" &amp;
      LEFT(SUBSTITUTE($R$2:$R$47,CHAR(160)," "),5) &amp; "|" &amp;
      TRIM(SUBSTITUTE($S$2:$S$47,CHAR(160)," ")),
      $T$2:$T$47
    )
  ),
"")</f>
        <v/>
      </c>
    </row>
    <row r="527" spans="10:10" x14ac:dyDescent="0.2">
      <c r="J527" s="52" t="str" cm="1">
        <f t="array" ref="J527">IFERROR(
  VALUE($H527) *
  VALUE(
    _xlfn.XLOOKUP(
      TRIM($F527) &amp; "|" &amp; LEFT(SUBSTITUTE($G527,CHAR(160)," "),5) &amp; "|Reduced Rate",
      TRIM(SUBSTITUTE($Q$2:$Q$47,CHAR(160)," ")) &amp; "|" &amp;
      LEFT(SUBSTITUTE($R$2:$R$47,CHAR(160)," "),5) &amp; "|" &amp;
      TRIM(SUBSTITUTE($S$2:$S$47,CHAR(160)," ")),
      $T$2:$T$47
    )
  ),
"")</f>
        <v/>
      </c>
    </row>
    <row r="528" spans="10:10" x14ac:dyDescent="0.2">
      <c r="J528" s="52" t="str" cm="1">
        <f t="array" ref="J528">IFERROR(
  VALUE($H528) *
  VALUE(
    _xlfn.XLOOKUP(
      TRIM($F528) &amp; "|" &amp; LEFT(SUBSTITUTE($G528,CHAR(160)," "),5) &amp; "|Reduced Rate",
      TRIM(SUBSTITUTE($Q$2:$Q$47,CHAR(160)," ")) &amp; "|" &amp;
      LEFT(SUBSTITUTE($R$2:$R$47,CHAR(160)," "),5) &amp; "|" &amp;
      TRIM(SUBSTITUTE($S$2:$S$47,CHAR(160)," ")),
      $T$2:$T$47
    )
  ),
"")</f>
        <v/>
      </c>
    </row>
    <row r="529" spans="10:10" x14ac:dyDescent="0.2">
      <c r="J529" s="52" t="str" cm="1">
        <f t="array" ref="J529">IFERROR(
  VALUE($H529) *
  VALUE(
    _xlfn.XLOOKUP(
      TRIM($F529) &amp; "|" &amp; LEFT(SUBSTITUTE($G529,CHAR(160)," "),5) &amp; "|Reduced Rate",
      TRIM(SUBSTITUTE($Q$2:$Q$47,CHAR(160)," ")) &amp; "|" &amp;
      LEFT(SUBSTITUTE($R$2:$R$47,CHAR(160)," "),5) &amp; "|" &amp;
      TRIM(SUBSTITUTE($S$2:$S$47,CHAR(160)," ")),
      $T$2:$T$47
    )
  ),
"")</f>
        <v/>
      </c>
    </row>
    <row r="530" spans="10:10" x14ac:dyDescent="0.2">
      <c r="J530" s="52" t="str" cm="1">
        <f t="array" ref="J530">IFERROR(
  VALUE($H530) *
  VALUE(
    _xlfn.XLOOKUP(
      TRIM($F530) &amp; "|" &amp; LEFT(SUBSTITUTE($G530,CHAR(160)," "),5) &amp; "|Reduced Rate",
      TRIM(SUBSTITUTE($Q$2:$Q$47,CHAR(160)," ")) &amp; "|" &amp;
      LEFT(SUBSTITUTE($R$2:$R$47,CHAR(160)," "),5) &amp; "|" &amp;
      TRIM(SUBSTITUTE($S$2:$S$47,CHAR(160)," ")),
      $T$2:$T$47
    )
  ),
"")</f>
        <v/>
      </c>
    </row>
    <row r="531" spans="10:10" x14ac:dyDescent="0.2">
      <c r="J531" s="52" t="str" cm="1">
        <f t="array" ref="J531">IFERROR(
  VALUE($H531) *
  VALUE(
    _xlfn.XLOOKUP(
      TRIM($F531) &amp; "|" &amp; LEFT(SUBSTITUTE($G531,CHAR(160)," "),5) &amp; "|Reduced Rate",
      TRIM(SUBSTITUTE($Q$2:$Q$47,CHAR(160)," ")) &amp; "|" &amp;
      LEFT(SUBSTITUTE($R$2:$R$47,CHAR(160)," "),5) &amp; "|" &amp;
      TRIM(SUBSTITUTE($S$2:$S$47,CHAR(160)," ")),
      $T$2:$T$47
    )
  ),
"")</f>
        <v/>
      </c>
    </row>
    <row r="532" spans="10:10" x14ac:dyDescent="0.2">
      <c r="J532" s="52" t="str" cm="1">
        <f t="array" ref="J532">IFERROR(
  VALUE($H532) *
  VALUE(
    _xlfn.XLOOKUP(
      TRIM($F532) &amp; "|" &amp; LEFT(SUBSTITUTE($G532,CHAR(160)," "),5) &amp; "|Reduced Rate",
      TRIM(SUBSTITUTE($Q$2:$Q$47,CHAR(160)," ")) &amp; "|" &amp;
      LEFT(SUBSTITUTE($R$2:$R$47,CHAR(160)," "),5) &amp; "|" &amp;
      TRIM(SUBSTITUTE($S$2:$S$47,CHAR(160)," ")),
      $T$2:$T$47
    )
  ),
"")</f>
        <v/>
      </c>
    </row>
    <row r="533" spans="10:10" x14ac:dyDescent="0.2">
      <c r="J533" s="52" t="str" cm="1">
        <f t="array" ref="J533">IFERROR(
  VALUE($H533) *
  VALUE(
    _xlfn.XLOOKUP(
      TRIM($F533) &amp; "|" &amp; LEFT(SUBSTITUTE($G533,CHAR(160)," "),5) &amp; "|Reduced Rate",
      TRIM(SUBSTITUTE($Q$2:$Q$47,CHAR(160)," ")) &amp; "|" &amp;
      LEFT(SUBSTITUTE($R$2:$R$47,CHAR(160)," "),5) &amp; "|" &amp;
      TRIM(SUBSTITUTE($S$2:$S$47,CHAR(160)," ")),
      $T$2:$T$47
    )
  ),
"")</f>
        <v/>
      </c>
    </row>
    <row r="534" spans="10:10" x14ac:dyDescent="0.2">
      <c r="J534" s="52" t="str" cm="1">
        <f t="array" ref="J534">IFERROR(
  VALUE($H534) *
  VALUE(
    _xlfn.XLOOKUP(
      TRIM($F534) &amp; "|" &amp; LEFT(SUBSTITUTE($G534,CHAR(160)," "),5) &amp; "|Reduced Rate",
      TRIM(SUBSTITUTE($Q$2:$Q$47,CHAR(160)," ")) &amp; "|" &amp;
      LEFT(SUBSTITUTE($R$2:$R$47,CHAR(160)," "),5) &amp; "|" &amp;
      TRIM(SUBSTITUTE($S$2:$S$47,CHAR(160)," ")),
      $T$2:$T$47
    )
  ),
"")</f>
        <v/>
      </c>
    </row>
    <row r="535" spans="10:10" x14ac:dyDescent="0.2">
      <c r="J535" s="52" t="str" cm="1">
        <f t="array" ref="J535">IFERROR(
  VALUE($H535) *
  VALUE(
    _xlfn.XLOOKUP(
      TRIM($F535) &amp; "|" &amp; LEFT(SUBSTITUTE($G535,CHAR(160)," "),5) &amp; "|Reduced Rate",
      TRIM(SUBSTITUTE($Q$2:$Q$47,CHAR(160)," ")) &amp; "|" &amp;
      LEFT(SUBSTITUTE($R$2:$R$47,CHAR(160)," "),5) &amp; "|" &amp;
      TRIM(SUBSTITUTE($S$2:$S$47,CHAR(160)," ")),
      $T$2:$T$47
    )
  ),
"")</f>
        <v/>
      </c>
    </row>
    <row r="536" spans="10:10" x14ac:dyDescent="0.2">
      <c r="J536" s="52" t="str" cm="1">
        <f t="array" ref="J536">IFERROR(
  VALUE($H536) *
  VALUE(
    _xlfn.XLOOKUP(
      TRIM($F536) &amp; "|" &amp; LEFT(SUBSTITUTE($G536,CHAR(160)," "),5) &amp; "|Reduced Rate",
      TRIM(SUBSTITUTE($Q$2:$Q$47,CHAR(160)," ")) &amp; "|" &amp;
      LEFT(SUBSTITUTE($R$2:$R$47,CHAR(160)," "),5) &amp; "|" &amp;
      TRIM(SUBSTITUTE($S$2:$S$47,CHAR(160)," ")),
      $T$2:$T$47
    )
  ),
"")</f>
        <v/>
      </c>
    </row>
    <row r="537" spans="10:10" x14ac:dyDescent="0.2">
      <c r="J537" s="52" t="str" cm="1">
        <f t="array" ref="J537">IFERROR(
  VALUE($H537) *
  VALUE(
    _xlfn.XLOOKUP(
      TRIM($F537) &amp; "|" &amp; LEFT(SUBSTITUTE($G537,CHAR(160)," "),5) &amp; "|Reduced Rate",
      TRIM(SUBSTITUTE($Q$2:$Q$47,CHAR(160)," ")) &amp; "|" &amp;
      LEFT(SUBSTITUTE($R$2:$R$47,CHAR(160)," "),5) &amp; "|" &amp;
      TRIM(SUBSTITUTE($S$2:$S$47,CHAR(160)," ")),
      $T$2:$T$47
    )
  ),
"")</f>
        <v/>
      </c>
    </row>
    <row r="538" spans="10:10" x14ac:dyDescent="0.2">
      <c r="J538" s="52" t="str" cm="1">
        <f t="array" ref="J538">IFERROR(
  VALUE($H538) *
  VALUE(
    _xlfn.XLOOKUP(
      TRIM($F538) &amp; "|" &amp; LEFT(SUBSTITUTE($G538,CHAR(160)," "),5) &amp; "|Reduced Rate",
      TRIM(SUBSTITUTE($Q$2:$Q$47,CHAR(160)," ")) &amp; "|" &amp;
      LEFT(SUBSTITUTE($R$2:$R$47,CHAR(160)," "),5) &amp; "|" &amp;
      TRIM(SUBSTITUTE($S$2:$S$47,CHAR(160)," ")),
      $T$2:$T$47
    )
  ),
"")</f>
        <v/>
      </c>
    </row>
    <row r="539" spans="10:10" x14ac:dyDescent="0.2">
      <c r="J539" s="52" t="str" cm="1">
        <f t="array" ref="J539">IFERROR(
  VALUE($H539) *
  VALUE(
    _xlfn.XLOOKUP(
      TRIM($F539) &amp; "|" &amp; LEFT(SUBSTITUTE($G539,CHAR(160)," "),5) &amp; "|Reduced Rate",
      TRIM(SUBSTITUTE($Q$2:$Q$47,CHAR(160)," ")) &amp; "|" &amp;
      LEFT(SUBSTITUTE($R$2:$R$47,CHAR(160)," "),5) &amp; "|" &amp;
      TRIM(SUBSTITUTE($S$2:$S$47,CHAR(160)," ")),
      $T$2:$T$47
    )
  ),
"")</f>
        <v/>
      </c>
    </row>
    <row r="540" spans="10:10" x14ac:dyDescent="0.2">
      <c r="J540" s="52" t="str" cm="1">
        <f t="array" ref="J540">IFERROR(
  VALUE($H540) *
  VALUE(
    _xlfn.XLOOKUP(
      TRIM($F540) &amp; "|" &amp; LEFT(SUBSTITUTE($G540,CHAR(160)," "),5) &amp; "|Reduced Rate",
      TRIM(SUBSTITUTE($Q$2:$Q$47,CHAR(160)," ")) &amp; "|" &amp;
      LEFT(SUBSTITUTE($R$2:$R$47,CHAR(160)," "),5) &amp; "|" &amp;
      TRIM(SUBSTITUTE($S$2:$S$47,CHAR(160)," ")),
      $T$2:$T$47
    )
  ),
"")</f>
        <v/>
      </c>
    </row>
    <row r="541" spans="10:10" x14ac:dyDescent="0.2">
      <c r="J541" s="52" t="str" cm="1">
        <f t="array" ref="J541">IFERROR(
  VALUE($H541) *
  VALUE(
    _xlfn.XLOOKUP(
      TRIM($F541) &amp; "|" &amp; LEFT(SUBSTITUTE($G541,CHAR(160)," "),5) &amp; "|Reduced Rate",
      TRIM(SUBSTITUTE($Q$2:$Q$47,CHAR(160)," ")) &amp; "|" &amp;
      LEFT(SUBSTITUTE($R$2:$R$47,CHAR(160)," "),5) &amp; "|" &amp;
      TRIM(SUBSTITUTE($S$2:$S$47,CHAR(160)," ")),
      $T$2:$T$47
    )
  ),
"")</f>
        <v/>
      </c>
    </row>
    <row r="542" spans="10:10" x14ac:dyDescent="0.2">
      <c r="J542" s="52" t="str" cm="1">
        <f t="array" ref="J542">IFERROR(
  VALUE($H542) *
  VALUE(
    _xlfn.XLOOKUP(
      TRIM($F542) &amp; "|" &amp; LEFT(SUBSTITUTE($G542,CHAR(160)," "),5) &amp; "|Reduced Rate",
      TRIM(SUBSTITUTE($Q$2:$Q$47,CHAR(160)," ")) &amp; "|" &amp;
      LEFT(SUBSTITUTE($R$2:$R$47,CHAR(160)," "),5) &amp; "|" &amp;
      TRIM(SUBSTITUTE($S$2:$S$47,CHAR(160)," ")),
      $T$2:$T$47
    )
  ),
"")</f>
        <v/>
      </c>
    </row>
    <row r="543" spans="10:10" x14ac:dyDescent="0.2">
      <c r="J543" s="52" t="str" cm="1">
        <f t="array" ref="J543">IFERROR(
  VALUE($H543) *
  VALUE(
    _xlfn.XLOOKUP(
      TRIM($F543) &amp; "|" &amp; LEFT(SUBSTITUTE($G543,CHAR(160)," "),5) &amp; "|Reduced Rate",
      TRIM(SUBSTITUTE($Q$2:$Q$47,CHAR(160)," ")) &amp; "|" &amp;
      LEFT(SUBSTITUTE($R$2:$R$47,CHAR(160)," "),5) &amp; "|" &amp;
      TRIM(SUBSTITUTE($S$2:$S$47,CHAR(160)," ")),
      $T$2:$T$47
    )
  ),
"")</f>
        <v/>
      </c>
    </row>
    <row r="544" spans="10:10" x14ac:dyDescent="0.2">
      <c r="J544" s="52" t="str" cm="1">
        <f t="array" ref="J544">IFERROR(
  VALUE($H544) *
  VALUE(
    _xlfn.XLOOKUP(
      TRIM($F544) &amp; "|" &amp; LEFT(SUBSTITUTE($G544,CHAR(160)," "),5) &amp; "|Reduced Rate",
      TRIM(SUBSTITUTE($Q$2:$Q$47,CHAR(160)," ")) &amp; "|" &amp;
      LEFT(SUBSTITUTE($R$2:$R$47,CHAR(160)," "),5) &amp; "|" &amp;
      TRIM(SUBSTITUTE($S$2:$S$47,CHAR(160)," ")),
      $T$2:$T$47
    )
  ),
"")</f>
        <v/>
      </c>
    </row>
    <row r="545" spans="10:10" x14ac:dyDescent="0.2">
      <c r="J545" s="52" t="str" cm="1">
        <f t="array" ref="J545">IFERROR(
  VALUE($H545) *
  VALUE(
    _xlfn.XLOOKUP(
      TRIM($F545) &amp; "|" &amp; LEFT(SUBSTITUTE($G545,CHAR(160)," "),5) &amp; "|Reduced Rate",
      TRIM(SUBSTITUTE($Q$2:$Q$47,CHAR(160)," ")) &amp; "|" &amp;
      LEFT(SUBSTITUTE($R$2:$R$47,CHAR(160)," "),5) &amp; "|" &amp;
      TRIM(SUBSTITUTE($S$2:$S$47,CHAR(160)," ")),
      $T$2:$T$47
    )
  ),
"")</f>
        <v/>
      </c>
    </row>
    <row r="546" spans="10:10" x14ac:dyDescent="0.2">
      <c r="J546" s="52" t="str" cm="1">
        <f t="array" ref="J546">IFERROR(
  VALUE($H546) *
  VALUE(
    _xlfn.XLOOKUP(
      TRIM($F546) &amp; "|" &amp; LEFT(SUBSTITUTE($G546,CHAR(160)," "),5) &amp; "|Reduced Rate",
      TRIM(SUBSTITUTE($Q$2:$Q$47,CHAR(160)," ")) &amp; "|" &amp;
      LEFT(SUBSTITUTE($R$2:$R$47,CHAR(160)," "),5) &amp; "|" &amp;
      TRIM(SUBSTITUTE($S$2:$S$47,CHAR(160)," ")),
      $T$2:$T$47
    )
  ),
"")</f>
        <v/>
      </c>
    </row>
    <row r="547" spans="10:10" x14ac:dyDescent="0.2">
      <c r="J547" s="52" t="str" cm="1">
        <f t="array" ref="J547">IFERROR(
  VALUE($H547) *
  VALUE(
    _xlfn.XLOOKUP(
      TRIM($F547) &amp; "|" &amp; LEFT(SUBSTITUTE($G547,CHAR(160)," "),5) &amp; "|Reduced Rate",
      TRIM(SUBSTITUTE($Q$2:$Q$47,CHAR(160)," ")) &amp; "|" &amp;
      LEFT(SUBSTITUTE($R$2:$R$47,CHAR(160)," "),5) &amp; "|" &amp;
      TRIM(SUBSTITUTE($S$2:$S$47,CHAR(160)," ")),
      $T$2:$T$47
    )
  ),
"")</f>
        <v/>
      </c>
    </row>
    <row r="548" spans="10:10" x14ac:dyDescent="0.2">
      <c r="J548" s="52" t="str" cm="1">
        <f t="array" ref="J548">IFERROR(
  VALUE($H548) *
  VALUE(
    _xlfn.XLOOKUP(
      TRIM($F548) &amp; "|" &amp; LEFT(SUBSTITUTE($G548,CHAR(160)," "),5) &amp; "|Reduced Rate",
      TRIM(SUBSTITUTE($Q$2:$Q$47,CHAR(160)," ")) &amp; "|" &amp;
      LEFT(SUBSTITUTE($R$2:$R$47,CHAR(160)," "),5) &amp; "|" &amp;
      TRIM(SUBSTITUTE($S$2:$S$47,CHAR(160)," ")),
      $T$2:$T$47
    )
  ),
"")</f>
        <v/>
      </c>
    </row>
    <row r="549" spans="10:10" x14ac:dyDescent="0.2">
      <c r="J549" s="52" t="str" cm="1">
        <f t="array" ref="J549">IFERROR(
  VALUE($H549) *
  VALUE(
    _xlfn.XLOOKUP(
      TRIM($F549) &amp; "|" &amp; LEFT(SUBSTITUTE($G549,CHAR(160)," "),5) &amp; "|Reduced Rate",
      TRIM(SUBSTITUTE($Q$2:$Q$47,CHAR(160)," ")) &amp; "|" &amp;
      LEFT(SUBSTITUTE($R$2:$R$47,CHAR(160)," "),5) &amp; "|" &amp;
      TRIM(SUBSTITUTE($S$2:$S$47,CHAR(160)," ")),
      $T$2:$T$47
    )
  ),
"")</f>
        <v/>
      </c>
    </row>
    <row r="550" spans="10:10" x14ac:dyDescent="0.2">
      <c r="J550" s="52" t="str" cm="1">
        <f t="array" ref="J550">IFERROR(
  VALUE($H550) *
  VALUE(
    _xlfn.XLOOKUP(
      TRIM($F550) &amp; "|" &amp; LEFT(SUBSTITUTE($G550,CHAR(160)," "),5) &amp; "|Reduced Rate",
      TRIM(SUBSTITUTE($Q$2:$Q$47,CHAR(160)," ")) &amp; "|" &amp;
      LEFT(SUBSTITUTE($R$2:$R$47,CHAR(160)," "),5) &amp; "|" &amp;
      TRIM(SUBSTITUTE($S$2:$S$47,CHAR(160)," ")),
      $T$2:$T$47
    )
  ),
"")</f>
        <v/>
      </c>
    </row>
    <row r="551" spans="10:10" x14ac:dyDescent="0.2">
      <c r="J551" s="52" t="str" cm="1">
        <f t="array" ref="J551">IFERROR(
  VALUE($H551) *
  VALUE(
    _xlfn.XLOOKUP(
      TRIM($F551) &amp; "|" &amp; LEFT(SUBSTITUTE($G551,CHAR(160)," "),5) &amp; "|Reduced Rate",
      TRIM(SUBSTITUTE($Q$2:$Q$47,CHAR(160)," ")) &amp; "|" &amp;
      LEFT(SUBSTITUTE($R$2:$R$47,CHAR(160)," "),5) &amp; "|" &amp;
      TRIM(SUBSTITUTE($S$2:$S$47,CHAR(160)," ")),
      $T$2:$T$47
    )
  ),
"")</f>
        <v/>
      </c>
    </row>
    <row r="552" spans="10:10" x14ac:dyDescent="0.2">
      <c r="J552" s="52" t="str" cm="1">
        <f t="array" ref="J552">IFERROR(
  VALUE($H552) *
  VALUE(
    _xlfn.XLOOKUP(
      TRIM($F552) &amp; "|" &amp; LEFT(SUBSTITUTE($G552,CHAR(160)," "),5) &amp; "|Reduced Rate",
      TRIM(SUBSTITUTE($Q$2:$Q$47,CHAR(160)," ")) &amp; "|" &amp;
      LEFT(SUBSTITUTE($R$2:$R$47,CHAR(160)," "),5) &amp; "|" &amp;
      TRIM(SUBSTITUTE($S$2:$S$47,CHAR(160)," ")),
      $T$2:$T$47
    )
  ),
"")</f>
        <v/>
      </c>
    </row>
    <row r="553" spans="10:10" x14ac:dyDescent="0.2">
      <c r="J553" s="52" t="str" cm="1">
        <f t="array" ref="J553">IFERROR(
  VALUE($H553) *
  VALUE(
    _xlfn.XLOOKUP(
      TRIM($F553) &amp; "|" &amp; LEFT(SUBSTITUTE($G553,CHAR(160)," "),5) &amp; "|Reduced Rate",
      TRIM(SUBSTITUTE($Q$2:$Q$47,CHAR(160)," ")) &amp; "|" &amp;
      LEFT(SUBSTITUTE($R$2:$R$47,CHAR(160)," "),5) &amp; "|" &amp;
      TRIM(SUBSTITUTE($S$2:$S$47,CHAR(160)," ")),
      $T$2:$T$47
    )
  ),
"")</f>
        <v/>
      </c>
    </row>
    <row r="554" spans="10:10" x14ac:dyDescent="0.2">
      <c r="J554" s="52" t="str" cm="1">
        <f t="array" ref="J554">IFERROR(
  VALUE($H554) *
  VALUE(
    _xlfn.XLOOKUP(
      TRIM($F554) &amp; "|" &amp; LEFT(SUBSTITUTE($G554,CHAR(160)," "),5) &amp; "|Reduced Rate",
      TRIM(SUBSTITUTE($Q$2:$Q$47,CHAR(160)," ")) &amp; "|" &amp;
      LEFT(SUBSTITUTE($R$2:$R$47,CHAR(160)," "),5) &amp; "|" &amp;
      TRIM(SUBSTITUTE($S$2:$S$47,CHAR(160)," ")),
      $T$2:$T$47
    )
  ),
"")</f>
        <v/>
      </c>
    </row>
    <row r="555" spans="10:10" x14ac:dyDescent="0.2">
      <c r="J555" s="52" t="str" cm="1">
        <f t="array" ref="J555">IFERROR(
  VALUE($H555) *
  VALUE(
    _xlfn.XLOOKUP(
      TRIM($F555) &amp; "|" &amp; LEFT(SUBSTITUTE($G555,CHAR(160)," "),5) &amp; "|Reduced Rate",
      TRIM(SUBSTITUTE($Q$2:$Q$47,CHAR(160)," ")) &amp; "|" &amp;
      LEFT(SUBSTITUTE($R$2:$R$47,CHAR(160)," "),5) &amp; "|" &amp;
      TRIM(SUBSTITUTE($S$2:$S$47,CHAR(160)," ")),
      $T$2:$T$47
    )
  ),
"")</f>
        <v/>
      </c>
    </row>
    <row r="556" spans="10:10" x14ac:dyDescent="0.2">
      <c r="J556" s="52" t="str" cm="1">
        <f t="array" ref="J556">IFERROR(
  VALUE($H556) *
  VALUE(
    _xlfn.XLOOKUP(
      TRIM($F556) &amp; "|" &amp; LEFT(SUBSTITUTE($G556,CHAR(160)," "),5) &amp; "|Reduced Rate",
      TRIM(SUBSTITUTE($Q$2:$Q$47,CHAR(160)," ")) &amp; "|" &amp;
      LEFT(SUBSTITUTE($R$2:$R$47,CHAR(160)," "),5) &amp; "|" &amp;
      TRIM(SUBSTITUTE($S$2:$S$47,CHAR(160)," ")),
      $T$2:$T$47
    )
  ),
"")</f>
        <v/>
      </c>
    </row>
    <row r="557" spans="10:10" x14ac:dyDescent="0.2">
      <c r="J557" s="52" t="str" cm="1">
        <f t="array" ref="J557">IFERROR(
  VALUE($H557) *
  VALUE(
    _xlfn.XLOOKUP(
      TRIM($F557) &amp; "|" &amp; LEFT(SUBSTITUTE($G557,CHAR(160)," "),5) &amp; "|Reduced Rate",
      TRIM(SUBSTITUTE($Q$2:$Q$47,CHAR(160)," ")) &amp; "|" &amp;
      LEFT(SUBSTITUTE($R$2:$R$47,CHAR(160)," "),5) &amp; "|" &amp;
      TRIM(SUBSTITUTE($S$2:$S$47,CHAR(160)," ")),
      $T$2:$T$47
    )
  ),
"")</f>
        <v/>
      </c>
    </row>
    <row r="558" spans="10:10" x14ac:dyDescent="0.2">
      <c r="J558" s="52" t="str" cm="1">
        <f t="array" ref="J558">IFERROR(
  VALUE($H558) *
  VALUE(
    _xlfn.XLOOKUP(
      TRIM($F558) &amp; "|" &amp; LEFT(SUBSTITUTE($G558,CHAR(160)," "),5) &amp; "|Reduced Rate",
      TRIM(SUBSTITUTE($Q$2:$Q$47,CHAR(160)," ")) &amp; "|" &amp;
      LEFT(SUBSTITUTE($R$2:$R$47,CHAR(160)," "),5) &amp; "|" &amp;
      TRIM(SUBSTITUTE($S$2:$S$47,CHAR(160)," ")),
      $T$2:$T$47
    )
  ),
"")</f>
        <v/>
      </c>
    </row>
    <row r="559" spans="10:10" x14ac:dyDescent="0.2">
      <c r="J559" s="52" t="str" cm="1">
        <f t="array" ref="J559">IFERROR(
  VALUE($H559) *
  VALUE(
    _xlfn.XLOOKUP(
      TRIM($F559) &amp; "|" &amp; LEFT(SUBSTITUTE($G559,CHAR(160)," "),5) &amp; "|Reduced Rate",
      TRIM(SUBSTITUTE($Q$2:$Q$47,CHAR(160)," ")) &amp; "|" &amp;
      LEFT(SUBSTITUTE($R$2:$R$47,CHAR(160)," "),5) &amp; "|" &amp;
      TRIM(SUBSTITUTE($S$2:$S$47,CHAR(160)," ")),
      $T$2:$T$47
    )
  ),
"")</f>
        <v/>
      </c>
    </row>
    <row r="560" spans="10:10" x14ac:dyDescent="0.2">
      <c r="J560" s="52" t="str" cm="1">
        <f t="array" ref="J560">IFERROR(
  VALUE($H560) *
  VALUE(
    _xlfn.XLOOKUP(
      TRIM($F560) &amp; "|" &amp; LEFT(SUBSTITUTE($G560,CHAR(160)," "),5) &amp; "|Reduced Rate",
      TRIM(SUBSTITUTE($Q$2:$Q$47,CHAR(160)," ")) &amp; "|" &amp;
      LEFT(SUBSTITUTE($R$2:$R$47,CHAR(160)," "),5) &amp; "|" &amp;
      TRIM(SUBSTITUTE($S$2:$S$47,CHAR(160)," ")),
      $T$2:$T$47
    )
  ),
"")</f>
        <v/>
      </c>
    </row>
    <row r="561" spans="10:10" x14ac:dyDescent="0.2">
      <c r="J561" s="52" t="str" cm="1">
        <f t="array" ref="J561">IFERROR(
  VALUE($H561) *
  VALUE(
    _xlfn.XLOOKUP(
      TRIM($F561) &amp; "|" &amp; LEFT(SUBSTITUTE($G561,CHAR(160)," "),5) &amp; "|Reduced Rate",
      TRIM(SUBSTITUTE($Q$2:$Q$47,CHAR(160)," ")) &amp; "|" &amp;
      LEFT(SUBSTITUTE($R$2:$R$47,CHAR(160)," "),5) &amp; "|" &amp;
      TRIM(SUBSTITUTE($S$2:$S$47,CHAR(160)," ")),
      $T$2:$T$47
    )
  ),
"")</f>
        <v/>
      </c>
    </row>
    <row r="562" spans="10:10" x14ac:dyDescent="0.2">
      <c r="J562" s="52" t="str" cm="1">
        <f t="array" ref="J562">IFERROR(
  VALUE($H562) *
  VALUE(
    _xlfn.XLOOKUP(
      TRIM($F562) &amp; "|" &amp; LEFT(SUBSTITUTE($G562,CHAR(160)," "),5) &amp; "|Reduced Rate",
      TRIM(SUBSTITUTE($Q$2:$Q$47,CHAR(160)," ")) &amp; "|" &amp;
      LEFT(SUBSTITUTE($R$2:$R$47,CHAR(160)," "),5) &amp; "|" &amp;
      TRIM(SUBSTITUTE($S$2:$S$47,CHAR(160)," ")),
      $T$2:$T$47
    )
  ),
"")</f>
        <v/>
      </c>
    </row>
    <row r="563" spans="10:10" x14ac:dyDescent="0.2">
      <c r="J563" s="52" t="str" cm="1">
        <f t="array" ref="J563">IFERROR(
  VALUE($H563) *
  VALUE(
    _xlfn.XLOOKUP(
      TRIM($F563) &amp; "|" &amp; LEFT(SUBSTITUTE($G563,CHAR(160)," "),5) &amp; "|Reduced Rate",
      TRIM(SUBSTITUTE($Q$2:$Q$47,CHAR(160)," ")) &amp; "|" &amp;
      LEFT(SUBSTITUTE($R$2:$R$47,CHAR(160)," "),5) &amp; "|" &amp;
      TRIM(SUBSTITUTE($S$2:$S$47,CHAR(160)," ")),
      $T$2:$T$47
    )
  ),
"")</f>
        <v/>
      </c>
    </row>
    <row r="564" spans="10:10" x14ac:dyDescent="0.2">
      <c r="J564" s="52" t="str" cm="1">
        <f t="array" ref="J564">IFERROR(
  VALUE($H564) *
  VALUE(
    _xlfn.XLOOKUP(
      TRIM($F564) &amp; "|" &amp; LEFT(SUBSTITUTE($G564,CHAR(160)," "),5) &amp; "|Reduced Rate",
      TRIM(SUBSTITUTE($Q$2:$Q$47,CHAR(160)," ")) &amp; "|" &amp;
      LEFT(SUBSTITUTE($R$2:$R$47,CHAR(160)," "),5) &amp; "|" &amp;
      TRIM(SUBSTITUTE($S$2:$S$47,CHAR(160)," ")),
      $T$2:$T$47
    )
  ),
"")</f>
        <v/>
      </c>
    </row>
    <row r="565" spans="10:10" x14ac:dyDescent="0.2">
      <c r="J565" s="52" t="str" cm="1">
        <f t="array" ref="J565">IFERROR(
  VALUE($H565) *
  VALUE(
    _xlfn.XLOOKUP(
      TRIM($F565) &amp; "|" &amp; LEFT(SUBSTITUTE($G565,CHAR(160)," "),5) &amp; "|Reduced Rate",
      TRIM(SUBSTITUTE($Q$2:$Q$47,CHAR(160)," ")) &amp; "|" &amp;
      LEFT(SUBSTITUTE($R$2:$R$47,CHAR(160)," "),5) &amp; "|" &amp;
      TRIM(SUBSTITUTE($S$2:$S$47,CHAR(160)," ")),
      $T$2:$T$47
    )
  ),
"")</f>
        <v/>
      </c>
    </row>
    <row r="566" spans="10:10" x14ac:dyDescent="0.2">
      <c r="J566" s="52" t="str" cm="1">
        <f t="array" ref="J566">IFERROR(
  VALUE($H566) *
  VALUE(
    _xlfn.XLOOKUP(
      TRIM($F566) &amp; "|" &amp; LEFT(SUBSTITUTE($G566,CHAR(160)," "),5) &amp; "|Reduced Rate",
      TRIM(SUBSTITUTE($Q$2:$Q$47,CHAR(160)," ")) &amp; "|" &amp;
      LEFT(SUBSTITUTE($R$2:$R$47,CHAR(160)," "),5) &amp; "|" &amp;
      TRIM(SUBSTITUTE($S$2:$S$47,CHAR(160)," ")),
      $T$2:$T$47
    )
  ),
"")</f>
        <v/>
      </c>
    </row>
    <row r="567" spans="10:10" x14ac:dyDescent="0.2">
      <c r="J567" s="52" t="str" cm="1">
        <f t="array" ref="J567">IFERROR(
  VALUE($H567) *
  VALUE(
    _xlfn.XLOOKUP(
      TRIM($F567) &amp; "|" &amp; LEFT(SUBSTITUTE($G567,CHAR(160)," "),5) &amp; "|Reduced Rate",
      TRIM(SUBSTITUTE($Q$2:$Q$47,CHAR(160)," ")) &amp; "|" &amp;
      LEFT(SUBSTITUTE($R$2:$R$47,CHAR(160)," "),5) &amp; "|" &amp;
      TRIM(SUBSTITUTE($S$2:$S$47,CHAR(160)," ")),
      $T$2:$T$47
    )
  ),
"")</f>
        <v/>
      </c>
    </row>
    <row r="568" spans="10:10" x14ac:dyDescent="0.2">
      <c r="J568" s="52" t="str" cm="1">
        <f t="array" ref="J568">IFERROR(
  VALUE($H568) *
  VALUE(
    _xlfn.XLOOKUP(
      TRIM($F568) &amp; "|" &amp; LEFT(SUBSTITUTE($G568,CHAR(160)," "),5) &amp; "|Reduced Rate",
      TRIM(SUBSTITUTE($Q$2:$Q$47,CHAR(160)," ")) &amp; "|" &amp;
      LEFT(SUBSTITUTE($R$2:$R$47,CHAR(160)," "),5) &amp; "|" &amp;
      TRIM(SUBSTITUTE($S$2:$S$47,CHAR(160)," ")),
      $T$2:$T$47
    )
  ),
"")</f>
        <v/>
      </c>
    </row>
    <row r="569" spans="10:10" x14ac:dyDescent="0.2">
      <c r="J569" s="52" t="str" cm="1">
        <f t="array" ref="J569">IFERROR(
  VALUE($H569) *
  VALUE(
    _xlfn.XLOOKUP(
      TRIM($F569) &amp; "|" &amp; LEFT(SUBSTITUTE($G569,CHAR(160)," "),5) &amp; "|Reduced Rate",
      TRIM(SUBSTITUTE($Q$2:$Q$47,CHAR(160)," ")) &amp; "|" &amp;
      LEFT(SUBSTITUTE($R$2:$R$47,CHAR(160)," "),5) &amp; "|" &amp;
      TRIM(SUBSTITUTE($S$2:$S$47,CHAR(160)," ")),
      $T$2:$T$47
    )
  ),
"")</f>
        <v/>
      </c>
    </row>
    <row r="570" spans="10:10" x14ac:dyDescent="0.2">
      <c r="J570" s="52" t="str" cm="1">
        <f t="array" ref="J570">IFERROR(
  VALUE($H570) *
  VALUE(
    _xlfn.XLOOKUP(
      TRIM($F570) &amp; "|" &amp; LEFT(SUBSTITUTE($G570,CHAR(160)," "),5) &amp; "|Reduced Rate",
      TRIM(SUBSTITUTE($Q$2:$Q$47,CHAR(160)," ")) &amp; "|" &amp;
      LEFT(SUBSTITUTE($R$2:$R$47,CHAR(160)," "),5) &amp; "|" &amp;
      TRIM(SUBSTITUTE($S$2:$S$47,CHAR(160)," ")),
      $T$2:$T$47
    )
  ),
"")</f>
        <v/>
      </c>
    </row>
    <row r="571" spans="10:10" x14ac:dyDescent="0.2">
      <c r="J571" s="52" t="str" cm="1">
        <f t="array" ref="J571">IFERROR(
  VALUE($H571) *
  VALUE(
    _xlfn.XLOOKUP(
      TRIM($F571) &amp; "|" &amp; LEFT(SUBSTITUTE($G571,CHAR(160)," "),5) &amp; "|Reduced Rate",
      TRIM(SUBSTITUTE($Q$2:$Q$47,CHAR(160)," ")) &amp; "|" &amp;
      LEFT(SUBSTITUTE($R$2:$R$47,CHAR(160)," "),5) &amp; "|" &amp;
      TRIM(SUBSTITUTE($S$2:$S$47,CHAR(160)," ")),
      $T$2:$T$47
    )
  ),
"")</f>
        <v/>
      </c>
    </row>
    <row r="572" spans="10:10" x14ac:dyDescent="0.2">
      <c r="J572" s="52" t="str" cm="1">
        <f t="array" ref="J572">IFERROR(
  VALUE($H572) *
  VALUE(
    _xlfn.XLOOKUP(
      TRIM($F572) &amp; "|" &amp; LEFT(SUBSTITUTE($G572,CHAR(160)," "),5) &amp; "|Reduced Rate",
      TRIM(SUBSTITUTE($Q$2:$Q$47,CHAR(160)," ")) &amp; "|" &amp;
      LEFT(SUBSTITUTE($R$2:$R$47,CHAR(160)," "),5) &amp; "|" &amp;
      TRIM(SUBSTITUTE($S$2:$S$47,CHAR(160)," ")),
      $T$2:$T$47
    )
  ),
"")</f>
        <v/>
      </c>
    </row>
    <row r="573" spans="10:10" x14ac:dyDescent="0.2">
      <c r="J573" s="52" t="str" cm="1">
        <f t="array" ref="J573">IFERROR(
  VALUE($H573) *
  VALUE(
    _xlfn.XLOOKUP(
      TRIM($F573) &amp; "|" &amp; LEFT(SUBSTITUTE($G573,CHAR(160)," "),5) &amp; "|Reduced Rate",
      TRIM(SUBSTITUTE($Q$2:$Q$47,CHAR(160)," ")) &amp; "|" &amp;
      LEFT(SUBSTITUTE($R$2:$R$47,CHAR(160)," "),5) &amp; "|" &amp;
      TRIM(SUBSTITUTE($S$2:$S$47,CHAR(160)," ")),
      $T$2:$T$47
    )
  ),
"")</f>
        <v/>
      </c>
    </row>
    <row r="574" spans="10:10" x14ac:dyDescent="0.2">
      <c r="J574" s="52" t="str" cm="1">
        <f t="array" ref="J574">IFERROR(
  VALUE($H574) *
  VALUE(
    _xlfn.XLOOKUP(
      TRIM($F574) &amp; "|" &amp; LEFT(SUBSTITUTE($G574,CHAR(160)," "),5) &amp; "|Reduced Rate",
      TRIM(SUBSTITUTE($Q$2:$Q$47,CHAR(160)," ")) &amp; "|" &amp;
      LEFT(SUBSTITUTE($R$2:$R$47,CHAR(160)," "),5) &amp; "|" &amp;
      TRIM(SUBSTITUTE($S$2:$S$47,CHAR(160)," ")),
      $T$2:$T$47
    )
  ),
"")</f>
        <v/>
      </c>
    </row>
    <row r="575" spans="10:10" x14ac:dyDescent="0.2">
      <c r="J575" s="52" t="str" cm="1">
        <f t="array" ref="J575">IFERROR(
  VALUE($H575) *
  VALUE(
    _xlfn.XLOOKUP(
      TRIM($F575) &amp; "|" &amp; LEFT(SUBSTITUTE($G575,CHAR(160)," "),5) &amp; "|Reduced Rate",
      TRIM(SUBSTITUTE($Q$2:$Q$47,CHAR(160)," ")) &amp; "|" &amp;
      LEFT(SUBSTITUTE($R$2:$R$47,CHAR(160)," "),5) &amp; "|" &amp;
      TRIM(SUBSTITUTE($S$2:$S$47,CHAR(160)," ")),
      $T$2:$T$47
    )
  ),
"")</f>
        <v/>
      </c>
    </row>
    <row r="576" spans="10:10" x14ac:dyDescent="0.2">
      <c r="J576" s="52" t="str" cm="1">
        <f t="array" ref="J576">IFERROR(
  VALUE($H576) *
  VALUE(
    _xlfn.XLOOKUP(
      TRIM($F576) &amp; "|" &amp; LEFT(SUBSTITUTE($G576,CHAR(160)," "),5) &amp; "|Reduced Rate",
      TRIM(SUBSTITUTE($Q$2:$Q$47,CHAR(160)," ")) &amp; "|" &amp;
      LEFT(SUBSTITUTE($R$2:$R$47,CHAR(160)," "),5) &amp; "|" &amp;
      TRIM(SUBSTITUTE($S$2:$S$47,CHAR(160)," ")),
      $T$2:$T$47
    )
  ),
"")</f>
        <v/>
      </c>
    </row>
    <row r="577" spans="10:10" x14ac:dyDescent="0.2">
      <c r="J577" s="52" t="str" cm="1">
        <f t="array" ref="J577">IFERROR(
  VALUE($H577) *
  VALUE(
    _xlfn.XLOOKUP(
      TRIM($F577) &amp; "|" &amp; LEFT(SUBSTITUTE($G577,CHAR(160)," "),5) &amp; "|Reduced Rate",
      TRIM(SUBSTITUTE($Q$2:$Q$47,CHAR(160)," ")) &amp; "|" &amp;
      LEFT(SUBSTITUTE($R$2:$R$47,CHAR(160)," "),5) &amp; "|" &amp;
      TRIM(SUBSTITUTE($S$2:$S$47,CHAR(160)," ")),
      $T$2:$T$47
    )
  ),
"")</f>
        <v/>
      </c>
    </row>
    <row r="578" spans="10:10" x14ac:dyDescent="0.2">
      <c r="J578" s="52" t="str" cm="1">
        <f t="array" ref="J578">IFERROR(
  VALUE($H578) *
  VALUE(
    _xlfn.XLOOKUP(
      TRIM($F578) &amp; "|" &amp; LEFT(SUBSTITUTE($G578,CHAR(160)," "),5) &amp; "|Reduced Rate",
      TRIM(SUBSTITUTE($Q$2:$Q$47,CHAR(160)," ")) &amp; "|" &amp;
      LEFT(SUBSTITUTE($R$2:$R$47,CHAR(160)," "),5) &amp; "|" &amp;
      TRIM(SUBSTITUTE($S$2:$S$47,CHAR(160)," ")),
      $T$2:$T$47
    )
  ),
"")</f>
        <v/>
      </c>
    </row>
    <row r="579" spans="10:10" x14ac:dyDescent="0.2">
      <c r="J579" s="52" t="str" cm="1">
        <f t="array" ref="J579">IFERROR(
  VALUE($H579) *
  VALUE(
    _xlfn.XLOOKUP(
      TRIM($F579) &amp; "|" &amp; LEFT(SUBSTITUTE($G579,CHAR(160)," "),5) &amp; "|Reduced Rate",
      TRIM(SUBSTITUTE($Q$2:$Q$47,CHAR(160)," ")) &amp; "|" &amp;
      LEFT(SUBSTITUTE($R$2:$R$47,CHAR(160)," "),5) &amp; "|" &amp;
      TRIM(SUBSTITUTE($S$2:$S$47,CHAR(160)," ")),
      $T$2:$T$47
    )
  ),
"")</f>
        <v/>
      </c>
    </row>
    <row r="580" spans="10:10" x14ac:dyDescent="0.2">
      <c r="J580" s="52" t="str" cm="1">
        <f t="array" ref="J580">IFERROR(
  VALUE($H580) *
  VALUE(
    _xlfn.XLOOKUP(
      TRIM($F580) &amp; "|" &amp; LEFT(SUBSTITUTE($G580,CHAR(160)," "),5) &amp; "|Reduced Rate",
      TRIM(SUBSTITUTE($Q$2:$Q$47,CHAR(160)," ")) &amp; "|" &amp;
      LEFT(SUBSTITUTE($R$2:$R$47,CHAR(160)," "),5) &amp; "|" &amp;
      TRIM(SUBSTITUTE($S$2:$S$47,CHAR(160)," ")),
      $T$2:$T$47
    )
  ),
"")</f>
        <v/>
      </c>
    </row>
    <row r="581" spans="10:10" x14ac:dyDescent="0.2">
      <c r="J581" s="52" t="str" cm="1">
        <f t="array" ref="J581">IFERROR(
  VALUE($H581) *
  VALUE(
    _xlfn.XLOOKUP(
      TRIM($F581) &amp; "|" &amp; LEFT(SUBSTITUTE($G581,CHAR(160)," "),5) &amp; "|Reduced Rate",
      TRIM(SUBSTITUTE($Q$2:$Q$47,CHAR(160)," ")) &amp; "|" &amp;
      LEFT(SUBSTITUTE($R$2:$R$47,CHAR(160)," "),5) &amp; "|" &amp;
      TRIM(SUBSTITUTE($S$2:$S$47,CHAR(160)," ")),
      $T$2:$T$47
    )
  ),
"")</f>
        <v/>
      </c>
    </row>
    <row r="582" spans="10:10" x14ac:dyDescent="0.2">
      <c r="J582" s="52" t="str" cm="1">
        <f t="array" ref="J582">IFERROR(
  VALUE($H582) *
  VALUE(
    _xlfn.XLOOKUP(
      TRIM($F582) &amp; "|" &amp; LEFT(SUBSTITUTE($G582,CHAR(160)," "),5) &amp; "|Reduced Rate",
      TRIM(SUBSTITUTE($Q$2:$Q$47,CHAR(160)," ")) &amp; "|" &amp;
      LEFT(SUBSTITUTE($R$2:$R$47,CHAR(160)," "),5) &amp; "|" &amp;
      TRIM(SUBSTITUTE($S$2:$S$47,CHAR(160)," ")),
      $T$2:$T$47
    )
  ),
"")</f>
        <v/>
      </c>
    </row>
    <row r="583" spans="10:10" x14ac:dyDescent="0.2">
      <c r="J583" s="52" t="str" cm="1">
        <f t="array" ref="J583">IFERROR(
  VALUE($H583) *
  VALUE(
    _xlfn.XLOOKUP(
      TRIM($F583) &amp; "|" &amp; LEFT(SUBSTITUTE($G583,CHAR(160)," "),5) &amp; "|Reduced Rate",
      TRIM(SUBSTITUTE($Q$2:$Q$47,CHAR(160)," ")) &amp; "|" &amp;
      LEFT(SUBSTITUTE($R$2:$R$47,CHAR(160)," "),5) &amp; "|" &amp;
      TRIM(SUBSTITUTE($S$2:$S$47,CHAR(160)," ")),
      $T$2:$T$47
    )
  ),
"")</f>
        <v/>
      </c>
    </row>
    <row r="584" spans="10:10" x14ac:dyDescent="0.2">
      <c r="J584" s="52" t="str" cm="1">
        <f t="array" ref="J584">IFERROR(
  VALUE($H584) *
  VALUE(
    _xlfn.XLOOKUP(
      TRIM($F584) &amp; "|" &amp; LEFT(SUBSTITUTE($G584,CHAR(160)," "),5) &amp; "|Reduced Rate",
      TRIM(SUBSTITUTE($Q$2:$Q$47,CHAR(160)," ")) &amp; "|" &amp;
      LEFT(SUBSTITUTE($R$2:$R$47,CHAR(160)," "),5) &amp; "|" &amp;
      TRIM(SUBSTITUTE($S$2:$S$47,CHAR(160)," ")),
      $T$2:$T$47
    )
  ),
"")</f>
        <v/>
      </c>
    </row>
    <row r="585" spans="10:10" x14ac:dyDescent="0.2">
      <c r="J585" s="52" t="str" cm="1">
        <f t="array" ref="J585">IFERROR(
  VALUE($H585) *
  VALUE(
    _xlfn.XLOOKUP(
      TRIM($F585) &amp; "|" &amp; LEFT(SUBSTITUTE($G585,CHAR(160)," "),5) &amp; "|Reduced Rate",
      TRIM(SUBSTITUTE($Q$2:$Q$47,CHAR(160)," ")) &amp; "|" &amp;
      LEFT(SUBSTITUTE($R$2:$R$47,CHAR(160)," "),5) &amp; "|" &amp;
      TRIM(SUBSTITUTE($S$2:$S$47,CHAR(160)," ")),
      $T$2:$T$47
    )
  ),
"")</f>
        <v/>
      </c>
    </row>
    <row r="586" spans="10:10" x14ac:dyDescent="0.2">
      <c r="J586" s="52" t="str" cm="1">
        <f t="array" ref="J586">IFERROR(
  VALUE($H586) *
  VALUE(
    _xlfn.XLOOKUP(
      TRIM($F586) &amp; "|" &amp; LEFT(SUBSTITUTE($G586,CHAR(160)," "),5) &amp; "|Reduced Rate",
      TRIM(SUBSTITUTE($Q$2:$Q$47,CHAR(160)," ")) &amp; "|" &amp;
      LEFT(SUBSTITUTE($R$2:$R$47,CHAR(160)," "),5) &amp; "|" &amp;
      TRIM(SUBSTITUTE($S$2:$S$47,CHAR(160)," ")),
      $T$2:$T$47
    )
  ),
"")</f>
        <v/>
      </c>
    </row>
    <row r="587" spans="10:10" x14ac:dyDescent="0.2">
      <c r="J587" s="52" t="str" cm="1">
        <f t="array" ref="J587">IFERROR(
  VALUE($H587) *
  VALUE(
    _xlfn.XLOOKUP(
      TRIM($F587) &amp; "|" &amp; LEFT(SUBSTITUTE($G587,CHAR(160)," "),5) &amp; "|Reduced Rate",
      TRIM(SUBSTITUTE($Q$2:$Q$47,CHAR(160)," ")) &amp; "|" &amp;
      LEFT(SUBSTITUTE($R$2:$R$47,CHAR(160)," "),5) &amp; "|" &amp;
      TRIM(SUBSTITUTE($S$2:$S$47,CHAR(160)," ")),
      $T$2:$T$47
    )
  ),
"")</f>
        <v/>
      </c>
    </row>
    <row r="588" spans="10:10" x14ac:dyDescent="0.2">
      <c r="J588" s="52" t="str" cm="1">
        <f t="array" ref="J588">IFERROR(
  VALUE($H588) *
  VALUE(
    _xlfn.XLOOKUP(
      TRIM($F588) &amp; "|" &amp; LEFT(SUBSTITUTE($G588,CHAR(160)," "),5) &amp; "|Reduced Rate",
      TRIM(SUBSTITUTE($Q$2:$Q$47,CHAR(160)," ")) &amp; "|" &amp;
      LEFT(SUBSTITUTE($R$2:$R$47,CHAR(160)," "),5) &amp; "|" &amp;
      TRIM(SUBSTITUTE($S$2:$S$47,CHAR(160)," ")),
      $T$2:$T$47
    )
  ),
"")</f>
        <v/>
      </c>
    </row>
    <row r="589" spans="10:10" x14ac:dyDescent="0.2">
      <c r="J589" s="52" t="str" cm="1">
        <f t="array" ref="J589">IFERROR(
  VALUE($H589) *
  VALUE(
    _xlfn.XLOOKUP(
      TRIM($F589) &amp; "|" &amp; LEFT(SUBSTITUTE($G589,CHAR(160)," "),5) &amp; "|Reduced Rate",
      TRIM(SUBSTITUTE($Q$2:$Q$47,CHAR(160)," ")) &amp; "|" &amp;
      LEFT(SUBSTITUTE($R$2:$R$47,CHAR(160)," "),5) &amp; "|" &amp;
      TRIM(SUBSTITUTE($S$2:$S$47,CHAR(160)," ")),
      $T$2:$T$47
    )
  ),
"")</f>
        <v/>
      </c>
    </row>
    <row r="590" spans="10:10" x14ac:dyDescent="0.2">
      <c r="J590" s="52" t="str" cm="1">
        <f t="array" ref="J590">IFERROR(
  VALUE($H590) *
  VALUE(
    _xlfn.XLOOKUP(
      TRIM($F590) &amp; "|" &amp; LEFT(SUBSTITUTE($G590,CHAR(160)," "),5) &amp; "|Reduced Rate",
      TRIM(SUBSTITUTE($Q$2:$Q$47,CHAR(160)," ")) &amp; "|" &amp;
      LEFT(SUBSTITUTE($R$2:$R$47,CHAR(160)," "),5) &amp; "|" &amp;
      TRIM(SUBSTITUTE($S$2:$S$47,CHAR(160)," ")),
      $T$2:$T$47
    )
  ),
"")</f>
        <v/>
      </c>
    </row>
    <row r="591" spans="10:10" x14ac:dyDescent="0.2">
      <c r="J591" s="52" t="str" cm="1">
        <f t="array" ref="J591">IFERROR(
  VALUE($H591) *
  VALUE(
    _xlfn.XLOOKUP(
      TRIM($F591) &amp; "|" &amp; LEFT(SUBSTITUTE($G591,CHAR(160)," "),5) &amp; "|Reduced Rate",
      TRIM(SUBSTITUTE($Q$2:$Q$47,CHAR(160)," ")) &amp; "|" &amp;
      LEFT(SUBSTITUTE($R$2:$R$47,CHAR(160)," "),5) &amp; "|" &amp;
      TRIM(SUBSTITUTE($S$2:$S$47,CHAR(160)," ")),
      $T$2:$T$47
    )
  ),
"")</f>
        <v/>
      </c>
    </row>
    <row r="592" spans="10:10" x14ac:dyDescent="0.2">
      <c r="J592" s="52" t="str" cm="1">
        <f t="array" ref="J592">IFERROR(
  VALUE($H592) *
  VALUE(
    _xlfn.XLOOKUP(
      TRIM($F592) &amp; "|" &amp; LEFT(SUBSTITUTE($G592,CHAR(160)," "),5) &amp; "|Reduced Rate",
      TRIM(SUBSTITUTE($Q$2:$Q$47,CHAR(160)," ")) &amp; "|" &amp;
      LEFT(SUBSTITUTE($R$2:$R$47,CHAR(160)," "),5) &amp; "|" &amp;
      TRIM(SUBSTITUTE($S$2:$S$47,CHAR(160)," ")),
      $T$2:$T$47
    )
  ),
"")</f>
        <v/>
      </c>
    </row>
    <row r="593" spans="10:10" x14ac:dyDescent="0.2">
      <c r="J593" s="52" t="str" cm="1">
        <f t="array" ref="J593">IFERROR(
  VALUE($H593) *
  VALUE(
    _xlfn.XLOOKUP(
      TRIM($F593) &amp; "|" &amp; LEFT(SUBSTITUTE($G593,CHAR(160)," "),5) &amp; "|Reduced Rate",
      TRIM(SUBSTITUTE($Q$2:$Q$47,CHAR(160)," ")) &amp; "|" &amp;
      LEFT(SUBSTITUTE($R$2:$R$47,CHAR(160)," "),5) &amp; "|" &amp;
      TRIM(SUBSTITUTE($S$2:$S$47,CHAR(160)," ")),
      $T$2:$T$47
    )
  ),
"")</f>
        <v/>
      </c>
    </row>
    <row r="594" spans="10:10" x14ac:dyDescent="0.2">
      <c r="J594" s="52" t="str" cm="1">
        <f t="array" ref="J594">IFERROR(
  VALUE($H594) *
  VALUE(
    _xlfn.XLOOKUP(
      TRIM($F594) &amp; "|" &amp; LEFT(SUBSTITUTE($G594,CHAR(160)," "),5) &amp; "|Reduced Rate",
      TRIM(SUBSTITUTE($Q$2:$Q$47,CHAR(160)," ")) &amp; "|" &amp;
      LEFT(SUBSTITUTE($R$2:$R$47,CHAR(160)," "),5) &amp; "|" &amp;
      TRIM(SUBSTITUTE($S$2:$S$47,CHAR(160)," ")),
      $T$2:$T$47
    )
  ),
"")</f>
        <v/>
      </c>
    </row>
    <row r="595" spans="10:10" x14ac:dyDescent="0.2">
      <c r="J595" s="52" t="str" cm="1">
        <f t="array" ref="J595">IFERROR(
  VALUE($H595) *
  VALUE(
    _xlfn.XLOOKUP(
      TRIM($F595) &amp; "|" &amp; LEFT(SUBSTITUTE($G595,CHAR(160)," "),5) &amp; "|Reduced Rate",
      TRIM(SUBSTITUTE($Q$2:$Q$47,CHAR(160)," ")) &amp; "|" &amp;
      LEFT(SUBSTITUTE($R$2:$R$47,CHAR(160)," "),5) &amp; "|" &amp;
      TRIM(SUBSTITUTE($S$2:$S$47,CHAR(160)," ")),
      $T$2:$T$47
    )
  ),
"")</f>
        <v/>
      </c>
    </row>
    <row r="596" spans="10:10" x14ac:dyDescent="0.2">
      <c r="J596" s="52" t="str" cm="1">
        <f t="array" ref="J596">IFERROR(
  VALUE($H596) *
  VALUE(
    _xlfn.XLOOKUP(
      TRIM($F596) &amp; "|" &amp; LEFT(SUBSTITUTE($G596,CHAR(160)," "),5) &amp; "|Reduced Rate",
      TRIM(SUBSTITUTE($Q$2:$Q$47,CHAR(160)," ")) &amp; "|" &amp;
      LEFT(SUBSTITUTE($R$2:$R$47,CHAR(160)," "),5) &amp; "|" &amp;
      TRIM(SUBSTITUTE($S$2:$S$47,CHAR(160)," ")),
      $T$2:$T$47
    )
  ),
"")</f>
        <v/>
      </c>
    </row>
    <row r="597" spans="10:10" x14ac:dyDescent="0.2">
      <c r="J597" s="52" t="str" cm="1">
        <f t="array" ref="J597">IFERROR(
  VALUE($H597) *
  VALUE(
    _xlfn.XLOOKUP(
      TRIM($F597) &amp; "|" &amp; LEFT(SUBSTITUTE($G597,CHAR(160)," "),5) &amp; "|Reduced Rate",
      TRIM(SUBSTITUTE($Q$2:$Q$47,CHAR(160)," ")) &amp; "|" &amp;
      LEFT(SUBSTITUTE($R$2:$R$47,CHAR(160)," "),5) &amp; "|" &amp;
      TRIM(SUBSTITUTE($S$2:$S$47,CHAR(160)," ")),
      $T$2:$T$47
    )
  ),
"")</f>
        <v/>
      </c>
    </row>
    <row r="598" spans="10:10" x14ac:dyDescent="0.2">
      <c r="J598" s="52" t="str" cm="1">
        <f t="array" ref="J598">IFERROR(
  VALUE($H598) *
  VALUE(
    _xlfn.XLOOKUP(
      TRIM($F598) &amp; "|" &amp; LEFT(SUBSTITUTE($G598,CHAR(160)," "),5) &amp; "|Reduced Rate",
      TRIM(SUBSTITUTE($Q$2:$Q$47,CHAR(160)," ")) &amp; "|" &amp;
      LEFT(SUBSTITUTE($R$2:$R$47,CHAR(160)," "),5) &amp; "|" &amp;
      TRIM(SUBSTITUTE($S$2:$S$47,CHAR(160)," ")),
      $T$2:$T$47
    )
  ),
"")</f>
        <v/>
      </c>
    </row>
    <row r="599" spans="10:10" x14ac:dyDescent="0.2">
      <c r="J599" s="52" t="str" cm="1">
        <f t="array" ref="J599">IFERROR(
  VALUE($H599) *
  VALUE(
    _xlfn.XLOOKUP(
      TRIM($F599) &amp; "|" &amp; LEFT(SUBSTITUTE($G599,CHAR(160)," "),5) &amp; "|Reduced Rate",
      TRIM(SUBSTITUTE($Q$2:$Q$47,CHAR(160)," ")) &amp; "|" &amp;
      LEFT(SUBSTITUTE($R$2:$R$47,CHAR(160)," "),5) &amp; "|" &amp;
      TRIM(SUBSTITUTE($S$2:$S$47,CHAR(160)," ")),
      $T$2:$T$47
    )
  ),
"")</f>
        <v/>
      </c>
    </row>
    <row r="600" spans="10:10" x14ac:dyDescent="0.2">
      <c r="J600" s="52" t="str" cm="1">
        <f t="array" ref="J600">IFERROR(
  VALUE($H600) *
  VALUE(
    _xlfn.XLOOKUP(
      TRIM($F600) &amp; "|" &amp; LEFT(SUBSTITUTE($G600,CHAR(160)," "),5) &amp; "|Reduced Rate",
      TRIM(SUBSTITUTE($Q$2:$Q$47,CHAR(160)," ")) &amp; "|" &amp;
      LEFT(SUBSTITUTE($R$2:$R$47,CHAR(160)," "),5) &amp; "|" &amp;
      TRIM(SUBSTITUTE($S$2:$S$47,CHAR(160)," ")),
      $T$2:$T$47
    )
  ),
"")</f>
        <v/>
      </c>
    </row>
    <row r="601" spans="10:10" x14ac:dyDescent="0.2">
      <c r="J601" s="52" t="str" cm="1">
        <f t="array" ref="J601">IFERROR(
  VALUE($H601) *
  VALUE(
    _xlfn.XLOOKUP(
      TRIM($F601) &amp; "|" &amp; LEFT(SUBSTITUTE($G601,CHAR(160)," "),5) &amp; "|Reduced Rate",
      TRIM(SUBSTITUTE($Q$2:$Q$47,CHAR(160)," ")) &amp; "|" &amp;
      LEFT(SUBSTITUTE($R$2:$R$47,CHAR(160)," "),5) &amp; "|" &amp;
      TRIM(SUBSTITUTE($S$2:$S$47,CHAR(160)," ")),
      $T$2:$T$47
    )
  ),
"")</f>
        <v/>
      </c>
    </row>
    <row r="602" spans="10:10" x14ac:dyDescent="0.2">
      <c r="J602" s="52" t="str" cm="1">
        <f t="array" ref="J602">IFERROR(
  VALUE($H602) *
  VALUE(
    _xlfn.XLOOKUP(
      TRIM($F602) &amp; "|" &amp; LEFT(SUBSTITUTE($G602,CHAR(160)," "),5) &amp; "|Reduced Rate",
      TRIM(SUBSTITUTE($Q$2:$Q$47,CHAR(160)," ")) &amp; "|" &amp;
      LEFT(SUBSTITUTE($R$2:$R$47,CHAR(160)," "),5) &amp; "|" &amp;
      TRIM(SUBSTITUTE($S$2:$S$47,CHAR(160)," ")),
      $T$2:$T$47
    )
  ),
"")</f>
        <v/>
      </c>
    </row>
    <row r="603" spans="10:10" x14ac:dyDescent="0.2">
      <c r="J603" s="52" t="str" cm="1">
        <f t="array" ref="J603">IFERROR(
  VALUE($H603) *
  VALUE(
    _xlfn.XLOOKUP(
      TRIM($F603) &amp; "|" &amp; LEFT(SUBSTITUTE($G603,CHAR(160)," "),5) &amp; "|Reduced Rate",
      TRIM(SUBSTITUTE($Q$2:$Q$47,CHAR(160)," ")) &amp; "|" &amp;
      LEFT(SUBSTITUTE($R$2:$R$47,CHAR(160)," "),5) &amp; "|" &amp;
      TRIM(SUBSTITUTE($S$2:$S$47,CHAR(160)," ")),
      $T$2:$T$47
    )
  ),
"")</f>
        <v/>
      </c>
    </row>
    <row r="604" spans="10:10" x14ac:dyDescent="0.2">
      <c r="J604" s="52" t="str" cm="1">
        <f t="array" ref="J604">IFERROR(
  VALUE($H604) *
  VALUE(
    _xlfn.XLOOKUP(
      TRIM($F604) &amp; "|" &amp; LEFT(SUBSTITUTE($G604,CHAR(160)," "),5) &amp; "|Reduced Rate",
      TRIM(SUBSTITUTE($Q$2:$Q$47,CHAR(160)," ")) &amp; "|" &amp;
      LEFT(SUBSTITUTE($R$2:$R$47,CHAR(160)," "),5) &amp; "|" &amp;
      TRIM(SUBSTITUTE($S$2:$S$47,CHAR(160)," ")),
      $T$2:$T$47
    )
  ),
"")</f>
        <v/>
      </c>
    </row>
    <row r="605" spans="10:10" x14ac:dyDescent="0.2">
      <c r="J605" s="52" t="str" cm="1">
        <f t="array" ref="J605">IFERROR(
  VALUE($H605) *
  VALUE(
    _xlfn.XLOOKUP(
      TRIM($F605) &amp; "|" &amp; LEFT(SUBSTITUTE($G605,CHAR(160)," "),5) &amp; "|Reduced Rate",
      TRIM(SUBSTITUTE($Q$2:$Q$47,CHAR(160)," ")) &amp; "|" &amp;
      LEFT(SUBSTITUTE($R$2:$R$47,CHAR(160)," "),5) &amp; "|" &amp;
      TRIM(SUBSTITUTE($S$2:$S$47,CHAR(160)," ")),
      $T$2:$T$47
    )
  ),
"")</f>
        <v/>
      </c>
    </row>
    <row r="606" spans="10:10" x14ac:dyDescent="0.2">
      <c r="J606" s="52" t="str" cm="1">
        <f t="array" ref="J606">IFERROR(
  VALUE($H606) *
  VALUE(
    _xlfn.XLOOKUP(
      TRIM($F606) &amp; "|" &amp; LEFT(SUBSTITUTE($G606,CHAR(160)," "),5) &amp; "|Reduced Rate",
      TRIM(SUBSTITUTE($Q$2:$Q$47,CHAR(160)," ")) &amp; "|" &amp;
      LEFT(SUBSTITUTE($R$2:$R$47,CHAR(160)," "),5) &amp; "|" &amp;
      TRIM(SUBSTITUTE($S$2:$S$47,CHAR(160)," ")),
      $T$2:$T$47
    )
  ),
"")</f>
        <v/>
      </c>
    </row>
    <row r="607" spans="10:10" x14ac:dyDescent="0.2">
      <c r="J607" s="52" t="str" cm="1">
        <f t="array" ref="J607">IFERROR(
  VALUE($H607) *
  VALUE(
    _xlfn.XLOOKUP(
      TRIM($F607) &amp; "|" &amp; LEFT(SUBSTITUTE($G607,CHAR(160)," "),5) &amp; "|Reduced Rate",
      TRIM(SUBSTITUTE($Q$2:$Q$47,CHAR(160)," ")) &amp; "|" &amp;
      LEFT(SUBSTITUTE($R$2:$R$47,CHAR(160)," "),5) &amp; "|" &amp;
      TRIM(SUBSTITUTE($S$2:$S$47,CHAR(160)," ")),
      $T$2:$T$47
    )
  ),
"")</f>
        <v/>
      </c>
    </row>
    <row r="608" spans="10:10" x14ac:dyDescent="0.2">
      <c r="J608" s="52" t="str" cm="1">
        <f t="array" ref="J608">IFERROR(
  VALUE($H608) *
  VALUE(
    _xlfn.XLOOKUP(
      TRIM($F608) &amp; "|" &amp; LEFT(SUBSTITUTE($G608,CHAR(160)," "),5) &amp; "|Reduced Rate",
      TRIM(SUBSTITUTE($Q$2:$Q$47,CHAR(160)," ")) &amp; "|" &amp;
      LEFT(SUBSTITUTE($R$2:$R$47,CHAR(160)," "),5) &amp; "|" &amp;
      TRIM(SUBSTITUTE($S$2:$S$47,CHAR(160)," ")),
      $T$2:$T$47
    )
  ),
"")</f>
        <v/>
      </c>
    </row>
    <row r="609" spans="10:10" x14ac:dyDescent="0.2">
      <c r="J609" s="52" t="str" cm="1">
        <f t="array" ref="J609">IFERROR(
  VALUE($H609) *
  VALUE(
    _xlfn.XLOOKUP(
      TRIM($F609) &amp; "|" &amp; LEFT(SUBSTITUTE($G609,CHAR(160)," "),5) &amp; "|Reduced Rate",
      TRIM(SUBSTITUTE($Q$2:$Q$47,CHAR(160)," ")) &amp; "|" &amp;
      LEFT(SUBSTITUTE($R$2:$R$47,CHAR(160)," "),5) &amp; "|" &amp;
      TRIM(SUBSTITUTE($S$2:$S$47,CHAR(160)," ")),
      $T$2:$T$47
    )
  ),
"")</f>
        <v/>
      </c>
    </row>
    <row r="610" spans="10:10" x14ac:dyDescent="0.2">
      <c r="J610" s="52" t="str" cm="1">
        <f t="array" ref="J610">IFERROR(
  VALUE($H610) *
  VALUE(
    _xlfn.XLOOKUP(
      TRIM($F610) &amp; "|" &amp; LEFT(SUBSTITUTE($G610,CHAR(160)," "),5) &amp; "|Reduced Rate",
      TRIM(SUBSTITUTE($Q$2:$Q$47,CHAR(160)," ")) &amp; "|" &amp;
      LEFT(SUBSTITUTE($R$2:$R$47,CHAR(160)," "),5) &amp; "|" &amp;
      TRIM(SUBSTITUTE($S$2:$S$47,CHAR(160)," ")),
      $T$2:$T$47
    )
  ),
"")</f>
        <v/>
      </c>
    </row>
    <row r="611" spans="10:10" x14ac:dyDescent="0.2">
      <c r="J611" s="52" t="str" cm="1">
        <f t="array" ref="J611">IFERROR(
  VALUE($H611) *
  VALUE(
    _xlfn.XLOOKUP(
      TRIM($F611) &amp; "|" &amp; LEFT(SUBSTITUTE($G611,CHAR(160)," "),5) &amp; "|Reduced Rate",
      TRIM(SUBSTITUTE($Q$2:$Q$47,CHAR(160)," ")) &amp; "|" &amp;
      LEFT(SUBSTITUTE($R$2:$R$47,CHAR(160)," "),5) &amp; "|" &amp;
      TRIM(SUBSTITUTE($S$2:$S$47,CHAR(160)," ")),
      $T$2:$T$47
    )
  ),
"")</f>
        <v/>
      </c>
    </row>
    <row r="612" spans="10:10" x14ac:dyDescent="0.2">
      <c r="J612" s="52" t="str" cm="1">
        <f t="array" ref="J612">IFERROR(
  VALUE($H612) *
  VALUE(
    _xlfn.XLOOKUP(
      TRIM($F612) &amp; "|" &amp; LEFT(SUBSTITUTE($G612,CHAR(160)," "),5) &amp; "|Reduced Rate",
      TRIM(SUBSTITUTE($Q$2:$Q$47,CHAR(160)," ")) &amp; "|" &amp;
      LEFT(SUBSTITUTE($R$2:$R$47,CHAR(160)," "),5) &amp; "|" &amp;
      TRIM(SUBSTITUTE($S$2:$S$47,CHAR(160)," ")),
      $T$2:$T$47
    )
  ),
"")</f>
        <v/>
      </c>
    </row>
    <row r="613" spans="10:10" x14ac:dyDescent="0.2">
      <c r="J613" s="52" t="str" cm="1">
        <f t="array" ref="J613">IFERROR(
  VALUE($H613) *
  VALUE(
    _xlfn.XLOOKUP(
      TRIM($F613) &amp; "|" &amp; LEFT(SUBSTITUTE($G613,CHAR(160)," "),5) &amp; "|Reduced Rate",
      TRIM(SUBSTITUTE($Q$2:$Q$47,CHAR(160)," ")) &amp; "|" &amp;
      LEFT(SUBSTITUTE($R$2:$R$47,CHAR(160)," "),5) &amp; "|" &amp;
      TRIM(SUBSTITUTE($S$2:$S$47,CHAR(160)," ")),
      $T$2:$T$47
    )
  ),
"")</f>
        <v/>
      </c>
    </row>
    <row r="614" spans="10:10" x14ac:dyDescent="0.2">
      <c r="J614" s="52" t="str" cm="1">
        <f t="array" ref="J614">IFERROR(
  VALUE($H614) *
  VALUE(
    _xlfn.XLOOKUP(
      TRIM($F614) &amp; "|" &amp; LEFT(SUBSTITUTE($G614,CHAR(160)," "),5) &amp; "|Reduced Rate",
      TRIM(SUBSTITUTE($Q$2:$Q$47,CHAR(160)," ")) &amp; "|" &amp;
      LEFT(SUBSTITUTE($R$2:$R$47,CHAR(160)," "),5) &amp; "|" &amp;
      TRIM(SUBSTITUTE($S$2:$S$47,CHAR(160)," ")),
      $T$2:$T$47
    )
  ),
"")</f>
        <v/>
      </c>
    </row>
    <row r="615" spans="10:10" x14ac:dyDescent="0.2">
      <c r="J615" s="52" t="str" cm="1">
        <f t="array" ref="J615">IFERROR(
  VALUE($H615) *
  VALUE(
    _xlfn.XLOOKUP(
      TRIM($F615) &amp; "|" &amp; LEFT(SUBSTITUTE($G615,CHAR(160)," "),5) &amp; "|Reduced Rate",
      TRIM(SUBSTITUTE($Q$2:$Q$47,CHAR(160)," ")) &amp; "|" &amp;
      LEFT(SUBSTITUTE($R$2:$R$47,CHAR(160)," "),5) &amp; "|" &amp;
      TRIM(SUBSTITUTE($S$2:$S$47,CHAR(160)," ")),
      $T$2:$T$47
    )
  ),
"")</f>
        <v/>
      </c>
    </row>
    <row r="616" spans="10:10" x14ac:dyDescent="0.2">
      <c r="J616" s="52" t="str" cm="1">
        <f t="array" ref="J616">IFERROR(
  VALUE($H616) *
  VALUE(
    _xlfn.XLOOKUP(
      TRIM($F616) &amp; "|" &amp; LEFT(SUBSTITUTE($G616,CHAR(160)," "),5) &amp; "|Reduced Rate",
      TRIM(SUBSTITUTE($Q$2:$Q$47,CHAR(160)," ")) &amp; "|" &amp;
      LEFT(SUBSTITUTE($R$2:$R$47,CHAR(160)," "),5) &amp; "|" &amp;
      TRIM(SUBSTITUTE($S$2:$S$47,CHAR(160)," ")),
      $T$2:$T$47
    )
  ),
"")</f>
        <v/>
      </c>
    </row>
    <row r="617" spans="10:10" x14ac:dyDescent="0.2">
      <c r="J617" s="52" t="str" cm="1">
        <f t="array" ref="J617">IFERROR(
  VALUE($H617) *
  VALUE(
    _xlfn.XLOOKUP(
      TRIM($F617) &amp; "|" &amp; LEFT(SUBSTITUTE($G617,CHAR(160)," "),5) &amp; "|Reduced Rate",
      TRIM(SUBSTITUTE($Q$2:$Q$47,CHAR(160)," ")) &amp; "|" &amp;
      LEFT(SUBSTITUTE($R$2:$R$47,CHAR(160)," "),5) &amp; "|" &amp;
      TRIM(SUBSTITUTE($S$2:$S$47,CHAR(160)," ")),
      $T$2:$T$47
    )
  ),
"")</f>
        <v/>
      </c>
    </row>
    <row r="618" spans="10:10" x14ac:dyDescent="0.2">
      <c r="J618" s="52" t="str" cm="1">
        <f t="array" ref="J618">IFERROR(
  VALUE($H618) *
  VALUE(
    _xlfn.XLOOKUP(
      TRIM($F618) &amp; "|" &amp; LEFT(SUBSTITUTE($G618,CHAR(160)," "),5) &amp; "|Reduced Rate",
      TRIM(SUBSTITUTE($Q$2:$Q$47,CHAR(160)," ")) &amp; "|" &amp;
      LEFT(SUBSTITUTE($R$2:$R$47,CHAR(160)," "),5) &amp; "|" &amp;
      TRIM(SUBSTITUTE($S$2:$S$47,CHAR(160)," ")),
      $T$2:$T$47
    )
  ),
"")</f>
        <v/>
      </c>
    </row>
    <row r="619" spans="10:10" x14ac:dyDescent="0.2">
      <c r="J619" s="52" t="str" cm="1">
        <f t="array" ref="J619">IFERROR(
  VALUE($H619) *
  VALUE(
    _xlfn.XLOOKUP(
      TRIM($F619) &amp; "|" &amp; LEFT(SUBSTITUTE($G619,CHAR(160)," "),5) &amp; "|Reduced Rate",
      TRIM(SUBSTITUTE($Q$2:$Q$47,CHAR(160)," ")) &amp; "|" &amp;
      LEFT(SUBSTITUTE($R$2:$R$47,CHAR(160)," "),5) &amp; "|" &amp;
      TRIM(SUBSTITUTE($S$2:$S$47,CHAR(160)," ")),
      $T$2:$T$47
    )
  ),
"")</f>
        <v/>
      </c>
    </row>
    <row r="620" spans="10:10" x14ac:dyDescent="0.2">
      <c r="J620" s="52" t="str" cm="1">
        <f t="array" ref="J620">IFERROR(
  VALUE($H620) *
  VALUE(
    _xlfn.XLOOKUP(
      TRIM($F620) &amp; "|" &amp; LEFT(SUBSTITUTE($G620,CHAR(160)," "),5) &amp; "|Reduced Rate",
      TRIM(SUBSTITUTE($Q$2:$Q$47,CHAR(160)," ")) &amp; "|" &amp;
      LEFT(SUBSTITUTE($R$2:$R$47,CHAR(160)," "),5) &amp; "|" &amp;
      TRIM(SUBSTITUTE($S$2:$S$47,CHAR(160)," ")),
      $T$2:$T$47
    )
  ),
"")</f>
        <v/>
      </c>
    </row>
    <row r="621" spans="10:10" x14ac:dyDescent="0.2">
      <c r="J621" s="52" t="str" cm="1">
        <f t="array" ref="J621">IFERROR(
  VALUE($H621) *
  VALUE(
    _xlfn.XLOOKUP(
      TRIM($F621) &amp; "|" &amp; LEFT(SUBSTITUTE($G621,CHAR(160)," "),5) &amp; "|Reduced Rate",
      TRIM(SUBSTITUTE($Q$2:$Q$47,CHAR(160)," ")) &amp; "|" &amp;
      LEFT(SUBSTITUTE($R$2:$R$47,CHAR(160)," "),5) &amp; "|" &amp;
      TRIM(SUBSTITUTE($S$2:$S$47,CHAR(160)," ")),
      $T$2:$T$47
    )
  ),
"")</f>
        <v/>
      </c>
    </row>
    <row r="622" spans="10:10" x14ac:dyDescent="0.2">
      <c r="J622" s="52" t="str" cm="1">
        <f t="array" ref="J622">IFERROR(
  VALUE($H622) *
  VALUE(
    _xlfn.XLOOKUP(
      TRIM($F622) &amp; "|" &amp; LEFT(SUBSTITUTE($G622,CHAR(160)," "),5) &amp; "|Reduced Rate",
      TRIM(SUBSTITUTE($Q$2:$Q$47,CHAR(160)," ")) &amp; "|" &amp;
      LEFT(SUBSTITUTE($R$2:$R$47,CHAR(160)," "),5) &amp; "|" &amp;
      TRIM(SUBSTITUTE($S$2:$S$47,CHAR(160)," ")),
      $T$2:$T$47
    )
  ),
"")</f>
        <v/>
      </c>
    </row>
    <row r="623" spans="10:10" x14ac:dyDescent="0.2">
      <c r="J623" s="52" t="str" cm="1">
        <f t="array" ref="J623">IFERROR(
  VALUE($H623) *
  VALUE(
    _xlfn.XLOOKUP(
      TRIM($F623) &amp; "|" &amp; LEFT(SUBSTITUTE($G623,CHAR(160)," "),5) &amp; "|Reduced Rate",
      TRIM(SUBSTITUTE($Q$2:$Q$47,CHAR(160)," ")) &amp; "|" &amp;
      LEFT(SUBSTITUTE($R$2:$R$47,CHAR(160)," "),5) &amp; "|" &amp;
      TRIM(SUBSTITUTE($S$2:$S$47,CHAR(160)," ")),
      $T$2:$T$47
    )
  ),
"")</f>
        <v/>
      </c>
    </row>
    <row r="624" spans="10:10" x14ac:dyDescent="0.2">
      <c r="J624" s="52" t="str" cm="1">
        <f t="array" ref="J624">IFERROR(
  VALUE($H624) *
  VALUE(
    _xlfn.XLOOKUP(
      TRIM($F624) &amp; "|" &amp; LEFT(SUBSTITUTE($G624,CHAR(160)," "),5) &amp; "|Reduced Rate",
      TRIM(SUBSTITUTE($Q$2:$Q$47,CHAR(160)," ")) &amp; "|" &amp;
      LEFT(SUBSTITUTE($R$2:$R$47,CHAR(160)," "),5) &amp; "|" &amp;
      TRIM(SUBSTITUTE($S$2:$S$47,CHAR(160)," ")),
      $T$2:$T$47
    )
  ),
"")</f>
        <v/>
      </c>
    </row>
    <row r="625" spans="10:10" x14ac:dyDescent="0.2">
      <c r="J625" s="52" t="str" cm="1">
        <f t="array" ref="J625">IFERROR(
  VALUE($H625) *
  VALUE(
    _xlfn.XLOOKUP(
      TRIM($F625) &amp; "|" &amp; LEFT(SUBSTITUTE($G625,CHAR(160)," "),5) &amp; "|Reduced Rate",
      TRIM(SUBSTITUTE($Q$2:$Q$47,CHAR(160)," ")) &amp; "|" &amp;
      LEFT(SUBSTITUTE($R$2:$R$47,CHAR(160)," "),5) &amp; "|" &amp;
      TRIM(SUBSTITUTE($S$2:$S$47,CHAR(160)," ")),
      $T$2:$T$47
    )
  ),
"")</f>
        <v/>
      </c>
    </row>
    <row r="626" spans="10:10" x14ac:dyDescent="0.2">
      <c r="J626" s="52" t="str" cm="1">
        <f t="array" ref="J626">IFERROR(
  VALUE($H626) *
  VALUE(
    _xlfn.XLOOKUP(
      TRIM($F626) &amp; "|" &amp; LEFT(SUBSTITUTE($G626,CHAR(160)," "),5) &amp; "|Reduced Rate",
      TRIM(SUBSTITUTE($Q$2:$Q$47,CHAR(160)," ")) &amp; "|" &amp;
      LEFT(SUBSTITUTE($R$2:$R$47,CHAR(160)," "),5) &amp; "|" &amp;
      TRIM(SUBSTITUTE($S$2:$S$47,CHAR(160)," ")),
      $T$2:$T$47
    )
  ),
"")</f>
        <v/>
      </c>
    </row>
    <row r="627" spans="10:10" x14ac:dyDescent="0.2">
      <c r="J627" s="52" t="str" cm="1">
        <f t="array" ref="J627">IFERROR(
  VALUE($H627) *
  VALUE(
    _xlfn.XLOOKUP(
      TRIM($F627) &amp; "|" &amp; LEFT(SUBSTITUTE($G627,CHAR(160)," "),5) &amp; "|Reduced Rate",
      TRIM(SUBSTITUTE($Q$2:$Q$47,CHAR(160)," ")) &amp; "|" &amp;
      LEFT(SUBSTITUTE($R$2:$R$47,CHAR(160)," "),5) &amp; "|" &amp;
      TRIM(SUBSTITUTE($S$2:$S$47,CHAR(160)," ")),
      $T$2:$T$47
    )
  ),
"")</f>
        <v/>
      </c>
    </row>
    <row r="628" spans="10:10" x14ac:dyDescent="0.2">
      <c r="J628" s="52" t="str" cm="1">
        <f t="array" ref="J628">IFERROR(
  VALUE($H628) *
  VALUE(
    _xlfn.XLOOKUP(
      TRIM($F628) &amp; "|" &amp; LEFT(SUBSTITUTE($G628,CHAR(160)," "),5) &amp; "|Reduced Rate",
      TRIM(SUBSTITUTE($Q$2:$Q$47,CHAR(160)," ")) &amp; "|" &amp;
      LEFT(SUBSTITUTE($R$2:$R$47,CHAR(160)," "),5) &amp; "|" &amp;
      TRIM(SUBSTITUTE($S$2:$S$47,CHAR(160)," ")),
      $T$2:$T$47
    )
  ),
"")</f>
        <v/>
      </c>
    </row>
    <row r="629" spans="10:10" x14ac:dyDescent="0.2">
      <c r="J629" s="52" t="str" cm="1">
        <f t="array" ref="J629">IFERROR(
  VALUE($H629) *
  VALUE(
    _xlfn.XLOOKUP(
      TRIM($F629) &amp; "|" &amp; LEFT(SUBSTITUTE($G629,CHAR(160)," "),5) &amp; "|Reduced Rate",
      TRIM(SUBSTITUTE($Q$2:$Q$47,CHAR(160)," ")) &amp; "|" &amp;
      LEFT(SUBSTITUTE($R$2:$R$47,CHAR(160)," "),5) &amp; "|" &amp;
      TRIM(SUBSTITUTE($S$2:$S$47,CHAR(160)," ")),
      $T$2:$T$47
    )
  ),
"")</f>
        <v/>
      </c>
    </row>
    <row r="630" spans="10:10" x14ac:dyDescent="0.2">
      <c r="J630" s="52" t="str" cm="1">
        <f t="array" ref="J630">IFERROR(
  VALUE($H630) *
  VALUE(
    _xlfn.XLOOKUP(
      TRIM($F630) &amp; "|" &amp; LEFT(SUBSTITUTE($G630,CHAR(160)," "),5) &amp; "|Reduced Rate",
      TRIM(SUBSTITUTE($Q$2:$Q$47,CHAR(160)," ")) &amp; "|" &amp;
      LEFT(SUBSTITUTE($R$2:$R$47,CHAR(160)," "),5) &amp; "|" &amp;
      TRIM(SUBSTITUTE($S$2:$S$47,CHAR(160)," ")),
      $T$2:$T$47
    )
  ),
"")</f>
        <v/>
      </c>
    </row>
    <row r="631" spans="10:10" x14ac:dyDescent="0.2">
      <c r="J631" s="52" t="str" cm="1">
        <f t="array" ref="J631">IFERROR(
  VALUE($H631) *
  VALUE(
    _xlfn.XLOOKUP(
      TRIM($F631) &amp; "|" &amp; LEFT(SUBSTITUTE($G631,CHAR(160)," "),5) &amp; "|Reduced Rate",
      TRIM(SUBSTITUTE($Q$2:$Q$47,CHAR(160)," ")) &amp; "|" &amp;
      LEFT(SUBSTITUTE($R$2:$R$47,CHAR(160)," "),5) &amp; "|" &amp;
      TRIM(SUBSTITUTE($S$2:$S$47,CHAR(160)," ")),
      $T$2:$T$47
    )
  ),
"")</f>
        <v/>
      </c>
    </row>
    <row r="632" spans="10:10" x14ac:dyDescent="0.2">
      <c r="J632" s="52" t="str" cm="1">
        <f t="array" ref="J632">IFERROR(
  VALUE($H632) *
  VALUE(
    _xlfn.XLOOKUP(
      TRIM($F632) &amp; "|" &amp; LEFT(SUBSTITUTE($G632,CHAR(160)," "),5) &amp; "|Reduced Rate",
      TRIM(SUBSTITUTE($Q$2:$Q$47,CHAR(160)," ")) &amp; "|" &amp;
      LEFT(SUBSTITUTE($R$2:$R$47,CHAR(160)," "),5) &amp; "|" &amp;
      TRIM(SUBSTITUTE($S$2:$S$47,CHAR(160)," ")),
      $T$2:$T$47
    )
  ),
"")</f>
        <v/>
      </c>
    </row>
    <row r="633" spans="10:10" x14ac:dyDescent="0.2">
      <c r="J633" s="52" t="str" cm="1">
        <f t="array" ref="J633">IFERROR(
  VALUE($H633) *
  VALUE(
    _xlfn.XLOOKUP(
      TRIM($F633) &amp; "|" &amp; LEFT(SUBSTITUTE($G633,CHAR(160)," "),5) &amp; "|Reduced Rate",
      TRIM(SUBSTITUTE($Q$2:$Q$47,CHAR(160)," ")) &amp; "|" &amp;
      LEFT(SUBSTITUTE($R$2:$R$47,CHAR(160)," "),5) &amp; "|" &amp;
      TRIM(SUBSTITUTE($S$2:$S$47,CHAR(160)," ")),
      $T$2:$T$47
    )
  ),
"")</f>
        <v/>
      </c>
    </row>
    <row r="634" spans="10:10" x14ac:dyDescent="0.2">
      <c r="J634" s="52" t="str" cm="1">
        <f t="array" ref="J634">IFERROR(
  VALUE($H634) *
  VALUE(
    _xlfn.XLOOKUP(
      TRIM($F634) &amp; "|" &amp; LEFT(SUBSTITUTE($G634,CHAR(160)," "),5) &amp; "|Reduced Rate",
      TRIM(SUBSTITUTE($Q$2:$Q$47,CHAR(160)," ")) &amp; "|" &amp;
      LEFT(SUBSTITUTE($R$2:$R$47,CHAR(160)," "),5) &amp; "|" &amp;
      TRIM(SUBSTITUTE($S$2:$S$47,CHAR(160)," ")),
      $T$2:$T$47
    )
  ),
"")</f>
        <v/>
      </c>
    </row>
    <row r="635" spans="10:10" x14ac:dyDescent="0.2">
      <c r="J635" s="52" t="str" cm="1">
        <f t="array" ref="J635">IFERROR(
  VALUE($H635) *
  VALUE(
    _xlfn.XLOOKUP(
      TRIM($F635) &amp; "|" &amp; LEFT(SUBSTITUTE($G635,CHAR(160)," "),5) &amp; "|Reduced Rate",
      TRIM(SUBSTITUTE($Q$2:$Q$47,CHAR(160)," ")) &amp; "|" &amp;
      LEFT(SUBSTITUTE($R$2:$R$47,CHAR(160)," "),5) &amp; "|" &amp;
      TRIM(SUBSTITUTE($S$2:$S$47,CHAR(160)," ")),
      $T$2:$T$47
    )
  ),
"")</f>
        <v/>
      </c>
    </row>
    <row r="636" spans="10:10" x14ac:dyDescent="0.2">
      <c r="J636" s="52" t="str" cm="1">
        <f t="array" ref="J636">IFERROR(
  VALUE($H636) *
  VALUE(
    _xlfn.XLOOKUP(
      TRIM($F636) &amp; "|" &amp; LEFT(SUBSTITUTE($G636,CHAR(160)," "),5) &amp; "|Reduced Rate",
      TRIM(SUBSTITUTE($Q$2:$Q$47,CHAR(160)," ")) &amp; "|" &amp;
      LEFT(SUBSTITUTE($R$2:$R$47,CHAR(160)," "),5) &amp; "|" &amp;
      TRIM(SUBSTITUTE($S$2:$S$47,CHAR(160)," ")),
      $T$2:$T$47
    )
  ),
"")</f>
        <v/>
      </c>
    </row>
    <row r="637" spans="10:10" x14ac:dyDescent="0.2">
      <c r="J637" s="52" t="str" cm="1">
        <f t="array" ref="J637">IFERROR(
  VALUE($H637) *
  VALUE(
    _xlfn.XLOOKUP(
      TRIM($F637) &amp; "|" &amp; LEFT(SUBSTITUTE($G637,CHAR(160)," "),5) &amp; "|Reduced Rate",
      TRIM(SUBSTITUTE($Q$2:$Q$47,CHAR(160)," ")) &amp; "|" &amp;
      LEFT(SUBSTITUTE($R$2:$R$47,CHAR(160)," "),5) &amp; "|" &amp;
      TRIM(SUBSTITUTE($S$2:$S$47,CHAR(160)," ")),
      $T$2:$T$47
    )
  ),
"")</f>
        <v/>
      </c>
    </row>
    <row r="638" spans="10:10" x14ac:dyDescent="0.2">
      <c r="J638" s="52" t="str" cm="1">
        <f t="array" ref="J638">IFERROR(
  VALUE($H638) *
  VALUE(
    _xlfn.XLOOKUP(
      TRIM($F638) &amp; "|" &amp; LEFT(SUBSTITUTE($G638,CHAR(160)," "),5) &amp; "|Reduced Rate",
      TRIM(SUBSTITUTE($Q$2:$Q$47,CHAR(160)," ")) &amp; "|" &amp;
      LEFT(SUBSTITUTE($R$2:$R$47,CHAR(160)," "),5) &amp; "|" &amp;
      TRIM(SUBSTITUTE($S$2:$S$47,CHAR(160)," ")),
      $T$2:$T$47
    )
  ),
"")</f>
        <v/>
      </c>
    </row>
    <row r="639" spans="10:10" x14ac:dyDescent="0.2">
      <c r="J639" s="52" t="str" cm="1">
        <f t="array" ref="J639">IFERROR(
  VALUE($H639) *
  VALUE(
    _xlfn.XLOOKUP(
      TRIM($F639) &amp; "|" &amp; LEFT(SUBSTITUTE($G639,CHAR(160)," "),5) &amp; "|Reduced Rate",
      TRIM(SUBSTITUTE($Q$2:$Q$47,CHAR(160)," ")) &amp; "|" &amp;
      LEFT(SUBSTITUTE($R$2:$R$47,CHAR(160)," "),5) &amp; "|" &amp;
      TRIM(SUBSTITUTE($S$2:$S$47,CHAR(160)," ")),
      $T$2:$T$47
    )
  ),
"")</f>
        <v/>
      </c>
    </row>
    <row r="640" spans="10:10" x14ac:dyDescent="0.2">
      <c r="J640" s="52" t="str" cm="1">
        <f t="array" ref="J640">IFERROR(
  VALUE($H640) *
  VALUE(
    _xlfn.XLOOKUP(
      TRIM($F640) &amp; "|" &amp; LEFT(SUBSTITUTE($G640,CHAR(160)," "),5) &amp; "|Reduced Rate",
      TRIM(SUBSTITUTE($Q$2:$Q$47,CHAR(160)," ")) &amp; "|" &amp;
      LEFT(SUBSTITUTE($R$2:$R$47,CHAR(160)," "),5) &amp; "|" &amp;
      TRIM(SUBSTITUTE($S$2:$S$47,CHAR(160)," ")),
      $T$2:$T$47
    )
  ),
"")</f>
        <v/>
      </c>
    </row>
    <row r="641" spans="10:10" x14ac:dyDescent="0.2">
      <c r="J641" s="52" t="str" cm="1">
        <f t="array" ref="J641">IFERROR(
  VALUE($H641) *
  VALUE(
    _xlfn.XLOOKUP(
      TRIM($F641) &amp; "|" &amp; LEFT(SUBSTITUTE($G641,CHAR(160)," "),5) &amp; "|Reduced Rate",
      TRIM(SUBSTITUTE($Q$2:$Q$47,CHAR(160)," ")) &amp; "|" &amp;
      LEFT(SUBSTITUTE($R$2:$R$47,CHAR(160)," "),5) &amp; "|" &amp;
      TRIM(SUBSTITUTE($S$2:$S$47,CHAR(160)," ")),
      $T$2:$T$47
    )
  ),
"")</f>
        <v/>
      </c>
    </row>
    <row r="642" spans="10:10" x14ac:dyDescent="0.2">
      <c r="J642" s="52" t="str" cm="1">
        <f t="array" ref="J642">IFERROR(
  VALUE($H642) *
  VALUE(
    _xlfn.XLOOKUP(
      TRIM($F642) &amp; "|" &amp; LEFT(SUBSTITUTE($G642,CHAR(160)," "),5) &amp; "|Reduced Rate",
      TRIM(SUBSTITUTE($Q$2:$Q$47,CHAR(160)," ")) &amp; "|" &amp;
      LEFT(SUBSTITUTE($R$2:$R$47,CHAR(160)," "),5) &amp; "|" &amp;
      TRIM(SUBSTITUTE($S$2:$S$47,CHAR(160)," ")),
      $T$2:$T$47
    )
  ),
"")</f>
        <v/>
      </c>
    </row>
    <row r="643" spans="10:10" x14ac:dyDescent="0.2">
      <c r="J643" s="52" t="str" cm="1">
        <f t="array" ref="J643">IFERROR(
  VALUE($H643) *
  VALUE(
    _xlfn.XLOOKUP(
      TRIM($F643) &amp; "|" &amp; LEFT(SUBSTITUTE($G643,CHAR(160)," "),5) &amp; "|Reduced Rate",
      TRIM(SUBSTITUTE($Q$2:$Q$47,CHAR(160)," ")) &amp; "|" &amp;
      LEFT(SUBSTITUTE($R$2:$R$47,CHAR(160)," "),5) &amp; "|" &amp;
      TRIM(SUBSTITUTE($S$2:$S$47,CHAR(160)," ")),
      $T$2:$T$47
    )
  ),
"")</f>
        <v/>
      </c>
    </row>
    <row r="644" spans="10:10" x14ac:dyDescent="0.2">
      <c r="J644" s="52" t="str" cm="1">
        <f t="array" ref="J644">IFERROR(
  VALUE($H644) *
  VALUE(
    _xlfn.XLOOKUP(
      TRIM($F644) &amp; "|" &amp; LEFT(SUBSTITUTE($G644,CHAR(160)," "),5) &amp; "|Reduced Rate",
      TRIM(SUBSTITUTE($Q$2:$Q$47,CHAR(160)," ")) &amp; "|" &amp;
      LEFT(SUBSTITUTE($R$2:$R$47,CHAR(160)," "),5) &amp; "|" &amp;
      TRIM(SUBSTITUTE($S$2:$S$47,CHAR(160)," ")),
      $T$2:$T$47
    )
  ),
"")</f>
        <v/>
      </c>
    </row>
    <row r="645" spans="10:10" x14ac:dyDescent="0.2">
      <c r="J645" s="52" t="str" cm="1">
        <f t="array" ref="J645">IFERROR(
  VALUE($H645) *
  VALUE(
    _xlfn.XLOOKUP(
      TRIM($F645) &amp; "|" &amp; LEFT(SUBSTITUTE($G645,CHAR(160)," "),5) &amp; "|Reduced Rate",
      TRIM(SUBSTITUTE($Q$2:$Q$47,CHAR(160)," ")) &amp; "|" &amp;
      LEFT(SUBSTITUTE($R$2:$R$47,CHAR(160)," "),5) &amp; "|" &amp;
      TRIM(SUBSTITUTE($S$2:$S$47,CHAR(160)," ")),
      $T$2:$T$47
    )
  ),
"")</f>
        <v/>
      </c>
    </row>
    <row r="646" spans="10:10" x14ac:dyDescent="0.2">
      <c r="J646" s="52" t="str" cm="1">
        <f t="array" ref="J646">IFERROR(
  VALUE($H646) *
  VALUE(
    _xlfn.XLOOKUP(
      TRIM($F646) &amp; "|" &amp; LEFT(SUBSTITUTE($G646,CHAR(160)," "),5) &amp; "|Reduced Rate",
      TRIM(SUBSTITUTE($Q$2:$Q$47,CHAR(160)," ")) &amp; "|" &amp;
      LEFT(SUBSTITUTE($R$2:$R$47,CHAR(160)," "),5) &amp; "|" &amp;
      TRIM(SUBSTITUTE($S$2:$S$47,CHAR(160)," ")),
      $T$2:$T$47
    )
  ),
"")</f>
        <v/>
      </c>
    </row>
    <row r="647" spans="10:10" x14ac:dyDescent="0.2">
      <c r="J647" s="52" t="str" cm="1">
        <f t="array" ref="J647">IFERROR(
  VALUE($H647) *
  VALUE(
    _xlfn.XLOOKUP(
      TRIM($F647) &amp; "|" &amp; LEFT(SUBSTITUTE($G647,CHAR(160)," "),5) &amp; "|Reduced Rate",
      TRIM(SUBSTITUTE($Q$2:$Q$47,CHAR(160)," ")) &amp; "|" &amp;
      LEFT(SUBSTITUTE($R$2:$R$47,CHAR(160)," "),5) &amp; "|" &amp;
      TRIM(SUBSTITUTE($S$2:$S$47,CHAR(160)," ")),
      $T$2:$T$47
    )
  ),
"")</f>
        <v/>
      </c>
    </row>
    <row r="648" spans="10:10" x14ac:dyDescent="0.2">
      <c r="J648" s="52" t="str" cm="1">
        <f t="array" ref="J648">IFERROR(
  VALUE($H648) *
  VALUE(
    _xlfn.XLOOKUP(
      TRIM($F648) &amp; "|" &amp; LEFT(SUBSTITUTE($G648,CHAR(160)," "),5) &amp; "|Reduced Rate",
      TRIM(SUBSTITUTE($Q$2:$Q$47,CHAR(160)," ")) &amp; "|" &amp;
      LEFT(SUBSTITUTE($R$2:$R$47,CHAR(160)," "),5) &amp; "|" &amp;
      TRIM(SUBSTITUTE($S$2:$S$47,CHAR(160)," ")),
      $T$2:$T$47
    )
  ),
"")</f>
        <v/>
      </c>
    </row>
    <row r="649" spans="10:10" x14ac:dyDescent="0.2">
      <c r="J649" s="52" t="str" cm="1">
        <f t="array" ref="J649">IFERROR(
  VALUE($H649) *
  VALUE(
    _xlfn.XLOOKUP(
      TRIM($F649) &amp; "|" &amp; LEFT(SUBSTITUTE($G649,CHAR(160)," "),5) &amp; "|Reduced Rate",
      TRIM(SUBSTITUTE($Q$2:$Q$47,CHAR(160)," ")) &amp; "|" &amp;
      LEFT(SUBSTITUTE($R$2:$R$47,CHAR(160)," "),5) &amp; "|" &amp;
      TRIM(SUBSTITUTE($S$2:$S$47,CHAR(160)," ")),
      $T$2:$T$47
    )
  ),
"")</f>
        <v/>
      </c>
    </row>
    <row r="650" spans="10:10" x14ac:dyDescent="0.2">
      <c r="J650" s="52" t="str" cm="1">
        <f t="array" ref="J650">IFERROR(
  VALUE($H650) *
  VALUE(
    _xlfn.XLOOKUP(
      TRIM($F650) &amp; "|" &amp; LEFT(SUBSTITUTE($G650,CHAR(160)," "),5) &amp; "|Reduced Rate",
      TRIM(SUBSTITUTE($Q$2:$Q$47,CHAR(160)," ")) &amp; "|" &amp;
      LEFT(SUBSTITUTE($R$2:$R$47,CHAR(160)," "),5) &amp; "|" &amp;
      TRIM(SUBSTITUTE($S$2:$S$47,CHAR(160)," ")),
      $T$2:$T$47
    )
  ),
"")</f>
        <v/>
      </c>
    </row>
    <row r="651" spans="10:10" x14ac:dyDescent="0.2">
      <c r="J651" s="52" t="str" cm="1">
        <f t="array" ref="J651">IFERROR(
  VALUE($H651) *
  VALUE(
    _xlfn.XLOOKUP(
      TRIM($F651) &amp; "|" &amp; LEFT(SUBSTITUTE($G651,CHAR(160)," "),5) &amp; "|Reduced Rate",
      TRIM(SUBSTITUTE($Q$2:$Q$47,CHAR(160)," ")) &amp; "|" &amp;
      LEFT(SUBSTITUTE($R$2:$R$47,CHAR(160)," "),5) &amp; "|" &amp;
      TRIM(SUBSTITUTE($S$2:$S$47,CHAR(160)," ")),
      $T$2:$T$47
    )
  ),
"")</f>
        <v/>
      </c>
    </row>
    <row r="652" spans="10:10" x14ac:dyDescent="0.2">
      <c r="J652" s="52" t="str" cm="1">
        <f t="array" ref="J652">IFERROR(
  VALUE($H652) *
  VALUE(
    _xlfn.XLOOKUP(
      TRIM($F652) &amp; "|" &amp; LEFT(SUBSTITUTE($G652,CHAR(160)," "),5) &amp; "|Reduced Rate",
      TRIM(SUBSTITUTE($Q$2:$Q$47,CHAR(160)," ")) &amp; "|" &amp;
      LEFT(SUBSTITUTE($R$2:$R$47,CHAR(160)," "),5) &amp; "|" &amp;
      TRIM(SUBSTITUTE($S$2:$S$47,CHAR(160)," ")),
      $T$2:$T$47
    )
  ),
"")</f>
        <v/>
      </c>
    </row>
    <row r="653" spans="10:10" x14ac:dyDescent="0.2">
      <c r="J653" s="52" t="str" cm="1">
        <f t="array" ref="J653">IFERROR(
  VALUE($H653) *
  VALUE(
    _xlfn.XLOOKUP(
      TRIM($F653) &amp; "|" &amp; LEFT(SUBSTITUTE($G653,CHAR(160)," "),5) &amp; "|Reduced Rate",
      TRIM(SUBSTITUTE($Q$2:$Q$47,CHAR(160)," ")) &amp; "|" &amp;
      LEFT(SUBSTITUTE($R$2:$R$47,CHAR(160)," "),5) &amp; "|" &amp;
      TRIM(SUBSTITUTE($S$2:$S$47,CHAR(160)," ")),
      $T$2:$T$47
    )
  ),
"")</f>
        <v/>
      </c>
    </row>
    <row r="654" spans="10:10" x14ac:dyDescent="0.2">
      <c r="J654" s="52" t="str" cm="1">
        <f t="array" ref="J654">IFERROR(
  VALUE($H654) *
  VALUE(
    _xlfn.XLOOKUP(
      TRIM($F654) &amp; "|" &amp; LEFT(SUBSTITUTE($G654,CHAR(160)," "),5) &amp; "|Reduced Rate",
      TRIM(SUBSTITUTE($Q$2:$Q$47,CHAR(160)," ")) &amp; "|" &amp;
      LEFT(SUBSTITUTE($R$2:$R$47,CHAR(160)," "),5) &amp; "|" &amp;
      TRIM(SUBSTITUTE($S$2:$S$47,CHAR(160)," ")),
      $T$2:$T$47
    )
  ),
"")</f>
        <v/>
      </c>
    </row>
    <row r="655" spans="10:10" x14ac:dyDescent="0.2">
      <c r="J655" s="52" t="str" cm="1">
        <f t="array" ref="J655">IFERROR(
  VALUE($H655) *
  VALUE(
    _xlfn.XLOOKUP(
      TRIM($F655) &amp; "|" &amp; LEFT(SUBSTITUTE($G655,CHAR(160)," "),5) &amp; "|Reduced Rate",
      TRIM(SUBSTITUTE($Q$2:$Q$47,CHAR(160)," ")) &amp; "|" &amp;
      LEFT(SUBSTITUTE($R$2:$R$47,CHAR(160)," "),5) &amp; "|" &amp;
      TRIM(SUBSTITUTE($S$2:$S$47,CHAR(160)," ")),
      $T$2:$T$47
    )
  ),
"")</f>
        <v/>
      </c>
    </row>
    <row r="656" spans="10:10" x14ac:dyDescent="0.2">
      <c r="J656" s="52" t="str" cm="1">
        <f t="array" ref="J656">IFERROR(
  VALUE($H656) *
  VALUE(
    _xlfn.XLOOKUP(
      TRIM($F656) &amp; "|" &amp; LEFT(SUBSTITUTE($G656,CHAR(160)," "),5) &amp; "|Reduced Rate",
      TRIM(SUBSTITUTE($Q$2:$Q$47,CHAR(160)," ")) &amp; "|" &amp;
      LEFT(SUBSTITUTE($R$2:$R$47,CHAR(160)," "),5) &amp; "|" &amp;
      TRIM(SUBSTITUTE($S$2:$S$47,CHAR(160)," ")),
      $T$2:$T$47
    )
  ),
"")</f>
        <v/>
      </c>
    </row>
    <row r="657" spans="10:10" x14ac:dyDescent="0.2">
      <c r="J657" s="52" t="str" cm="1">
        <f t="array" ref="J657">IFERROR(
  VALUE($H657) *
  VALUE(
    _xlfn.XLOOKUP(
      TRIM($F657) &amp; "|" &amp; LEFT(SUBSTITUTE($G657,CHAR(160)," "),5) &amp; "|Reduced Rate",
      TRIM(SUBSTITUTE($Q$2:$Q$47,CHAR(160)," ")) &amp; "|" &amp;
      LEFT(SUBSTITUTE($R$2:$R$47,CHAR(160)," "),5) &amp; "|" &amp;
      TRIM(SUBSTITUTE($S$2:$S$47,CHAR(160)," ")),
      $T$2:$T$47
    )
  ),
"")</f>
        <v/>
      </c>
    </row>
    <row r="658" spans="10:10" x14ac:dyDescent="0.2">
      <c r="J658" s="52" t="str" cm="1">
        <f t="array" ref="J658">IFERROR(
  VALUE($H658) *
  VALUE(
    _xlfn.XLOOKUP(
      TRIM($F658) &amp; "|" &amp; LEFT(SUBSTITUTE($G658,CHAR(160)," "),5) &amp; "|Reduced Rate",
      TRIM(SUBSTITUTE($Q$2:$Q$47,CHAR(160)," ")) &amp; "|" &amp;
      LEFT(SUBSTITUTE($R$2:$R$47,CHAR(160)," "),5) &amp; "|" &amp;
      TRIM(SUBSTITUTE($S$2:$S$47,CHAR(160)," ")),
      $T$2:$T$47
    )
  ),
"")</f>
        <v/>
      </c>
    </row>
    <row r="659" spans="10:10" x14ac:dyDescent="0.2">
      <c r="J659" s="52" t="str" cm="1">
        <f t="array" ref="J659">IFERROR(
  VALUE($H659) *
  VALUE(
    _xlfn.XLOOKUP(
      TRIM($F659) &amp; "|" &amp; LEFT(SUBSTITUTE($G659,CHAR(160)," "),5) &amp; "|Reduced Rate",
      TRIM(SUBSTITUTE($Q$2:$Q$47,CHAR(160)," ")) &amp; "|" &amp;
      LEFT(SUBSTITUTE($R$2:$R$47,CHAR(160)," "),5) &amp; "|" &amp;
      TRIM(SUBSTITUTE($S$2:$S$47,CHAR(160)," ")),
      $T$2:$T$47
    )
  ),
"")</f>
        <v/>
      </c>
    </row>
    <row r="660" spans="10:10" x14ac:dyDescent="0.2">
      <c r="J660" s="52" t="str" cm="1">
        <f t="array" ref="J660">IFERROR(
  VALUE($H660) *
  VALUE(
    _xlfn.XLOOKUP(
      TRIM($F660) &amp; "|" &amp; LEFT(SUBSTITUTE($G660,CHAR(160)," "),5) &amp; "|Reduced Rate",
      TRIM(SUBSTITUTE($Q$2:$Q$47,CHAR(160)," ")) &amp; "|" &amp;
      LEFT(SUBSTITUTE($R$2:$R$47,CHAR(160)," "),5) &amp; "|" &amp;
      TRIM(SUBSTITUTE($S$2:$S$47,CHAR(160)," ")),
      $T$2:$T$47
    )
  ),
"")</f>
        <v/>
      </c>
    </row>
    <row r="661" spans="10:10" x14ac:dyDescent="0.2">
      <c r="J661" s="52" t="str" cm="1">
        <f t="array" ref="J661">IFERROR(
  VALUE($H661) *
  VALUE(
    _xlfn.XLOOKUP(
      TRIM($F661) &amp; "|" &amp; LEFT(SUBSTITUTE($G661,CHAR(160)," "),5) &amp; "|Reduced Rate",
      TRIM(SUBSTITUTE($Q$2:$Q$47,CHAR(160)," ")) &amp; "|" &amp;
      LEFT(SUBSTITUTE($R$2:$R$47,CHAR(160)," "),5) &amp; "|" &amp;
      TRIM(SUBSTITUTE($S$2:$S$47,CHAR(160)," ")),
      $T$2:$T$47
    )
  ),
"")</f>
        <v/>
      </c>
    </row>
    <row r="662" spans="10:10" x14ac:dyDescent="0.2">
      <c r="J662" s="52" t="str" cm="1">
        <f t="array" ref="J662">IFERROR(
  VALUE($H662) *
  VALUE(
    _xlfn.XLOOKUP(
      TRIM($F662) &amp; "|" &amp; LEFT(SUBSTITUTE($G662,CHAR(160)," "),5) &amp; "|Reduced Rate",
      TRIM(SUBSTITUTE($Q$2:$Q$47,CHAR(160)," ")) &amp; "|" &amp;
      LEFT(SUBSTITUTE($R$2:$R$47,CHAR(160)," "),5) &amp; "|" &amp;
      TRIM(SUBSTITUTE($S$2:$S$47,CHAR(160)," ")),
      $T$2:$T$47
    )
  ),
"")</f>
        <v/>
      </c>
    </row>
    <row r="663" spans="10:10" x14ac:dyDescent="0.2">
      <c r="J663" s="52" t="str" cm="1">
        <f t="array" ref="J663">IFERROR(
  VALUE($H663) *
  VALUE(
    _xlfn.XLOOKUP(
      TRIM($F663) &amp; "|" &amp; LEFT(SUBSTITUTE($G663,CHAR(160)," "),5) &amp; "|Reduced Rate",
      TRIM(SUBSTITUTE($Q$2:$Q$47,CHAR(160)," ")) &amp; "|" &amp;
      LEFT(SUBSTITUTE($R$2:$R$47,CHAR(160)," "),5) &amp; "|" &amp;
      TRIM(SUBSTITUTE($S$2:$S$47,CHAR(160)," ")),
      $T$2:$T$47
    )
  ),
"")</f>
        <v/>
      </c>
    </row>
    <row r="664" spans="10:10" x14ac:dyDescent="0.2">
      <c r="J664" s="52" t="str" cm="1">
        <f t="array" ref="J664">IFERROR(
  VALUE($H664) *
  VALUE(
    _xlfn.XLOOKUP(
      TRIM($F664) &amp; "|" &amp; LEFT(SUBSTITUTE($G664,CHAR(160)," "),5) &amp; "|Reduced Rate",
      TRIM(SUBSTITUTE($Q$2:$Q$47,CHAR(160)," ")) &amp; "|" &amp;
      LEFT(SUBSTITUTE($R$2:$R$47,CHAR(160)," "),5) &amp; "|" &amp;
      TRIM(SUBSTITUTE($S$2:$S$47,CHAR(160)," ")),
      $T$2:$T$47
    )
  ),
"")</f>
        <v/>
      </c>
    </row>
    <row r="665" spans="10:10" x14ac:dyDescent="0.2">
      <c r="J665" s="52" t="str" cm="1">
        <f t="array" ref="J665">IFERROR(
  VALUE($H665) *
  VALUE(
    _xlfn.XLOOKUP(
      TRIM($F665) &amp; "|" &amp; LEFT(SUBSTITUTE($G665,CHAR(160)," "),5) &amp; "|Reduced Rate",
      TRIM(SUBSTITUTE($Q$2:$Q$47,CHAR(160)," ")) &amp; "|" &amp;
      LEFT(SUBSTITUTE($R$2:$R$47,CHAR(160)," "),5) &amp; "|" &amp;
      TRIM(SUBSTITUTE($S$2:$S$47,CHAR(160)," ")),
      $T$2:$T$47
    )
  ),
"")</f>
        <v/>
      </c>
    </row>
    <row r="666" spans="10:10" x14ac:dyDescent="0.2">
      <c r="J666" s="52" t="str" cm="1">
        <f t="array" ref="J666">IFERROR(
  VALUE($H666) *
  VALUE(
    _xlfn.XLOOKUP(
      TRIM($F666) &amp; "|" &amp; LEFT(SUBSTITUTE($G666,CHAR(160)," "),5) &amp; "|Reduced Rate",
      TRIM(SUBSTITUTE($Q$2:$Q$47,CHAR(160)," ")) &amp; "|" &amp;
      LEFT(SUBSTITUTE($R$2:$R$47,CHAR(160)," "),5) &amp; "|" &amp;
      TRIM(SUBSTITUTE($S$2:$S$47,CHAR(160)," ")),
      $T$2:$T$47
    )
  ),
"")</f>
        <v/>
      </c>
    </row>
    <row r="667" spans="10:10" x14ac:dyDescent="0.2">
      <c r="J667" s="52" t="str" cm="1">
        <f t="array" ref="J667">IFERROR(
  VALUE($H667) *
  VALUE(
    _xlfn.XLOOKUP(
      TRIM($F667) &amp; "|" &amp; LEFT(SUBSTITUTE($G667,CHAR(160)," "),5) &amp; "|Reduced Rate",
      TRIM(SUBSTITUTE($Q$2:$Q$47,CHAR(160)," ")) &amp; "|" &amp;
      LEFT(SUBSTITUTE($R$2:$R$47,CHAR(160)," "),5) &amp; "|" &amp;
      TRIM(SUBSTITUTE($S$2:$S$47,CHAR(160)," ")),
      $T$2:$T$47
    )
  ),
"")</f>
        <v/>
      </c>
    </row>
    <row r="668" spans="10:10" x14ac:dyDescent="0.2">
      <c r="J668" s="52" t="str" cm="1">
        <f t="array" ref="J668">IFERROR(
  VALUE($H668) *
  VALUE(
    _xlfn.XLOOKUP(
      TRIM($F668) &amp; "|" &amp; LEFT(SUBSTITUTE($G668,CHAR(160)," "),5) &amp; "|Reduced Rate",
      TRIM(SUBSTITUTE($Q$2:$Q$47,CHAR(160)," ")) &amp; "|" &amp;
      LEFT(SUBSTITUTE($R$2:$R$47,CHAR(160)," "),5) &amp; "|" &amp;
      TRIM(SUBSTITUTE($S$2:$S$47,CHAR(160)," ")),
      $T$2:$T$47
    )
  ),
"")</f>
        <v/>
      </c>
    </row>
    <row r="669" spans="10:10" x14ac:dyDescent="0.2">
      <c r="J669" s="52" t="str" cm="1">
        <f t="array" ref="J669">IFERROR(
  VALUE($H669) *
  VALUE(
    _xlfn.XLOOKUP(
      TRIM($F669) &amp; "|" &amp; LEFT(SUBSTITUTE($G669,CHAR(160)," "),5) &amp; "|Reduced Rate",
      TRIM(SUBSTITUTE($Q$2:$Q$47,CHAR(160)," ")) &amp; "|" &amp;
      LEFT(SUBSTITUTE($R$2:$R$47,CHAR(160)," "),5) &amp; "|" &amp;
      TRIM(SUBSTITUTE($S$2:$S$47,CHAR(160)," ")),
      $T$2:$T$47
    )
  ),
"")</f>
        <v/>
      </c>
    </row>
    <row r="670" spans="10:10" x14ac:dyDescent="0.2">
      <c r="J670" s="52" t="str" cm="1">
        <f t="array" ref="J670">IFERROR(
  VALUE($H670) *
  VALUE(
    _xlfn.XLOOKUP(
      TRIM($F670) &amp; "|" &amp; LEFT(SUBSTITUTE($G670,CHAR(160)," "),5) &amp; "|Reduced Rate",
      TRIM(SUBSTITUTE($Q$2:$Q$47,CHAR(160)," ")) &amp; "|" &amp;
      LEFT(SUBSTITUTE($R$2:$R$47,CHAR(160)," "),5) &amp; "|" &amp;
      TRIM(SUBSTITUTE($S$2:$S$47,CHAR(160)," ")),
      $T$2:$T$47
    )
  ),
"")</f>
        <v/>
      </c>
    </row>
    <row r="671" spans="10:10" x14ac:dyDescent="0.2">
      <c r="J671" s="52" t="str" cm="1">
        <f t="array" ref="J671">IFERROR(
  VALUE($H671) *
  VALUE(
    _xlfn.XLOOKUP(
      TRIM($F671) &amp; "|" &amp; LEFT(SUBSTITUTE($G671,CHAR(160)," "),5) &amp; "|Reduced Rate",
      TRIM(SUBSTITUTE($Q$2:$Q$47,CHAR(160)," ")) &amp; "|" &amp;
      LEFT(SUBSTITUTE($R$2:$R$47,CHAR(160)," "),5) &amp; "|" &amp;
      TRIM(SUBSTITUTE($S$2:$S$47,CHAR(160)," ")),
      $T$2:$T$47
    )
  ),
"")</f>
        <v/>
      </c>
    </row>
    <row r="672" spans="10:10" x14ac:dyDescent="0.2">
      <c r="J672" s="52" t="str" cm="1">
        <f t="array" ref="J672">IFERROR(
  VALUE($H672) *
  VALUE(
    _xlfn.XLOOKUP(
      TRIM($F672) &amp; "|" &amp; LEFT(SUBSTITUTE($G672,CHAR(160)," "),5) &amp; "|Reduced Rate",
      TRIM(SUBSTITUTE($Q$2:$Q$47,CHAR(160)," ")) &amp; "|" &amp;
      LEFT(SUBSTITUTE($R$2:$R$47,CHAR(160)," "),5) &amp; "|" &amp;
      TRIM(SUBSTITUTE($S$2:$S$47,CHAR(160)," ")),
      $T$2:$T$47
    )
  ),
"")</f>
        <v/>
      </c>
    </row>
    <row r="673" spans="10:10" x14ac:dyDescent="0.2">
      <c r="J673" s="52" t="str" cm="1">
        <f t="array" ref="J673">IFERROR(
  VALUE($H673) *
  VALUE(
    _xlfn.XLOOKUP(
      TRIM($F673) &amp; "|" &amp; LEFT(SUBSTITUTE($G673,CHAR(160)," "),5) &amp; "|Reduced Rate",
      TRIM(SUBSTITUTE($Q$2:$Q$47,CHAR(160)," ")) &amp; "|" &amp;
      LEFT(SUBSTITUTE($R$2:$R$47,CHAR(160)," "),5) &amp; "|" &amp;
      TRIM(SUBSTITUTE($S$2:$S$47,CHAR(160)," ")),
      $T$2:$T$47
    )
  ),
"")</f>
        <v/>
      </c>
    </row>
    <row r="674" spans="10:10" x14ac:dyDescent="0.2">
      <c r="J674" s="52" t="str" cm="1">
        <f t="array" ref="J674">IFERROR(
  VALUE($H674) *
  VALUE(
    _xlfn.XLOOKUP(
      TRIM($F674) &amp; "|" &amp; LEFT(SUBSTITUTE($G674,CHAR(160)," "),5) &amp; "|Reduced Rate",
      TRIM(SUBSTITUTE($Q$2:$Q$47,CHAR(160)," ")) &amp; "|" &amp;
      LEFT(SUBSTITUTE($R$2:$R$47,CHAR(160)," "),5) &amp; "|" &amp;
      TRIM(SUBSTITUTE($S$2:$S$47,CHAR(160)," ")),
      $T$2:$T$47
    )
  ),
"")</f>
        <v/>
      </c>
    </row>
    <row r="675" spans="10:10" x14ac:dyDescent="0.2">
      <c r="J675" s="52" t="str" cm="1">
        <f t="array" ref="J675">IFERROR(
  VALUE($H675) *
  VALUE(
    _xlfn.XLOOKUP(
      TRIM($F675) &amp; "|" &amp; LEFT(SUBSTITUTE($G675,CHAR(160)," "),5) &amp; "|Reduced Rate",
      TRIM(SUBSTITUTE($Q$2:$Q$47,CHAR(160)," ")) &amp; "|" &amp;
      LEFT(SUBSTITUTE($R$2:$R$47,CHAR(160)," "),5) &amp; "|" &amp;
      TRIM(SUBSTITUTE($S$2:$S$47,CHAR(160)," ")),
      $T$2:$T$47
    )
  ),
"")</f>
        <v/>
      </c>
    </row>
    <row r="676" spans="10:10" x14ac:dyDescent="0.2">
      <c r="J676" s="52" t="str" cm="1">
        <f t="array" ref="J676">IFERROR(
  VALUE($H676) *
  VALUE(
    _xlfn.XLOOKUP(
      TRIM($F676) &amp; "|" &amp; LEFT(SUBSTITUTE($G676,CHAR(160)," "),5) &amp; "|Reduced Rate",
      TRIM(SUBSTITUTE($Q$2:$Q$47,CHAR(160)," ")) &amp; "|" &amp;
      LEFT(SUBSTITUTE($R$2:$R$47,CHAR(160)," "),5) &amp; "|" &amp;
      TRIM(SUBSTITUTE($S$2:$S$47,CHAR(160)," ")),
      $T$2:$T$47
    )
  ),
"")</f>
        <v/>
      </c>
    </row>
    <row r="677" spans="10:10" x14ac:dyDescent="0.2">
      <c r="J677" s="52" t="str" cm="1">
        <f t="array" ref="J677">IFERROR(
  VALUE($H677) *
  VALUE(
    _xlfn.XLOOKUP(
      TRIM($F677) &amp; "|" &amp; LEFT(SUBSTITUTE($G677,CHAR(160)," "),5) &amp; "|Reduced Rate",
      TRIM(SUBSTITUTE($Q$2:$Q$47,CHAR(160)," ")) &amp; "|" &amp;
      LEFT(SUBSTITUTE($R$2:$R$47,CHAR(160)," "),5) &amp; "|" &amp;
      TRIM(SUBSTITUTE($S$2:$S$47,CHAR(160)," ")),
      $T$2:$T$47
    )
  ),
"")</f>
        <v/>
      </c>
    </row>
    <row r="678" spans="10:10" x14ac:dyDescent="0.2">
      <c r="J678" s="52" t="str" cm="1">
        <f t="array" ref="J678">IFERROR(
  VALUE($H678) *
  VALUE(
    _xlfn.XLOOKUP(
      TRIM($F678) &amp; "|" &amp; LEFT(SUBSTITUTE($G678,CHAR(160)," "),5) &amp; "|Reduced Rate",
      TRIM(SUBSTITUTE($Q$2:$Q$47,CHAR(160)," ")) &amp; "|" &amp;
      LEFT(SUBSTITUTE($R$2:$R$47,CHAR(160)," "),5) &amp; "|" &amp;
      TRIM(SUBSTITUTE($S$2:$S$47,CHAR(160)," ")),
      $T$2:$T$47
    )
  ),
"")</f>
        <v/>
      </c>
    </row>
    <row r="679" spans="10:10" x14ac:dyDescent="0.2">
      <c r="J679" s="52" t="str" cm="1">
        <f t="array" ref="J679">IFERROR(
  VALUE($H679) *
  VALUE(
    _xlfn.XLOOKUP(
      TRIM($F679) &amp; "|" &amp; LEFT(SUBSTITUTE($G679,CHAR(160)," "),5) &amp; "|Reduced Rate",
      TRIM(SUBSTITUTE($Q$2:$Q$47,CHAR(160)," ")) &amp; "|" &amp;
      LEFT(SUBSTITUTE($R$2:$R$47,CHAR(160)," "),5) &amp; "|" &amp;
      TRIM(SUBSTITUTE($S$2:$S$47,CHAR(160)," ")),
      $T$2:$T$47
    )
  ),
"")</f>
        <v/>
      </c>
    </row>
    <row r="680" spans="10:10" x14ac:dyDescent="0.2">
      <c r="J680" s="52" t="str" cm="1">
        <f t="array" ref="J680">IFERROR(
  VALUE($H680) *
  VALUE(
    _xlfn.XLOOKUP(
      TRIM($F680) &amp; "|" &amp; LEFT(SUBSTITUTE($G680,CHAR(160)," "),5) &amp; "|Reduced Rate",
      TRIM(SUBSTITUTE($Q$2:$Q$47,CHAR(160)," ")) &amp; "|" &amp;
      LEFT(SUBSTITUTE($R$2:$R$47,CHAR(160)," "),5) &amp; "|" &amp;
      TRIM(SUBSTITUTE($S$2:$S$47,CHAR(160)," ")),
      $T$2:$T$47
    )
  ),
"")</f>
        <v/>
      </c>
    </row>
    <row r="681" spans="10:10" x14ac:dyDescent="0.2">
      <c r="J681" s="52" t="str" cm="1">
        <f t="array" ref="J681">IFERROR(
  VALUE($H681) *
  VALUE(
    _xlfn.XLOOKUP(
      TRIM($F681) &amp; "|" &amp; LEFT(SUBSTITUTE($G681,CHAR(160)," "),5) &amp; "|Reduced Rate",
      TRIM(SUBSTITUTE($Q$2:$Q$47,CHAR(160)," ")) &amp; "|" &amp;
      LEFT(SUBSTITUTE($R$2:$R$47,CHAR(160)," "),5) &amp; "|" &amp;
      TRIM(SUBSTITUTE($S$2:$S$47,CHAR(160)," ")),
      $T$2:$T$47
    )
  ),
"")</f>
        <v/>
      </c>
    </row>
    <row r="682" spans="10:10" x14ac:dyDescent="0.2">
      <c r="J682" s="52" t="str" cm="1">
        <f t="array" ref="J682">IFERROR(
  VALUE($H682) *
  VALUE(
    _xlfn.XLOOKUP(
      TRIM($F682) &amp; "|" &amp; LEFT(SUBSTITUTE($G682,CHAR(160)," "),5) &amp; "|Reduced Rate",
      TRIM(SUBSTITUTE($Q$2:$Q$47,CHAR(160)," ")) &amp; "|" &amp;
      LEFT(SUBSTITUTE($R$2:$R$47,CHAR(160)," "),5) &amp; "|" &amp;
      TRIM(SUBSTITUTE($S$2:$S$47,CHAR(160)," ")),
      $T$2:$T$47
    )
  ),
"")</f>
        <v/>
      </c>
    </row>
    <row r="683" spans="10:10" x14ac:dyDescent="0.2">
      <c r="J683" s="52" t="str" cm="1">
        <f t="array" ref="J683">IFERROR(
  VALUE($H683) *
  VALUE(
    _xlfn.XLOOKUP(
      TRIM($F683) &amp; "|" &amp; LEFT(SUBSTITUTE($G683,CHAR(160)," "),5) &amp; "|Reduced Rate",
      TRIM(SUBSTITUTE($Q$2:$Q$47,CHAR(160)," ")) &amp; "|" &amp;
      LEFT(SUBSTITUTE($R$2:$R$47,CHAR(160)," "),5) &amp; "|" &amp;
      TRIM(SUBSTITUTE($S$2:$S$47,CHAR(160)," ")),
      $T$2:$T$47
    )
  ),
"")</f>
        <v/>
      </c>
    </row>
    <row r="684" spans="10:10" x14ac:dyDescent="0.2">
      <c r="J684" s="52" t="str" cm="1">
        <f t="array" ref="J684">IFERROR(
  VALUE($H684) *
  VALUE(
    _xlfn.XLOOKUP(
      TRIM($F684) &amp; "|" &amp; LEFT(SUBSTITUTE($G684,CHAR(160)," "),5) &amp; "|Reduced Rate",
      TRIM(SUBSTITUTE($Q$2:$Q$47,CHAR(160)," ")) &amp; "|" &amp;
      LEFT(SUBSTITUTE($R$2:$R$47,CHAR(160)," "),5) &amp; "|" &amp;
      TRIM(SUBSTITUTE($S$2:$S$47,CHAR(160)," ")),
      $T$2:$T$47
    )
  ),
"")</f>
        <v/>
      </c>
    </row>
    <row r="685" spans="10:10" x14ac:dyDescent="0.2">
      <c r="J685" s="52" t="str" cm="1">
        <f t="array" ref="J685">IFERROR(
  VALUE($H685) *
  VALUE(
    _xlfn.XLOOKUP(
      TRIM($F685) &amp; "|" &amp; LEFT(SUBSTITUTE($G685,CHAR(160)," "),5) &amp; "|Reduced Rate",
      TRIM(SUBSTITUTE($Q$2:$Q$47,CHAR(160)," ")) &amp; "|" &amp;
      LEFT(SUBSTITUTE($R$2:$R$47,CHAR(160)," "),5) &amp; "|" &amp;
      TRIM(SUBSTITUTE($S$2:$S$47,CHAR(160)," ")),
      $T$2:$T$47
    )
  ),
"")</f>
        <v/>
      </c>
    </row>
    <row r="686" spans="10:10" x14ac:dyDescent="0.2">
      <c r="J686" s="52" t="str" cm="1">
        <f t="array" ref="J686">IFERROR(
  VALUE($H686) *
  VALUE(
    _xlfn.XLOOKUP(
      TRIM($F686) &amp; "|" &amp; LEFT(SUBSTITUTE($G686,CHAR(160)," "),5) &amp; "|Reduced Rate",
      TRIM(SUBSTITUTE($Q$2:$Q$47,CHAR(160)," ")) &amp; "|" &amp;
      LEFT(SUBSTITUTE($R$2:$R$47,CHAR(160)," "),5) &amp; "|" &amp;
      TRIM(SUBSTITUTE($S$2:$S$47,CHAR(160)," ")),
      $T$2:$T$47
    )
  ),
"")</f>
        <v/>
      </c>
    </row>
    <row r="687" spans="10:10" x14ac:dyDescent="0.2">
      <c r="J687" s="52" t="str" cm="1">
        <f t="array" ref="J687">IFERROR(
  VALUE($H687) *
  VALUE(
    _xlfn.XLOOKUP(
      TRIM($F687) &amp; "|" &amp; LEFT(SUBSTITUTE($G687,CHAR(160)," "),5) &amp; "|Reduced Rate",
      TRIM(SUBSTITUTE($Q$2:$Q$47,CHAR(160)," ")) &amp; "|" &amp;
      LEFT(SUBSTITUTE($R$2:$R$47,CHAR(160)," "),5) &amp; "|" &amp;
      TRIM(SUBSTITUTE($S$2:$S$47,CHAR(160)," ")),
      $T$2:$T$47
    )
  ),
"")</f>
        <v/>
      </c>
    </row>
    <row r="688" spans="10:10" x14ac:dyDescent="0.2">
      <c r="J688" s="52" t="str" cm="1">
        <f t="array" ref="J688">IFERROR(
  VALUE($H688) *
  VALUE(
    _xlfn.XLOOKUP(
      TRIM($F688) &amp; "|" &amp; LEFT(SUBSTITUTE($G688,CHAR(160)," "),5) &amp; "|Reduced Rate",
      TRIM(SUBSTITUTE($Q$2:$Q$47,CHAR(160)," ")) &amp; "|" &amp;
      LEFT(SUBSTITUTE($R$2:$R$47,CHAR(160)," "),5) &amp; "|" &amp;
      TRIM(SUBSTITUTE($S$2:$S$47,CHAR(160)," ")),
      $T$2:$T$47
    )
  ),
"")</f>
        <v/>
      </c>
    </row>
    <row r="689" spans="10:10" x14ac:dyDescent="0.2">
      <c r="J689" s="52" t="str" cm="1">
        <f t="array" ref="J689">IFERROR(
  VALUE($H689) *
  VALUE(
    _xlfn.XLOOKUP(
      TRIM($F689) &amp; "|" &amp; LEFT(SUBSTITUTE($G689,CHAR(160)," "),5) &amp; "|Reduced Rate",
      TRIM(SUBSTITUTE($Q$2:$Q$47,CHAR(160)," ")) &amp; "|" &amp;
      LEFT(SUBSTITUTE($R$2:$R$47,CHAR(160)," "),5) &amp; "|" &amp;
      TRIM(SUBSTITUTE($S$2:$S$47,CHAR(160)," ")),
      $T$2:$T$47
    )
  ),
"")</f>
        <v/>
      </c>
    </row>
    <row r="690" spans="10:10" x14ac:dyDescent="0.2">
      <c r="J690" s="52" t="str" cm="1">
        <f t="array" ref="J690">IFERROR(
  VALUE($H690) *
  VALUE(
    _xlfn.XLOOKUP(
      TRIM($F690) &amp; "|" &amp; LEFT(SUBSTITUTE($G690,CHAR(160)," "),5) &amp; "|Reduced Rate",
      TRIM(SUBSTITUTE($Q$2:$Q$47,CHAR(160)," ")) &amp; "|" &amp;
      LEFT(SUBSTITUTE($R$2:$R$47,CHAR(160)," "),5) &amp; "|" &amp;
      TRIM(SUBSTITUTE($S$2:$S$47,CHAR(160)," ")),
      $T$2:$T$47
    )
  ),
"")</f>
        <v/>
      </c>
    </row>
    <row r="691" spans="10:10" x14ac:dyDescent="0.2">
      <c r="J691" s="52" t="str" cm="1">
        <f t="array" ref="J691">IFERROR(
  VALUE($H691) *
  VALUE(
    _xlfn.XLOOKUP(
      TRIM($F691) &amp; "|" &amp; LEFT(SUBSTITUTE($G691,CHAR(160)," "),5) &amp; "|Reduced Rate",
      TRIM(SUBSTITUTE($Q$2:$Q$47,CHAR(160)," ")) &amp; "|" &amp;
      LEFT(SUBSTITUTE($R$2:$R$47,CHAR(160)," "),5) &amp; "|" &amp;
      TRIM(SUBSTITUTE($S$2:$S$47,CHAR(160)," ")),
      $T$2:$T$47
    )
  ),
"")</f>
        <v/>
      </c>
    </row>
    <row r="692" spans="10:10" x14ac:dyDescent="0.2">
      <c r="J692" s="52" t="str" cm="1">
        <f t="array" ref="J692">IFERROR(
  VALUE($H692) *
  VALUE(
    _xlfn.XLOOKUP(
      TRIM($F692) &amp; "|" &amp; LEFT(SUBSTITUTE($G692,CHAR(160)," "),5) &amp; "|Reduced Rate",
      TRIM(SUBSTITUTE($Q$2:$Q$47,CHAR(160)," ")) &amp; "|" &amp;
      LEFT(SUBSTITUTE($R$2:$R$47,CHAR(160)," "),5) &amp; "|" &amp;
      TRIM(SUBSTITUTE($S$2:$S$47,CHAR(160)," ")),
      $T$2:$T$47
    )
  ),
"")</f>
        <v/>
      </c>
    </row>
    <row r="693" spans="10:10" x14ac:dyDescent="0.2">
      <c r="J693" s="52" t="str" cm="1">
        <f t="array" ref="J693">IFERROR(
  VALUE($H693) *
  VALUE(
    _xlfn.XLOOKUP(
      TRIM($F693) &amp; "|" &amp; LEFT(SUBSTITUTE($G693,CHAR(160)," "),5) &amp; "|Reduced Rate",
      TRIM(SUBSTITUTE($Q$2:$Q$47,CHAR(160)," ")) &amp; "|" &amp;
      LEFT(SUBSTITUTE($R$2:$R$47,CHAR(160)," "),5) &amp; "|" &amp;
      TRIM(SUBSTITUTE($S$2:$S$47,CHAR(160)," ")),
      $T$2:$T$47
    )
  ),
"")</f>
        <v/>
      </c>
    </row>
    <row r="694" spans="10:10" x14ac:dyDescent="0.2">
      <c r="J694" s="52" t="str" cm="1">
        <f t="array" ref="J694">IFERROR(
  VALUE($H694) *
  VALUE(
    _xlfn.XLOOKUP(
      TRIM($F694) &amp; "|" &amp; LEFT(SUBSTITUTE($G694,CHAR(160)," "),5) &amp; "|Reduced Rate",
      TRIM(SUBSTITUTE($Q$2:$Q$47,CHAR(160)," ")) &amp; "|" &amp;
      LEFT(SUBSTITUTE($R$2:$R$47,CHAR(160)," "),5) &amp; "|" &amp;
      TRIM(SUBSTITUTE($S$2:$S$47,CHAR(160)," ")),
      $T$2:$T$47
    )
  ),
"")</f>
        <v/>
      </c>
    </row>
    <row r="695" spans="10:10" x14ac:dyDescent="0.2">
      <c r="J695" s="52" t="str" cm="1">
        <f t="array" ref="J695">IFERROR(
  VALUE($H695) *
  VALUE(
    _xlfn.XLOOKUP(
      TRIM($F695) &amp; "|" &amp; LEFT(SUBSTITUTE($G695,CHAR(160)," "),5) &amp; "|Reduced Rate",
      TRIM(SUBSTITUTE($Q$2:$Q$47,CHAR(160)," ")) &amp; "|" &amp;
      LEFT(SUBSTITUTE($R$2:$R$47,CHAR(160)," "),5) &amp; "|" &amp;
      TRIM(SUBSTITUTE($S$2:$S$47,CHAR(160)," ")),
      $T$2:$T$47
    )
  ),
"")</f>
        <v/>
      </c>
    </row>
    <row r="696" spans="10:10" x14ac:dyDescent="0.2">
      <c r="J696" s="52" t="str" cm="1">
        <f t="array" ref="J696">IFERROR(
  VALUE($H696) *
  VALUE(
    _xlfn.XLOOKUP(
      TRIM($F696) &amp; "|" &amp; LEFT(SUBSTITUTE($G696,CHAR(160)," "),5) &amp; "|Reduced Rate",
      TRIM(SUBSTITUTE($Q$2:$Q$47,CHAR(160)," ")) &amp; "|" &amp;
      LEFT(SUBSTITUTE($R$2:$R$47,CHAR(160)," "),5) &amp; "|" &amp;
      TRIM(SUBSTITUTE($S$2:$S$47,CHAR(160)," ")),
      $T$2:$T$47
    )
  ),
"")</f>
        <v/>
      </c>
    </row>
    <row r="697" spans="10:10" x14ac:dyDescent="0.2">
      <c r="J697" s="52" t="str" cm="1">
        <f t="array" ref="J697">IFERROR(
  VALUE($H697) *
  VALUE(
    _xlfn.XLOOKUP(
      TRIM($F697) &amp; "|" &amp; LEFT(SUBSTITUTE($G697,CHAR(160)," "),5) &amp; "|Reduced Rate",
      TRIM(SUBSTITUTE($Q$2:$Q$47,CHAR(160)," ")) &amp; "|" &amp;
      LEFT(SUBSTITUTE($R$2:$R$47,CHAR(160)," "),5) &amp; "|" &amp;
      TRIM(SUBSTITUTE($S$2:$S$47,CHAR(160)," ")),
      $T$2:$T$47
    )
  ),
"")</f>
        <v/>
      </c>
    </row>
    <row r="698" spans="10:10" x14ac:dyDescent="0.2">
      <c r="J698" s="52" t="str" cm="1">
        <f t="array" ref="J698">IFERROR(
  VALUE($H698) *
  VALUE(
    _xlfn.XLOOKUP(
      TRIM($F698) &amp; "|" &amp; LEFT(SUBSTITUTE($G698,CHAR(160)," "),5) &amp; "|Reduced Rate",
      TRIM(SUBSTITUTE($Q$2:$Q$47,CHAR(160)," ")) &amp; "|" &amp;
      LEFT(SUBSTITUTE($R$2:$R$47,CHAR(160)," "),5) &amp; "|" &amp;
      TRIM(SUBSTITUTE($S$2:$S$47,CHAR(160)," ")),
      $T$2:$T$47
    )
  ),
"")</f>
        <v/>
      </c>
    </row>
    <row r="699" spans="10:10" x14ac:dyDescent="0.2">
      <c r="J699" s="52" t="str" cm="1">
        <f t="array" ref="J699">IFERROR(
  VALUE($H699) *
  VALUE(
    _xlfn.XLOOKUP(
      TRIM($F699) &amp; "|" &amp; LEFT(SUBSTITUTE($G699,CHAR(160)," "),5) &amp; "|Reduced Rate",
      TRIM(SUBSTITUTE($Q$2:$Q$47,CHAR(160)," ")) &amp; "|" &amp;
      LEFT(SUBSTITUTE($R$2:$R$47,CHAR(160)," "),5) &amp; "|" &amp;
      TRIM(SUBSTITUTE($S$2:$S$47,CHAR(160)," ")),
      $T$2:$T$47
    )
  ),
"")</f>
        <v/>
      </c>
    </row>
    <row r="700" spans="10:10" x14ac:dyDescent="0.2">
      <c r="J700" s="52" t="str" cm="1">
        <f t="array" ref="J700">IFERROR(
  VALUE($H700) *
  VALUE(
    _xlfn.XLOOKUP(
      TRIM($F700) &amp; "|" &amp; LEFT(SUBSTITUTE($G700,CHAR(160)," "),5) &amp; "|Reduced Rate",
      TRIM(SUBSTITUTE($Q$2:$Q$47,CHAR(160)," ")) &amp; "|" &amp;
      LEFT(SUBSTITUTE($R$2:$R$47,CHAR(160)," "),5) &amp; "|" &amp;
      TRIM(SUBSTITUTE($S$2:$S$47,CHAR(160)," ")),
      $T$2:$T$47
    )
  ),
"")</f>
        <v/>
      </c>
    </row>
    <row r="701" spans="10:10" x14ac:dyDescent="0.2">
      <c r="J701" s="52" t="str" cm="1">
        <f t="array" ref="J701">IFERROR(
  VALUE($H701) *
  VALUE(
    _xlfn.XLOOKUP(
      TRIM($F701) &amp; "|" &amp; LEFT(SUBSTITUTE($G701,CHAR(160)," "),5) &amp; "|Reduced Rate",
      TRIM(SUBSTITUTE($Q$2:$Q$47,CHAR(160)," ")) &amp; "|" &amp;
      LEFT(SUBSTITUTE($R$2:$R$47,CHAR(160)," "),5) &amp; "|" &amp;
      TRIM(SUBSTITUTE($S$2:$S$47,CHAR(160)," ")),
      $T$2:$T$47
    )
  ),
"")</f>
        <v/>
      </c>
    </row>
    <row r="702" spans="10:10" x14ac:dyDescent="0.2">
      <c r="J702" s="52" t="str" cm="1">
        <f t="array" ref="J702">IFERROR(
  VALUE($H702) *
  VALUE(
    _xlfn.XLOOKUP(
      TRIM($F702) &amp; "|" &amp; LEFT(SUBSTITUTE($G702,CHAR(160)," "),5) &amp; "|Reduced Rate",
      TRIM(SUBSTITUTE($Q$2:$Q$47,CHAR(160)," ")) &amp; "|" &amp;
      LEFT(SUBSTITUTE($R$2:$R$47,CHAR(160)," "),5) &amp; "|" &amp;
      TRIM(SUBSTITUTE($S$2:$S$47,CHAR(160)," ")),
      $T$2:$T$47
    )
  ),
"")</f>
        <v/>
      </c>
    </row>
    <row r="703" spans="10:10" x14ac:dyDescent="0.2">
      <c r="J703" s="52" t="str" cm="1">
        <f t="array" ref="J703">IFERROR(
  VALUE($H703) *
  VALUE(
    _xlfn.XLOOKUP(
      TRIM($F703) &amp; "|" &amp; LEFT(SUBSTITUTE($G703,CHAR(160)," "),5) &amp; "|Reduced Rate",
      TRIM(SUBSTITUTE($Q$2:$Q$47,CHAR(160)," ")) &amp; "|" &amp;
      LEFT(SUBSTITUTE($R$2:$R$47,CHAR(160)," "),5) &amp; "|" &amp;
      TRIM(SUBSTITUTE($S$2:$S$47,CHAR(160)," ")),
      $T$2:$T$47
    )
  ),
"")</f>
        <v/>
      </c>
    </row>
    <row r="704" spans="10:10" x14ac:dyDescent="0.2">
      <c r="J704" s="52" t="str" cm="1">
        <f t="array" ref="J704">IFERROR(
  VALUE($H704) *
  VALUE(
    _xlfn.XLOOKUP(
      TRIM($F704) &amp; "|" &amp; LEFT(SUBSTITUTE($G704,CHAR(160)," "),5) &amp; "|Reduced Rate",
      TRIM(SUBSTITUTE($Q$2:$Q$47,CHAR(160)," ")) &amp; "|" &amp;
      LEFT(SUBSTITUTE($R$2:$R$47,CHAR(160)," "),5) &amp; "|" &amp;
      TRIM(SUBSTITUTE($S$2:$S$47,CHAR(160)," ")),
      $T$2:$T$47
    )
  ),
"")</f>
        <v/>
      </c>
    </row>
    <row r="705" spans="10:10" x14ac:dyDescent="0.2">
      <c r="J705" s="52" t="str" cm="1">
        <f t="array" ref="J705">IFERROR(
  VALUE($H705) *
  VALUE(
    _xlfn.XLOOKUP(
      TRIM($F705) &amp; "|" &amp; LEFT(SUBSTITUTE($G705,CHAR(160)," "),5) &amp; "|Reduced Rate",
      TRIM(SUBSTITUTE($Q$2:$Q$47,CHAR(160)," ")) &amp; "|" &amp;
      LEFT(SUBSTITUTE($R$2:$R$47,CHAR(160)," "),5) &amp; "|" &amp;
      TRIM(SUBSTITUTE($S$2:$S$47,CHAR(160)," ")),
      $T$2:$T$47
    )
  ),
"")</f>
        <v/>
      </c>
    </row>
    <row r="706" spans="10:10" x14ac:dyDescent="0.2">
      <c r="J706" s="52" t="str" cm="1">
        <f t="array" ref="J706">IFERROR(
  VALUE($H706) *
  VALUE(
    _xlfn.XLOOKUP(
      TRIM($F706) &amp; "|" &amp; LEFT(SUBSTITUTE($G706,CHAR(160)," "),5) &amp; "|Reduced Rate",
      TRIM(SUBSTITUTE($Q$2:$Q$47,CHAR(160)," ")) &amp; "|" &amp;
      LEFT(SUBSTITUTE($R$2:$R$47,CHAR(160)," "),5) &amp; "|" &amp;
      TRIM(SUBSTITUTE($S$2:$S$47,CHAR(160)," ")),
      $T$2:$T$47
    )
  ),
"")</f>
        <v/>
      </c>
    </row>
    <row r="707" spans="10:10" x14ac:dyDescent="0.2">
      <c r="J707" s="52" t="str" cm="1">
        <f t="array" ref="J707">IFERROR(
  VALUE($H707) *
  VALUE(
    _xlfn.XLOOKUP(
      TRIM($F707) &amp; "|" &amp; LEFT(SUBSTITUTE($G707,CHAR(160)," "),5) &amp; "|Reduced Rate",
      TRIM(SUBSTITUTE($Q$2:$Q$47,CHAR(160)," ")) &amp; "|" &amp;
      LEFT(SUBSTITUTE($R$2:$R$47,CHAR(160)," "),5) &amp; "|" &amp;
      TRIM(SUBSTITUTE($S$2:$S$47,CHAR(160)," ")),
      $T$2:$T$47
    )
  ),
"")</f>
        <v/>
      </c>
    </row>
    <row r="708" spans="10:10" x14ac:dyDescent="0.2">
      <c r="J708" s="52" t="str" cm="1">
        <f t="array" ref="J708">IFERROR(
  VALUE($H708) *
  VALUE(
    _xlfn.XLOOKUP(
      TRIM($F708) &amp; "|" &amp; LEFT(SUBSTITUTE($G708,CHAR(160)," "),5) &amp; "|Reduced Rate",
      TRIM(SUBSTITUTE($Q$2:$Q$47,CHAR(160)," ")) &amp; "|" &amp;
      LEFT(SUBSTITUTE($R$2:$R$47,CHAR(160)," "),5) &amp; "|" &amp;
      TRIM(SUBSTITUTE($S$2:$S$47,CHAR(160)," ")),
      $T$2:$T$47
    )
  ),
"")</f>
        <v/>
      </c>
    </row>
    <row r="709" spans="10:10" x14ac:dyDescent="0.2">
      <c r="J709" s="52" t="str" cm="1">
        <f t="array" ref="J709">IFERROR(
  VALUE($H709) *
  VALUE(
    _xlfn.XLOOKUP(
      TRIM($F709) &amp; "|" &amp; LEFT(SUBSTITUTE($G709,CHAR(160)," "),5) &amp; "|Reduced Rate",
      TRIM(SUBSTITUTE($Q$2:$Q$47,CHAR(160)," ")) &amp; "|" &amp;
      LEFT(SUBSTITUTE($R$2:$R$47,CHAR(160)," "),5) &amp; "|" &amp;
      TRIM(SUBSTITUTE($S$2:$S$47,CHAR(160)," ")),
      $T$2:$T$47
    )
  ),
"")</f>
        <v/>
      </c>
    </row>
    <row r="710" spans="10:10" x14ac:dyDescent="0.2">
      <c r="J710" s="52" t="str" cm="1">
        <f t="array" ref="J710">IFERROR(
  VALUE($H710) *
  VALUE(
    _xlfn.XLOOKUP(
      TRIM($F710) &amp; "|" &amp; LEFT(SUBSTITUTE($G710,CHAR(160)," "),5) &amp; "|Reduced Rate",
      TRIM(SUBSTITUTE($Q$2:$Q$47,CHAR(160)," ")) &amp; "|" &amp;
      LEFT(SUBSTITUTE($R$2:$R$47,CHAR(160)," "),5) &amp; "|" &amp;
      TRIM(SUBSTITUTE($S$2:$S$47,CHAR(160)," ")),
      $T$2:$T$47
    )
  ),
"")</f>
        <v/>
      </c>
    </row>
    <row r="711" spans="10:10" x14ac:dyDescent="0.2">
      <c r="J711" s="52" t="str" cm="1">
        <f t="array" ref="J711">IFERROR(
  VALUE($H711) *
  VALUE(
    _xlfn.XLOOKUP(
      TRIM($F711) &amp; "|" &amp; LEFT(SUBSTITUTE($G711,CHAR(160)," "),5) &amp; "|Reduced Rate",
      TRIM(SUBSTITUTE($Q$2:$Q$47,CHAR(160)," ")) &amp; "|" &amp;
      LEFT(SUBSTITUTE($R$2:$R$47,CHAR(160)," "),5) &amp; "|" &amp;
      TRIM(SUBSTITUTE($S$2:$S$47,CHAR(160)," ")),
      $T$2:$T$47
    )
  ),
"")</f>
        <v/>
      </c>
    </row>
    <row r="712" spans="10:10" x14ac:dyDescent="0.2">
      <c r="J712" s="52" t="str" cm="1">
        <f t="array" ref="J712">IFERROR(
  VALUE($H712) *
  VALUE(
    _xlfn.XLOOKUP(
      TRIM($F712) &amp; "|" &amp; LEFT(SUBSTITUTE($G712,CHAR(160)," "),5) &amp; "|Reduced Rate",
      TRIM(SUBSTITUTE($Q$2:$Q$47,CHAR(160)," ")) &amp; "|" &amp;
      LEFT(SUBSTITUTE($R$2:$R$47,CHAR(160)," "),5) &amp; "|" &amp;
      TRIM(SUBSTITUTE($S$2:$S$47,CHAR(160)," ")),
      $T$2:$T$47
    )
  ),
"")</f>
        <v/>
      </c>
    </row>
    <row r="713" spans="10:10" x14ac:dyDescent="0.2">
      <c r="J713" s="52" t="str" cm="1">
        <f t="array" ref="J713">IFERROR(
  VALUE($H713) *
  VALUE(
    _xlfn.XLOOKUP(
      TRIM($F713) &amp; "|" &amp; LEFT(SUBSTITUTE($G713,CHAR(160)," "),5) &amp; "|Reduced Rate",
      TRIM(SUBSTITUTE($Q$2:$Q$47,CHAR(160)," ")) &amp; "|" &amp;
      LEFT(SUBSTITUTE($R$2:$R$47,CHAR(160)," "),5) &amp; "|" &amp;
      TRIM(SUBSTITUTE($S$2:$S$47,CHAR(160)," ")),
      $T$2:$T$47
    )
  ),
"")</f>
        <v/>
      </c>
    </row>
    <row r="714" spans="10:10" x14ac:dyDescent="0.2">
      <c r="J714" s="52" t="str" cm="1">
        <f t="array" ref="J714">IFERROR(
  VALUE($H714) *
  VALUE(
    _xlfn.XLOOKUP(
      TRIM($F714) &amp; "|" &amp; LEFT(SUBSTITUTE($G714,CHAR(160)," "),5) &amp; "|Reduced Rate",
      TRIM(SUBSTITUTE($Q$2:$Q$47,CHAR(160)," ")) &amp; "|" &amp;
      LEFT(SUBSTITUTE($R$2:$R$47,CHAR(160)," "),5) &amp; "|" &amp;
      TRIM(SUBSTITUTE($S$2:$S$47,CHAR(160)," ")),
      $T$2:$T$47
    )
  ),
"")</f>
        <v/>
      </c>
    </row>
    <row r="715" spans="10:10" x14ac:dyDescent="0.2">
      <c r="J715" s="52" t="str" cm="1">
        <f t="array" ref="J715">IFERROR(
  VALUE($H715) *
  VALUE(
    _xlfn.XLOOKUP(
      TRIM($F715) &amp; "|" &amp; LEFT(SUBSTITUTE($G715,CHAR(160)," "),5) &amp; "|Reduced Rate",
      TRIM(SUBSTITUTE($Q$2:$Q$47,CHAR(160)," ")) &amp; "|" &amp;
      LEFT(SUBSTITUTE($R$2:$R$47,CHAR(160)," "),5) &amp; "|" &amp;
      TRIM(SUBSTITUTE($S$2:$S$47,CHAR(160)," ")),
      $T$2:$T$47
    )
  ),
"")</f>
        <v/>
      </c>
    </row>
    <row r="716" spans="10:10" x14ac:dyDescent="0.2">
      <c r="J716" s="52" t="str" cm="1">
        <f t="array" ref="J716">IFERROR(
  VALUE($H716) *
  VALUE(
    _xlfn.XLOOKUP(
      TRIM($F716) &amp; "|" &amp; LEFT(SUBSTITUTE($G716,CHAR(160)," "),5) &amp; "|Reduced Rate",
      TRIM(SUBSTITUTE($Q$2:$Q$47,CHAR(160)," ")) &amp; "|" &amp;
      LEFT(SUBSTITUTE($R$2:$R$47,CHAR(160)," "),5) &amp; "|" &amp;
      TRIM(SUBSTITUTE($S$2:$S$47,CHAR(160)," ")),
      $T$2:$T$47
    )
  ),
"")</f>
        <v/>
      </c>
    </row>
    <row r="717" spans="10:10" x14ac:dyDescent="0.2">
      <c r="J717" s="52" t="str" cm="1">
        <f t="array" ref="J717">IFERROR(
  VALUE($H717) *
  VALUE(
    _xlfn.XLOOKUP(
      TRIM($F717) &amp; "|" &amp; LEFT(SUBSTITUTE($G717,CHAR(160)," "),5) &amp; "|Reduced Rate",
      TRIM(SUBSTITUTE($Q$2:$Q$47,CHAR(160)," ")) &amp; "|" &amp;
      LEFT(SUBSTITUTE($R$2:$R$47,CHAR(160)," "),5) &amp; "|" &amp;
      TRIM(SUBSTITUTE($S$2:$S$47,CHAR(160)," ")),
      $T$2:$T$47
    )
  ),
"")</f>
        <v/>
      </c>
    </row>
    <row r="718" spans="10:10" x14ac:dyDescent="0.2">
      <c r="J718" s="52" t="str" cm="1">
        <f t="array" ref="J718">IFERROR(
  VALUE($H718) *
  VALUE(
    _xlfn.XLOOKUP(
      TRIM($F718) &amp; "|" &amp; LEFT(SUBSTITUTE($G718,CHAR(160)," "),5) &amp; "|Reduced Rate",
      TRIM(SUBSTITUTE($Q$2:$Q$47,CHAR(160)," ")) &amp; "|" &amp;
      LEFT(SUBSTITUTE($R$2:$R$47,CHAR(160)," "),5) &amp; "|" &amp;
      TRIM(SUBSTITUTE($S$2:$S$47,CHAR(160)," ")),
      $T$2:$T$47
    )
  ),
"")</f>
        <v/>
      </c>
    </row>
    <row r="719" spans="10:10" x14ac:dyDescent="0.2">
      <c r="J719" s="52" t="str" cm="1">
        <f t="array" ref="J719">IFERROR(
  VALUE($H719) *
  VALUE(
    _xlfn.XLOOKUP(
      TRIM($F719) &amp; "|" &amp; LEFT(SUBSTITUTE($G719,CHAR(160)," "),5) &amp; "|Reduced Rate",
      TRIM(SUBSTITUTE($Q$2:$Q$47,CHAR(160)," ")) &amp; "|" &amp;
      LEFT(SUBSTITUTE($R$2:$R$47,CHAR(160)," "),5) &amp; "|" &amp;
      TRIM(SUBSTITUTE($S$2:$S$47,CHAR(160)," ")),
      $T$2:$T$47
    )
  ),
"")</f>
        <v/>
      </c>
    </row>
    <row r="720" spans="10:10" x14ac:dyDescent="0.2">
      <c r="J720" s="52" t="str" cm="1">
        <f t="array" ref="J720">IFERROR(
  VALUE($H720) *
  VALUE(
    _xlfn.XLOOKUP(
      TRIM($F720) &amp; "|" &amp; LEFT(SUBSTITUTE($G720,CHAR(160)," "),5) &amp; "|Reduced Rate",
      TRIM(SUBSTITUTE($Q$2:$Q$47,CHAR(160)," ")) &amp; "|" &amp;
      LEFT(SUBSTITUTE($R$2:$R$47,CHAR(160)," "),5) &amp; "|" &amp;
      TRIM(SUBSTITUTE($S$2:$S$47,CHAR(160)," ")),
      $T$2:$T$47
    )
  ),
"")</f>
        <v/>
      </c>
    </row>
    <row r="721" spans="10:10" x14ac:dyDescent="0.2">
      <c r="J721" s="52" t="str" cm="1">
        <f t="array" ref="J721">IFERROR(
  VALUE($H721) *
  VALUE(
    _xlfn.XLOOKUP(
      TRIM($F721) &amp; "|" &amp; LEFT(SUBSTITUTE($G721,CHAR(160)," "),5) &amp; "|Reduced Rate",
      TRIM(SUBSTITUTE($Q$2:$Q$47,CHAR(160)," ")) &amp; "|" &amp;
      LEFT(SUBSTITUTE($R$2:$R$47,CHAR(160)," "),5) &amp; "|" &amp;
      TRIM(SUBSTITUTE($S$2:$S$47,CHAR(160)," ")),
      $T$2:$T$47
    )
  ),
"")</f>
        <v/>
      </c>
    </row>
    <row r="722" spans="10:10" x14ac:dyDescent="0.2">
      <c r="J722" s="52" t="str" cm="1">
        <f t="array" ref="J722">IFERROR(
  VALUE($H722) *
  VALUE(
    _xlfn.XLOOKUP(
      TRIM($F722) &amp; "|" &amp; LEFT(SUBSTITUTE($G722,CHAR(160)," "),5) &amp; "|Reduced Rate",
      TRIM(SUBSTITUTE($Q$2:$Q$47,CHAR(160)," ")) &amp; "|" &amp;
      LEFT(SUBSTITUTE($R$2:$R$47,CHAR(160)," "),5) &amp; "|" &amp;
      TRIM(SUBSTITUTE($S$2:$S$47,CHAR(160)," ")),
      $T$2:$T$47
    )
  ),
"")</f>
        <v/>
      </c>
    </row>
    <row r="723" spans="10:10" x14ac:dyDescent="0.2">
      <c r="J723" s="52" t="str" cm="1">
        <f t="array" ref="J723">IFERROR(
  VALUE($H723) *
  VALUE(
    _xlfn.XLOOKUP(
      TRIM($F723) &amp; "|" &amp; LEFT(SUBSTITUTE($G723,CHAR(160)," "),5) &amp; "|Reduced Rate",
      TRIM(SUBSTITUTE($Q$2:$Q$47,CHAR(160)," ")) &amp; "|" &amp;
      LEFT(SUBSTITUTE($R$2:$R$47,CHAR(160)," "),5) &amp; "|" &amp;
      TRIM(SUBSTITUTE($S$2:$S$47,CHAR(160)," ")),
      $T$2:$T$47
    )
  ),
"")</f>
        <v/>
      </c>
    </row>
    <row r="724" spans="10:10" x14ac:dyDescent="0.2">
      <c r="J724" s="52" t="str" cm="1">
        <f t="array" ref="J724">IFERROR(
  VALUE($H724) *
  VALUE(
    _xlfn.XLOOKUP(
      TRIM($F724) &amp; "|" &amp; LEFT(SUBSTITUTE($G724,CHAR(160)," "),5) &amp; "|Reduced Rate",
      TRIM(SUBSTITUTE($Q$2:$Q$47,CHAR(160)," ")) &amp; "|" &amp;
      LEFT(SUBSTITUTE($R$2:$R$47,CHAR(160)," "),5) &amp; "|" &amp;
      TRIM(SUBSTITUTE($S$2:$S$47,CHAR(160)," ")),
      $T$2:$T$47
    )
  ),
"")</f>
        <v/>
      </c>
    </row>
    <row r="725" spans="10:10" x14ac:dyDescent="0.2">
      <c r="J725" s="52" t="str" cm="1">
        <f t="array" ref="J725">IFERROR(
  VALUE($H725) *
  VALUE(
    _xlfn.XLOOKUP(
      TRIM($F725) &amp; "|" &amp; LEFT(SUBSTITUTE($G725,CHAR(160)," "),5) &amp; "|Reduced Rate",
      TRIM(SUBSTITUTE($Q$2:$Q$47,CHAR(160)," ")) &amp; "|" &amp;
      LEFT(SUBSTITUTE($R$2:$R$47,CHAR(160)," "),5) &amp; "|" &amp;
      TRIM(SUBSTITUTE($S$2:$S$47,CHAR(160)," ")),
      $T$2:$T$47
    )
  ),
"")</f>
        <v/>
      </c>
    </row>
    <row r="726" spans="10:10" x14ac:dyDescent="0.2">
      <c r="J726" s="52" t="str" cm="1">
        <f t="array" ref="J726">IFERROR(
  VALUE($H726) *
  VALUE(
    _xlfn.XLOOKUP(
      TRIM($F726) &amp; "|" &amp; LEFT(SUBSTITUTE($G726,CHAR(160)," "),5) &amp; "|Reduced Rate",
      TRIM(SUBSTITUTE($Q$2:$Q$47,CHAR(160)," ")) &amp; "|" &amp;
      LEFT(SUBSTITUTE($R$2:$R$47,CHAR(160)," "),5) &amp; "|" &amp;
      TRIM(SUBSTITUTE($S$2:$S$47,CHAR(160)," ")),
      $T$2:$T$47
    )
  ),
"")</f>
        <v/>
      </c>
    </row>
    <row r="727" spans="10:10" x14ac:dyDescent="0.2">
      <c r="J727" s="52" t="str" cm="1">
        <f t="array" ref="J727">IFERROR(
  VALUE($H727) *
  VALUE(
    _xlfn.XLOOKUP(
      TRIM($F727) &amp; "|" &amp; LEFT(SUBSTITUTE($G727,CHAR(160)," "),5) &amp; "|Reduced Rate",
      TRIM(SUBSTITUTE($Q$2:$Q$47,CHAR(160)," ")) &amp; "|" &amp;
      LEFT(SUBSTITUTE($R$2:$R$47,CHAR(160)," "),5) &amp; "|" &amp;
      TRIM(SUBSTITUTE($S$2:$S$47,CHAR(160)," ")),
      $T$2:$T$47
    )
  ),
"")</f>
        <v/>
      </c>
    </row>
    <row r="728" spans="10:10" x14ac:dyDescent="0.2">
      <c r="J728" s="52" t="str" cm="1">
        <f t="array" ref="J728">IFERROR(
  VALUE($H728) *
  VALUE(
    _xlfn.XLOOKUP(
      TRIM($F728) &amp; "|" &amp; LEFT(SUBSTITUTE($G728,CHAR(160)," "),5) &amp; "|Reduced Rate",
      TRIM(SUBSTITUTE($Q$2:$Q$47,CHAR(160)," ")) &amp; "|" &amp;
      LEFT(SUBSTITUTE($R$2:$R$47,CHAR(160)," "),5) &amp; "|" &amp;
      TRIM(SUBSTITUTE($S$2:$S$47,CHAR(160)," ")),
      $T$2:$T$47
    )
  ),
"")</f>
        <v/>
      </c>
    </row>
    <row r="729" spans="10:10" x14ac:dyDescent="0.2">
      <c r="J729" s="52" t="str" cm="1">
        <f t="array" ref="J729">IFERROR(
  VALUE($H729) *
  VALUE(
    _xlfn.XLOOKUP(
      TRIM($F729) &amp; "|" &amp; LEFT(SUBSTITUTE($G729,CHAR(160)," "),5) &amp; "|Reduced Rate",
      TRIM(SUBSTITUTE($Q$2:$Q$47,CHAR(160)," ")) &amp; "|" &amp;
      LEFT(SUBSTITUTE($R$2:$R$47,CHAR(160)," "),5) &amp; "|" &amp;
      TRIM(SUBSTITUTE($S$2:$S$47,CHAR(160)," ")),
      $T$2:$T$47
    )
  ),
"")</f>
        <v/>
      </c>
    </row>
    <row r="730" spans="10:10" x14ac:dyDescent="0.2">
      <c r="J730" s="52" t="str" cm="1">
        <f t="array" ref="J730">IFERROR(
  VALUE($H730) *
  VALUE(
    _xlfn.XLOOKUP(
      TRIM($F730) &amp; "|" &amp; LEFT(SUBSTITUTE($G730,CHAR(160)," "),5) &amp; "|Reduced Rate",
      TRIM(SUBSTITUTE($Q$2:$Q$47,CHAR(160)," ")) &amp; "|" &amp;
      LEFT(SUBSTITUTE($R$2:$R$47,CHAR(160)," "),5) &amp; "|" &amp;
      TRIM(SUBSTITUTE($S$2:$S$47,CHAR(160)," ")),
      $T$2:$T$47
    )
  ),
"")</f>
        <v/>
      </c>
    </row>
    <row r="731" spans="10:10" x14ac:dyDescent="0.2">
      <c r="J731" s="52" t="str" cm="1">
        <f t="array" ref="J731">IFERROR(
  VALUE($H731) *
  VALUE(
    _xlfn.XLOOKUP(
      TRIM($F731) &amp; "|" &amp; LEFT(SUBSTITUTE($G731,CHAR(160)," "),5) &amp; "|Reduced Rate",
      TRIM(SUBSTITUTE($Q$2:$Q$47,CHAR(160)," ")) &amp; "|" &amp;
      LEFT(SUBSTITUTE($R$2:$R$47,CHAR(160)," "),5) &amp; "|" &amp;
      TRIM(SUBSTITUTE($S$2:$S$47,CHAR(160)," ")),
      $T$2:$T$47
    )
  ),
"")</f>
        <v/>
      </c>
    </row>
    <row r="732" spans="10:10" x14ac:dyDescent="0.2">
      <c r="J732" s="52" t="str" cm="1">
        <f t="array" ref="J732">IFERROR(
  VALUE($H732) *
  VALUE(
    _xlfn.XLOOKUP(
      TRIM($F732) &amp; "|" &amp; LEFT(SUBSTITUTE($G732,CHAR(160)," "),5) &amp; "|Reduced Rate",
      TRIM(SUBSTITUTE($Q$2:$Q$47,CHAR(160)," ")) &amp; "|" &amp;
      LEFT(SUBSTITUTE($R$2:$R$47,CHAR(160)," "),5) &amp; "|" &amp;
      TRIM(SUBSTITUTE($S$2:$S$47,CHAR(160)," ")),
      $T$2:$T$47
    )
  ),
"")</f>
        <v/>
      </c>
    </row>
    <row r="733" spans="10:10" x14ac:dyDescent="0.2">
      <c r="J733" s="52" t="str" cm="1">
        <f t="array" ref="J733">IFERROR(
  VALUE($H733) *
  VALUE(
    _xlfn.XLOOKUP(
      TRIM($F733) &amp; "|" &amp; LEFT(SUBSTITUTE($G733,CHAR(160)," "),5) &amp; "|Reduced Rate",
      TRIM(SUBSTITUTE($Q$2:$Q$47,CHAR(160)," ")) &amp; "|" &amp;
      LEFT(SUBSTITUTE($R$2:$R$47,CHAR(160)," "),5) &amp; "|" &amp;
      TRIM(SUBSTITUTE($S$2:$S$47,CHAR(160)," ")),
      $T$2:$T$47
    )
  ),
"")</f>
        <v/>
      </c>
    </row>
    <row r="734" spans="10:10" x14ac:dyDescent="0.2">
      <c r="J734" s="52" t="str" cm="1">
        <f t="array" ref="J734">IFERROR(
  VALUE($H734) *
  VALUE(
    _xlfn.XLOOKUP(
      TRIM($F734) &amp; "|" &amp; LEFT(SUBSTITUTE($G734,CHAR(160)," "),5) &amp; "|Reduced Rate",
      TRIM(SUBSTITUTE($Q$2:$Q$47,CHAR(160)," ")) &amp; "|" &amp;
      LEFT(SUBSTITUTE($R$2:$R$47,CHAR(160)," "),5) &amp; "|" &amp;
      TRIM(SUBSTITUTE($S$2:$S$47,CHAR(160)," ")),
      $T$2:$T$47
    )
  ),
"")</f>
        <v/>
      </c>
    </row>
    <row r="735" spans="10:10" x14ac:dyDescent="0.2">
      <c r="J735" s="52" t="str" cm="1">
        <f t="array" ref="J735">IFERROR(
  VALUE($H735) *
  VALUE(
    _xlfn.XLOOKUP(
      TRIM($F735) &amp; "|" &amp; LEFT(SUBSTITUTE($G735,CHAR(160)," "),5) &amp; "|Reduced Rate",
      TRIM(SUBSTITUTE($Q$2:$Q$47,CHAR(160)," ")) &amp; "|" &amp;
      LEFT(SUBSTITUTE($R$2:$R$47,CHAR(160)," "),5) &amp; "|" &amp;
      TRIM(SUBSTITUTE($S$2:$S$47,CHAR(160)," ")),
      $T$2:$T$47
    )
  ),
"")</f>
        <v/>
      </c>
    </row>
    <row r="736" spans="10:10" x14ac:dyDescent="0.2">
      <c r="J736" s="52" t="str" cm="1">
        <f t="array" ref="J736">IFERROR(
  VALUE($H736) *
  VALUE(
    _xlfn.XLOOKUP(
      TRIM($F736) &amp; "|" &amp; LEFT(SUBSTITUTE($G736,CHAR(160)," "),5) &amp; "|Reduced Rate",
      TRIM(SUBSTITUTE($Q$2:$Q$47,CHAR(160)," ")) &amp; "|" &amp;
      LEFT(SUBSTITUTE($R$2:$R$47,CHAR(160)," "),5) &amp; "|" &amp;
      TRIM(SUBSTITUTE($S$2:$S$47,CHAR(160)," ")),
      $T$2:$T$47
    )
  ),
"")</f>
        <v/>
      </c>
    </row>
    <row r="737" spans="10:10" x14ac:dyDescent="0.2">
      <c r="J737" s="52" t="str" cm="1">
        <f t="array" ref="J737">IFERROR(
  VALUE($H737) *
  VALUE(
    _xlfn.XLOOKUP(
      TRIM($F737) &amp; "|" &amp; LEFT(SUBSTITUTE($G737,CHAR(160)," "),5) &amp; "|Reduced Rate",
      TRIM(SUBSTITUTE($Q$2:$Q$47,CHAR(160)," ")) &amp; "|" &amp;
      LEFT(SUBSTITUTE($R$2:$R$47,CHAR(160)," "),5) &amp; "|" &amp;
      TRIM(SUBSTITUTE($S$2:$S$47,CHAR(160)," ")),
      $T$2:$T$47
    )
  ),
"")</f>
        <v/>
      </c>
    </row>
    <row r="738" spans="10:10" x14ac:dyDescent="0.2">
      <c r="J738" s="52" t="str" cm="1">
        <f t="array" ref="J738">IFERROR(
  VALUE($H738) *
  VALUE(
    _xlfn.XLOOKUP(
      TRIM($F738) &amp; "|" &amp; LEFT(SUBSTITUTE($G738,CHAR(160)," "),5) &amp; "|Reduced Rate",
      TRIM(SUBSTITUTE($Q$2:$Q$47,CHAR(160)," ")) &amp; "|" &amp;
      LEFT(SUBSTITUTE($R$2:$R$47,CHAR(160)," "),5) &amp; "|" &amp;
      TRIM(SUBSTITUTE($S$2:$S$47,CHAR(160)," ")),
      $T$2:$T$47
    )
  ),
"")</f>
        <v/>
      </c>
    </row>
    <row r="739" spans="10:10" x14ac:dyDescent="0.2">
      <c r="J739" s="52" t="str" cm="1">
        <f t="array" ref="J739">IFERROR(
  VALUE($H739) *
  VALUE(
    _xlfn.XLOOKUP(
      TRIM($F739) &amp; "|" &amp; LEFT(SUBSTITUTE($G739,CHAR(160)," "),5) &amp; "|Reduced Rate",
      TRIM(SUBSTITUTE($Q$2:$Q$47,CHAR(160)," ")) &amp; "|" &amp;
      LEFT(SUBSTITUTE($R$2:$R$47,CHAR(160)," "),5) &amp; "|" &amp;
      TRIM(SUBSTITUTE($S$2:$S$47,CHAR(160)," ")),
      $T$2:$T$47
    )
  ),
"")</f>
        <v/>
      </c>
    </row>
    <row r="740" spans="10:10" x14ac:dyDescent="0.2">
      <c r="J740" s="52" t="str" cm="1">
        <f t="array" ref="J740">IFERROR(
  VALUE($H740) *
  VALUE(
    _xlfn.XLOOKUP(
      TRIM($F740) &amp; "|" &amp; LEFT(SUBSTITUTE($G740,CHAR(160)," "),5) &amp; "|Reduced Rate",
      TRIM(SUBSTITUTE($Q$2:$Q$47,CHAR(160)," ")) &amp; "|" &amp;
      LEFT(SUBSTITUTE($R$2:$R$47,CHAR(160)," "),5) &amp; "|" &amp;
      TRIM(SUBSTITUTE($S$2:$S$47,CHAR(160)," ")),
      $T$2:$T$47
    )
  ),
"")</f>
        <v/>
      </c>
    </row>
    <row r="741" spans="10:10" x14ac:dyDescent="0.2">
      <c r="J741" s="52" t="str" cm="1">
        <f t="array" ref="J741">IFERROR(
  VALUE($H741) *
  VALUE(
    _xlfn.XLOOKUP(
      TRIM($F741) &amp; "|" &amp; LEFT(SUBSTITUTE($G741,CHAR(160)," "),5) &amp; "|Reduced Rate",
      TRIM(SUBSTITUTE($Q$2:$Q$47,CHAR(160)," ")) &amp; "|" &amp;
      LEFT(SUBSTITUTE($R$2:$R$47,CHAR(160)," "),5) &amp; "|" &amp;
      TRIM(SUBSTITUTE($S$2:$S$47,CHAR(160)," ")),
      $T$2:$T$47
    )
  ),
"")</f>
        <v/>
      </c>
    </row>
    <row r="742" spans="10:10" x14ac:dyDescent="0.2">
      <c r="J742" s="52" t="str" cm="1">
        <f t="array" ref="J742">IFERROR(
  VALUE($H742) *
  VALUE(
    _xlfn.XLOOKUP(
      TRIM($F742) &amp; "|" &amp; LEFT(SUBSTITUTE($G742,CHAR(160)," "),5) &amp; "|Reduced Rate",
      TRIM(SUBSTITUTE($Q$2:$Q$47,CHAR(160)," ")) &amp; "|" &amp;
      LEFT(SUBSTITUTE($R$2:$R$47,CHAR(160)," "),5) &amp; "|" &amp;
      TRIM(SUBSTITUTE($S$2:$S$47,CHAR(160)," ")),
      $T$2:$T$47
    )
  ),
"")</f>
        <v/>
      </c>
    </row>
    <row r="743" spans="10:10" x14ac:dyDescent="0.2">
      <c r="J743" s="52" t="str" cm="1">
        <f t="array" ref="J743">IFERROR(
  VALUE($H743) *
  VALUE(
    _xlfn.XLOOKUP(
      TRIM($F743) &amp; "|" &amp; LEFT(SUBSTITUTE($G743,CHAR(160)," "),5) &amp; "|Reduced Rate",
      TRIM(SUBSTITUTE($Q$2:$Q$47,CHAR(160)," ")) &amp; "|" &amp;
      LEFT(SUBSTITUTE($R$2:$R$47,CHAR(160)," "),5) &amp; "|" &amp;
      TRIM(SUBSTITUTE($S$2:$S$47,CHAR(160)," ")),
      $T$2:$T$47
    )
  ),
"")</f>
        <v/>
      </c>
    </row>
    <row r="744" spans="10:10" x14ac:dyDescent="0.2">
      <c r="J744" s="52" t="str" cm="1">
        <f t="array" ref="J744">IFERROR(
  VALUE($H744) *
  VALUE(
    _xlfn.XLOOKUP(
      TRIM($F744) &amp; "|" &amp; LEFT(SUBSTITUTE($G744,CHAR(160)," "),5) &amp; "|Reduced Rate",
      TRIM(SUBSTITUTE($Q$2:$Q$47,CHAR(160)," ")) &amp; "|" &amp;
      LEFT(SUBSTITUTE($R$2:$R$47,CHAR(160)," "),5) &amp; "|" &amp;
      TRIM(SUBSTITUTE($S$2:$S$47,CHAR(160)," ")),
      $T$2:$T$47
    )
  ),
"")</f>
        <v/>
      </c>
    </row>
    <row r="745" spans="10:10" x14ac:dyDescent="0.2">
      <c r="J745" s="52" t="str" cm="1">
        <f t="array" ref="J745">IFERROR(
  VALUE($H745) *
  VALUE(
    _xlfn.XLOOKUP(
      TRIM($F745) &amp; "|" &amp; LEFT(SUBSTITUTE($G745,CHAR(160)," "),5) &amp; "|Reduced Rate",
      TRIM(SUBSTITUTE($Q$2:$Q$47,CHAR(160)," ")) &amp; "|" &amp;
      LEFT(SUBSTITUTE($R$2:$R$47,CHAR(160)," "),5) &amp; "|" &amp;
      TRIM(SUBSTITUTE($S$2:$S$47,CHAR(160)," ")),
      $T$2:$T$47
    )
  ),
"")</f>
        <v/>
      </c>
    </row>
    <row r="746" spans="10:10" x14ac:dyDescent="0.2">
      <c r="J746" s="52" t="str" cm="1">
        <f t="array" ref="J746">IFERROR(
  VALUE($H746) *
  VALUE(
    _xlfn.XLOOKUP(
      TRIM($F746) &amp; "|" &amp; LEFT(SUBSTITUTE($G746,CHAR(160)," "),5) &amp; "|Reduced Rate",
      TRIM(SUBSTITUTE($Q$2:$Q$47,CHAR(160)," ")) &amp; "|" &amp;
      LEFT(SUBSTITUTE($R$2:$R$47,CHAR(160)," "),5) &amp; "|" &amp;
      TRIM(SUBSTITUTE($S$2:$S$47,CHAR(160)," ")),
      $T$2:$T$47
    )
  ),
"")</f>
        <v/>
      </c>
    </row>
    <row r="747" spans="10:10" x14ac:dyDescent="0.2">
      <c r="J747" s="52" t="str" cm="1">
        <f t="array" ref="J747">IFERROR(
  VALUE($H747) *
  VALUE(
    _xlfn.XLOOKUP(
      TRIM($F747) &amp; "|" &amp; LEFT(SUBSTITUTE($G747,CHAR(160)," "),5) &amp; "|Reduced Rate",
      TRIM(SUBSTITUTE($Q$2:$Q$47,CHAR(160)," ")) &amp; "|" &amp;
      LEFT(SUBSTITUTE($R$2:$R$47,CHAR(160)," "),5) &amp; "|" &amp;
      TRIM(SUBSTITUTE($S$2:$S$47,CHAR(160)," ")),
      $T$2:$T$47
    )
  ),
"")</f>
        <v/>
      </c>
    </row>
    <row r="748" spans="10:10" x14ac:dyDescent="0.2">
      <c r="J748" s="52" t="str" cm="1">
        <f t="array" ref="J748">IFERROR(
  VALUE($H748) *
  VALUE(
    _xlfn.XLOOKUP(
      TRIM($F748) &amp; "|" &amp; LEFT(SUBSTITUTE($G748,CHAR(160)," "),5) &amp; "|Reduced Rate",
      TRIM(SUBSTITUTE($Q$2:$Q$47,CHAR(160)," ")) &amp; "|" &amp;
      LEFT(SUBSTITUTE($R$2:$R$47,CHAR(160)," "),5) &amp; "|" &amp;
      TRIM(SUBSTITUTE($S$2:$S$47,CHAR(160)," ")),
      $T$2:$T$47
    )
  ),
"")</f>
        <v/>
      </c>
    </row>
    <row r="749" spans="10:10" x14ac:dyDescent="0.2">
      <c r="J749" s="52" t="str" cm="1">
        <f t="array" ref="J749">IFERROR(
  VALUE($H749) *
  VALUE(
    _xlfn.XLOOKUP(
      TRIM($F749) &amp; "|" &amp; LEFT(SUBSTITUTE($G749,CHAR(160)," "),5) &amp; "|Reduced Rate",
      TRIM(SUBSTITUTE($Q$2:$Q$47,CHAR(160)," ")) &amp; "|" &amp;
      LEFT(SUBSTITUTE($R$2:$R$47,CHAR(160)," "),5) &amp; "|" &amp;
      TRIM(SUBSTITUTE($S$2:$S$47,CHAR(160)," ")),
      $T$2:$T$47
    )
  ),
"")</f>
        <v/>
      </c>
    </row>
    <row r="750" spans="10:10" x14ac:dyDescent="0.2">
      <c r="J750" s="52" t="str" cm="1">
        <f t="array" ref="J750">IFERROR(
  VALUE($H750) *
  VALUE(
    _xlfn.XLOOKUP(
      TRIM($F750) &amp; "|" &amp; LEFT(SUBSTITUTE($G750,CHAR(160)," "),5) &amp; "|Reduced Rate",
      TRIM(SUBSTITUTE($Q$2:$Q$47,CHAR(160)," ")) &amp; "|" &amp;
      LEFT(SUBSTITUTE($R$2:$R$47,CHAR(160)," "),5) &amp; "|" &amp;
      TRIM(SUBSTITUTE($S$2:$S$47,CHAR(160)," ")),
      $T$2:$T$47
    )
  ),
"")</f>
        <v/>
      </c>
    </row>
    <row r="751" spans="10:10" x14ac:dyDescent="0.2">
      <c r="J751" s="52" t="str" cm="1">
        <f t="array" ref="J751">IFERROR(
  VALUE($H751) *
  VALUE(
    _xlfn.XLOOKUP(
      TRIM($F751) &amp; "|" &amp; LEFT(SUBSTITUTE($G751,CHAR(160)," "),5) &amp; "|Reduced Rate",
      TRIM(SUBSTITUTE($Q$2:$Q$47,CHAR(160)," ")) &amp; "|" &amp;
      LEFT(SUBSTITUTE($R$2:$R$47,CHAR(160)," "),5) &amp; "|" &amp;
      TRIM(SUBSTITUTE($S$2:$S$47,CHAR(160)," ")),
      $T$2:$T$47
    )
  ),
"")</f>
        <v/>
      </c>
    </row>
    <row r="752" spans="10:10" x14ac:dyDescent="0.2">
      <c r="J752" s="52" t="str" cm="1">
        <f t="array" ref="J752">IFERROR(
  VALUE($H752) *
  VALUE(
    _xlfn.XLOOKUP(
      TRIM($F752) &amp; "|" &amp; LEFT(SUBSTITUTE($G752,CHAR(160)," "),5) &amp; "|Reduced Rate",
      TRIM(SUBSTITUTE($Q$2:$Q$47,CHAR(160)," ")) &amp; "|" &amp;
      LEFT(SUBSTITUTE($R$2:$R$47,CHAR(160)," "),5) &amp; "|" &amp;
      TRIM(SUBSTITUTE($S$2:$S$47,CHAR(160)," ")),
      $T$2:$T$47
    )
  ),
"")</f>
        <v/>
      </c>
    </row>
    <row r="753" spans="10:10" x14ac:dyDescent="0.2">
      <c r="J753" s="52" t="str" cm="1">
        <f t="array" ref="J753">IFERROR(
  VALUE($H753) *
  VALUE(
    _xlfn.XLOOKUP(
      TRIM($F753) &amp; "|" &amp; LEFT(SUBSTITUTE($G753,CHAR(160)," "),5) &amp; "|Reduced Rate",
      TRIM(SUBSTITUTE($Q$2:$Q$47,CHAR(160)," ")) &amp; "|" &amp;
      LEFT(SUBSTITUTE($R$2:$R$47,CHAR(160)," "),5) &amp; "|" &amp;
      TRIM(SUBSTITUTE($S$2:$S$47,CHAR(160)," ")),
      $T$2:$T$47
    )
  ),
"")</f>
        <v/>
      </c>
    </row>
    <row r="754" spans="10:10" x14ac:dyDescent="0.2">
      <c r="J754" s="52" t="str" cm="1">
        <f t="array" ref="J754">IFERROR(
  VALUE($H754) *
  VALUE(
    _xlfn.XLOOKUP(
      TRIM($F754) &amp; "|" &amp; LEFT(SUBSTITUTE($G754,CHAR(160)," "),5) &amp; "|Reduced Rate",
      TRIM(SUBSTITUTE($Q$2:$Q$47,CHAR(160)," ")) &amp; "|" &amp;
      LEFT(SUBSTITUTE($R$2:$R$47,CHAR(160)," "),5) &amp; "|" &amp;
      TRIM(SUBSTITUTE($S$2:$S$47,CHAR(160)," ")),
      $T$2:$T$47
    )
  ),
"")</f>
        <v/>
      </c>
    </row>
    <row r="755" spans="10:10" x14ac:dyDescent="0.2">
      <c r="J755" s="52" t="str" cm="1">
        <f t="array" ref="J755">IFERROR(
  VALUE($H755) *
  VALUE(
    _xlfn.XLOOKUP(
      TRIM($F755) &amp; "|" &amp; LEFT(SUBSTITUTE($G755,CHAR(160)," "),5) &amp; "|Reduced Rate",
      TRIM(SUBSTITUTE($Q$2:$Q$47,CHAR(160)," ")) &amp; "|" &amp;
      LEFT(SUBSTITUTE($R$2:$R$47,CHAR(160)," "),5) &amp; "|" &amp;
      TRIM(SUBSTITUTE($S$2:$S$47,CHAR(160)," ")),
      $T$2:$T$47
    )
  ),
"")</f>
        <v/>
      </c>
    </row>
    <row r="756" spans="10:10" x14ac:dyDescent="0.2">
      <c r="J756" s="52" t="str" cm="1">
        <f t="array" ref="J756">IFERROR(
  VALUE($H756) *
  VALUE(
    _xlfn.XLOOKUP(
      TRIM($F756) &amp; "|" &amp; LEFT(SUBSTITUTE($G756,CHAR(160)," "),5) &amp; "|Reduced Rate",
      TRIM(SUBSTITUTE($Q$2:$Q$47,CHAR(160)," ")) &amp; "|" &amp;
      LEFT(SUBSTITUTE($R$2:$R$47,CHAR(160)," "),5) &amp; "|" &amp;
      TRIM(SUBSTITUTE($S$2:$S$47,CHAR(160)," ")),
      $T$2:$T$47
    )
  ),
"")</f>
        <v/>
      </c>
    </row>
    <row r="757" spans="10:10" x14ac:dyDescent="0.2">
      <c r="J757" s="52" t="str" cm="1">
        <f t="array" ref="J757">IFERROR(
  VALUE($H757) *
  VALUE(
    _xlfn.XLOOKUP(
      TRIM($F757) &amp; "|" &amp; LEFT(SUBSTITUTE($G757,CHAR(160)," "),5) &amp; "|Reduced Rate",
      TRIM(SUBSTITUTE($Q$2:$Q$47,CHAR(160)," ")) &amp; "|" &amp;
      LEFT(SUBSTITUTE($R$2:$R$47,CHAR(160)," "),5) &amp; "|" &amp;
      TRIM(SUBSTITUTE($S$2:$S$47,CHAR(160)," ")),
      $T$2:$T$47
    )
  ),
"")</f>
        <v/>
      </c>
    </row>
    <row r="758" spans="10:10" x14ac:dyDescent="0.2">
      <c r="J758" s="52" t="str" cm="1">
        <f t="array" ref="J758">IFERROR(
  VALUE($H758) *
  VALUE(
    _xlfn.XLOOKUP(
      TRIM($F758) &amp; "|" &amp; LEFT(SUBSTITUTE($G758,CHAR(160)," "),5) &amp; "|Reduced Rate",
      TRIM(SUBSTITUTE($Q$2:$Q$47,CHAR(160)," ")) &amp; "|" &amp;
      LEFT(SUBSTITUTE($R$2:$R$47,CHAR(160)," "),5) &amp; "|" &amp;
      TRIM(SUBSTITUTE($S$2:$S$47,CHAR(160)," ")),
      $T$2:$T$47
    )
  ),
"")</f>
        <v/>
      </c>
    </row>
    <row r="759" spans="10:10" x14ac:dyDescent="0.2">
      <c r="J759" s="52" t="str" cm="1">
        <f t="array" ref="J759">IFERROR(
  VALUE($H759) *
  VALUE(
    _xlfn.XLOOKUP(
      TRIM($F759) &amp; "|" &amp; LEFT(SUBSTITUTE($G759,CHAR(160)," "),5) &amp; "|Reduced Rate",
      TRIM(SUBSTITUTE($Q$2:$Q$47,CHAR(160)," ")) &amp; "|" &amp;
      LEFT(SUBSTITUTE($R$2:$R$47,CHAR(160)," "),5) &amp; "|" &amp;
      TRIM(SUBSTITUTE($S$2:$S$47,CHAR(160)," ")),
      $T$2:$T$47
    )
  ),
"")</f>
        <v/>
      </c>
    </row>
    <row r="760" spans="10:10" x14ac:dyDescent="0.2">
      <c r="J760" s="52" t="str" cm="1">
        <f t="array" ref="J760">IFERROR(
  VALUE($H760) *
  VALUE(
    _xlfn.XLOOKUP(
      TRIM($F760) &amp; "|" &amp; LEFT(SUBSTITUTE($G760,CHAR(160)," "),5) &amp; "|Reduced Rate",
      TRIM(SUBSTITUTE($Q$2:$Q$47,CHAR(160)," ")) &amp; "|" &amp;
      LEFT(SUBSTITUTE($R$2:$R$47,CHAR(160)," "),5) &amp; "|" &amp;
      TRIM(SUBSTITUTE($S$2:$S$47,CHAR(160)," ")),
      $T$2:$T$47
    )
  ),
"")</f>
        <v/>
      </c>
    </row>
    <row r="761" spans="10:10" x14ac:dyDescent="0.2">
      <c r="J761" s="52" t="str" cm="1">
        <f t="array" ref="J761">IFERROR(
  VALUE($H761) *
  VALUE(
    _xlfn.XLOOKUP(
      TRIM($F761) &amp; "|" &amp; LEFT(SUBSTITUTE($G761,CHAR(160)," "),5) &amp; "|Reduced Rate",
      TRIM(SUBSTITUTE($Q$2:$Q$47,CHAR(160)," ")) &amp; "|" &amp;
      LEFT(SUBSTITUTE($R$2:$R$47,CHAR(160)," "),5) &amp; "|" &amp;
      TRIM(SUBSTITUTE($S$2:$S$47,CHAR(160)," ")),
      $T$2:$T$47
    )
  ),
"")</f>
        <v/>
      </c>
    </row>
    <row r="762" spans="10:10" x14ac:dyDescent="0.2">
      <c r="J762" s="52" t="str" cm="1">
        <f t="array" ref="J762">IFERROR(
  VALUE($H762) *
  VALUE(
    _xlfn.XLOOKUP(
      TRIM($F762) &amp; "|" &amp; LEFT(SUBSTITUTE($G762,CHAR(160)," "),5) &amp; "|Reduced Rate",
      TRIM(SUBSTITUTE($Q$2:$Q$47,CHAR(160)," ")) &amp; "|" &amp;
      LEFT(SUBSTITUTE($R$2:$R$47,CHAR(160)," "),5) &amp; "|" &amp;
      TRIM(SUBSTITUTE($S$2:$S$47,CHAR(160)," ")),
      $T$2:$T$47
    )
  ),
"")</f>
        <v/>
      </c>
    </row>
    <row r="763" spans="10:10" x14ac:dyDescent="0.2">
      <c r="J763" s="52" t="str" cm="1">
        <f t="array" ref="J763">IFERROR(
  VALUE($H763) *
  VALUE(
    _xlfn.XLOOKUP(
      TRIM($F763) &amp; "|" &amp; LEFT(SUBSTITUTE($G763,CHAR(160)," "),5) &amp; "|Reduced Rate",
      TRIM(SUBSTITUTE($Q$2:$Q$47,CHAR(160)," ")) &amp; "|" &amp;
      LEFT(SUBSTITUTE($R$2:$R$47,CHAR(160)," "),5) &amp; "|" &amp;
      TRIM(SUBSTITUTE($S$2:$S$47,CHAR(160)," ")),
      $T$2:$T$47
    )
  ),
"")</f>
        <v/>
      </c>
    </row>
    <row r="764" spans="10:10" x14ac:dyDescent="0.2">
      <c r="J764" s="52" t="str" cm="1">
        <f t="array" ref="J764">IFERROR(
  VALUE($H764) *
  VALUE(
    _xlfn.XLOOKUP(
      TRIM($F764) &amp; "|" &amp; LEFT(SUBSTITUTE($G764,CHAR(160)," "),5) &amp; "|Reduced Rate",
      TRIM(SUBSTITUTE($Q$2:$Q$47,CHAR(160)," ")) &amp; "|" &amp;
      LEFT(SUBSTITUTE($R$2:$R$47,CHAR(160)," "),5) &amp; "|" &amp;
      TRIM(SUBSTITUTE($S$2:$S$47,CHAR(160)," ")),
      $T$2:$T$47
    )
  ),
"")</f>
        <v/>
      </c>
    </row>
    <row r="765" spans="10:10" x14ac:dyDescent="0.2">
      <c r="J765" s="52" t="str" cm="1">
        <f t="array" ref="J765">IFERROR(
  VALUE($H765) *
  VALUE(
    _xlfn.XLOOKUP(
      TRIM($F765) &amp; "|" &amp; LEFT(SUBSTITUTE($G765,CHAR(160)," "),5) &amp; "|Reduced Rate",
      TRIM(SUBSTITUTE($Q$2:$Q$47,CHAR(160)," ")) &amp; "|" &amp;
      LEFT(SUBSTITUTE($R$2:$R$47,CHAR(160)," "),5) &amp; "|" &amp;
      TRIM(SUBSTITUTE($S$2:$S$47,CHAR(160)," ")),
      $T$2:$T$47
    )
  ),
"")</f>
        <v/>
      </c>
    </row>
    <row r="766" spans="10:10" x14ac:dyDescent="0.2">
      <c r="J766" s="52" t="str" cm="1">
        <f t="array" ref="J766">IFERROR(
  VALUE($H766) *
  VALUE(
    _xlfn.XLOOKUP(
      TRIM($F766) &amp; "|" &amp; LEFT(SUBSTITUTE($G766,CHAR(160)," "),5) &amp; "|Reduced Rate",
      TRIM(SUBSTITUTE($Q$2:$Q$47,CHAR(160)," ")) &amp; "|" &amp;
      LEFT(SUBSTITUTE($R$2:$R$47,CHAR(160)," "),5) &amp; "|" &amp;
      TRIM(SUBSTITUTE($S$2:$S$47,CHAR(160)," ")),
      $T$2:$T$47
    )
  ),
"")</f>
        <v/>
      </c>
    </row>
    <row r="767" spans="10:10" x14ac:dyDescent="0.2">
      <c r="J767" s="52" t="str" cm="1">
        <f t="array" ref="J767">IFERROR(
  VALUE($H767) *
  VALUE(
    _xlfn.XLOOKUP(
      TRIM($F767) &amp; "|" &amp; LEFT(SUBSTITUTE($G767,CHAR(160)," "),5) &amp; "|Reduced Rate",
      TRIM(SUBSTITUTE($Q$2:$Q$47,CHAR(160)," ")) &amp; "|" &amp;
      LEFT(SUBSTITUTE($R$2:$R$47,CHAR(160)," "),5) &amp; "|" &amp;
      TRIM(SUBSTITUTE($S$2:$S$47,CHAR(160)," ")),
      $T$2:$T$47
    )
  ),
"")</f>
        <v/>
      </c>
    </row>
    <row r="768" spans="10:10" x14ac:dyDescent="0.2">
      <c r="J768" s="52" t="str" cm="1">
        <f t="array" ref="J768">IFERROR(
  VALUE($H768) *
  VALUE(
    _xlfn.XLOOKUP(
      TRIM($F768) &amp; "|" &amp; LEFT(SUBSTITUTE($G768,CHAR(160)," "),5) &amp; "|Reduced Rate",
      TRIM(SUBSTITUTE($Q$2:$Q$47,CHAR(160)," ")) &amp; "|" &amp;
      LEFT(SUBSTITUTE($R$2:$R$47,CHAR(160)," "),5) &amp; "|" &amp;
      TRIM(SUBSTITUTE($S$2:$S$47,CHAR(160)," ")),
      $T$2:$T$47
    )
  ),
"")</f>
        <v/>
      </c>
    </row>
    <row r="769" spans="10:10" x14ac:dyDescent="0.2">
      <c r="J769" s="52" t="str" cm="1">
        <f t="array" ref="J769">IFERROR(
  VALUE($H769) *
  VALUE(
    _xlfn.XLOOKUP(
      TRIM($F769) &amp; "|" &amp; LEFT(SUBSTITUTE($G769,CHAR(160)," "),5) &amp; "|Reduced Rate",
      TRIM(SUBSTITUTE($Q$2:$Q$47,CHAR(160)," ")) &amp; "|" &amp;
      LEFT(SUBSTITUTE($R$2:$R$47,CHAR(160)," "),5) &amp; "|" &amp;
      TRIM(SUBSTITUTE($S$2:$S$47,CHAR(160)," ")),
      $T$2:$T$47
    )
  ),
"")</f>
        <v/>
      </c>
    </row>
    <row r="770" spans="10:10" x14ac:dyDescent="0.2">
      <c r="J770" s="52" t="str" cm="1">
        <f t="array" ref="J770">IFERROR(
  VALUE($H770) *
  VALUE(
    _xlfn.XLOOKUP(
      TRIM($F770) &amp; "|" &amp; LEFT(SUBSTITUTE($G770,CHAR(160)," "),5) &amp; "|Reduced Rate",
      TRIM(SUBSTITUTE($Q$2:$Q$47,CHAR(160)," ")) &amp; "|" &amp;
      LEFT(SUBSTITUTE($R$2:$R$47,CHAR(160)," "),5) &amp; "|" &amp;
      TRIM(SUBSTITUTE($S$2:$S$47,CHAR(160)," ")),
      $T$2:$T$47
    )
  ),
"")</f>
        <v/>
      </c>
    </row>
    <row r="771" spans="10:10" x14ac:dyDescent="0.2">
      <c r="J771" s="52" t="str" cm="1">
        <f t="array" ref="J771">IFERROR(
  VALUE($H771) *
  VALUE(
    _xlfn.XLOOKUP(
      TRIM($F771) &amp; "|" &amp; LEFT(SUBSTITUTE($G771,CHAR(160)," "),5) &amp; "|Reduced Rate",
      TRIM(SUBSTITUTE($Q$2:$Q$47,CHAR(160)," ")) &amp; "|" &amp;
      LEFT(SUBSTITUTE($R$2:$R$47,CHAR(160)," "),5) &amp; "|" &amp;
      TRIM(SUBSTITUTE($S$2:$S$47,CHAR(160)," ")),
      $T$2:$T$47
    )
  ),
"")</f>
        <v/>
      </c>
    </row>
    <row r="772" spans="10:10" x14ac:dyDescent="0.2">
      <c r="J772" s="52" t="str" cm="1">
        <f t="array" ref="J772">IFERROR(
  VALUE($H772) *
  VALUE(
    _xlfn.XLOOKUP(
      TRIM($F772) &amp; "|" &amp; LEFT(SUBSTITUTE($G772,CHAR(160)," "),5) &amp; "|Reduced Rate",
      TRIM(SUBSTITUTE($Q$2:$Q$47,CHAR(160)," ")) &amp; "|" &amp;
      LEFT(SUBSTITUTE($R$2:$R$47,CHAR(160)," "),5) &amp; "|" &amp;
      TRIM(SUBSTITUTE($S$2:$S$47,CHAR(160)," ")),
      $T$2:$T$47
    )
  ),
"")</f>
        <v/>
      </c>
    </row>
    <row r="773" spans="10:10" x14ac:dyDescent="0.2">
      <c r="J773" s="52" t="str" cm="1">
        <f t="array" ref="J773">IFERROR(
  VALUE($H773) *
  VALUE(
    _xlfn.XLOOKUP(
      TRIM($F773) &amp; "|" &amp; LEFT(SUBSTITUTE($G773,CHAR(160)," "),5) &amp; "|Reduced Rate",
      TRIM(SUBSTITUTE($Q$2:$Q$47,CHAR(160)," ")) &amp; "|" &amp;
      LEFT(SUBSTITUTE($R$2:$R$47,CHAR(160)," "),5) &amp; "|" &amp;
      TRIM(SUBSTITUTE($S$2:$S$47,CHAR(160)," ")),
      $T$2:$T$47
    )
  ),
"")</f>
        <v/>
      </c>
    </row>
    <row r="774" spans="10:10" x14ac:dyDescent="0.2">
      <c r="J774" s="52" t="str" cm="1">
        <f t="array" ref="J774">IFERROR(
  VALUE($H774) *
  VALUE(
    _xlfn.XLOOKUP(
      TRIM($F774) &amp; "|" &amp; LEFT(SUBSTITUTE($G774,CHAR(160)," "),5) &amp; "|Reduced Rate",
      TRIM(SUBSTITUTE($Q$2:$Q$47,CHAR(160)," ")) &amp; "|" &amp;
      LEFT(SUBSTITUTE($R$2:$R$47,CHAR(160)," "),5) &amp; "|" &amp;
      TRIM(SUBSTITUTE($S$2:$S$47,CHAR(160)," ")),
      $T$2:$T$47
    )
  ),
"")</f>
        <v/>
      </c>
    </row>
    <row r="775" spans="10:10" x14ac:dyDescent="0.2">
      <c r="J775" s="52" t="str" cm="1">
        <f t="array" ref="J775">IFERROR(
  VALUE($H775) *
  VALUE(
    _xlfn.XLOOKUP(
      TRIM($F775) &amp; "|" &amp; LEFT(SUBSTITUTE($G775,CHAR(160)," "),5) &amp; "|Reduced Rate",
      TRIM(SUBSTITUTE($Q$2:$Q$47,CHAR(160)," ")) &amp; "|" &amp;
      LEFT(SUBSTITUTE($R$2:$R$47,CHAR(160)," "),5) &amp; "|" &amp;
      TRIM(SUBSTITUTE($S$2:$S$47,CHAR(160)," ")),
      $T$2:$T$47
    )
  ),
"")</f>
        <v/>
      </c>
    </row>
    <row r="776" spans="10:10" x14ac:dyDescent="0.2">
      <c r="J776" s="52" t="str" cm="1">
        <f t="array" ref="J776">IFERROR(
  VALUE($H776) *
  VALUE(
    _xlfn.XLOOKUP(
      TRIM($F776) &amp; "|" &amp; LEFT(SUBSTITUTE($G776,CHAR(160)," "),5) &amp; "|Reduced Rate",
      TRIM(SUBSTITUTE($Q$2:$Q$47,CHAR(160)," ")) &amp; "|" &amp;
      LEFT(SUBSTITUTE($R$2:$R$47,CHAR(160)," "),5) &amp; "|" &amp;
      TRIM(SUBSTITUTE($S$2:$S$47,CHAR(160)," ")),
      $T$2:$T$47
    )
  ),
"")</f>
        <v/>
      </c>
    </row>
    <row r="777" spans="10:10" x14ac:dyDescent="0.2">
      <c r="J777" s="52" t="str" cm="1">
        <f t="array" ref="J777">IFERROR(
  VALUE($H777) *
  VALUE(
    _xlfn.XLOOKUP(
      TRIM($F777) &amp; "|" &amp; LEFT(SUBSTITUTE($G777,CHAR(160)," "),5) &amp; "|Reduced Rate",
      TRIM(SUBSTITUTE($Q$2:$Q$47,CHAR(160)," ")) &amp; "|" &amp;
      LEFT(SUBSTITUTE($R$2:$R$47,CHAR(160)," "),5) &amp; "|" &amp;
      TRIM(SUBSTITUTE($S$2:$S$47,CHAR(160)," ")),
      $T$2:$T$47
    )
  ),
"")</f>
        <v/>
      </c>
    </row>
    <row r="778" spans="10:10" x14ac:dyDescent="0.2">
      <c r="J778" s="52" t="str" cm="1">
        <f t="array" ref="J778">IFERROR(
  VALUE($H778) *
  VALUE(
    _xlfn.XLOOKUP(
      TRIM($F778) &amp; "|" &amp; LEFT(SUBSTITUTE($G778,CHAR(160)," "),5) &amp; "|Reduced Rate",
      TRIM(SUBSTITUTE($Q$2:$Q$47,CHAR(160)," ")) &amp; "|" &amp;
      LEFT(SUBSTITUTE($R$2:$R$47,CHAR(160)," "),5) &amp; "|" &amp;
      TRIM(SUBSTITUTE($S$2:$S$47,CHAR(160)," ")),
      $T$2:$T$47
    )
  ),
"")</f>
        <v/>
      </c>
    </row>
    <row r="779" spans="10:10" x14ac:dyDescent="0.2">
      <c r="J779" s="52" t="str" cm="1">
        <f t="array" ref="J779">IFERROR(
  VALUE($H779) *
  VALUE(
    _xlfn.XLOOKUP(
      TRIM($F779) &amp; "|" &amp; LEFT(SUBSTITUTE($G779,CHAR(160)," "),5) &amp; "|Reduced Rate",
      TRIM(SUBSTITUTE($Q$2:$Q$47,CHAR(160)," ")) &amp; "|" &amp;
      LEFT(SUBSTITUTE($R$2:$R$47,CHAR(160)," "),5) &amp; "|" &amp;
      TRIM(SUBSTITUTE($S$2:$S$47,CHAR(160)," ")),
      $T$2:$T$47
    )
  ),
"")</f>
        <v/>
      </c>
    </row>
    <row r="780" spans="10:10" x14ac:dyDescent="0.2">
      <c r="J780" s="52" t="str" cm="1">
        <f t="array" ref="J780">IFERROR(
  VALUE($H780) *
  VALUE(
    _xlfn.XLOOKUP(
      TRIM($F780) &amp; "|" &amp; LEFT(SUBSTITUTE($G780,CHAR(160)," "),5) &amp; "|Reduced Rate",
      TRIM(SUBSTITUTE($Q$2:$Q$47,CHAR(160)," ")) &amp; "|" &amp;
      LEFT(SUBSTITUTE($R$2:$R$47,CHAR(160)," "),5) &amp; "|" &amp;
      TRIM(SUBSTITUTE($S$2:$S$47,CHAR(160)," ")),
      $T$2:$T$47
    )
  ),
"")</f>
        <v/>
      </c>
    </row>
    <row r="781" spans="10:10" x14ac:dyDescent="0.2">
      <c r="J781" s="52" t="str" cm="1">
        <f t="array" ref="J781">IFERROR(
  VALUE($H781) *
  VALUE(
    _xlfn.XLOOKUP(
      TRIM($F781) &amp; "|" &amp; LEFT(SUBSTITUTE($G781,CHAR(160)," "),5) &amp; "|Reduced Rate",
      TRIM(SUBSTITUTE($Q$2:$Q$47,CHAR(160)," ")) &amp; "|" &amp;
      LEFT(SUBSTITUTE($R$2:$R$47,CHAR(160)," "),5) &amp; "|" &amp;
      TRIM(SUBSTITUTE($S$2:$S$47,CHAR(160)," ")),
      $T$2:$T$47
    )
  ),
"")</f>
        <v/>
      </c>
    </row>
    <row r="782" spans="10:10" x14ac:dyDescent="0.2">
      <c r="J782" s="52" t="str" cm="1">
        <f t="array" ref="J782">IFERROR(
  VALUE($H782) *
  VALUE(
    _xlfn.XLOOKUP(
      TRIM($F782) &amp; "|" &amp; LEFT(SUBSTITUTE($G782,CHAR(160)," "),5) &amp; "|Reduced Rate",
      TRIM(SUBSTITUTE($Q$2:$Q$47,CHAR(160)," ")) &amp; "|" &amp;
      LEFT(SUBSTITUTE($R$2:$R$47,CHAR(160)," "),5) &amp; "|" &amp;
      TRIM(SUBSTITUTE($S$2:$S$47,CHAR(160)," ")),
      $T$2:$T$47
    )
  ),
"")</f>
        <v/>
      </c>
    </row>
    <row r="783" spans="10:10" x14ac:dyDescent="0.2">
      <c r="J783" s="52" t="str" cm="1">
        <f t="array" ref="J783">IFERROR(
  VALUE($H783) *
  VALUE(
    _xlfn.XLOOKUP(
      TRIM($F783) &amp; "|" &amp; LEFT(SUBSTITUTE($G783,CHAR(160)," "),5) &amp; "|Reduced Rate",
      TRIM(SUBSTITUTE($Q$2:$Q$47,CHAR(160)," ")) &amp; "|" &amp;
      LEFT(SUBSTITUTE($R$2:$R$47,CHAR(160)," "),5) &amp; "|" &amp;
      TRIM(SUBSTITUTE($S$2:$S$47,CHAR(160)," ")),
      $T$2:$T$47
    )
  ),
"")</f>
        <v/>
      </c>
    </row>
    <row r="784" spans="10:10" x14ac:dyDescent="0.2">
      <c r="J784" s="52" t="str" cm="1">
        <f t="array" ref="J784">IFERROR(
  VALUE($H784) *
  VALUE(
    _xlfn.XLOOKUP(
      TRIM($F784) &amp; "|" &amp; LEFT(SUBSTITUTE($G784,CHAR(160)," "),5) &amp; "|Reduced Rate",
      TRIM(SUBSTITUTE($Q$2:$Q$47,CHAR(160)," ")) &amp; "|" &amp;
      LEFT(SUBSTITUTE($R$2:$R$47,CHAR(160)," "),5) &amp; "|" &amp;
      TRIM(SUBSTITUTE($S$2:$S$47,CHAR(160)," ")),
      $T$2:$T$47
    )
  ),
"")</f>
        <v/>
      </c>
    </row>
    <row r="785" spans="10:10" x14ac:dyDescent="0.2">
      <c r="J785" s="52" t="str" cm="1">
        <f t="array" ref="J785">IFERROR(
  VALUE($H785) *
  VALUE(
    _xlfn.XLOOKUP(
      TRIM($F785) &amp; "|" &amp; LEFT(SUBSTITUTE($G785,CHAR(160)," "),5) &amp; "|Reduced Rate",
      TRIM(SUBSTITUTE($Q$2:$Q$47,CHAR(160)," ")) &amp; "|" &amp;
      LEFT(SUBSTITUTE($R$2:$R$47,CHAR(160)," "),5) &amp; "|" &amp;
      TRIM(SUBSTITUTE($S$2:$S$47,CHAR(160)," ")),
      $T$2:$T$47
    )
  ),
"")</f>
        <v/>
      </c>
    </row>
    <row r="786" spans="10:10" x14ac:dyDescent="0.2">
      <c r="J786" s="52" t="str" cm="1">
        <f t="array" ref="J786">IFERROR(
  VALUE($H786) *
  VALUE(
    _xlfn.XLOOKUP(
      TRIM($F786) &amp; "|" &amp; LEFT(SUBSTITUTE($G786,CHAR(160)," "),5) &amp; "|Reduced Rate",
      TRIM(SUBSTITUTE($Q$2:$Q$47,CHAR(160)," ")) &amp; "|" &amp;
      LEFT(SUBSTITUTE($R$2:$R$47,CHAR(160)," "),5) &amp; "|" &amp;
      TRIM(SUBSTITUTE($S$2:$S$47,CHAR(160)," ")),
      $T$2:$T$47
    )
  ),
"")</f>
        <v/>
      </c>
    </row>
    <row r="787" spans="10:10" x14ac:dyDescent="0.2">
      <c r="J787" s="52" t="str" cm="1">
        <f t="array" ref="J787">IFERROR(
  VALUE($H787) *
  VALUE(
    _xlfn.XLOOKUP(
      TRIM($F787) &amp; "|" &amp; LEFT(SUBSTITUTE($G787,CHAR(160)," "),5) &amp; "|Reduced Rate",
      TRIM(SUBSTITUTE($Q$2:$Q$47,CHAR(160)," ")) &amp; "|" &amp;
      LEFT(SUBSTITUTE($R$2:$R$47,CHAR(160)," "),5) &amp; "|" &amp;
      TRIM(SUBSTITUTE($S$2:$S$47,CHAR(160)," ")),
      $T$2:$T$47
    )
  ),
"")</f>
        <v/>
      </c>
    </row>
    <row r="788" spans="10:10" x14ac:dyDescent="0.2">
      <c r="J788" s="52" t="str" cm="1">
        <f t="array" ref="J788">IFERROR(
  VALUE($H788) *
  VALUE(
    _xlfn.XLOOKUP(
      TRIM($F788) &amp; "|" &amp; LEFT(SUBSTITUTE($G788,CHAR(160)," "),5) &amp; "|Reduced Rate",
      TRIM(SUBSTITUTE($Q$2:$Q$47,CHAR(160)," ")) &amp; "|" &amp;
      LEFT(SUBSTITUTE($R$2:$R$47,CHAR(160)," "),5) &amp; "|" &amp;
      TRIM(SUBSTITUTE($S$2:$S$47,CHAR(160)," ")),
      $T$2:$T$47
    )
  ),
"")</f>
        <v/>
      </c>
    </row>
    <row r="789" spans="10:10" x14ac:dyDescent="0.2">
      <c r="J789" s="52" t="str" cm="1">
        <f t="array" ref="J789">IFERROR(
  VALUE($H789) *
  VALUE(
    _xlfn.XLOOKUP(
      TRIM($F789) &amp; "|" &amp; LEFT(SUBSTITUTE($G789,CHAR(160)," "),5) &amp; "|Reduced Rate",
      TRIM(SUBSTITUTE($Q$2:$Q$47,CHAR(160)," ")) &amp; "|" &amp;
      LEFT(SUBSTITUTE($R$2:$R$47,CHAR(160)," "),5) &amp; "|" &amp;
      TRIM(SUBSTITUTE($S$2:$S$47,CHAR(160)," ")),
      $T$2:$T$47
    )
  ),
"")</f>
        <v/>
      </c>
    </row>
    <row r="790" spans="10:10" x14ac:dyDescent="0.2">
      <c r="J790" s="52" t="str" cm="1">
        <f t="array" ref="J790">IFERROR(
  VALUE($H790) *
  VALUE(
    _xlfn.XLOOKUP(
      TRIM($F790) &amp; "|" &amp; LEFT(SUBSTITUTE($G790,CHAR(160)," "),5) &amp; "|Reduced Rate",
      TRIM(SUBSTITUTE($Q$2:$Q$47,CHAR(160)," ")) &amp; "|" &amp;
      LEFT(SUBSTITUTE($R$2:$R$47,CHAR(160)," "),5) &amp; "|" &amp;
      TRIM(SUBSTITUTE($S$2:$S$47,CHAR(160)," ")),
      $T$2:$T$47
    )
  ),
"")</f>
        <v/>
      </c>
    </row>
    <row r="791" spans="10:10" x14ac:dyDescent="0.2">
      <c r="J791" s="52" t="str" cm="1">
        <f t="array" ref="J791">IFERROR(
  VALUE($H791) *
  VALUE(
    _xlfn.XLOOKUP(
      TRIM($F791) &amp; "|" &amp; LEFT(SUBSTITUTE($G791,CHAR(160)," "),5) &amp; "|Reduced Rate",
      TRIM(SUBSTITUTE($Q$2:$Q$47,CHAR(160)," ")) &amp; "|" &amp;
      LEFT(SUBSTITUTE($R$2:$R$47,CHAR(160)," "),5) &amp; "|" &amp;
      TRIM(SUBSTITUTE($S$2:$S$47,CHAR(160)," ")),
      $T$2:$T$47
    )
  ),
"")</f>
        <v/>
      </c>
    </row>
    <row r="792" spans="10:10" x14ac:dyDescent="0.2">
      <c r="J792" s="52" t="str" cm="1">
        <f t="array" ref="J792">IFERROR(
  VALUE($H792) *
  VALUE(
    _xlfn.XLOOKUP(
      TRIM($F792) &amp; "|" &amp; LEFT(SUBSTITUTE($G792,CHAR(160)," "),5) &amp; "|Reduced Rate",
      TRIM(SUBSTITUTE($Q$2:$Q$47,CHAR(160)," ")) &amp; "|" &amp;
      LEFT(SUBSTITUTE($R$2:$R$47,CHAR(160)," "),5) &amp; "|" &amp;
      TRIM(SUBSTITUTE($S$2:$S$47,CHAR(160)," ")),
      $T$2:$T$47
    )
  ),
"")</f>
        <v/>
      </c>
    </row>
    <row r="793" spans="10:10" x14ac:dyDescent="0.2">
      <c r="J793" s="52" t="str" cm="1">
        <f t="array" ref="J793">IFERROR(
  VALUE($H793) *
  VALUE(
    _xlfn.XLOOKUP(
      TRIM($F793) &amp; "|" &amp; LEFT(SUBSTITUTE($G793,CHAR(160)," "),5) &amp; "|Reduced Rate",
      TRIM(SUBSTITUTE($Q$2:$Q$47,CHAR(160)," ")) &amp; "|" &amp;
      LEFT(SUBSTITUTE($R$2:$R$47,CHAR(160)," "),5) &amp; "|" &amp;
      TRIM(SUBSTITUTE($S$2:$S$47,CHAR(160)," ")),
      $T$2:$T$47
    )
  ),
"")</f>
        <v/>
      </c>
    </row>
    <row r="794" spans="10:10" x14ac:dyDescent="0.2">
      <c r="J794" s="52" t="str" cm="1">
        <f t="array" ref="J794">IFERROR(
  VALUE($H794) *
  VALUE(
    _xlfn.XLOOKUP(
      TRIM($F794) &amp; "|" &amp; LEFT(SUBSTITUTE($G794,CHAR(160)," "),5) &amp; "|Reduced Rate",
      TRIM(SUBSTITUTE($Q$2:$Q$47,CHAR(160)," ")) &amp; "|" &amp;
      LEFT(SUBSTITUTE($R$2:$R$47,CHAR(160)," "),5) &amp; "|" &amp;
      TRIM(SUBSTITUTE($S$2:$S$47,CHAR(160)," ")),
      $T$2:$T$47
    )
  ),
"")</f>
        <v/>
      </c>
    </row>
    <row r="795" spans="10:10" x14ac:dyDescent="0.2">
      <c r="J795" s="52" t="str" cm="1">
        <f t="array" ref="J795">IFERROR(
  VALUE($H795) *
  VALUE(
    _xlfn.XLOOKUP(
      TRIM($F795) &amp; "|" &amp; LEFT(SUBSTITUTE($G795,CHAR(160)," "),5) &amp; "|Reduced Rate",
      TRIM(SUBSTITUTE($Q$2:$Q$47,CHAR(160)," ")) &amp; "|" &amp;
      LEFT(SUBSTITUTE($R$2:$R$47,CHAR(160)," "),5) &amp; "|" &amp;
      TRIM(SUBSTITUTE($S$2:$S$47,CHAR(160)," ")),
      $T$2:$T$47
    )
  ),
"")</f>
        <v/>
      </c>
    </row>
    <row r="796" spans="10:10" x14ac:dyDescent="0.2">
      <c r="J796" s="52" t="str" cm="1">
        <f t="array" ref="J796">IFERROR(
  VALUE($H796) *
  VALUE(
    _xlfn.XLOOKUP(
      TRIM($F796) &amp; "|" &amp; LEFT(SUBSTITUTE($G796,CHAR(160)," "),5) &amp; "|Reduced Rate",
      TRIM(SUBSTITUTE($Q$2:$Q$47,CHAR(160)," ")) &amp; "|" &amp;
      LEFT(SUBSTITUTE($R$2:$R$47,CHAR(160)," "),5) &amp; "|" &amp;
      TRIM(SUBSTITUTE($S$2:$S$47,CHAR(160)," ")),
      $T$2:$T$47
    )
  ),
"")</f>
        <v/>
      </c>
    </row>
    <row r="797" spans="10:10" x14ac:dyDescent="0.2">
      <c r="J797" s="52" t="str" cm="1">
        <f t="array" ref="J797">IFERROR(
  VALUE($H797) *
  VALUE(
    _xlfn.XLOOKUP(
      TRIM($F797) &amp; "|" &amp; LEFT(SUBSTITUTE($G797,CHAR(160)," "),5) &amp; "|Reduced Rate",
      TRIM(SUBSTITUTE($Q$2:$Q$47,CHAR(160)," ")) &amp; "|" &amp;
      LEFT(SUBSTITUTE($R$2:$R$47,CHAR(160)," "),5) &amp; "|" &amp;
      TRIM(SUBSTITUTE($S$2:$S$47,CHAR(160)," ")),
      $T$2:$T$47
    )
  ),
"")</f>
        <v/>
      </c>
    </row>
    <row r="798" spans="10:10" x14ac:dyDescent="0.2">
      <c r="J798" s="52" t="str" cm="1">
        <f t="array" ref="J798">IFERROR(
  VALUE($H798) *
  VALUE(
    _xlfn.XLOOKUP(
      TRIM($F798) &amp; "|" &amp; LEFT(SUBSTITUTE($G798,CHAR(160)," "),5) &amp; "|Reduced Rate",
      TRIM(SUBSTITUTE($Q$2:$Q$47,CHAR(160)," ")) &amp; "|" &amp;
      LEFT(SUBSTITUTE($R$2:$R$47,CHAR(160)," "),5) &amp; "|" &amp;
      TRIM(SUBSTITUTE($S$2:$S$47,CHAR(160)," ")),
      $T$2:$T$47
    )
  ),
"")</f>
        <v/>
      </c>
    </row>
    <row r="799" spans="10:10" x14ac:dyDescent="0.2">
      <c r="J799" s="52" t="str" cm="1">
        <f t="array" ref="J799">IFERROR(
  VALUE($H799) *
  VALUE(
    _xlfn.XLOOKUP(
      TRIM($F799) &amp; "|" &amp; LEFT(SUBSTITUTE($G799,CHAR(160)," "),5) &amp; "|Reduced Rate",
      TRIM(SUBSTITUTE($Q$2:$Q$47,CHAR(160)," ")) &amp; "|" &amp;
      LEFT(SUBSTITUTE($R$2:$R$47,CHAR(160)," "),5) &amp; "|" &amp;
      TRIM(SUBSTITUTE($S$2:$S$47,CHAR(160)," ")),
      $T$2:$T$47
    )
  ),
"")</f>
        <v/>
      </c>
    </row>
    <row r="800" spans="10:10" x14ac:dyDescent="0.2">
      <c r="J800" s="52" t="str" cm="1">
        <f t="array" ref="J800">IFERROR(
  VALUE($H800) *
  VALUE(
    _xlfn.XLOOKUP(
      TRIM($F800) &amp; "|" &amp; LEFT(SUBSTITUTE($G800,CHAR(160)," "),5) &amp; "|Reduced Rate",
      TRIM(SUBSTITUTE($Q$2:$Q$47,CHAR(160)," ")) &amp; "|" &amp;
      LEFT(SUBSTITUTE($R$2:$R$47,CHAR(160)," "),5) &amp; "|" &amp;
      TRIM(SUBSTITUTE($S$2:$S$47,CHAR(160)," ")),
      $T$2:$T$47
    )
  ),
"")</f>
        <v/>
      </c>
    </row>
    <row r="801" spans="10:10" x14ac:dyDescent="0.2">
      <c r="J801" s="52" t="str" cm="1">
        <f t="array" ref="J801">IFERROR(
  VALUE($H801) *
  VALUE(
    _xlfn.XLOOKUP(
      TRIM($F801) &amp; "|" &amp; LEFT(SUBSTITUTE($G801,CHAR(160)," "),5) &amp; "|Reduced Rate",
      TRIM(SUBSTITUTE($Q$2:$Q$47,CHAR(160)," ")) &amp; "|" &amp;
      LEFT(SUBSTITUTE($R$2:$R$47,CHAR(160)," "),5) &amp; "|" &amp;
      TRIM(SUBSTITUTE($S$2:$S$47,CHAR(160)," ")),
      $T$2:$T$47
    )
  ),
"")</f>
        <v/>
      </c>
    </row>
    <row r="802" spans="10:10" x14ac:dyDescent="0.2">
      <c r="J802" s="52" t="str" cm="1">
        <f t="array" ref="J802">IFERROR(
  VALUE($H802) *
  VALUE(
    _xlfn.XLOOKUP(
      TRIM($F802) &amp; "|" &amp; LEFT(SUBSTITUTE($G802,CHAR(160)," "),5) &amp; "|Reduced Rate",
      TRIM(SUBSTITUTE($Q$2:$Q$47,CHAR(160)," ")) &amp; "|" &amp;
      LEFT(SUBSTITUTE($R$2:$R$47,CHAR(160)," "),5) &amp; "|" &amp;
      TRIM(SUBSTITUTE($S$2:$S$47,CHAR(160)," ")),
      $T$2:$T$47
    )
  ),
"")</f>
        <v/>
      </c>
    </row>
    <row r="803" spans="10:10" x14ac:dyDescent="0.2">
      <c r="J803" s="52" t="str" cm="1">
        <f t="array" ref="J803">IFERROR(
  VALUE($H803) *
  VALUE(
    _xlfn.XLOOKUP(
      TRIM($F803) &amp; "|" &amp; LEFT(SUBSTITUTE($G803,CHAR(160)," "),5) &amp; "|Reduced Rate",
      TRIM(SUBSTITUTE($Q$2:$Q$47,CHAR(160)," ")) &amp; "|" &amp;
      LEFT(SUBSTITUTE($R$2:$R$47,CHAR(160)," "),5) &amp; "|" &amp;
      TRIM(SUBSTITUTE($S$2:$S$47,CHAR(160)," ")),
      $T$2:$T$47
    )
  ),
"")</f>
        <v/>
      </c>
    </row>
    <row r="804" spans="10:10" x14ac:dyDescent="0.2">
      <c r="J804" s="52" t="str" cm="1">
        <f t="array" ref="J804">IFERROR(
  VALUE($H804) *
  VALUE(
    _xlfn.XLOOKUP(
      TRIM($F804) &amp; "|" &amp; LEFT(SUBSTITUTE($G804,CHAR(160)," "),5) &amp; "|Reduced Rate",
      TRIM(SUBSTITUTE($Q$2:$Q$47,CHAR(160)," ")) &amp; "|" &amp;
      LEFT(SUBSTITUTE($R$2:$R$47,CHAR(160)," "),5) &amp; "|" &amp;
      TRIM(SUBSTITUTE($S$2:$S$47,CHAR(160)," ")),
      $T$2:$T$47
    )
  ),
"")</f>
        <v/>
      </c>
    </row>
    <row r="805" spans="10:10" x14ac:dyDescent="0.2">
      <c r="J805" s="52" t="str" cm="1">
        <f t="array" ref="J805">IFERROR(
  VALUE($H805) *
  VALUE(
    _xlfn.XLOOKUP(
      TRIM($F805) &amp; "|" &amp; LEFT(SUBSTITUTE($G805,CHAR(160)," "),5) &amp; "|Reduced Rate",
      TRIM(SUBSTITUTE($Q$2:$Q$47,CHAR(160)," ")) &amp; "|" &amp;
      LEFT(SUBSTITUTE($R$2:$R$47,CHAR(160)," "),5) &amp; "|" &amp;
      TRIM(SUBSTITUTE($S$2:$S$47,CHAR(160)," ")),
      $T$2:$T$47
    )
  ),
"")</f>
        <v/>
      </c>
    </row>
    <row r="806" spans="10:10" x14ac:dyDescent="0.2">
      <c r="J806" s="52" t="str" cm="1">
        <f t="array" ref="J806">IFERROR(
  VALUE($H806) *
  VALUE(
    _xlfn.XLOOKUP(
      TRIM($F806) &amp; "|" &amp; LEFT(SUBSTITUTE($G806,CHAR(160)," "),5) &amp; "|Reduced Rate",
      TRIM(SUBSTITUTE($Q$2:$Q$47,CHAR(160)," ")) &amp; "|" &amp;
      LEFT(SUBSTITUTE($R$2:$R$47,CHAR(160)," "),5) &amp; "|" &amp;
      TRIM(SUBSTITUTE($S$2:$S$47,CHAR(160)," ")),
      $T$2:$T$47
    )
  ),
"")</f>
        <v/>
      </c>
    </row>
    <row r="807" spans="10:10" x14ac:dyDescent="0.2">
      <c r="J807" s="52" t="str" cm="1">
        <f t="array" ref="J807">IFERROR(
  VALUE($H807) *
  VALUE(
    _xlfn.XLOOKUP(
      TRIM($F807) &amp; "|" &amp; LEFT(SUBSTITUTE($G807,CHAR(160)," "),5) &amp; "|Reduced Rate",
      TRIM(SUBSTITUTE($Q$2:$Q$47,CHAR(160)," ")) &amp; "|" &amp;
      LEFT(SUBSTITUTE($R$2:$R$47,CHAR(160)," "),5) &amp; "|" &amp;
      TRIM(SUBSTITUTE($S$2:$S$47,CHAR(160)," ")),
      $T$2:$T$47
    )
  ),
"")</f>
        <v/>
      </c>
    </row>
    <row r="808" spans="10:10" x14ac:dyDescent="0.2">
      <c r="J808" s="52" t="str" cm="1">
        <f t="array" ref="J808">IFERROR(
  VALUE($H808) *
  VALUE(
    _xlfn.XLOOKUP(
      TRIM($F808) &amp; "|" &amp; LEFT(SUBSTITUTE($G808,CHAR(160)," "),5) &amp; "|Reduced Rate",
      TRIM(SUBSTITUTE($Q$2:$Q$47,CHAR(160)," ")) &amp; "|" &amp;
      LEFT(SUBSTITUTE($R$2:$R$47,CHAR(160)," "),5) &amp; "|" &amp;
      TRIM(SUBSTITUTE($S$2:$S$47,CHAR(160)," ")),
      $T$2:$T$47
    )
  ),
"")</f>
        <v/>
      </c>
    </row>
    <row r="809" spans="10:10" x14ac:dyDescent="0.2">
      <c r="J809" s="52" t="str" cm="1">
        <f t="array" ref="J809">IFERROR(
  VALUE($H809) *
  VALUE(
    _xlfn.XLOOKUP(
      TRIM($F809) &amp; "|" &amp; LEFT(SUBSTITUTE($G809,CHAR(160)," "),5) &amp; "|Reduced Rate",
      TRIM(SUBSTITUTE($Q$2:$Q$47,CHAR(160)," ")) &amp; "|" &amp;
      LEFT(SUBSTITUTE($R$2:$R$47,CHAR(160)," "),5) &amp; "|" &amp;
      TRIM(SUBSTITUTE($S$2:$S$47,CHAR(160)," ")),
      $T$2:$T$47
    )
  ),
"")</f>
        <v/>
      </c>
    </row>
    <row r="810" spans="10:10" x14ac:dyDescent="0.2">
      <c r="J810" s="52" t="str" cm="1">
        <f t="array" ref="J810">IFERROR(
  VALUE($H810) *
  VALUE(
    _xlfn.XLOOKUP(
      TRIM($F810) &amp; "|" &amp; LEFT(SUBSTITUTE($G810,CHAR(160)," "),5) &amp; "|Reduced Rate",
      TRIM(SUBSTITUTE($Q$2:$Q$47,CHAR(160)," ")) &amp; "|" &amp;
      LEFT(SUBSTITUTE($R$2:$R$47,CHAR(160)," "),5) &amp; "|" &amp;
      TRIM(SUBSTITUTE($S$2:$S$47,CHAR(160)," ")),
      $T$2:$T$47
    )
  ),
"")</f>
        <v/>
      </c>
    </row>
    <row r="811" spans="10:10" x14ac:dyDescent="0.2">
      <c r="J811" s="52" t="str" cm="1">
        <f t="array" ref="J811">IFERROR(
  VALUE($H811) *
  VALUE(
    _xlfn.XLOOKUP(
      TRIM($F811) &amp; "|" &amp; LEFT(SUBSTITUTE($G811,CHAR(160)," "),5) &amp; "|Reduced Rate",
      TRIM(SUBSTITUTE($Q$2:$Q$47,CHAR(160)," ")) &amp; "|" &amp;
      LEFT(SUBSTITUTE($R$2:$R$47,CHAR(160)," "),5) &amp; "|" &amp;
      TRIM(SUBSTITUTE($S$2:$S$47,CHAR(160)," ")),
      $T$2:$T$47
    )
  ),
"")</f>
        <v/>
      </c>
    </row>
    <row r="812" spans="10:10" x14ac:dyDescent="0.2">
      <c r="J812" s="52" t="str" cm="1">
        <f t="array" ref="J812">IFERROR(
  VALUE($H812) *
  VALUE(
    _xlfn.XLOOKUP(
      TRIM($F812) &amp; "|" &amp; LEFT(SUBSTITUTE($G812,CHAR(160)," "),5) &amp; "|Reduced Rate",
      TRIM(SUBSTITUTE($Q$2:$Q$47,CHAR(160)," ")) &amp; "|" &amp;
      LEFT(SUBSTITUTE($R$2:$R$47,CHAR(160)," "),5) &amp; "|" &amp;
      TRIM(SUBSTITUTE($S$2:$S$47,CHAR(160)," ")),
      $T$2:$T$47
    )
  ),
"")</f>
        <v/>
      </c>
    </row>
    <row r="813" spans="10:10" x14ac:dyDescent="0.2">
      <c r="J813" s="52" t="str" cm="1">
        <f t="array" ref="J813">IFERROR(
  VALUE($H813) *
  VALUE(
    _xlfn.XLOOKUP(
      TRIM($F813) &amp; "|" &amp; LEFT(SUBSTITUTE($G813,CHAR(160)," "),5) &amp; "|Reduced Rate",
      TRIM(SUBSTITUTE($Q$2:$Q$47,CHAR(160)," ")) &amp; "|" &amp;
      LEFT(SUBSTITUTE($R$2:$R$47,CHAR(160)," "),5) &amp; "|" &amp;
      TRIM(SUBSTITUTE($S$2:$S$47,CHAR(160)," ")),
      $T$2:$T$47
    )
  ),
"")</f>
        <v/>
      </c>
    </row>
    <row r="814" spans="10:10" x14ac:dyDescent="0.2">
      <c r="J814" s="52" t="str" cm="1">
        <f t="array" ref="J814">IFERROR(
  VALUE($H814) *
  VALUE(
    _xlfn.XLOOKUP(
      TRIM($F814) &amp; "|" &amp; LEFT(SUBSTITUTE($G814,CHAR(160)," "),5) &amp; "|Reduced Rate",
      TRIM(SUBSTITUTE($Q$2:$Q$47,CHAR(160)," ")) &amp; "|" &amp;
      LEFT(SUBSTITUTE($R$2:$R$47,CHAR(160)," "),5) &amp; "|" &amp;
      TRIM(SUBSTITUTE($S$2:$S$47,CHAR(160)," ")),
      $T$2:$T$47
    )
  ),
"")</f>
        <v/>
      </c>
    </row>
    <row r="815" spans="10:10" x14ac:dyDescent="0.2">
      <c r="J815" s="52" t="str" cm="1">
        <f t="array" ref="J815">IFERROR(
  VALUE($H815) *
  VALUE(
    _xlfn.XLOOKUP(
      TRIM($F815) &amp; "|" &amp; LEFT(SUBSTITUTE($G815,CHAR(160)," "),5) &amp; "|Reduced Rate",
      TRIM(SUBSTITUTE($Q$2:$Q$47,CHAR(160)," ")) &amp; "|" &amp;
      LEFT(SUBSTITUTE($R$2:$R$47,CHAR(160)," "),5) &amp; "|" &amp;
      TRIM(SUBSTITUTE($S$2:$S$47,CHAR(160)," ")),
      $T$2:$T$47
    )
  ),
"")</f>
        <v/>
      </c>
    </row>
    <row r="816" spans="10:10" x14ac:dyDescent="0.2">
      <c r="J816" s="52" t="str" cm="1">
        <f t="array" ref="J816">IFERROR(
  VALUE($H816) *
  VALUE(
    _xlfn.XLOOKUP(
      TRIM($F816) &amp; "|" &amp; LEFT(SUBSTITUTE($G816,CHAR(160)," "),5) &amp; "|Reduced Rate",
      TRIM(SUBSTITUTE($Q$2:$Q$47,CHAR(160)," ")) &amp; "|" &amp;
      LEFT(SUBSTITUTE($R$2:$R$47,CHAR(160)," "),5) &amp; "|" &amp;
      TRIM(SUBSTITUTE($S$2:$S$47,CHAR(160)," ")),
      $T$2:$T$47
    )
  ),
"")</f>
        <v/>
      </c>
    </row>
    <row r="817" spans="10:10" x14ac:dyDescent="0.2">
      <c r="J817" s="52" t="str" cm="1">
        <f t="array" ref="J817">IFERROR(
  VALUE($H817) *
  VALUE(
    _xlfn.XLOOKUP(
      TRIM($F817) &amp; "|" &amp; LEFT(SUBSTITUTE($G817,CHAR(160)," "),5) &amp; "|Reduced Rate",
      TRIM(SUBSTITUTE($Q$2:$Q$47,CHAR(160)," ")) &amp; "|" &amp;
      LEFT(SUBSTITUTE($R$2:$R$47,CHAR(160)," "),5) &amp; "|" &amp;
      TRIM(SUBSTITUTE($S$2:$S$47,CHAR(160)," ")),
      $T$2:$T$47
    )
  ),
"")</f>
        <v/>
      </c>
    </row>
    <row r="818" spans="10:10" x14ac:dyDescent="0.2">
      <c r="J818" s="52" t="str" cm="1">
        <f t="array" ref="J818">IFERROR(
  VALUE($H818) *
  VALUE(
    _xlfn.XLOOKUP(
      TRIM($F818) &amp; "|" &amp; LEFT(SUBSTITUTE($G818,CHAR(160)," "),5) &amp; "|Reduced Rate",
      TRIM(SUBSTITUTE($Q$2:$Q$47,CHAR(160)," ")) &amp; "|" &amp;
      LEFT(SUBSTITUTE($R$2:$R$47,CHAR(160)," "),5) &amp; "|" &amp;
      TRIM(SUBSTITUTE($S$2:$S$47,CHAR(160)," ")),
      $T$2:$T$47
    )
  ),
"")</f>
        <v/>
      </c>
    </row>
    <row r="819" spans="10:10" x14ac:dyDescent="0.2">
      <c r="J819" s="52" t="str" cm="1">
        <f t="array" ref="J819">IFERROR(
  VALUE($H819) *
  VALUE(
    _xlfn.XLOOKUP(
      TRIM($F819) &amp; "|" &amp; LEFT(SUBSTITUTE($G819,CHAR(160)," "),5) &amp; "|Reduced Rate",
      TRIM(SUBSTITUTE($Q$2:$Q$47,CHAR(160)," ")) &amp; "|" &amp;
      LEFT(SUBSTITUTE($R$2:$R$47,CHAR(160)," "),5) &amp; "|" &amp;
      TRIM(SUBSTITUTE($S$2:$S$47,CHAR(160)," ")),
      $T$2:$T$47
    )
  ),
"")</f>
        <v/>
      </c>
    </row>
    <row r="820" spans="10:10" x14ac:dyDescent="0.2">
      <c r="J820" s="52" t="str" cm="1">
        <f t="array" ref="J820">IFERROR(
  VALUE($H820) *
  VALUE(
    _xlfn.XLOOKUP(
      TRIM($F820) &amp; "|" &amp; LEFT(SUBSTITUTE($G820,CHAR(160)," "),5) &amp; "|Reduced Rate",
      TRIM(SUBSTITUTE($Q$2:$Q$47,CHAR(160)," ")) &amp; "|" &amp;
      LEFT(SUBSTITUTE($R$2:$R$47,CHAR(160)," "),5) &amp; "|" &amp;
      TRIM(SUBSTITUTE($S$2:$S$47,CHAR(160)," ")),
      $T$2:$T$47
    )
  ),
"")</f>
        <v/>
      </c>
    </row>
    <row r="821" spans="10:10" x14ac:dyDescent="0.2">
      <c r="J821" s="52" t="str" cm="1">
        <f t="array" ref="J821">IFERROR(
  VALUE($H821) *
  VALUE(
    _xlfn.XLOOKUP(
      TRIM($F821) &amp; "|" &amp; LEFT(SUBSTITUTE($G821,CHAR(160)," "),5) &amp; "|Reduced Rate",
      TRIM(SUBSTITUTE($Q$2:$Q$47,CHAR(160)," ")) &amp; "|" &amp;
      LEFT(SUBSTITUTE($R$2:$R$47,CHAR(160)," "),5) &amp; "|" &amp;
      TRIM(SUBSTITUTE($S$2:$S$47,CHAR(160)," ")),
      $T$2:$T$47
    )
  ),
"")</f>
        <v/>
      </c>
    </row>
    <row r="822" spans="10:10" x14ac:dyDescent="0.2">
      <c r="J822" s="52" t="str" cm="1">
        <f t="array" ref="J822">IFERROR(
  VALUE($H822) *
  VALUE(
    _xlfn.XLOOKUP(
      TRIM($F822) &amp; "|" &amp; LEFT(SUBSTITUTE($G822,CHAR(160)," "),5) &amp; "|Reduced Rate",
      TRIM(SUBSTITUTE($Q$2:$Q$47,CHAR(160)," ")) &amp; "|" &amp;
      LEFT(SUBSTITUTE($R$2:$R$47,CHAR(160)," "),5) &amp; "|" &amp;
      TRIM(SUBSTITUTE($S$2:$S$47,CHAR(160)," ")),
      $T$2:$T$47
    )
  ),
"")</f>
        <v/>
      </c>
    </row>
    <row r="823" spans="10:10" x14ac:dyDescent="0.2">
      <c r="J823" s="52" t="str" cm="1">
        <f t="array" ref="J823">IFERROR(
  VALUE($H823) *
  VALUE(
    _xlfn.XLOOKUP(
      TRIM($F823) &amp; "|" &amp; LEFT(SUBSTITUTE($G823,CHAR(160)," "),5) &amp; "|Reduced Rate",
      TRIM(SUBSTITUTE($Q$2:$Q$47,CHAR(160)," ")) &amp; "|" &amp;
      LEFT(SUBSTITUTE($R$2:$R$47,CHAR(160)," "),5) &amp; "|" &amp;
      TRIM(SUBSTITUTE($S$2:$S$47,CHAR(160)," ")),
      $T$2:$T$47
    )
  ),
"")</f>
        <v/>
      </c>
    </row>
    <row r="824" spans="10:10" x14ac:dyDescent="0.2">
      <c r="J824" s="52" t="str" cm="1">
        <f t="array" ref="J824">IFERROR(
  VALUE($H824) *
  VALUE(
    _xlfn.XLOOKUP(
      TRIM($F824) &amp; "|" &amp; LEFT(SUBSTITUTE($G824,CHAR(160)," "),5) &amp; "|Reduced Rate",
      TRIM(SUBSTITUTE($Q$2:$Q$47,CHAR(160)," ")) &amp; "|" &amp;
      LEFT(SUBSTITUTE($R$2:$R$47,CHAR(160)," "),5) &amp; "|" &amp;
      TRIM(SUBSTITUTE($S$2:$S$47,CHAR(160)," ")),
      $T$2:$T$47
    )
  ),
"")</f>
        <v/>
      </c>
    </row>
    <row r="825" spans="10:10" x14ac:dyDescent="0.2">
      <c r="J825" s="52" t="str" cm="1">
        <f t="array" ref="J825">IFERROR(
  VALUE($H825) *
  VALUE(
    _xlfn.XLOOKUP(
      TRIM($F825) &amp; "|" &amp; LEFT(SUBSTITUTE($G825,CHAR(160)," "),5) &amp; "|Reduced Rate",
      TRIM(SUBSTITUTE($Q$2:$Q$47,CHAR(160)," ")) &amp; "|" &amp;
      LEFT(SUBSTITUTE($R$2:$R$47,CHAR(160)," "),5) &amp; "|" &amp;
      TRIM(SUBSTITUTE($S$2:$S$47,CHAR(160)," ")),
      $T$2:$T$47
    )
  ),
"")</f>
        <v/>
      </c>
    </row>
    <row r="826" spans="10:10" x14ac:dyDescent="0.2">
      <c r="J826" s="52" t="str" cm="1">
        <f t="array" ref="J826">IFERROR(
  VALUE($H826) *
  VALUE(
    _xlfn.XLOOKUP(
      TRIM($F826) &amp; "|" &amp; LEFT(SUBSTITUTE($G826,CHAR(160)," "),5) &amp; "|Reduced Rate",
      TRIM(SUBSTITUTE($Q$2:$Q$47,CHAR(160)," ")) &amp; "|" &amp;
      LEFT(SUBSTITUTE($R$2:$R$47,CHAR(160)," "),5) &amp; "|" &amp;
      TRIM(SUBSTITUTE($S$2:$S$47,CHAR(160)," ")),
      $T$2:$T$47
    )
  ),
"")</f>
        <v/>
      </c>
    </row>
    <row r="827" spans="10:10" x14ac:dyDescent="0.2">
      <c r="J827" s="52" t="str" cm="1">
        <f t="array" ref="J827">IFERROR(
  VALUE($H827) *
  VALUE(
    _xlfn.XLOOKUP(
      TRIM($F827) &amp; "|" &amp; LEFT(SUBSTITUTE($G827,CHAR(160)," "),5) &amp; "|Reduced Rate",
      TRIM(SUBSTITUTE($Q$2:$Q$47,CHAR(160)," ")) &amp; "|" &amp;
      LEFT(SUBSTITUTE($R$2:$R$47,CHAR(160)," "),5) &amp; "|" &amp;
      TRIM(SUBSTITUTE($S$2:$S$47,CHAR(160)," ")),
      $T$2:$T$47
    )
  ),
"")</f>
        <v/>
      </c>
    </row>
    <row r="828" spans="10:10" x14ac:dyDescent="0.2">
      <c r="J828" s="52" t="str" cm="1">
        <f t="array" ref="J828">IFERROR(
  VALUE($H828) *
  VALUE(
    _xlfn.XLOOKUP(
      TRIM($F828) &amp; "|" &amp; LEFT(SUBSTITUTE($G828,CHAR(160)," "),5) &amp; "|Reduced Rate",
      TRIM(SUBSTITUTE($Q$2:$Q$47,CHAR(160)," ")) &amp; "|" &amp;
      LEFT(SUBSTITUTE($R$2:$R$47,CHAR(160)," "),5) &amp; "|" &amp;
      TRIM(SUBSTITUTE($S$2:$S$47,CHAR(160)," ")),
      $T$2:$T$47
    )
  ),
"")</f>
        <v/>
      </c>
    </row>
    <row r="829" spans="10:10" x14ac:dyDescent="0.2">
      <c r="J829" s="52" t="str" cm="1">
        <f t="array" ref="J829">IFERROR(
  VALUE($H829) *
  VALUE(
    _xlfn.XLOOKUP(
      TRIM($F829) &amp; "|" &amp; LEFT(SUBSTITUTE($G829,CHAR(160)," "),5) &amp; "|Reduced Rate",
      TRIM(SUBSTITUTE($Q$2:$Q$47,CHAR(160)," ")) &amp; "|" &amp;
      LEFT(SUBSTITUTE($R$2:$R$47,CHAR(160)," "),5) &amp; "|" &amp;
      TRIM(SUBSTITUTE($S$2:$S$47,CHAR(160)," ")),
      $T$2:$T$47
    )
  ),
"")</f>
        <v/>
      </c>
    </row>
    <row r="830" spans="10:10" x14ac:dyDescent="0.2">
      <c r="J830" s="52" t="str" cm="1">
        <f t="array" ref="J830">IFERROR(
  VALUE($H830) *
  VALUE(
    _xlfn.XLOOKUP(
      TRIM($F830) &amp; "|" &amp; LEFT(SUBSTITUTE($G830,CHAR(160)," "),5) &amp; "|Reduced Rate",
      TRIM(SUBSTITUTE($Q$2:$Q$47,CHAR(160)," ")) &amp; "|" &amp;
      LEFT(SUBSTITUTE($R$2:$R$47,CHAR(160)," "),5) &amp; "|" &amp;
      TRIM(SUBSTITUTE($S$2:$S$47,CHAR(160)," ")),
      $T$2:$T$47
    )
  ),
"")</f>
        <v/>
      </c>
    </row>
    <row r="831" spans="10:10" x14ac:dyDescent="0.2">
      <c r="J831" s="52" t="str" cm="1">
        <f t="array" ref="J831">IFERROR(
  VALUE($H831) *
  VALUE(
    _xlfn.XLOOKUP(
      TRIM($F831) &amp; "|" &amp; LEFT(SUBSTITUTE($G831,CHAR(160)," "),5) &amp; "|Reduced Rate",
      TRIM(SUBSTITUTE($Q$2:$Q$47,CHAR(160)," ")) &amp; "|" &amp;
      LEFT(SUBSTITUTE($R$2:$R$47,CHAR(160)," "),5) &amp; "|" &amp;
      TRIM(SUBSTITUTE($S$2:$S$47,CHAR(160)," ")),
      $T$2:$T$47
    )
  ),
"")</f>
        <v/>
      </c>
    </row>
    <row r="832" spans="10:10" x14ac:dyDescent="0.2">
      <c r="J832" s="52" t="str" cm="1">
        <f t="array" ref="J832">IFERROR(
  VALUE($H832) *
  VALUE(
    _xlfn.XLOOKUP(
      TRIM($F832) &amp; "|" &amp; LEFT(SUBSTITUTE($G832,CHAR(160)," "),5) &amp; "|Reduced Rate",
      TRIM(SUBSTITUTE($Q$2:$Q$47,CHAR(160)," ")) &amp; "|" &amp;
      LEFT(SUBSTITUTE($R$2:$R$47,CHAR(160)," "),5) &amp; "|" &amp;
      TRIM(SUBSTITUTE($S$2:$S$47,CHAR(160)," ")),
      $T$2:$T$47
    )
  ),
"")</f>
        <v/>
      </c>
    </row>
    <row r="833" spans="10:10" x14ac:dyDescent="0.2">
      <c r="J833" s="52" t="str" cm="1">
        <f t="array" ref="J833">IFERROR(
  VALUE($H833) *
  VALUE(
    _xlfn.XLOOKUP(
      TRIM($F833) &amp; "|" &amp; LEFT(SUBSTITUTE($G833,CHAR(160)," "),5) &amp; "|Reduced Rate",
      TRIM(SUBSTITUTE($Q$2:$Q$47,CHAR(160)," ")) &amp; "|" &amp;
      LEFT(SUBSTITUTE($R$2:$R$47,CHAR(160)," "),5) &amp; "|" &amp;
      TRIM(SUBSTITUTE($S$2:$S$47,CHAR(160)," ")),
      $T$2:$T$47
    )
  ),
"")</f>
        <v/>
      </c>
    </row>
    <row r="834" spans="10:10" x14ac:dyDescent="0.2">
      <c r="J834" s="52" t="str" cm="1">
        <f t="array" ref="J834">IFERROR(
  VALUE($H834) *
  VALUE(
    _xlfn.XLOOKUP(
      TRIM($F834) &amp; "|" &amp; LEFT(SUBSTITUTE($G834,CHAR(160)," "),5) &amp; "|Reduced Rate",
      TRIM(SUBSTITUTE($Q$2:$Q$47,CHAR(160)," ")) &amp; "|" &amp;
      LEFT(SUBSTITUTE($R$2:$R$47,CHAR(160)," "),5) &amp; "|" &amp;
      TRIM(SUBSTITUTE($S$2:$S$47,CHAR(160)," ")),
      $T$2:$T$47
    )
  ),
"")</f>
        <v/>
      </c>
    </row>
    <row r="835" spans="10:10" x14ac:dyDescent="0.2">
      <c r="J835" s="52" t="str" cm="1">
        <f t="array" ref="J835">IFERROR(
  VALUE($H835) *
  VALUE(
    _xlfn.XLOOKUP(
      TRIM($F835) &amp; "|" &amp; LEFT(SUBSTITUTE($G835,CHAR(160)," "),5) &amp; "|Reduced Rate",
      TRIM(SUBSTITUTE($Q$2:$Q$47,CHAR(160)," ")) &amp; "|" &amp;
      LEFT(SUBSTITUTE($R$2:$R$47,CHAR(160)," "),5) &amp; "|" &amp;
      TRIM(SUBSTITUTE($S$2:$S$47,CHAR(160)," ")),
      $T$2:$T$47
    )
  ),
"")</f>
        <v/>
      </c>
    </row>
    <row r="836" spans="10:10" x14ac:dyDescent="0.2">
      <c r="J836" s="52" t="str" cm="1">
        <f t="array" ref="J836">IFERROR(
  VALUE($H836) *
  VALUE(
    _xlfn.XLOOKUP(
      TRIM($F836) &amp; "|" &amp; LEFT(SUBSTITUTE($G836,CHAR(160)," "),5) &amp; "|Reduced Rate",
      TRIM(SUBSTITUTE($Q$2:$Q$47,CHAR(160)," ")) &amp; "|" &amp;
      LEFT(SUBSTITUTE($R$2:$R$47,CHAR(160)," "),5) &amp; "|" &amp;
      TRIM(SUBSTITUTE($S$2:$S$47,CHAR(160)," ")),
      $T$2:$T$47
    )
  ),
"")</f>
        <v/>
      </c>
    </row>
    <row r="837" spans="10:10" x14ac:dyDescent="0.2">
      <c r="J837" s="52" t="str" cm="1">
        <f t="array" ref="J837">IFERROR(
  VALUE($H837) *
  VALUE(
    _xlfn.XLOOKUP(
      TRIM($F837) &amp; "|" &amp; LEFT(SUBSTITUTE($G837,CHAR(160)," "),5) &amp; "|Reduced Rate",
      TRIM(SUBSTITUTE($Q$2:$Q$47,CHAR(160)," ")) &amp; "|" &amp;
      LEFT(SUBSTITUTE($R$2:$R$47,CHAR(160)," "),5) &amp; "|" &amp;
      TRIM(SUBSTITUTE($S$2:$S$47,CHAR(160)," ")),
      $T$2:$T$47
    )
  ),
"")</f>
        <v/>
      </c>
    </row>
    <row r="838" spans="10:10" x14ac:dyDescent="0.2">
      <c r="J838" s="52" t="str" cm="1">
        <f t="array" ref="J838">IFERROR(
  VALUE($H838) *
  VALUE(
    _xlfn.XLOOKUP(
      TRIM($F838) &amp; "|" &amp; LEFT(SUBSTITUTE($G838,CHAR(160)," "),5) &amp; "|Reduced Rate",
      TRIM(SUBSTITUTE($Q$2:$Q$47,CHAR(160)," ")) &amp; "|" &amp;
      LEFT(SUBSTITUTE($R$2:$R$47,CHAR(160)," "),5) &amp; "|" &amp;
      TRIM(SUBSTITUTE($S$2:$S$47,CHAR(160)," ")),
      $T$2:$T$47
    )
  ),
"")</f>
        <v/>
      </c>
    </row>
    <row r="839" spans="10:10" x14ac:dyDescent="0.2">
      <c r="J839" s="52" t="str" cm="1">
        <f t="array" ref="J839">IFERROR(
  VALUE($H839) *
  VALUE(
    _xlfn.XLOOKUP(
      TRIM($F839) &amp; "|" &amp; LEFT(SUBSTITUTE($G839,CHAR(160)," "),5) &amp; "|Reduced Rate",
      TRIM(SUBSTITUTE($Q$2:$Q$47,CHAR(160)," ")) &amp; "|" &amp;
      LEFT(SUBSTITUTE($R$2:$R$47,CHAR(160)," "),5) &amp; "|" &amp;
      TRIM(SUBSTITUTE($S$2:$S$47,CHAR(160)," ")),
      $T$2:$T$47
    )
  ),
"")</f>
        <v/>
      </c>
    </row>
    <row r="840" spans="10:10" x14ac:dyDescent="0.2">
      <c r="J840" s="52" t="str" cm="1">
        <f t="array" ref="J840">IFERROR(
  VALUE($H840) *
  VALUE(
    _xlfn.XLOOKUP(
      TRIM($F840) &amp; "|" &amp; LEFT(SUBSTITUTE($G840,CHAR(160)," "),5) &amp; "|Reduced Rate",
      TRIM(SUBSTITUTE($Q$2:$Q$47,CHAR(160)," ")) &amp; "|" &amp;
      LEFT(SUBSTITUTE($R$2:$R$47,CHAR(160)," "),5) &amp; "|" &amp;
      TRIM(SUBSTITUTE($S$2:$S$47,CHAR(160)," ")),
      $T$2:$T$47
    )
  ),
"")</f>
        <v/>
      </c>
    </row>
    <row r="841" spans="10:10" x14ac:dyDescent="0.2">
      <c r="J841" s="52" t="str" cm="1">
        <f t="array" ref="J841">IFERROR(
  VALUE($H841) *
  VALUE(
    _xlfn.XLOOKUP(
      TRIM($F841) &amp; "|" &amp; LEFT(SUBSTITUTE($G841,CHAR(160)," "),5) &amp; "|Reduced Rate",
      TRIM(SUBSTITUTE($Q$2:$Q$47,CHAR(160)," ")) &amp; "|" &amp;
      LEFT(SUBSTITUTE($R$2:$R$47,CHAR(160)," "),5) &amp; "|" &amp;
      TRIM(SUBSTITUTE($S$2:$S$47,CHAR(160)," ")),
      $T$2:$T$47
    )
  ),
"")</f>
        <v/>
      </c>
    </row>
    <row r="842" spans="10:10" x14ac:dyDescent="0.2">
      <c r="J842" s="52" t="str" cm="1">
        <f t="array" ref="J842">IFERROR(
  VALUE($H842) *
  VALUE(
    _xlfn.XLOOKUP(
      TRIM($F842) &amp; "|" &amp; LEFT(SUBSTITUTE($G842,CHAR(160)," "),5) &amp; "|Reduced Rate",
      TRIM(SUBSTITUTE($Q$2:$Q$47,CHAR(160)," ")) &amp; "|" &amp;
      LEFT(SUBSTITUTE($R$2:$R$47,CHAR(160)," "),5) &amp; "|" &amp;
      TRIM(SUBSTITUTE($S$2:$S$47,CHAR(160)," ")),
      $T$2:$T$47
    )
  ),
"")</f>
        <v/>
      </c>
    </row>
    <row r="843" spans="10:10" x14ac:dyDescent="0.2">
      <c r="J843" s="52" t="str" cm="1">
        <f t="array" ref="J843">IFERROR(
  VALUE($H843) *
  VALUE(
    _xlfn.XLOOKUP(
      TRIM($F843) &amp; "|" &amp; LEFT(SUBSTITUTE($G843,CHAR(160)," "),5) &amp; "|Reduced Rate",
      TRIM(SUBSTITUTE($Q$2:$Q$47,CHAR(160)," ")) &amp; "|" &amp;
      LEFT(SUBSTITUTE($R$2:$R$47,CHAR(160)," "),5) &amp; "|" &amp;
      TRIM(SUBSTITUTE($S$2:$S$47,CHAR(160)," ")),
      $T$2:$T$47
    )
  ),
"")</f>
        <v/>
      </c>
    </row>
    <row r="844" spans="10:10" x14ac:dyDescent="0.2">
      <c r="J844" s="52" t="str" cm="1">
        <f t="array" ref="J844">IFERROR(
  VALUE($H844) *
  VALUE(
    _xlfn.XLOOKUP(
      TRIM($F844) &amp; "|" &amp; LEFT(SUBSTITUTE($G844,CHAR(160)," "),5) &amp; "|Reduced Rate",
      TRIM(SUBSTITUTE($Q$2:$Q$47,CHAR(160)," ")) &amp; "|" &amp;
      LEFT(SUBSTITUTE($R$2:$R$47,CHAR(160)," "),5) &amp; "|" &amp;
      TRIM(SUBSTITUTE($S$2:$S$47,CHAR(160)," ")),
      $T$2:$T$47
    )
  ),
"")</f>
        <v/>
      </c>
    </row>
    <row r="845" spans="10:10" x14ac:dyDescent="0.2">
      <c r="J845" s="52" t="str" cm="1">
        <f t="array" ref="J845">IFERROR(
  VALUE($H845) *
  VALUE(
    _xlfn.XLOOKUP(
      TRIM($F845) &amp; "|" &amp; LEFT(SUBSTITUTE($G845,CHAR(160)," "),5) &amp; "|Reduced Rate",
      TRIM(SUBSTITUTE($Q$2:$Q$47,CHAR(160)," ")) &amp; "|" &amp;
      LEFT(SUBSTITUTE($R$2:$R$47,CHAR(160)," "),5) &amp; "|" &amp;
      TRIM(SUBSTITUTE($S$2:$S$47,CHAR(160)," ")),
      $T$2:$T$47
    )
  ),
"")</f>
        <v/>
      </c>
    </row>
    <row r="846" spans="10:10" x14ac:dyDescent="0.2">
      <c r="J846" s="52" t="str" cm="1">
        <f t="array" ref="J846">IFERROR(
  VALUE($H846) *
  VALUE(
    _xlfn.XLOOKUP(
      TRIM($F846) &amp; "|" &amp; LEFT(SUBSTITUTE($G846,CHAR(160)," "),5) &amp; "|Reduced Rate",
      TRIM(SUBSTITUTE($Q$2:$Q$47,CHAR(160)," ")) &amp; "|" &amp;
      LEFT(SUBSTITUTE($R$2:$R$47,CHAR(160)," "),5) &amp; "|" &amp;
      TRIM(SUBSTITUTE($S$2:$S$47,CHAR(160)," ")),
      $T$2:$T$47
    )
  ),
"")</f>
        <v/>
      </c>
    </row>
    <row r="847" spans="10:10" x14ac:dyDescent="0.2">
      <c r="J847" s="52" t="str" cm="1">
        <f t="array" ref="J847">IFERROR(
  VALUE($H847) *
  VALUE(
    _xlfn.XLOOKUP(
      TRIM($F847) &amp; "|" &amp; LEFT(SUBSTITUTE($G847,CHAR(160)," "),5) &amp; "|Reduced Rate",
      TRIM(SUBSTITUTE($Q$2:$Q$47,CHAR(160)," ")) &amp; "|" &amp;
      LEFT(SUBSTITUTE($R$2:$R$47,CHAR(160)," "),5) &amp; "|" &amp;
      TRIM(SUBSTITUTE($S$2:$S$47,CHAR(160)," ")),
      $T$2:$T$47
    )
  ),
"")</f>
        <v/>
      </c>
    </row>
    <row r="848" spans="10:10" x14ac:dyDescent="0.2">
      <c r="J848" s="52" t="str" cm="1">
        <f t="array" ref="J848">IFERROR(
  VALUE($H848) *
  VALUE(
    _xlfn.XLOOKUP(
      TRIM($F848) &amp; "|" &amp; LEFT(SUBSTITUTE($G848,CHAR(160)," "),5) &amp; "|Reduced Rate",
      TRIM(SUBSTITUTE($Q$2:$Q$47,CHAR(160)," ")) &amp; "|" &amp;
      LEFT(SUBSTITUTE($R$2:$R$47,CHAR(160)," "),5) &amp; "|" &amp;
      TRIM(SUBSTITUTE($S$2:$S$47,CHAR(160)," ")),
      $T$2:$T$47
    )
  ),
"")</f>
        <v/>
      </c>
    </row>
    <row r="849" spans="10:10" x14ac:dyDescent="0.2">
      <c r="J849" s="52" t="str" cm="1">
        <f t="array" ref="J849">IFERROR(
  VALUE($H849) *
  VALUE(
    _xlfn.XLOOKUP(
      TRIM($F849) &amp; "|" &amp; LEFT(SUBSTITUTE($G849,CHAR(160)," "),5) &amp; "|Reduced Rate",
      TRIM(SUBSTITUTE($Q$2:$Q$47,CHAR(160)," ")) &amp; "|" &amp;
      LEFT(SUBSTITUTE($R$2:$R$47,CHAR(160)," "),5) &amp; "|" &amp;
      TRIM(SUBSTITUTE($S$2:$S$47,CHAR(160)," ")),
      $T$2:$T$47
    )
  ),
"")</f>
        <v/>
      </c>
    </row>
    <row r="850" spans="10:10" x14ac:dyDescent="0.2">
      <c r="J850" s="52" t="str" cm="1">
        <f t="array" ref="J850">IFERROR(
  VALUE($H850) *
  VALUE(
    _xlfn.XLOOKUP(
      TRIM($F850) &amp; "|" &amp; LEFT(SUBSTITUTE($G850,CHAR(160)," "),5) &amp; "|Reduced Rate",
      TRIM(SUBSTITUTE($Q$2:$Q$47,CHAR(160)," ")) &amp; "|" &amp;
      LEFT(SUBSTITUTE($R$2:$R$47,CHAR(160)," "),5) &amp; "|" &amp;
      TRIM(SUBSTITUTE($S$2:$S$47,CHAR(160)," ")),
      $T$2:$T$47
    )
  ),
"")</f>
        <v/>
      </c>
    </row>
    <row r="851" spans="10:10" x14ac:dyDescent="0.2">
      <c r="J851" s="52" t="str" cm="1">
        <f t="array" ref="J851">IFERROR(
  VALUE($H851) *
  VALUE(
    _xlfn.XLOOKUP(
      TRIM($F851) &amp; "|" &amp; LEFT(SUBSTITUTE($G851,CHAR(160)," "),5) &amp; "|Reduced Rate",
      TRIM(SUBSTITUTE($Q$2:$Q$47,CHAR(160)," ")) &amp; "|" &amp;
      LEFT(SUBSTITUTE($R$2:$R$47,CHAR(160)," "),5) &amp; "|" &amp;
      TRIM(SUBSTITUTE($S$2:$S$47,CHAR(160)," ")),
      $T$2:$T$47
    )
  ),
"")</f>
        <v/>
      </c>
    </row>
    <row r="852" spans="10:10" x14ac:dyDescent="0.2">
      <c r="J852" s="52" t="str" cm="1">
        <f t="array" ref="J852">IFERROR(
  VALUE($H852) *
  VALUE(
    _xlfn.XLOOKUP(
      TRIM($F852) &amp; "|" &amp; LEFT(SUBSTITUTE($G852,CHAR(160)," "),5) &amp; "|Reduced Rate",
      TRIM(SUBSTITUTE($Q$2:$Q$47,CHAR(160)," ")) &amp; "|" &amp;
      LEFT(SUBSTITUTE($R$2:$R$47,CHAR(160)," "),5) &amp; "|" &amp;
      TRIM(SUBSTITUTE($S$2:$S$47,CHAR(160)," ")),
      $T$2:$T$47
    )
  ),
"")</f>
        <v/>
      </c>
    </row>
    <row r="853" spans="10:10" x14ac:dyDescent="0.2">
      <c r="J853" s="52" t="str" cm="1">
        <f t="array" ref="J853">IFERROR(
  VALUE($H853) *
  VALUE(
    _xlfn.XLOOKUP(
      TRIM($F853) &amp; "|" &amp; LEFT(SUBSTITUTE($G853,CHAR(160)," "),5) &amp; "|Reduced Rate",
      TRIM(SUBSTITUTE($Q$2:$Q$47,CHAR(160)," ")) &amp; "|" &amp;
      LEFT(SUBSTITUTE($R$2:$R$47,CHAR(160)," "),5) &amp; "|" &amp;
      TRIM(SUBSTITUTE($S$2:$S$47,CHAR(160)," ")),
      $T$2:$T$47
    )
  ),
"")</f>
        <v/>
      </c>
    </row>
    <row r="854" spans="10:10" x14ac:dyDescent="0.2">
      <c r="J854" s="52" t="str" cm="1">
        <f t="array" ref="J854">IFERROR(
  VALUE($H854) *
  VALUE(
    _xlfn.XLOOKUP(
      TRIM($F854) &amp; "|" &amp; LEFT(SUBSTITUTE($G854,CHAR(160)," "),5) &amp; "|Reduced Rate",
      TRIM(SUBSTITUTE($Q$2:$Q$47,CHAR(160)," ")) &amp; "|" &amp;
      LEFT(SUBSTITUTE($R$2:$R$47,CHAR(160)," "),5) &amp; "|" &amp;
      TRIM(SUBSTITUTE($S$2:$S$47,CHAR(160)," ")),
      $T$2:$T$47
    )
  ),
"")</f>
        <v/>
      </c>
    </row>
    <row r="855" spans="10:10" x14ac:dyDescent="0.2">
      <c r="J855" s="52" t="str" cm="1">
        <f t="array" ref="J855">IFERROR(
  VALUE($H855) *
  VALUE(
    _xlfn.XLOOKUP(
      TRIM($F855) &amp; "|" &amp; LEFT(SUBSTITUTE($G855,CHAR(160)," "),5) &amp; "|Reduced Rate",
      TRIM(SUBSTITUTE($Q$2:$Q$47,CHAR(160)," ")) &amp; "|" &amp;
      LEFT(SUBSTITUTE($R$2:$R$47,CHAR(160)," "),5) &amp; "|" &amp;
      TRIM(SUBSTITUTE($S$2:$S$47,CHAR(160)," ")),
      $T$2:$T$47
    )
  ),
"")</f>
        <v/>
      </c>
    </row>
    <row r="856" spans="10:10" x14ac:dyDescent="0.2">
      <c r="J856" s="52" t="str" cm="1">
        <f t="array" ref="J856">IFERROR(
  VALUE($H856) *
  VALUE(
    _xlfn.XLOOKUP(
      TRIM($F856) &amp; "|" &amp; LEFT(SUBSTITUTE($G856,CHAR(160)," "),5) &amp; "|Reduced Rate",
      TRIM(SUBSTITUTE($Q$2:$Q$47,CHAR(160)," ")) &amp; "|" &amp;
      LEFT(SUBSTITUTE($R$2:$R$47,CHAR(160)," "),5) &amp; "|" &amp;
      TRIM(SUBSTITUTE($S$2:$S$47,CHAR(160)," ")),
      $T$2:$T$47
    )
  ),
"")</f>
        <v/>
      </c>
    </row>
    <row r="857" spans="10:10" x14ac:dyDescent="0.2">
      <c r="J857" s="52" t="str" cm="1">
        <f t="array" ref="J857">IFERROR(
  VALUE($H857) *
  VALUE(
    _xlfn.XLOOKUP(
      TRIM($F857) &amp; "|" &amp; LEFT(SUBSTITUTE($G857,CHAR(160)," "),5) &amp; "|Reduced Rate",
      TRIM(SUBSTITUTE($Q$2:$Q$47,CHAR(160)," ")) &amp; "|" &amp;
      LEFT(SUBSTITUTE($R$2:$R$47,CHAR(160)," "),5) &amp; "|" &amp;
      TRIM(SUBSTITUTE($S$2:$S$47,CHAR(160)," ")),
      $T$2:$T$47
    )
  ),
"")</f>
        <v/>
      </c>
    </row>
    <row r="858" spans="10:10" x14ac:dyDescent="0.2">
      <c r="J858" s="52" t="str" cm="1">
        <f t="array" ref="J858">IFERROR(
  VALUE($H858) *
  VALUE(
    _xlfn.XLOOKUP(
      TRIM($F858) &amp; "|" &amp; LEFT(SUBSTITUTE($G858,CHAR(160)," "),5) &amp; "|Reduced Rate",
      TRIM(SUBSTITUTE($Q$2:$Q$47,CHAR(160)," ")) &amp; "|" &amp;
      LEFT(SUBSTITUTE($R$2:$R$47,CHAR(160)," "),5) &amp; "|" &amp;
      TRIM(SUBSTITUTE($S$2:$S$47,CHAR(160)," ")),
      $T$2:$T$47
    )
  ),
"")</f>
        <v/>
      </c>
    </row>
    <row r="859" spans="10:10" x14ac:dyDescent="0.2">
      <c r="J859" s="52" t="str" cm="1">
        <f t="array" ref="J859">IFERROR(
  VALUE($H859) *
  VALUE(
    _xlfn.XLOOKUP(
      TRIM($F859) &amp; "|" &amp; LEFT(SUBSTITUTE($G859,CHAR(160)," "),5) &amp; "|Reduced Rate",
      TRIM(SUBSTITUTE($Q$2:$Q$47,CHAR(160)," ")) &amp; "|" &amp;
      LEFT(SUBSTITUTE($R$2:$R$47,CHAR(160)," "),5) &amp; "|" &amp;
      TRIM(SUBSTITUTE($S$2:$S$47,CHAR(160)," ")),
      $T$2:$T$47
    )
  ),
"")</f>
        <v/>
      </c>
    </row>
    <row r="860" spans="10:10" x14ac:dyDescent="0.2">
      <c r="J860" s="52" t="str" cm="1">
        <f t="array" ref="J860">IFERROR(
  VALUE($H860) *
  VALUE(
    _xlfn.XLOOKUP(
      TRIM($F860) &amp; "|" &amp; LEFT(SUBSTITUTE($G860,CHAR(160)," "),5) &amp; "|Reduced Rate",
      TRIM(SUBSTITUTE($Q$2:$Q$47,CHAR(160)," ")) &amp; "|" &amp;
      LEFT(SUBSTITUTE($R$2:$R$47,CHAR(160)," "),5) &amp; "|" &amp;
      TRIM(SUBSTITUTE($S$2:$S$47,CHAR(160)," ")),
      $T$2:$T$47
    )
  ),
"")</f>
        <v/>
      </c>
    </row>
    <row r="861" spans="10:10" x14ac:dyDescent="0.2">
      <c r="J861" s="52" t="str" cm="1">
        <f t="array" ref="J861">IFERROR(
  VALUE($H861) *
  VALUE(
    _xlfn.XLOOKUP(
      TRIM($F861) &amp; "|" &amp; LEFT(SUBSTITUTE($G861,CHAR(160)," "),5) &amp; "|Reduced Rate",
      TRIM(SUBSTITUTE($Q$2:$Q$47,CHAR(160)," ")) &amp; "|" &amp;
      LEFT(SUBSTITUTE($R$2:$R$47,CHAR(160)," "),5) &amp; "|" &amp;
      TRIM(SUBSTITUTE($S$2:$S$47,CHAR(160)," ")),
      $T$2:$T$47
    )
  ),
"")</f>
        <v/>
      </c>
    </row>
    <row r="862" spans="10:10" x14ac:dyDescent="0.2">
      <c r="J862" s="52" t="str" cm="1">
        <f t="array" ref="J862">IFERROR(
  VALUE($H862) *
  VALUE(
    _xlfn.XLOOKUP(
      TRIM($F862) &amp; "|" &amp; LEFT(SUBSTITUTE($G862,CHAR(160)," "),5) &amp; "|Reduced Rate",
      TRIM(SUBSTITUTE($Q$2:$Q$47,CHAR(160)," ")) &amp; "|" &amp;
      LEFT(SUBSTITUTE($R$2:$R$47,CHAR(160)," "),5) &amp; "|" &amp;
      TRIM(SUBSTITUTE($S$2:$S$47,CHAR(160)," ")),
      $T$2:$T$47
    )
  ),
"")</f>
        <v/>
      </c>
    </row>
    <row r="863" spans="10:10" x14ac:dyDescent="0.2">
      <c r="J863" s="52" t="str" cm="1">
        <f t="array" ref="J863">IFERROR(
  VALUE($H863) *
  VALUE(
    _xlfn.XLOOKUP(
      TRIM($F863) &amp; "|" &amp; LEFT(SUBSTITUTE($G863,CHAR(160)," "),5) &amp; "|Reduced Rate",
      TRIM(SUBSTITUTE($Q$2:$Q$47,CHAR(160)," ")) &amp; "|" &amp;
      LEFT(SUBSTITUTE($R$2:$R$47,CHAR(160)," "),5) &amp; "|" &amp;
      TRIM(SUBSTITUTE($S$2:$S$47,CHAR(160)," ")),
      $T$2:$T$47
    )
  ),
"")</f>
        <v/>
      </c>
    </row>
    <row r="864" spans="10:10" x14ac:dyDescent="0.2">
      <c r="J864" s="52" t="str" cm="1">
        <f t="array" ref="J864">IFERROR(
  VALUE($H864) *
  VALUE(
    _xlfn.XLOOKUP(
      TRIM($F864) &amp; "|" &amp; LEFT(SUBSTITUTE($G864,CHAR(160)," "),5) &amp; "|Reduced Rate",
      TRIM(SUBSTITUTE($Q$2:$Q$47,CHAR(160)," ")) &amp; "|" &amp;
      LEFT(SUBSTITUTE($R$2:$R$47,CHAR(160)," "),5) &amp; "|" &amp;
      TRIM(SUBSTITUTE($S$2:$S$47,CHAR(160)," ")),
      $T$2:$T$47
    )
  ),
"")</f>
        <v/>
      </c>
    </row>
    <row r="865" spans="10:10" x14ac:dyDescent="0.2">
      <c r="J865" s="52" t="str" cm="1">
        <f t="array" ref="J865">IFERROR(
  VALUE($H865) *
  VALUE(
    _xlfn.XLOOKUP(
      TRIM($F865) &amp; "|" &amp; LEFT(SUBSTITUTE($G865,CHAR(160)," "),5) &amp; "|Reduced Rate",
      TRIM(SUBSTITUTE($Q$2:$Q$47,CHAR(160)," ")) &amp; "|" &amp;
      LEFT(SUBSTITUTE($R$2:$R$47,CHAR(160)," "),5) &amp; "|" &amp;
      TRIM(SUBSTITUTE($S$2:$S$47,CHAR(160)," ")),
      $T$2:$T$47
    )
  ),
"")</f>
        <v/>
      </c>
    </row>
    <row r="866" spans="10:10" x14ac:dyDescent="0.2">
      <c r="J866" s="52" t="str" cm="1">
        <f t="array" ref="J866">IFERROR(
  VALUE($H866) *
  VALUE(
    _xlfn.XLOOKUP(
      TRIM($F866) &amp; "|" &amp; LEFT(SUBSTITUTE($G866,CHAR(160)," "),5) &amp; "|Reduced Rate",
      TRIM(SUBSTITUTE($Q$2:$Q$47,CHAR(160)," ")) &amp; "|" &amp;
      LEFT(SUBSTITUTE($R$2:$R$47,CHAR(160)," "),5) &amp; "|" &amp;
      TRIM(SUBSTITUTE($S$2:$S$47,CHAR(160)," ")),
      $T$2:$T$47
    )
  ),
"")</f>
        <v/>
      </c>
    </row>
    <row r="867" spans="10:10" x14ac:dyDescent="0.2">
      <c r="J867" s="52" t="str" cm="1">
        <f t="array" ref="J867">IFERROR(
  VALUE($H867) *
  VALUE(
    _xlfn.XLOOKUP(
      TRIM($F867) &amp; "|" &amp; LEFT(SUBSTITUTE($G867,CHAR(160)," "),5) &amp; "|Reduced Rate",
      TRIM(SUBSTITUTE($Q$2:$Q$47,CHAR(160)," ")) &amp; "|" &amp;
      LEFT(SUBSTITUTE($R$2:$R$47,CHAR(160)," "),5) &amp; "|" &amp;
      TRIM(SUBSTITUTE($S$2:$S$47,CHAR(160)," ")),
      $T$2:$T$47
    )
  ),
"")</f>
        <v/>
      </c>
    </row>
    <row r="868" spans="10:10" x14ac:dyDescent="0.2">
      <c r="J868" s="52" t="str" cm="1">
        <f t="array" ref="J868">IFERROR(
  VALUE($H868) *
  VALUE(
    _xlfn.XLOOKUP(
      TRIM($F868) &amp; "|" &amp; LEFT(SUBSTITUTE($G868,CHAR(160)," "),5) &amp; "|Reduced Rate",
      TRIM(SUBSTITUTE($Q$2:$Q$47,CHAR(160)," ")) &amp; "|" &amp;
      LEFT(SUBSTITUTE($R$2:$R$47,CHAR(160)," "),5) &amp; "|" &amp;
      TRIM(SUBSTITUTE($S$2:$S$47,CHAR(160)," ")),
      $T$2:$T$47
    )
  ),
"")</f>
        <v/>
      </c>
    </row>
    <row r="869" spans="10:10" x14ac:dyDescent="0.2">
      <c r="J869" s="52" t="str" cm="1">
        <f t="array" ref="J869">IFERROR(
  VALUE($H869) *
  VALUE(
    _xlfn.XLOOKUP(
      TRIM($F869) &amp; "|" &amp; LEFT(SUBSTITUTE($G869,CHAR(160)," "),5) &amp; "|Reduced Rate",
      TRIM(SUBSTITUTE($Q$2:$Q$47,CHAR(160)," ")) &amp; "|" &amp;
      LEFT(SUBSTITUTE($R$2:$R$47,CHAR(160)," "),5) &amp; "|" &amp;
      TRIM(SUBSTITUTE($S$2:$S$47,CHAR(160)," ")),
      $T$2:$T$47
    )
  ),
"")</f>
        <v/>
      </c>
    </row>
    <row r="870" spans="10:10" x14ac:dyDescent="0.2">
      <c r="J870" s="52" t="str" cm="1">
        <f t="array" ref="J870">IFERROR(
  VALUE($H870) *
  VALUE(
    _xlfn.XLOOKUP(
      TRIM($F870) &amp; "|" &amp; LEFT(SUBSTITUTE($G870,CHAR(160)," "),5) &amp; "|Reduced Rate",
      TRIM(SUBSTITUTE($Q$2:$Q$47,CHAR(160)," ")) &amp; "|" &amp;
      LEFT(SUBSTITUTE($R$2:$R$47,CHAR(160)," "),5) &amp; "|" &amp;
      TRIM(SUBSTITUTE($S$2:$S$47,CHAR(160)," ")),
      $T$2:$T$47
    )
  ),
"")</f>
        <v/>
      </c>
    </row>
    <row r="871" spans="10:10" x14ac:dyDescent="0.2">
      <c r="J871" s="52" t="str" cm="1">
        <f t="array" ref="J871">IFERROR(
  VALUE($H871) *
  VALUE(
    _xlfn.XLOOKUP(
      TRIM($F871) &amp; "|" &amp; LEFT(SUBSTITUTE($G871,CHAR(160)," "),5) &amp; "|Reduced Rate",
      TRIM(SUBSTITUTE($Q$2:$Q$47,CHAR(160)," ")) &amp; "|" &amp;
      LEFT(SUBSTITUTE($R$2:$R$47,CHAR(160)," "),5) &amp; "|" &amp;
      TRIM(SUBSTITUTE($S$2:$S$47,CHAR(160)," ")),
      $T$2:$T$47
    )
  ),
"")</f>
        <v/>
      </c>
    </row>
    <row r="872" spans="10:10" x14ac:dyDescent="0.2">
      <c r="J872" s="52" t="str" cm="1">
        <f t="array" ref="J872">IFERROR(
  VALUE($H872) *
  VALUE(
    _xlfn.XLOOKUP(
      TRIM($F872) &amp; "|" &amp; LEFT(SUBSTITUTE($G872,CHAR(160)," "),5) &amp; "|Reduced Rate",
      TRIM(SUBSTITUTE($Q$2:$Q$47,CHAR(160)," ")) &amp; "|" &amp;
      LEFT(SUBSTITUTE($R$2:$R$47,CHAR(160)," "),5) &amp; "|" &amp;
      TRIM(SUBSTITUTE($S$2:$S$47,CHAR(160)," ")),
      $T$2:$T$47
    )
  ),
"")</f>
        <v/>
      </c>
    </row>
    <row r="873" spans="10:10" x14ac:dyDescent="0.2">
      <c r="J873" s="52" t="str" cm="1">
        <f t="array" ref="J873">IFERROR(
  VALUE($H873) *
  VALUE(
    _xlfn.XLOOKUP(
      TRIM($F873) &amp; "|" &amp; LEFT(SUBSTITUTE($G873,CHAR(160)," "),5) &amp; "|Reduced Rate",
      TRIM(SUBSTITUTE($Q$2:$Q$47,CHAR(160)," ")) &amp; "|" &amp;
      LEFT(SUBSTITUTE($R$2:$R$47,CHAR(160)," "),5) &amp; "|" &amp;
      TRIM(SUBSTITUTE($S$2:$S$47,CHAR(160)," ")),
      $T$2:$T$47
    )
  ),
"")</f>
        <v/>
      </c>
    </row>
    <row r="874" spans="10:10" x14ac:dyDescent="0.2">
      <c r="J874" s="52" t="str" cm="1">
        <f t="array" ref="J874">IFERROR(
  VALUE($H874) *
  VALUE(
    _xlfn.XLOOKUP(
      TRIM($F874) &amp; "|" &amp; LEFT(SUBSTITUTE($G874,CHAR(160)," "),5) &amp; "|Reduced Rate",
      TRIM(SUBSTITUTE($Q$2:$Q$47,CHAR(160)," ")) &amp; "|" &amp;
      LEFT(SUBSTITUTE($R$2:$R$47,CHAR(160)," "),5) &amp; "|" &amp;
      TRIM(SUBSTITUTE($S$2:$S$47,CHAR(160)," ")),
      $T$2:$T$47
    )
  ),
"")</f>
        <v/>
      </c>
    </row>
    <row r="875" spans="10:10" x14ac:dyDescent="0.2">
      <c r="J875" s="52" t="str" cm="1">
        <f t="array" ref="J875">IFERROR(
  VALUE($H875) *
  VALUE(
    _xlfn.XLOOKUP(
      TRIM($F875) &amp; "|" &amp; LEFT(SUBSTITUTE($G875,CHAR(160)," "),5) &amp; "|Reduced Rate",
      TRIM(SUBSTITUTE($Q$2:$Q$47,CHAR(160)," ")) &amp; "|" &amp;
      LEFT(SUBSTITUTE($R$2:$R$47,CHAR(160)," "),5) &amp; "|" &amp;
      TRIM(SUBSTITUTE($S$2:$S$47,CHAR(160)," ")),
      $T$2:$T$47
    )
  ),
"")</f>
        <v/>
      </c>
    </row>
    <row r="876" spans="10:10" x14ac:dyDescent="0.2">
      <c r="J876" s="52" t="str" cm="1">
        <f t="array" ref="J876">IFERROR(
  VALUE($H876) *
  VALUE(
    _xlfn.XLOOKUP(
      TRIM($F876) &amp; "|" &amp; LEFT(SUBSTITUTE($G876,CHAR(160)," "),5) &amp; "|Reduced Rate",
      TRIM(SUBSTITUTE($Q$2:$Q$47,CHAR(160)," ")) &amp; "|" &amp;
      LEFT(SUBSTITUTE($R$2:$R$47,CHAR(160)," "),5) &amp; "|" &amp;
      TRIM(SUBSTITUTE($S$2:$S$47,CHAR(160)," ")),
      $T$2:$T$47
    )
  ),
"")</f>
        <v/>
      </c>
    </row>
    <row r="877" spans="10:10" x14ac:dyDescent="0.2">
      <c r="J877" s="52" t="str" cm="1">
        <f t="array" ref="J877">IFERROR(
  VALUE($H877) *
  VALUE(
    _xlfn.XLOOKUP(
      TRIM($F877) &amp; "|" &amp; LEFT(SUBSTITUTE($G877,CHAR(160)," "),5) &amp; "|Reduced Rate",
      TRIM(SUBSTITUTE($Q$2:$Q$47,CHAR(160)," ")) &amp; "|" &amp;
      LEFT(SUBSTITUTE($R$2:$R$47,CHAR(160)," "),5) &amp; "|" &amp;
      TRIM(SUBSTITUTE($S$2:$S$47,CHAR(160)," ")),
      $T$2:$T$47
    )
  ),
"")</f>
        <v/>
      </c>
    </row>
    <row r="878" spans="10:10" x14ac:dyDescent="0.2">
      <c r="J878" s="52" t="str" cm="1">
        <f t="array" ref="J878">IFERROR(
  VALUE($H878) *
  VALUE(
    _xlfn.XLOOKUP(
      TRIM($F878) &amp; "|" &amp; LEFT(SUBSTITUTE($G878,CHAR(160)," "),5) &amp; "|Reduced Rate",
      TRIM(SUBSTITUTE($Q$2:$Q$47,CHAR(160)," ")) &amp; "|" &amp;
      LEFT(SUBSTITUTE($R$2:$R$47,CHAR(160)," "),5) &amp; "|" &amp;
      TRIM(SUBSTITUTE($S$2:$S$47,CHAR(160)," ")),
      $T$2:$T$47
    )
  ),
"")</f>
        <v/>
      </c>
    </row>
    <row r="879" spans="10:10" x14ac:dyDescent="0.2">
      <c r="J879" s="52" t="str" cm="1">
        <f t="array" ref="J879">IFERROR(
  VALUE($H879) *
  VALUE(
    _xlfn.XLOOKUP(
      TRIM($F879) &amp; "|" &amp; LEFT(SUBSTITUTE($G879,CHAR(160)," "),5) &amp; "|Reduced Rate",
      TRIM(SUBSTITUTE($Q$2:$Q$47,CHAR(160)," ")) &amp; "|" &amp;
      LEFT(SUBSTITUTE($R$2:$R$47,CHAR(160)," "),5) &amp; "|" &amp;
      TRIM(SUBSTITUTE($S$2:$S$47,CHAR(160)," ")),
      $T$2:$T$47
    )
  ),
"")</f>
        <v/>
      </c>
    </row>
    <row r="880" spans="10:10" x14ac:dyDescent="0.2">
      <c r="J880" s="52" t="str" cm="1">
        <f t="array" ref="J880">IFERROR(
  VALUE($H880) *
  VALUE(
    _xlfn.XLOOKUP(
      TRIM($F880) &amp; "|" &amp; LEFT(SUBSTITUTE($G880,CHAR(160)," "),5) &amp; "|Reduced Rate",
      TRIM(SUBSTITUTE($Q$2:$Q$47,CHAR(160)," ")) &amp; "|" &amp;
      LEFT(SUBSTITUTE($R$2:$R$47,CHAR(160)," "),5) &amp; "|" &amp;
      TRIM(SUBSTITUTE($S$2:$S$47,CHAR(160)," ")),
      $T$2:$T$47
    )
  ),
"")</f>
        <v/>
      </c>
    </row>
    <row r="881" spans="10:10" x14ac:dyDescent="0.2">
      <c r="J881" s="52" t="str" cm="1">
        <f t="array" ref="J881">IFERROR(
  VALUE($H881) *
  VALUE(
    _xlfn.XLOOKUP(
      TRIM($F881) &amp; "|" &amp; LEFT(SUBSTITUTE($G881,CHAR(160)," "),5) &amp; "|Reduced Rate",
      TRIM(SUBSTITUTE($Q$2:$Q$47,CHAR(160)," ")) &amp; "|" &amp;
      LEFT(SUBSTITUTE($R$2:$R$47,CHAR(160)," "),5) &amp; "|" &amp;
      TRIM(SUBSTITUTE($S$2:$S$47,CHAR(160)," ")),
      $T$2:$T$47
    )
  ),
"")</f>
        <v/>
      </c>
    </row>
    <row r="882" spans="10:10" x14ac:dyDescent="0.2">
      <c r="J882" s="52" t="str" cm="1">
        <f t="array" ref="J882">IFERROR(
  VALUE($H882) *
  VALUE(
    _xlfn.XLOOKUP(
      TRIM($F882) &amp; "|" &amp; LEFT(SUBSTITUTE($G882,CHAR(160)," "),5) &amp; "|Reduced Rate",
      TRIM(SUBSTITUTE($Q$2:$Q$47,CHAR(160)," ")) &amp; "|" &amp;
      LEFT(SUBSTITUTE($R$2:$R$47,CHAR(160)," "),5) &amp; "|" &amp;
      TRIM(SUBSTITUTE($S$2:$S$47,CHAR(160)," ")),
      $T$2:$T$47
    )
  ),
"")</f>
        <v/>
      </c>
    </row>
    <row r="883" spans="10:10" x14ac:dyDescent="0.2">
      <c r="J883" s="52" t="str" cm="1">
        <f t="array" ref="J883">IFERROR(
  VALUE($H883) *
  VALUE(
    _xlfn.XLOOKUP(
      TRIM($F883) &amp; "|" &amp; LEFT(SUBSTITUTE($G883,CHAR(160)," "),5) &amp; "|Reduced Rate",
      TRIM(SUBSTITUTE($Q$2:$Q$47,CHAR(160)," ")) &amp; "|" &amp;
      LEFT(SUBSTITUTE($R$2:$R$47,CHAR(160)," "),5) &amp; "|" &amp;
      TRIM(SUBSTITUTE($S$2:$S$47,CHAR(160)," ")),
      $T$2:$T$47
    )
  ),
"")</f>
        <v/>
      </c>
    </row>
    <row r="884" spans="10:10" x14ac:dyDescent="0.2">
      <c r="J884" s="52" t="str" cm="1">
        <f t="array" ref="J884">IFERROR(
  VALUE($H884) *
  VALUE(
    _xlfn.XLOOKUP(
      TRIM($F884) &amp; "|" &amp; LEFT(SUBSTITUTE($G884,CHAR(160)," "),5) &amp; "|Reduced Rate",
      TRIM(SUBSTITUTE($Q$2:$Q$47,CHAR(160)," ")) &amp; "|" &amp;
      LEFT(SUBSTITUTE($R$2:$R$47,CHAR(160)," "),5) &amp; "|" &amp;
      TRIM(SUBSTITUTE($S$2:$S$47,CHAR(160)," ")),
      $T$2:$T$47
    )
  ),
"")</f>
        <v/>
      </c>
    </row>
    <row r="885" spans="10:10" x14ac:dyDescent="0.2">
      <c r="J885" s="52" t="str" cm="1">
        <f t="array" ref="J885">IFERROR(
  VALUE($H885) *
  VALUE(
    _xlfn.XLOOKUP(
      TRIM($F885) &amp; "|" &amp; LEFT(SUBSTITUTE($G885,CHAR(160)," "),5) &amp; "|Reduced Rate",
      TRIM(SUBSTITUTE($Q$2:$Q$47,CHAR(160)," ")) &amp; "|" &amp;
      LEFT(SUBSTITUTE($R$2:$R$47,CHAR(160)," "),5) &amp; "|" &amp;
      TRIM(SUBSTITUTE($S$2:$S$47,CHAR(160)," ")),
      $T$2:$T$47
    )
  ),
"")</f>
        <v/>
      </c>
    </row>
    <row r="886" spans="10:10" x14ac:dyDescent="0.2">
      <c r="J886" s="52" t="str" cm="1">
        <f t="array" ref="J886">IFERROR(
  VALUE($H886) *
  VALUE(
    _xlfn.XLOOKUP(
      TRIM($F886) &amp; "|" &amp; LEFT(SUBSTITUTE($G886,CHAR(160)," "),5) &amp; "|Reduced Rate",
      TRIM(SUBSTITUTE($Q$2:$Q$47,CHAR(160)," ")) &amp; "|" &amp;
      LEFT(SUBSTITUTE($R$2:$R$47,CHAR(160)," "),5) &amp; "|" &amp;
      TRIM(SUBSTITUTE($S$2:$S$47,CHAR(160)," ")),
      $T$2:$T$47
    )
  ),
"")</f>
        <v/>
      </c>
    </row>
    <row r="887" spans="10:10" x14ac:dyDescent="0.2">
      <c r="J887" s="52" t="str" cm="1">
        <f t="array" ref="J887">IFERROR(
  VALUE($H887) *
  VALUE(
    _xlfn.XLOOKUP(
      TRIM($F887) &amp; "|" &amp; LEFT(SUBSTITUTE($G887,CHAR(160)," "),5) &amp; "|Reduced Rate",
      TRIM(SUBSTITUTE($Q$2:$Q$47,CHAR(160)," ")) &amp; "|" &amp;
      LEFT(SUBSTITUTE($R$2:$R$47,CHAR(160)," "),5) &amp; "|" &amp;
      TRIM(SUBSTITUTE($S$2:$S$47,CHAR(160)," ")),
      $T$2:$T$47
    )
  ),
"")</f>
        <v/>
      </c>
    </row>
    <row r="888" spans="10:10" x14ac:dyDescent="0.2">
      <c r="J888" s="52" t="str" cm="1">
        <f t="array" ref="J888">IFERROR(
  VALUE($H888) *
  VALUE(
    _xlfn.XLOOKUP(
      TRIM($F888) &amp; "|" &amp; LEFT(SUBSTITUTE($G888,CHAR(160)," "),5) &amp; "|Reduced Rate",
      TRIM(SUBSTITUTE($Q$2:$Q$47,CHAR(160)," ")) &amp; "|" &amp;
      LEFT(SUBSTITUTE($R$2:$R$47,CHAR(160)," "),5) &amp; "|" &amp;
      TRIM(SUBSTITUTE($S$2:$S$47,CHAR(160)," ")),
      $T$2:$T$47
    )
  ),
"")</f>
        <v/>
      </c>
    </row>
    <row r="889" spans="10:10" x14ac:dyDescent="0.2">
      <c r="J889" s="52" t="str" cm="1">
        <f t="array" ref="J889">IFERROR(
  VALUE($H889) *
  VALUE(
    _xlfn.XLOOKUP(
      TRIM($F889) &amp; "|" &amp; LEFT(SUBSTITUTE($G889,CHAR(160)," "),5) &amp; "|Reduced Rate",
      TRIM(SUBSTITUTE($Q$2:$Q$47,CHAR(160)," ")) &amp; "|" &amp;
      LEFT(SUBSTITUTE($R$2:$R$47,CHAR(160)," "),5) &amp; "|" &amp;
      TRIM(SUBSTITUTE($S$2:$S$47,CHAR(160)," ")),
      $T$2:$T$47
    )
  ),
"")</f>
        <v/>
      </c>
    </row>
    <row r="890" spans="10:10" x14ac:dyDescent="0.2">
      <c r="J890" s="52" t="str" cm="1">
        <f t="array" ref="J890">IFERROR(
  VALUE($H890) *
  VALUE(
    _xlfn.XLOOKUP(
      TRIM($F890) &amp; "|" &amp; LEFT(SUBSTITUTE($G890,CHAR(160)," "),5) &amp; "|Reduced Rate",
      TRIM(SUBSTITUTE($Q$2:$Q$47,CHAR(160)," ")) &amp; "|" &amp;
      LEFT(SUBSTITUTE($R$2:$R$47,CHAR(160)," "),5) &amp; "|" &amp;
      TRIM(SUBSTITUTE($S$2:$S$47,CHAR(160)," ")),
      $T$2:$T$47
    )
  ),
"")</f>
        <v/>
      </c>
    </row>
    <row r="891" spans="10:10" x14ac:dyDescent="0.2">
      <c r="J891" s="52" t="str" cm="1">
        <f t="array" ref="J891">IFERROR(
  VALUE($H891) *
  VALUE(
    _xlfn.XLOOKUP(
      TRIM($F891) &amp; "|" &amp; LEFT(SUBSTITUTE($G891,CHAR(160)," "),5) &amp; "|Reduced Rate",
      TRIM(SUBSTITUTE($Q$2:$Q$47,CHAR(160)," ")) &amp; "|" &amp;
      LEFT(SUBSTITUTE($R$2:$R$47,CHAR(160)," "),5) &amp; "|" &amp;
      TRIM(SUBSTITUTE($S$2:$S$47,CHAR(160)," ")),
      $T$2:$T$47
    )
  ),
"")</f>
        <v/>
      </c>
    </row>
    <row r="892" spans="10:10" x14ac:dyDescent="0.2">
      <c r="J892" s="52" t="str" cm="1">
        <f t="array" ref="J892">IFERROR(
  VALUE($H892) *
  VALUE(
    _xlfn.XLOOKUP(
      TRIM($F892) &amp; "|" &amp; LEFT(SUBSTITUTE($G892,CHAR(160)," "),5) &amp; "|Reduced Rate",
      TRIM(SUBSTITUTE($Q$2:$Q$47,CHAR(160)," ")) &amp; "|" &amp;
      LEFT(SUBSTITUTE($R$2:$R$47,CHAR(160)," "),5) &amp; "|" &amp;
      TRIM(SUBSTITUTE($S$2:$S$47,CHAR(160)," ")),
      $T$2:$T$47
    )
  ),
"")</f>
        <v/>
      </c>
    </row>
    <row r="893" spans="10:10" x14ac:dyDescent="0.2">
      <c r="J893" s="52" t="str" cm="1">
        <f t="array" ref="J893">IFERROR(
  VALUE($H893) *
  VALUE(
    _xlfn.XLOOKUP(
      TRIM($F893) &amp; "|" &amp; LEFT(SUBSTITUTE($G893,CHAR(160)," "),5) &amp; "|Reduced Rate",
      TRIM(SUBSTITUTE($Q$2:$Q$47,CHAR(160)," ")) &amp; "|" &amp;
      LEFT(SUBSTITUTE($R$2:$R$47,CHAR(160)," "),5) &amp; "|" &amp;
      TRIM(SUBSTITUTE($S$2:$S$47,CHAR(160)," ")),
      $T$2:$T$47
    )
  ),
"")</f>
        <v/>
      </c>
    </row>
    <row r="894" spans="10:10" x14ac:dyDescent="0.2">
      <c r="J894" s="52" t="str" cm="1">
        <f t="array" ref="J894">IFERROR(
  VALUE($H894) *
  VALUE(
    _xlfn.XLOOKUP(
      TRIM($F894) &amp; "|" &amp; LEFT(SUBSTITUTE($G894,CHAR(160)," "),5) &amp; "|Reduced Rate",
      TRIM(SUBSTITUTE($Q$2:$Q$47,CHAR(160)," ")) &amp; "|" &amp;
      LEFT(SUBSTITUTE($R$2:$R$47,CHAR(160)," "),5) &amp; "|" &amp;
      TRIM(SUBSTITUTE($S$2:$S$47,CHAR(160)," ")),
      $T$2:$T$47
    )
  ),
"")</f>
        <v/>
      </c>
    </row>
    <row r="895" spans="10:10" x14ac:dyDescent="0.2">
      <c r="J895" s="52" t="str" cm="1">
        <f t="array" ref="J895">IFERROR(
  VALUE($H895) *
  VALUE(
    _xlfn.XLOOKUP(
      TRIM($F895) &amp; "|" &amp; LEFT(SUBSTITUTE($G895,CHAR(160)," "),5) &amp; "|Reduced Rate",
      TRIM(SUBSTITUTE($Q$2:$Q$47,CHAR(160)," ")) &amp; "|" &amp;
      LEFT(SUBSTITUTE($R$2:$R$47,CHAR(160)," "),5) &amp; "|" &amp;
      TRIM(SUBSTITUTE($S$2:$S$47,CHAR(160)," ")),
      $T$2:$T$47
    )
  ),
"")</f>
        <v/>
      </c>
    </row>
    <row r="896" spans="10:10" x14ac:dyDescent="0.2">
      <c r="J896" s="52" t="str" cm="1">
        <f t="array" ref="J896">IFERROR(
  VALUE($H896) *
  VALUE(
    _xlfn.XLOOKUP(
      TRIM($F896) &amp; "|" &amp; LEFT(SUBSTITUTE($G896,CHAR(160)," "),5) &amp; "|Reduced Rate",
      TRIM(SUBSTITUTE($Q$2:$Q$47,CHAR(160)," ")) &amp; "|" &amp;
      LEFT(SUBSTITUTE($R$2:$R$47,CHAR(160)," "),5) &amp; "|" &amp;
      TRIM(SUBSTITUTE($S$2:$S$47,CHAR(160)," ")),
      $T$2:$T$47
    )
  ),
"")</f>
        <v/>
      </c>
    </row>
    <row r="897" spans="10:10" x14ac:dyDescent="0.2">
      <c r="J897" s="52" t="str" cm="1">
        <f t="array" ref="J897">IFERROR(
  VALUE($H897) *
  VALUE(
    _xlfn.XLOOKUP(
      TRIM($F897) &amp; "|" &amp; LEFT(SUBSTITUTE($G897,CHAR(160)," "),5) &amp; "|Reduced Rate",
      TRIM(SUBSTITUTE($Q$2:$Q$47,CHAR(160)," ")) &amp; "|" &amp;
      LEFT(SUBSTITUTE($R$2:$R$47,CHAR(160)," "),5) &amp; "|" &amp;
      TRIM(SUBSTITUTE($S$2:$S$47,CHAR(160)," ")),
      $T$2:$T$47
    )
  ),
"")</f>
        <v/>
      </c>
    </row>
    <row r="898" spans="10:10" x14ac:dyDescent="0.2">
      <c r="J898" s="52" t="str" cm="1">
        <f t="array" ref="J898">IFERROR(
  VALUE($H898) *
  VALUE(
    _xlfn.XLOOKUP(
      TRIM($F898) &amp; "|" &amp; LEFT(SUBSTITUTE($G898,CHAR(160)," "),5) &amp; "|Reduced Rate",
      TRIM(SUBSTITUTE($Q$2:$Q$47,CHAR(160)," ")) &amp; "|" &amp;
      LEFT(SUBSTITUTE($R$2:$R$47,CHAR(160)," "),5) &amp; "|" &amp;
      TRIM(SUBSTITUTE($S$2:$S$47,CHAR(160)," ")),
      $T$2:$T$47
    )
  ),
"")</f>
        <v/>
      </c>
    </row>
    <row r="899" spans="10:10" x14ac:dyDescent="0.2">
      <c r="J899" s="52" t="str" cm="1">
        <f t="array" ref="J899">IFERROR(
  VALUE($H899) *
  VALUE(
    _xlfn.XLOOKUP(
      TRIM($F899) &amp; "|" &amp; LEFT(SUBSTITUTE($G899,CHAR(160)," "),5) &amp; "|Reduced Rate",
      TRIM(SUBSTITUTE($Q$2:$Q$47,CHAR(160)," ")) &amp; "|" &amp;
      LEFT(SUBSTITUTE($R$2:$R$47,CHAR(160)," "),5) &amp; "|" &amp;
      TRIM(SUBSTITUTE($S$2:$S$47,CHAR(160)," ")),
      $T$2:$T$47
    )
  ),
"")</f>
        <v/>
      </c>
    </row>
    <row r="900" spans="10:10" x14ac:dyDescent="0.2">
      <c r="J900" s="52" t="str" cm="1">
        <f t="array" ref="J900">IFERROR(
  VALUE($H900) *
  VALUE(
    _xlfn.XLOOKUP(
      TRIM($F900) &amp; "|" &amp; LEFT(SUBSTITUTE($G900,CHAR(160)," "),5) &amp; "|Reduced Rate",
      TRIM(SUBSTITUTE($Q$2:$Q$47,CHAR(160)," ")) &amp; "|" &amp;
      LEFT(SUBSTITUTE($R$2:$R$47,CHAR(160)," "),5) &amp; "|" &amp;
      TRIM(SUBSTITUTE($S$2:$S$47,CHAR(160)," ")),
      $T$2:$T$47
    )
  ),
"")</f>
        <v/>
      </c>
    </row>
    <row r="901" spans="10:10" x14ac:dyDescent="0.2">
      <c r="J901" s="52" t="str" cm="1">
        <f t="array" ref="J901">IFERROR(
  VALUE($H901) *
  VALUE(
    _xlfn.XLOOKUP(
      TRIM($F901) &amp; "|" &amp; LEFT(SUBSTITUTE($G901,CHAR(160)," "),5) &amp; "|Reduced Rate",
      TRIM(SUBSTITUTE($Q$2:$Q$47,CHAR(160)," ")) &amp; "|" &amp;
      LEFT(SUBSTITUTE($R$2:$R$47,CHAR(160)," "),5) &amp; "|" &amp;
      TRIM(SUBSTITUTE($S$2:$S$47,CHAR(160)," ")),
      $T$2:$T$47
    )
  ),
"")</f>
        <v/>
      </c>
    </row>
    <row r="902" spans="10:10" x14ac:dyDescent="0.2">
      <c r="J902" s="52" t="str" cm="1">
        <f t="array" ref="J902">IFERROR(
  VALUE($H902) *
  VALUE(
    _xlfn.XLOOKUP(
      TRIM($F902) &amp; "|" &amp; LEFT(SUBSTITUTE($G902,CHAR(160)," "),5) &amp; "|Reduced Rate",
      TRIM(SUBSTITUTE($Q$2:$Q$47,CHAR(160)," ")) &amp; "|" &amp;
      LEFT(SUBSTITUTE($R$2:$R$47,CHAR(160)," "),5) &amp; "|" &amp;
      TRIM(SUBSTITUTE($S$2:$S$47,CHAR(160)," ")),
      $T$2:$T$47
    )
  ),
"")</f>
        <v/>
      </c>
    </row>
    <row r="903" spans="10:10" x14ac:dyDescent="0.2">
      <c r="J903" s="52" t="str" cm="1">
        <f t="array" ref="J903">IFERROR(
  VALUE($H903) *
  VALUE(
    _xlfn.XLOOKUP(
      TRIM($F903) &amp; "|" &amp; LEFT(SUBSTITUTE($G903,CHAR(160)," "),5) &amp; "|Reduced Rate",
      TRIM(SUBSTITUTE($Q$2:$Q$47,CHAR(160)," ")) &amp; "|" &amp;
      LEFT(SUBSTITUTE($R$2:$R$47,CHAR(160)," "),5) &amp; "|" &amp;
      TRIM(SUBSTITUTE($S$2:$S$47,CHAR(160)," ")),
      $T$2:$T$47
    )
  ),
"")</f>
        <v/>
      </c>
    </row>
    <row r="904" spans="10:10" x14ac:dyDescent="0.2">
      <c r="J904" s="52" t="str" cm="1">
        <f t="array" ref="J904">IFERROR(
  VALUE($H904) *
  VALUE(
    _xlfn.XLOOKUP(
      TRIM($F904) &amp; "|" &amp; LEFT(SUBSTITUTE($G904,CHAR(160)," "),5) &amp; "|Reduced Rate",
      TRIM(SUBSTITUTE($Q$2:$Q$47,CHAR(160)," ")) &amp; "|" &amp;
      LEFT(SUBSTITUTE($R$2:$R$47,CHAR(160)," "),5) &amp; "|" &amp;
      TRIM(SUBSTITUTE($S$2:$S$47,CHAR(160)," ")),
      $T$2:$T$47
    )
  ),
"")</f>
        <v/>
      </c>
    </row>
    <row r="905" spans="10:10" x14ac:dyDescent="0.2">
      <c r="J905" s="52" t="str" cm="1">
        <f t="array" ref="J905">IFERROR(
  VALUE($H905) *
  VALUE(
    _xlfn.XLOOKUP(
      TRIM($F905) &amp; "|" &amp; LEFT(SUBSTITUTE($G905,CHAR(160)," "),5) &amp; "|Reduced Rate",
      TRIM(SUBSTITUTE($Q$2:$Q$47,CHAR(160)," ")) &amp; "|" &amp;
      LEFT(SUBSTITUTE($R$2:$R$47,CHAR(160)," "),5) &amp; "|" &amp;
      TRIM(SUBSTITUTE($S$2:$S$47,CHAR(160)," ")),
      $T$2:$T$47
    )
  ),
"")</f>
        <v/>
      </c>
    </row>
    <row r="906" spans="10:10" x14ac:dyDescent="0.2">
      <c r="J906" s="52" t="str" cm="1">
        <f t="array" ref="J906">IFERROR(
  VALUE($H906) *
  VALUE(
    _xlfn.XLOOKUP(
      TRIM($F906) &amp; "|" &amp; LEFT(SUBSTITUTE($G906,CHAR(160)," "),5) &amp; "|Reduced Rate",
      TRIM(SUBSTITUTE($Q$2:$Q$47,CHAR(160)," ")) &amp; "|" &amp;
      LEFT(SUBSTITUTE($R$2:$R$47,CHAR(160)," "),5) &amp; "|" &amp;
      TRIM(SUBSTITUTE($S$2:$S$47,CHAR(160)," ")),
      $T$2:$T$47
    )
  ),
"")</f>
        <v/>
      </c>
    </row>
    <row r="907" spans="10:10" x14ac:dyDescent="0.2">
      <c r="J907" s="52" t="str" cm="1">
        <f t="array" ref="J907">IFERROR(
  VALUE($H907) *
  VALUE(
    _xlfn.XLOOKUP(
      TRIM($F907) &amp; "|" &amp; LEFT(SUBSTITUTE($G907,CHAR(160)," "),5) &amp; "|Reduced Rate",
      TRIM(SUBSTITUTE($Q$2:$Q$47,CHAR(160)," ")) &amp; "|" &amp;
      LEFT(SUBSTITUTE($R$2:$R$47,CHAR(160)," "),5) &amp; "|" &amp;
      TRIM(SUBSTITUTE($S$2:$S$47,CHAR(160)," ")),
      $T$2:$T$47
    )
  ),
"")</f>
        <v/>
      </c>
    </row>
    <row r="908" spans="10:10" x14ac:dyDescent="0.2">
      <c r="J908" s="52" t="str" cm="1">
        <f t="array" ref="J908">IFERROR(
  VALUE($H908) *
  VALUE(
    _xlfn.XLOOKUP(
      TRIM($F908) &amp; "|" &amp; LEFT(SUBSTITUTE($G908,CHAR(160)," "),5) &amp; "|Reduced Rate",
      TRIM(SUBSTITUTE($Q$2:$Q$47,CHAR(160)," ")) &amp; "|" &amp;
      LEFT(SUBSTITUTE($R$2:$R$47,CHAR(160)," "),5) &amp; "|" &amp;
      TRIM(SUBSTITUTE($S$2:$S$47,CHAR(160)," ")),
      $T$2:$T$47
    )
  ),
"")</f>
        <v/>
      </c>
    </row>
    <row r="909" spans="10:10" x14ac:dyDescent="0.2">
      <c r="J909" s="52" t="str" cm="1">
        <f t="array" ref="J909">IFERROR(
  VALUE($H909) *
  VALUE(
    _xlfn.XLOOKUP(
      TRIM($F909) &amp; "|" &amp; LEFT(SUBSTITUTE($G909,CHAR(160)," "),5) &amp; "|Reduced Rate",
      TRIM(SUBSTITUTE($Q$2:$Q$47,CHAR(160)," ")) &amp; "|" &amp;
      LEFT(SUBSTITUTE($R$2:$R$47,CHAR(160)," "),5) &amp; "|" &amp;
      TRIM(SUBSTITUTE($S$2:$S$47,CHAR(160)," ")),
      $T$2:$T$47
    )
  ),
"")</f>
        <v/>
      </c>
    </row>
    <row r="910" spans="10:10" x14ac:dyDescent="0.2">
      <c r="J910" s="52" t="str" cm="1">
        <f t="array" ref="J910">IFERROR(
  VALUE($H910) *
  VALUE(
    _xlfn.XLOOKUP(
      TRIM($F910) &amp; "|" &amp; LEFT(SUBSTITUTE($G910,CHAR(160)," "),5) &amp; "|Reduced Rate",
      TRIM(SUBSTITUTE($Q$2:$Q$47,CHAR(160)," ")) &amp; "|" &amp;
      LEFT(SUBSTITUTE($R$2:$R$47,CHAR(160)," "),5) &amp; "|" &amp;
      TRIM(SUBSTITUTE($S$2:$S$47,CHAR(160)," ")),
      $T$2:$T$47
    )
  ),
"")</f>
        <v/>
      </c>
    </row>
    <row r="911" spans="10:10" x14ac:dyDescent="0.2">
      <c r="J911" s="52" t="str" cm="1">
        <f t="array" ref="J911">IFERROR(
  VALUE($H911) *
  VALUE(
    _xlfn.XLOOKUP(
      TRIM($F911) &amp; "|" &amp; LEFT(SUBSTITUTE($G911,CHAR(160)," "),5) &amp; "|Reduced Rate",
      TRIM(SUBSTITUTE($Q$2:$Q$47,CHAR(160)," ")) &amp; "|" &amp;
      LEFT(SUBSTITUTE($R$2:$R$47,CHAR(160)," "),5) &amp; "|" &amp;
      TRIM(SUBSTITUTE($S$2:$S$47,CHAR(160)," ")),
      $T$2:$T$47
    )
  ),
"")</f>
        <v/>
      </c>
    </row>
    <row r="912" spans="10:10" x14ac:dyDescent="0.2">
      <c r="J912" s="52" t="str" cm="1">
        <f t="array" ref="J912">IFERROR(
  VALUE($H912) *
  VALUE(
    _xlfn.XLOOKUP(
      TRIM($F912) &amp; "|" &amp; LEFT(SUBSTITUTE($G912,CHAR(160)," "),5) &amp; "|Reduced Rate",
      TRIM(SUBSTITUTE($Q$2:$Q$47,CHAR(160)," ")) &amp; "|" &amp;
      LEFT(SUBSTITUTE($R$2:$R$47,CHAR(160)," "),5) &amp; "|" &amp;
      TRIM(SUBSTITUTE($S$2:$S$47,CHAR(160)," ")),
      $T$2:$T$47
    )
  ),
"")</f>
        <v/>
      </c>
    </row>
    <row r="913" spans="10:10" x14ac:dyDescent="0.2">
      <c r="J913" s="52" t="str" cm="1">
        <f t="array" ref="J913">IFERROR(
  VALUE($H913) *
  VALUE(
    _xlfn.XLOOKUP(
      TRIM($F913) &amp; "|" &amp; LEFT(SUBSTITUTE($G913,CHAR(160)," "),5) &amp; "|Reduced Rate",
      TRIM(SUBSTITUTE($Q$2:$Q$47,CHAR(160)," ")) &amp; "|" &amp;
      LEFT(SUBSTITUTE($R$2:$R$47,CHAR(160)," "),5) &amp; "|" &amp;
      TRIM(SUBSTITUTE($S$2:$S$47,CHAR(160)," ")),
      $T$2:$T$47
    )
  ),
"")</f>
        <v/>
      </c>
    </row>
    <row r="914" spans="10:10" x14ac:dyDescent="0.2">
      <c r="J914" s="52" t="str" cm="1">
        <f t="array" ref="J914">IFERROR(
  VALUE($H914) *
  VALUE(
    _xlfn.XLOOKUP(
      TRIM($F914) &amp; "|" &amp; LEFT(SUBSTITUTE($G914,CHAR(160)," "),5) &amp; "|Reduced Rate",
      TRIM(SUBSTITUTE($Q$2:$Q$47,CHAR(160)," ")) &amp; "|" &amp;
      LEFT(SUBSTITUTE($R$2:$R$47,CHAR(160)," "),5) &amp; "|" &amp;
      TRIM(SUBSTITUTE($S$2:$S$47,CHAR(160)," ")),
      $T$2:$T$47
    )
  ),
"")</f>
        <v/>
      </c>
    </row>
    <row r="915" spans="10:10" x14ac:dyDescent="0.2">
      <c r="J915" s="52" t="str" cm="1">
        <f t="array" ref="J915">IFERROR(
  VALUE($H915) *
  VALUE(
    _xlfn.XLOOKUP(
      TRIM($F915) &amp; "|" &amp; LEFT(SUBSTITUTE($G915,CHAR(160)," "),5) &amp; "|Reduced Rate",
      TRIM(SUBSTITUTE($Q$2:$Q$47,CHAR(160)," ")) &amp; "|" &amp;
      LEFT(SUBSTITUTE($R$2:$R$47,CHAR(160)," "),5) &amp; "|" &amp;
      TRIM(SUBSTITUTE($S$2:$S$47,CHAR(160)," ")),
      $T$2:$T$47
    )
  ),
"")</f>
        <v/>
      </c>
    </row>
    <row r="916" spans="10:10" x14ac:dyDescent="0.2">
      <c r="J916" s="52" t="str" cm="1">
        <f t="array" ref="J916">IFERROR(
  VALUE($H916) *
  VALUE(
    _xlfn.XLOOKUP(
      TRIM($F916) &amp; "|" &amp; LEFT(SUBSTITUTE($G916,CHAR(160)," "),5) &amp; "|Reduced Rate",
      TRIM(SUBSTITUTE($Q$2:$Q$47,CHAR(160)," ")) &amp; "|" &amp;
      LEFT(SUBSTITUTE($R$2:$R$47,CHAR(160)," "),5) &amp; "|" &amp;
      TRIM(SUBSTITUTE($S$2:$S$47,CHAR(160)," ")),
      $T$2:$T$47
    )
  ),
"")</f>
        <v/>
      </c>
    </row>
    <row r="917" spans="10:10" x14ac:dyDescent="0.2">
      <c r="J917" s="52" t="str" cm="1">
        <f t="array" ref="J917">IFERROR(
  VALUE($H917) *
  VALUE(
    _xlfn.XLOOKUP(
      TRIM($F917) &amp; "|" &amp; LEFT(SUBSTITUTE($G917,CHAR(160)," "),5) &amp; "|Reduced Rate",
      TRIM(SUBSTITUTE($Q$2:$Q$47,CHAR(160)," ")) &amp; "|" &amp;
      LEFT(SUBSTITUTE($R$2:$R$47,CHAR(160)," "),5) &amp; "|" &amp;
      TRIM(SUBSTITUTE($S$2:$S$47,CHAR(160)," ")),
      $T$2:$T$47
    )
  ),
"")</f>
        <v/>
      </c>
    </row>
    <row r="918" spans="10:10" x14ac:dyDescent="0.2">
      <c r="J918" s="52" t="str" cm="1">
        <f t="array" ref="J918">IFERROR(
  VALUE($H918) *
  VALUE(
    _xlfn.XLOOKUP(
      TRIM($F918) &amp; "|" &amp; LEFT(SUBSTITUTE($G918,CHAR(160)," "),5) &amp; "|Reduced Rate",
      TRIM(SUBSTITUTE($Q$2:$Q$47,CHAR(160)," ")) &amp; "|" &amp;
      LEFT(SUBSTITUTE($R$2:$R$47,CHAR(160)," "),5) &amp; "|" &amp;
      TRIM(SUBSTITUTE($S$2:$S$47,CHAR(160)," ")),
      $T$2:$T$47
    )
  ),
"")</f>
        <v/>
      </c>
    </row>
    <row r="919" spans="10:10" x14ac:dyDescent="0.2">
      <c r="J919" s="52" t="str" cm="1">
        <f t="array" ref="J919">IFERROR(
  VALUE($H919) *
  VALUE(
    _xlfn.XLOOKUP(
      TRIM($F919) &amp; "|" &amp; LEFT(SUBSTITUTE($G919,CHAR(160)," "),5) &amp; "|Reduced Rate",
      TRIM(SUBSTITUTE($Q$2:$Q$47,CHAR(160)," ")) &amp; "|" &amp;
      LEFT(SUBSTITUTE($R$2:$R$47,CHAR(160)," "),5) &amp; "|" &amp;
      TRIM(SUBSTITUTE($S$2:$S$47,CHAR(160)," ")),
      $T$2:$T$47
    )
  ),
"")</f>
        <v/>
      </c>
    </row>
    <row r="920" spans="10:10" x14ac:dyDescent="0.2">
      <c r="J920" s="52" t="str" cm="1">
        <f t="array" ref="J920">IFERROR(
  VALUE($H920) *
  VALUE(
    _xlfn.XLOOKUP(
      TRIM($F920) &amp; "|" &amp; LEFT(SUBSTITUTE($G920,CHAR(160)," "),5) &amp; "|Reduced Rate",
      TRIM(SUBSTITUTE($Q$2:$Q$47,CHAR(160)," ")) &amp; "|" &amp;
      LEFT(SUBSTITUTE($R$2:$R$47,CHAR(160)," "),5) &amp; "|" &amp;
      TRIM(SUBSTITUTE($S$2:$S$47,CHAR(160)," ")),
      $T$2:$T$47
    )
  ),
"")</f>
        <v/>
      </c>
    </row>
    <row r="921" spans="10:10" x14ac:dyDescent="0.2">
      <c r="J921" s="52" t="str" cm="1">
        <f t="array" ref="J921">IFERROR(
  VALUE($H921) *
  VALUE(
    _xlfn.XLOOKUP(
      TRIM($F921) &amp; "|" &amp; LEFT(SUBSTITUTE($G921,CHAR(160)," "),5) &amp; "|Reduced Rate",
      TRIM(SUBSTITUTE($Q$2:$Q$47,CHAR(160)," ")) &amp; "|" &amp;
      LEFT(SUBSTITUTE($R$2:$R$47,CHAR(160)," "),5) &amp; "|" &amp;
      TRIM(SUBSTITUTE($S$2:$S$47,CHAR(160)," ")),
      $T$2:$T$47
    )
  ),
"")</f>
        <v/>
      </c>
    </row>
    <row r="922" spans="10:10" x14ac:dyDescent="0.2">
      <c r="J922" s="52" t="str" cm="1">
        <f t="array" ref="J922">IFERROR(
  VALUE($H922) *
  VALUE(
    _xlfn.XLOOKUP(
      TRIM($F922) &amp; "|" &amp; LEFT(SUBSTITUTE($G922,CHAR(160)," "),5) &amp; "|Reduced Rate",
      TRIM(SUBSTITUTE($Q$2:$Q$47,CHAR(160)," ")) &amp; "|" &amp;
      LEFT(SUBSTITUTE($R$2:$R$47,CHAR(160)," "),5) &amp; "|" &amp;
      TRIM(SUBSTITUTE($S$2:$S$47,CHAR(160)," ")),
      $T$2:$T$47
    )
  ),
"")</f>
        <v/>
      </c>
    </row>
    <row r="923" spans="10:10" x14ac:dyDescent="0.2">
      <c r="J923" s="52" t="str" cm="1">
        <f t="array" ref="J923">IFERROR(
  VALUE($H923) *
  VALUE(
    _xlfn.XLOOKUP(
      TRIM($F923) &amp; "|" &amp; LEFT(SUBSTITUTE($G923,CHAR(160)," "),5) &amp; "|Reduced Rate",
      TRIM(SUBSTITUTE($Q$2:$Q$47,CHAR(160)," ")) &amp; "|" &amp;
      LEFT(SUBSTITUTE($R$2:$R$47,CHAR(160)," "),5) &amp; "|" &amp;
      TRIM(SUBSTITUTE($S$2:$S$47,CHAR(160)," ")),
      $T$2:$T$47
    )
  ),
"")</f>
        <v/>
      </c>
    </row>
    <row r="924" spans="10:10" x14ac:dyDescent="0.2">
      <c r="J924" s="52" t="str" cm="1">
        <f t="array" ref="J924">IFERROR(
  VALUE($H924) *
  VALUE(
    _xlfn.XLOOKUP(
      TRIM($F924) &amp; "|" &amp; LEFT(SUBSTITUTE($G924,CHAR(160)," "),5) &amp; "|Reduced Rate",
      TRIM(SUBSTITUTE($Q$2:$Q$47,CHAR(160)," ")) &amp; "|" &amp;
      LEFT(SUBSTITUTE($R$2:$R$47,CHAR(160)," "),5) &amp; "|" &amp;
      TRIM(SUBSTITUTE($S$2:$S$47,CHAR(160)," ")),
      $T$2:$T$47
    )
  ),
"")</f>
        <v/>
      </c>
    </row>
    <row r="925" spans="10:10" x14ac:dyDescent="0.2">
      <c r="J925" s="52" t="str" cm="1">
        <f t="array" ref="J925">IFERROR(
  VALUE($H925) *
  VALUE(
    _xlfn.XLOOKUP(
      TRIM($F925) &amp; "|" &amp; LEFT(SUBSTITUTE($G925,CHAR(160)," "),5) &amp; "|Reduced Rate",
      TRIM(SUBSTITUTE($Q$2:$Q$47,CHAR(160)," ")) &amp; "|" &amp;
      LEFT(SUBSTITUTE($R$2:$R$47,CHAR(160)," "),5) &amp; "|" &amp;
      TRIM(SUBSTITUTE($S$2:$S$47,CHAR(160)," ")),
      $T$2:$T$47
    )
  ),
"")</f>
        <v/>
      </c>
    </row>
    <row r="926" spans="10:10" x14ac:dyDescent="0.2">
      <c r="J926" s="52" t="str" cm="1">
        <f t="array" ref="J926">IFERROR(
  VALUE($H926) *
  VALUE(
    _xlfn.XLOOKUP(
      TRIM($F926) &amp; "|" &amp; LEFT(SUBSTITUTE($G926,CHAR(160)," "),5) &amp; "|Reduced Rate",
      TRIM(SUBSTITUTE($Q$2:$Q$47,CHAR(160)," ")) &amp; "|" &amp;
      LEFT(SUBSTITUTE($R$2:$R$47,CHAR(160)," "),5) &amp; "|" &amp;
      TRIM(SUBSTITUTE($S$2:$S$47,CHAR(160)," ")),
      $T$2:$T$47
    )
  ),
"")</f>
        <v/>
      </c>
    </row>
    <row r="927" spans="10:10" x14ac:dyDescent="0.2">
      <c r="J927" s="52" t="str" cm="1">
        <f t="array" ref="J927">IFERROR(
  VALUE($H927) *
  VALUE(
    _xlfn.XLOOKUP(
      TRIM($F927) &amp; "|" &amp; LEFT(SUBSTITUTE($G927,CHAR(160)," "),5) &amp; "|Reduced Rate",
      TRIM(SUBSTITUTE($Q$2:$Q$47,CHAR(160)," ")) &amp; "|" &amp;
      LEFT(SUBSTITUTE($R$2:$R$47,CHAR(160)," "),5) &amp; "|" &amp;
      TRIM(SUBSTITUTE($S$2:$S$47,CHAR(160)," ")),
      $T$2:$T$47
    )
  ),
"")</f>
        <v/>
      </c>
    </row>
    <row r="928" spans="10:10" x14ac:dyDescent="0.2">
      <c r="J928" s="52" t="str" cm="1">
        <f t="array" ref="J928">IFERROR(
  VALUE($H928) *
  VALUE(
    _xlfn.XLOOKUP(
      TRIM($F928) &amp; "|" &amp; LEFT(SUBSTITUTE($G928,CHAR(160)," "),5) &amp; "|Reduced Rate",
      TRIM(SUBSTITUTE($Q$2:$Q$47,CHAR(160)," ")) &amp; "|" &amp;
      LEFT(SUBSTITUTE($R$2:$R$47,CHAR(160)," "),5) &amp; "|" &amp;
      TRIM(SUBSTITUTE($S$2:$S$47,CHAR(160)," ")),
      $T$2:$T$47
    )
  ),
"")</f>
        <v/>
      </c>
    </row>
    <row r="929" spans="10:10" x14ac:dyDescent="0.2">
      <c r="J929" s="52" t="str" cm="1">
        <f t="array" ref="J929">IFERROR(
  VALUE($H929) *
  VALUE(
    _xlfn.XLOOKUP(
      TRIM($F929) &amp; "|" &amp; LEFT(SUBSTITUTE($G929,CHAR(160)," "),5) &amp; "|Reduced Rate",
      TRIM(SUBSTITUTE($Q$2:$Q$47,CHAR(160)," ")) &amp; "|" &amp;
      LEFT(SUBSTITUTE($R$2:$R$47,CHAR(160)," "),5) &amp; "|" &amp;
      TRIM(SUBSTITUTE($S$2:$S$47,CHAR(160)," ")),
      $T$2:$T$47
    )
  ),
"")</f>
        <v/>
      </c>
    </row>
    <row r="930" spans="10:10" x14ac:dyDescent="0.2">
      <c r="J930" s="52" t="str" cm="1">
        <f t="array" ref="J930">IFERROR(
  VALUE($H930) *
  VALUE(
    _xlfn.XLOOKUP(
      TRIM($F930) &amp; "|" &amp; LEFT(SUBSTITUTE($G930,CHAR(160)," "),5) &amp; "|Reduced Rate",
      TRIM(SUBSTITUTE($Q$2:$Q$47,CHAR(160)," ")) &amp; "|" &amp;
      LEFT(SUBSTITUTE($R$2:$R$47,CHAR(160)," "),5) &amp; "|" &amp;
      TRIM(SUBSTITUTE($S$2:$S$47,CHAR(160)," ")),
      $T$2:$T$47
    )
  ),
"")</f>
        <v/>
      </c>
    </row>
    <row r="931" spans="10:10" x14ac:dyDescent="0.2">
      <c r="J931" s="52" t="str" cm="1">
        <f t="array" ref="J931">IFERROR(
  VALUE($H931) *
  VALUE(
    _xlfn.XLOOKUP(
      TRIM($F931) &amp; "|" &amp; LEFT(SUBSTITUTE($G931,CHAR(160)," "),5) &amp; "|Reduced Rate",
      TRIM(SUBSTITUTE($Q$2:$Q$47,CHAR(160)," ")) &amp; "|" &amp;
      LEFT(SUBSTITUTE($R$2:$R$47,CHAR(160)," "),5) &amp; "|" &amp;
      TRIM(SUBSTITUTE($S$2:$S$47,CHAR(160)," ")),
      $T$2:$T$47
    )
  ),
"")</f>
        <v/>
      </c>
    </row>
    <row r="932" spans="10:10" x14ac:dyDescent="0.2">
      <c r="J932" s="52" t="str" cm="1">
        <f t="array" ref="J932">IFERROR(
  VALUE($H932) *
  VALUE(
    _xlfn.XLOOKUP(
      TRIM($F932) &amp; "|" &amp; LEFT(SUBSTITUTE($G932,CHAR(160)," "),5) &amp; "|Reduced Rate",
      TRIM(SUBSTITUTE($Q$2:$Q$47,CHAR(160)," ")) &amp; "|" &amp;
      LEFT(SUBSTITUTE($R$2:$R$47,CHAR(160)," "),5) &amp; "|" &amp;
      TRIM(SUBSTITUTE($S$2:$S$47,CHAR(160)," ")),
      $T$2:$T$47
    )
  ),
"")</f>
        <v/>
      </c>
    </row>
    <row r="933" spans="10:10" x14ac:dyDescent="0.2">
      <c r="J933" s="52" t="str" cm="1">
        <f t="array" ref="J933">IFERROR(
  VALUE($H933) *
  VALUE(
    _xlfn.XLOOKUP(
      TRIM($F933) &amp; "|" &amp; LEFT(SUBSTITUTE($G933,CHAR(160)," "),5) &amp; "|Reduced Rate",
      TRIM(SUBSTITUTE($Q$2:$Q$47,CHAR(160)," ")) &amp; "|" &amp;
      LEFT(SUBSTITUTE($R$2:$R$47,CHAR(160)," "),5) &amp; "|" &amp;
      TRIM(SUBSTITUTE($S$2:$S$47,CHAR(160)," ")),
      $T$2:$T$47
    )
  ),
"")</f>
        <v/>
      </c>
    </row>
    <row r="934" spans="10:10" x14ac:dyDescent="0.2">
      <c r="J934" s="52" t="str" cm="1">
        <f t="array" ref="J934">IFERROR(
  VALUE($H934) *
  VALUE(
    _xlfn.XLOOKUP(
      TRIM($F934) &amp; "|" &amp; LEFT(SUBSTITUTE($G934,CHAR(160)," "),5) &amp; "|Reduced Rate",
      TRIM(SUBSTITUTE($Q$2:$Q$47,CHAR(160)," ")) &amp; "|" &amp;
      LEFT(SUBSTITUTE($R$2:$R$47,CHAR(160)," "),5) &amp; "|" &amp;
      TRIM(SUBSTITUTE($S$2:$S$47,CHAR(160)," ")),
      $T$2:$T$47
    )
  ),
"")</f>
        <v/>
      </c>
    </row>
    <row r="935" spans="10:10" x14ac:dyDescent="0.2">
      <c r="J935" s="52" t="str" cm="1">
        <f t="array" ref="J935">IFERROR(
  VALUE($H935) *
  VALUE(
    _xlfn.XLOOKUP(
      TRIM($F935) &amp; "|" &amp; LEFT(SUBSTITUTE($G935,CHAR(160)," "),5) &amp; "|Reduced Rate",
      TRIM(SUBSTITUTE($Q$2:$Q$47,CHAR(160)," ")) &amp; "|" &amp;
      LEFT(SUBSTITUTE($R$2:$R$47,CHAR(160)," "),5) &amp; "|" &amp;
      TRIM(SUBSTITUTE($S$2:$S$47,CHAR(160)," ")),
      $T$2:$T$47
    )
  ),
"")</f>
        <v/>
      </c>
    </row>
    <row r="936" spans="10:10" x14ac:dyDescent="0.2">
      <c r="J936" s="52" t="str" cm="1">
        <f t="array" ref="J936">IFERROR(
  VALUE($H936) *
  VALUE(
    _xlfn.XLOOKUP(
      TRIM($F936) &amp; "|" &amp; LEFT(SUBSTITUTE($G936,CHAR(160)," "),5) &amp; "|Reduced Rate",
      TRIM(SUBSTITUTE($Q$2:$Q$47,CHAR(160)," ")) &amp; "|" &amp;
      LEFT(SUBSTITUTE($R$2:$R$47,CHAR(160)," "),5) &amp; "|" &amp;
      TRIM(SUBSTITUTE($S$2:$S$47,CHAR(160)," ")),
      $T$2:$T$47
    )
  ),
"")</f>
        <v/>
      </c>
    </row>
    <row r="937" spans="10:10" x14ac:dyDescent="0.2">
      <c r="J937" s="52" t="str" cm="1">
        <f t="array" ref="J937">IFERROR(
  VALUE($H937) *
  VALUE(
    _xlfn.XLOOKUP(
      TRIM($F937) &amp; "|" &amp; LEFT(SUBSTITUTE($G937,CHAR(160)," "),5) &amp; "|Reduced Rate",
      TRIM(SUBSTITUTE($Q$2:$Q$47,CHAR(160)," ")) &amp; "|" &amp;
      LEFT(SUBSTITUTE($R$2:$R$47,CHAR(160)," "),5) &amp; "|" &amp;
      TRIM(SUBSTITUTE($S$2:$S$47,CHAR(160)," ")),
      $T$2:$T$47
    )
  ),
"")</f>
        <v/>
      </c>
    </row>
    <row r="938" spans="10:10" x14ac:dyDescent="0.2">
      <c r="J938" s="52" t="str" cm="1">
        <f t="array" ref="J938">IFERROR(
  VALUE($H938) *
  VALUE(
    _xlfn.XLOOKUP(
      TRIM($F938) &amp; "|" &amp; LEFT(SUBSTITUTE($G938,CHAR(160)," "),5) &amp; "|Reduced Rate",
      TRIM(SUBSTITUTE($Q$2:$Q$47,CHAR(160)," ")) &amp; "|" &amp;
      LEFT(SUBSTITUTE($R$2:$R$47,CHAR(160)," "),5) &amp; "|" &amp;
      TRIM(SUBSTITUTE($S$2:$S$47,CHAR(160)," ")),
      $T$2:$T$47
    )
  ),
"")</f>
        <v/>
      </c>
    </row>
    <row r="939" spans="10:10" x14ac:dyDescent="0.2">
      <c r="J939" s="52" t="str" cm="1">
        <f t="array" ref="J939">IFERROR(
  VALUE($H939) *
  VALUE(
    _xlfn.XLOOKUP(
      TRIM($F939) &amp; "|" &amp; LEFT(SUBSTITUTE($G939,CHAR(160)," "),5) &amp; "|Reduced Rate",
      TRIM(SUBSTITUTE($Q$2:$Q$47,CHAR(160)," ")) &amp; "|" &amp;
      LEFT(SUBSTITUTE($R$2:$R$47,CHAR(160)," "),5) &amp; "|" &amp;
      TRIM(SUBSTITUTE($S$2:$S$47,CHAR(160)," ")),
      $T$2:$T$47
    )
  ),
"")</f>
        <v/>
      </c>
    </row>
    <row r="940" spans="10:10" x14ac:dyDescent="0.2">
      <c r="J940" s="52" t="str" cm="1">
        <f t="array" ref="J940">IFERROR(
  VALUE($H940) *
  VALUE(
    _xlfn.XLOOKUP(
      TRIM($F940) &amp; "|" &amp; LEFT(SUBSTITUTE($G940,CHAR(160)," "),5) &amp; "|Reduced Rate",
      TRIM(SUBSTITUTE($Q$2:$Q$47,CHAR(160)," ")) &amp; "|" &amp;
      LEFT(SUBSTITUTE($R$2:$R$47,CHAR(160)," "),5) &amp; "|" &amp;
      TRIM(SUBSTITUTE($S$2:$S$47,CHAR(160)," ")),
      $T$2:$T$47
    )
  ),
"")</f>
        <v/>
      </c>
    </row>
    <row r="941" spans="10:10" x14ac:dyDescent="0.2">
      <c r="J941" s="52" t="str" cm="1">
        <f t="array" ref="J941">IFERROR(
  VALUE($H941) *
  VALUE(
    _xlfn.XLOOKUP(
      TRIM($F941) &amp; "|" &amp; LEFT(SUBSTITUTE($G941,CHAR(160)," "),5) &amp; "|Reduced Rate",
      TRIM(SUBSTITUTE($Q$2:$Q$47,CHAR(160)," ")) &amp; "|" &amp;
      LEFT(SUBSTITUTE($R$2:$R$47,CHAR(160)," "),5) &amp; "|" &amp;
      TRIM(SUBSTITUTE($S$2:$S$47,CHAR(160)," ")),
      $T$2:$T$47
    )
  ),
"")</f>
        <v/>
      </c>
    </row>
    <row r="942" spans="10:10" x14ac:dyDescent="0.2">
      <c r="J942" s="52" t="str" cm="1">
        <f t="array" ref="J942">IFERROR(
  VALUE($H942) *
  VALUE(
    _xlfn.XLOOKUP(
      TRIM($F942) &amp; "|" &amp; LEFT(SUBSTITUTE($G942,CHAR(160)," "),5) &amp; "|Reduced Rate",
      TRIM(SUBSTITUTE($Q$2:$Q$47,CHAR(160)," ")) &amp; "|" &amp;
      LEFT(SUBSTITUTE($R$2:$R$47,CHAR(160)," "),5) &amp; "|" &amp;
      TRIM(SUBSTITUTE($S$2:$S$47,CHAR(160)," ")),
      $T$2:$T$47
    )
  ),
"")</f>
        <v/>
      </c>
    </row>
    <row r="943" spans="10:10" x14ac:dyDescent="0.2">
      <c r="J943" s="52" t="str" cm="1">
        <f t="array" ref="J943">IFERROR(
  VALUE($H943) *
  VALUE(
    _xlfn.XLOOKUP(
      TRIM($F943) &amp; "|" &amp; LEFT(SUBSTITUTE($G943,CHAR(160)," "),5) &amp; "|Reduced Rate",
      TRIM(SUBSTITUTE($Q$2:$Q$47,CHAR(160)," ")) &amp; "|" &amp;
      LEFT(SUBSTITUTE($R$2:$R$47,CHAR(160)," "),5) &amp; "|" &amp;
      TRIM(SUBSTITUTE($S$2:$S$47,CHAR(160)," ")),
      $T$2:$T$47
    )
  ),
"")</f>
        <v/>
      </c>
    </row>
    <row r="944" spans="10:10" x14ac:dyDescent="0.2">
      <c r="J944" s="52" t="str" cm="1">
        <f t="array" ref="J944">IFERROR(
  VALUE($H944) *
  VALUE(
    _xlfn.XLOOKUP(
      TRIM($F944) &amp; "|" &amp; LEFT(SUBSTITUTE($G944,CHAR(160)," "),5) &amp; "|Reduced Rate",
      TRIM(SUBSTITUTE($Q$2:$Q$47,CHAR(160)," ")) &amp; "|" &amp;
      LEFT(SUBSTITUTE($R$2:$R$47,CHAR(160)," "),5) &amp; "|" &amp;
      TRIM(SUBSTITUTE($S$2:$S$47,CHAR(160)," ")),
      $T$2:$T$47
    )
  ),
"")</f>
        <v/>
      </c>
    </row>
    <row r="945" spans="10:10" x14ac:dyDescent="0.2">
      <c r="J945" s="52" t="str" cm="1">
        <f t="array" ref="J945">IFERROR(
  VALUE($H945) *
  VALUE(
    _xlfn.XLOOKUP(
      TRIM($F945) &amp; "|" &amp; LEFT(SUBSTITUTE($G945,CHAR(160)," "),5) &amp; "|Reduced Rate",
      TRIM(SUBSTITUTE($Q$2:$Q$47,CHAR(160)," ")) &amp; "|" &amp;
      LEFT(SUBSTITUTE($R$2:$R$47,CHAR(160)," "),5) &amp; "|" &amp;
      TRIM(SUBSTITUTE($S$2:$S$47,CHAR(160)," ")),
      $T$2:$T$47
    )
  ),
"")</f>
        <v/>
      </c>
    </row>
    <row r="946" spans="10:10" x14ac:dyDescent="0.2">
      <c r="J946" s="52" t="str" cm="1">
        <f t="array" ref="J946">IFERROR(
  VALUE($H946) *
  VALUE(
    _xlfn.XLOOKUP(
      TRIM($F946) &amp; "|" &amp; LEFT(SUBSTITUTE($G946,CHAR(160)," "),5) &amp; "|Reduced Rate",
      TRIM(SUBSTITUTE($Q$2:$Q$47,CHAR(160)," ")) &amp; "|" &amp;
      LEFT(SUBSTITUTE($R$2:$R$47,CHAR(160)," "),5) &amp; "|" &amp;
      TRIM(SUBSTITUTE($S$2:$S$47,CHAR(160)," ")),
      $T$2:$T$47
    )
  ),
"")</f>
        <v/>
      </c>
    </row>
    <row r="947" spans="10:10" x14ac:dyDescent="0.2">
      <c r="J947" s="52" t="str" cm="1">
        <f t="array" ref="J947">IFERROR(
  VALUE($H947) *
  VALUE(
    _xlfn.XLOOKUP(
      TRIM($F947) &amp; "|" &amp; LEFT(SUBSTITUTE($G947,CHAR(160)," "),5) &amp; "|Reduced Rate",
      TRIM(SUBSTITUTE($Q$2:$Q$47,CHAR(160)," ")) &amp; "|" &amp;
      LEFT(SUBSTITUTE($R$2:$R$47,CHAR(160)," "),5) &amp; "|" &amp;
      TRIM(SUBSTITUTE($S$2:$S$47,CHAR(160)," ")),
      $T$2:$T$47
    )
  ),
"")</f>
        <v/>
      </c>
    </row>
    <row r="948" spans="10:10" x14ac:dyDescent="0.2">
      <c r="J948" s="52" t="str" cm="1">
        <f t="array" ref="J948">IFERROR(
  VALUE($H948) *
  VALUE(
    _xlfn.XLOOKUP(
      TRIM($F948) &amp; "|" &amp; LEFT(SUBSTITUTE($G948,CHAR(160)," "),5) &amp; "|Reduced Rate",
      TRIM(SUBSTITUTE($Q$2:$Q$47,CHAR(160)," ")) &amp; "|" &amp;
      LEFT(SUBSTITUTE($R$2:$R$47,CHAR(160)," "),5) &amp; "|" &amp;
      TRIM(SUBSTITUTE($S$2:$S$47,CHAR(160)," ")),
      $T$2:$T$47
    )
  ),
"")</f>
        <v/>
      </c>
    </row>
    <row r="949" spans="10:10" x14ac:dyDescent="0.2">
      <c r="J949" s="52" t="str" cm="1">
        <f t="array" ref="J949">IFERROR(
  VALUE($H949) *
  VALUE(
    _xlfn.XLOOKUP(
      TRIM($F949) &amp; "|" &amp; LEFT(SUBSTITUTE($G949,CHAR(160)," "),5) &amp; "|Reduced Rate",
      TRIM(SUBSTITUTE($Q$2:$Q$47,CHAR(160)," ")) &amp; "|" &amp;
      LEFT(SUBSTITUTE($R$2:$R$47,CHAR(160)," "),5) &amp; "|" &amp;
      TRIM(SUBSTITUTE($S$2:$S$47,CHAR(160)," ")),
      $T$2:$T$47
    )
  ),
"")</f>
        <v/>
      </c>
    </row>
    <row r="950" spans="10:10" x14ac:dyDescent="0.2">
      <c r="J950" s="52" t="str" cm="1">
        <f t="array" ref="J950">IFERROR(
  VALUE($H950) *
  VALUE(
    _xlfn.XLOOKUP(
      TRIM($F950) &amp; "|" &amp; LEFT(SUBSTITUTE($G950,CHAR(160)," "),5) &amp; "|Reduced Rate",
      TRIM(SUBSTITUTE($Q$2:$Q$47,CHAR(160)," ")) &amp; "|" &amp;
      LEFT(SUBSTITUTE($R$2:$R$47,CHAR(160)," "),5) &amp; "|" &amp;
      TRIM(SUBSTITUTE($S$2:$S$47,CHAR(160)," ")),
      $T$2:$T$47
    )
  ),
"")</f>
        <v/>
      </c>
    </row>
    <row r="951" spans="10:10" x14ac:dyDescent="0.2">
      <c r="J951" s="52" t="str" cm="1">
        <f t="array" ref="J951">IFERROR(
  VALUE($H951) *
  VALUE(
    _xlfn.XLOOKUP(
      TRIM($F951) &amp; "|" &amp; LEFT(SUBSTITUTE($G951,CHAR(160)," "),5) &amp; "|Reduced Rate",
      TRIM(SUBSTITUTE($Q$2:$Q$47,CHAR(160)," ")) &amp; "|" &amp;
      LEFT(SUBSTITUTE($R$2:$R$47,CHAR(160)," "),5) &amp; "|" &amp;
      TRIM(SUBSTITUTE($S$2:$S$47,CHAR(160)," ")),
      $T$2:$T$47
    )
  ),
"")</f>
        <v/>
      </c>
    </row>
    <row r="952" spans="10:10" x14ac:dyDescent="0.2">
      <c r="J952" s="52" t="str" cm="1">
        <f t="array" ref="J952">IFERROR(
  VALUE($H952) *
  VALUE(
    _xlfn.XLOOKUP(
      TRIM($F952) &amp; "|" &amp; LEFT(SUBSTITUTE($G952,CHAR(160)," "),5) &amp; "|Reduced Rate",
      TRIM(SUBSTITUTE($Q$2:$Q$47,CHAR(160)," ")) &amp; "|" &amp;
      LEFT(SUBSTITUTE($R$2:$R$47,CHAR(160)," "),5) &amp; "|" &amp;
      TRIM(SUBSTITUTE($S$2:$S$47,CHAR(160)," ")),
      $T$2:$T$47
    )
  ),
"")</f>
        <v/>
      </c>
    </row>
  </sheetData>
  <autoFilter ref="A1:K210" xr:uid="{DDC1487B-F502-D14A-9DB0-63187B9D99B8}"/>
  <mergeCells count="1">
    <mergeCell ref="A2:B2"/>
  </mergeCells>
  <phoneticPr fontId="4" type="noConversion"/>
  <dataValidations count="1">
    <dataValidation type="list" allowBlank="1" showInputMessage="1" showErrorMessage="1" sqref="H130" xr:uid="{9A85054B-35B9-324A-AF66-A3C6FA20DDC3}">
      <formula1>$Z$2:$Z$4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7FC4FD4B-148F-5448-94FB-4D88F44CA545}">
          <x14:formula1>
            <xm:f>Lookup!$A$11:$A$19</xm:f>
          </x14:formula1>
          <xm:sqref>C125:C129 C1:C123 C131:C246 C249:C1048576</xm:sqref>
        </x14:dataValidation>
        <x14:dataValidation type="list" allowBlank="1" showInputMessage="1" showErrorMessage="1" xr:uid="{24D266AC-3410-AA4C-B7A9-3F1793DDF6C6}">
          <x14:formula1>
            <xm:f>Lookup!$M$3:$M$8</xm:f>
          </x14:formula1>
          <xm:sqref>F1:F123 F125:F129 F131:F1048576</xm:sqref>
        </x14:dataValidation>
        <x14:dataValidation type="list" allowBlank="1" showInputMessage="1" showErrorMessage="1" xr:uid="{BB77A835-A56C-E04A-840B-B56DB96EE46A}">
          <x14:formula1>
            <xm:f>Lookup!$F$2:$F$10</xm:f>
          </x14:formula1>
          <xm:sqref>G1:G123 G125:G129 G131:G1048576</xm:sqref>
        </x14:dataValidation>
        <x14:dataValidation type="list" allowBlank="1" showInputMessage="1" showErrorMessage="1" xr:uid="{785B67A6-8303-C243-8F0D-EABB5A4FFCCB}">
          <x14:formula1>
            <xm:f>Lookup!$A$20:$A$34</xm:f>
          </x14:formula1>
          <xm:sqref>D1:D246 D249:D1048576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1F768-D74A-0548-B573-6589D3FCCFD9}">
  <dimension ref="A1:AD582"/>
  <sheetViews>
    <sheetView topLeftCell="B1" zoomScaleNormal="100" workbookViewId="0">
      <pane ySplit="1" topLeftCell="A132" activePane="bottomLeft" state="frozen"/>
      <selection pane="bottomLeft" activeCell="E248" sqref="E248"/>
    </sheetView>
  </sheetViews>
  <sheetFormatPr baseColWidth="10" defaultColWidth="10.83203125" defaultRowHeight="15" x14ac:dyDescent="0.2"/>
  <cols>
    <col min="1" max="1" width="15.1640625" style="17" customWidth="1"/>
    <col min="2" max="2" width="15.33203125" style="17" customWidth="1"/>
    <col min="3" max="3" width="21.33203125" style="20" customWidth="1"/>
    <col min="4" max="4" width="13.6640625" style="18" customWidth="1"/>
    <col min="5" max="5" width="70.33203125" style="18" customWidth="1"/>
    <col min="6" max="6" width="6.6640625" style="18" customWidth="1"/>
    <col min="7" max="7" width="28.5" style="22" customWidth="1"/>
    <col min="8" max="8" width="13.5" style="45" customWidth="1"/>
    <col min="9" max="9" width="19.1640625" style="60" customWidth="1"/>
    <col min="10" max="10" width="26.33203125" style="32" customWidth="1"/>
    <col min="11" max="11" width="21.6640625" style="32" customWidth="1"/>
    <col min="12" max="12" width="24.1640625" style="32" customWidth="1"/>
    <col min="13" max="13" width="42.1640625" customWidth="1"/>
    <col min="14" max="14" width="26.83203125" customWidth="1"/>
    <col min="15" max="15" width="17.83203125" customWidth="1"/>
    <col min="16" max="16" width="14.5" customWidth="1"/>
    <col min="17" max="17" width="14" customWidth="1"/>
    <col min="19" max="19" width="16.6640625" customWidth="1"/>
    <col min="20" max="20" width="16.5" bestFit="1" customWidth="1"/>
    <col min="21" max="21" width="14.83203125" customWidth="1"/>
    <col min="22" max="22" width="17.1640625" customWidth="1"/>
    <col min="23" max="23" width="16.83203125" customWidth="1"/>
    <col min="24" max="24" width="15.6640625" customWidth="1"/>
  </cols>
  <sheetData>
    <row r="1" spans="1:30" ht="17" thickBot="1" x14ac:dyDescent="0.25">
      <c r="A1" s="24" t="s">
        <v>0</v>
      </c>
      <c r="B1" s="27" t="s">
        <v>1</v>
      </c>
      <c r="C1" s="29" t="s">
        <v>2</v>
      </c>
      <c r="D1" s="25" t="s">
        <v>165</v>
      </c>
      <c r="E1" s="25" t="s">
        <v>4</v>
      </c>
      <c r="F1" s="25" t="s">
        <v>5</v>
      </c>
      <c r="G1" s="39" t="s">
        <v>261</v>
      </c>
      <c r="H1" s="43" t="s">
        <v>6</v>
      </c>
      <c r="I1" s="61" t="s">
        <v>377</v>
      </c>
      <c r="J1" s="51" t="s">
        <v>378</v>
      </c>
      <c r="K1" s="46" t="s">
        <v>379</v>
      </c>
      <c r="L1" s="46"/>
      <c r="N1" s="135" t="s">
        <v>381</v>
      </c>
      <c r="O1" s="8"/>
      <c r="P1" s="8"/>
      <c r="Q1" s="8"/>
      <c r="R1" s="40"/>
      <c r="T1" s="77" t="s">
        <v>427</v>
      </c>
      <c r="U1" s="77" t="s">
        <v>424</v>
      </c>
      <c r="V1" s="77" t="s">
        <v>428</v>
      </c>
      <c r="W1" s="77" t="s">
        <v>429</v>
      </c>
      <c r="X1" s="77" t="s">
        <v>430</v>
      </c>
    </row>
    <row r="2" spans="1:30" x14ac:dyDescent="0.2">
      <c r="A2" s="324"/>
      <c r="B2" s="325"/>
      <c r="C2" s="31"/>
      <c r="H2" s="45">
        <v>1</v>
      </c>
      <c r="I2" s="60" t="str" cm="1">
        <f t="array" ref="I2">IFERROR(
  VALUE($H2) *
  VALUE(
    _xlfn.XLOOKUP(
      TRIM($F2) &amp; "|" &amp; LEFT(SUBSTITUTE($G2,CHAR(160)," "),5) &amp; "|Full Rate",
      TRIM(SUBSTITUTE($N$2:$N$38,CHAR(160)," ")) &amp; "|" &amp;
      LEFT(SUBSTITUTE($O$2:$O$38,CHAR(160)," "),5) &amp; "|" &amp;
      TRIM(SUBSTITUTE($P$2:$P$38,CHAR(160)," ")),
      $Q$2:$Q$38
    )
  ),
"")</f>
        <v/>
      </c>
      <c r="J2" s="52" t="str" cm="1">
        <f t="array" ref="J2">IFERROR(
  VALUE($H2) *
  VALUE(
    _xlfn.XLOOKUP(
      TRIM($F2) &amp; "|" &amp; LEFT(SUBSTITUTE($G2,CHAR(160)," "),5) &amp; "|Reduced Rate",
      TRIM(SUBSTITUTE($N$2:$N$38,CHAR(160)," ")) &amp; "|" &amp;
      LEFT(SUBSTITUTE($O$2:$O$38,CHAR(160)," "),5) &amp; "|" &amp;
      TRIM(SUBSTITUTE($P$2:$P$38,CHAR(160)," ")),
      $Q$2:$Q$38
    )
  ),
"")</f>
        <v/>
      </c>
      <c r="K2" s="32" t="str" cm="1">
        <f t="array" ref="K2">IFERROR(
  VALUE($H2) *
  VALUE(
    _xlfn.XLOOKUP(
      TRIM($F2) &amp; "|" &amp; LEFT(SUBSTITUTE($G2,CHAR(160)," "),5) &amp; "|Ideas Rate",
      TRIM(SUBSTITUTE($N$2:$N$38,CHAR(160)," ")) &amp; "|" &amp;
      LEFT(SUBSTITUTE($O$2:$O$38,CHAR(160)," "),5) &amp; "|" &amp;
      TRIM(SUBSTITUTE($P$2:$P$38,CHAR(160)," ")),
      $Q$2:$Q$38
    )
  ),
"")</f>
        <v/>
      </c>
      <c r="L2" s="32" t="str">
        <f>IFERROR( VALUE($H2) * INDEX(#REF!, MATCH(UPPER(TRIM($F2)),#REF!,0)), "" )</f>
        <v/>
      </c>
      <c r="M2" s="136" t="s">
        <v>385</v>
      </c>
      <c r="N2" s="58" t="s">
        <v>154</v>
      </c>
      <c r="O2" s="58" t="s">
        <v>371</v>
      </c>
      <c r="P2" s="58" t="s">
        <v>372</v>
      </c>
      <c r="Q2" s="59" t="s">
        <v>373</v>
      </c>
      <c r="R2" s="42"/>
      <c r="S2" s="54" t="s">
        <v>10</v>
      </c>
      <c r="T2" s="22">
        <f>SUMIF(F:F,S2,H:H)</f>
        <v>128</v>
      </c>
      <c r="U2" s="22">
        <f>COUNTIF($F:$F, S2)</f>
        <v>62</v>
      </c>
      <c r="V2" s="32">
        <f>SUMIF($F:$F, $S2, $I:$I)</f>
        <v>42762.5</v>
      </c>
      <c r="W2" s="32">
        <f>SUMIF($F:$F, $S2, $J:$J)</f>
        <v>25437.5</v>
      </c>
      <c r="X2" s="32">
        <f>SUMIF($F:$F, $S2, $K:$K)</f>
        <v>12828.75</v>
      </c>
    </row>
    <row r="3" spans="1:30" ht="16" thickBot="1" x14ac:dyDescent="0.25">
      <c r="A3" s="21">
        <v>45855</v>
      </c>
      <c r="B3" s="28" t="s">
        <v>24</v>
      </c>
      <c r="C3" s="31" t="s">
        <v>66</v>
      </c>
      <c r="D3" s="18" t="s">
        <v>172</v>
      </c>
      <c r="E3" s="18" t="s">
        <v>67</v>
      </c>
      <c r="F3" s="18" t="s">
        <v>10</v>
      </c>
      <c r="G3" s="22" t="s">
        <v>380</v>
      </c>
      <c r="H3" s="45">
        <v>1.5</v>
      </c>
      <c r="I3" s="60" cm="1">
        <f t="array" ref="I3">IFERROR(
  VALUE($H3) *
  VALUE(
    _xlfn.XLOOKUP(
      TRIM($F3) &amp; "|" &amp; LEFT(SUBSTITUTE($G3,CHAR(160)," "),5) &amp; "|Full Rate",
      TRIM(SUBSTITUTE($N$2:$N$38,CHAR(160)," ")) &amp; "|" &amp;
      LEFT(SUBSTITUTE($O$2:$O$38,CHAR(160)," "),5) &amp; "|" &amp;
      TRIM(SUBSTITUTE($P$2:$P$38,CHAR(160)," ")),
      $Q$2:$Q$38
    )
  ),
"")</f>
        <v>375</v>
      </c>
      <c r="J3" s="52" cm="1">
        <f t="array" ref="J3">IFERROR(
  VALUE($H3) *
  VALUE(
    _xlfn.XLOOKUP(
      TRIM($F3) &amp; "|" &amp; LEFT(SUBSTITUTE($G3,CHAR(160)," "),5) &amp; "|Reduced Rate",
      TRIM(SUBSTITUTE($N$2:$N$38,CHAR(160)," ")) &amp; "|" &amp;
      LEFT(SUBSTITUTE($O$2:$O$38,CHAR(160)," "),5) &amp; "|" &amp;
      TRIM(SUBSTITUTE($P$2:$P$38,CHAR(160)," ")),
      $Q$2:$Q$38
    )
  ),
"")</f>
        <v>225</v>
      </c>
      <c r="K3" s="32" cm="1">
        <f t="array" ref="K3">IFERROR(
  VALUE($H3) *
  VALUE(
    _xlfn.XLOOKUP(
      TRIM($F3) &amp; "|" &amp; LEFT(SUBSTITUTE($G3,CHAR(160)," "),5) &amp; "|Ideas Rate",
      TRIM(SUBSTITUTE($N$2:$N$38,CHAR(160)," ")) &amp; "|" &amp;
      LEFT(SUBSTITUTE($O$2:$O$38,CHAR(160)," "),5) &amp; "|" &amp;
      TRIM(SUBSTITUTE($P$2:$P$38,CHAR(160)," ")),
      $Q$2:$Q$38
    )
  ),
"")</f>
        <v>112.5</v>
      </c>
      <c r="L3" s="32" t="str">
        <f>IFERROR( VALUE($H3) * INDEX(#REF!, MATCH(UPPER(TRIM($F3)),#REF!,0)), "" )</f>
        <v/>
      </c>
      <c r="M3" s="137">
        <f>SUM(I:I)</f>
        <v>201530</v>
      </c>
      <c r="N3" t="s">
        <v>10</v>
      </c>
      <c r="O3" t="s">
        <v>375</v>
      </c>
      <c r="P3" t="s">
        <v>382</v>
      </c>
      <c r="Q3" s="32">
        <v>500</v>
      </c>
      <c r="R3" s="42"/>
      <c r="S3" t="s">
        <v>9</v>
      </c>
      <c r="T3" s="22">
        <f>SUMIF(F:F,S3,H:H)</f>
        <v>137.57499999999999</v>
      </c>
      <c r="U3" s="22">
        <f>COUNTIF($F:$F, S3)</f>
        <v>88</v>
      </c>
      <c r="V3" s="32">
        <f>SUMIF($F:$F, $S3, $I:$I)</f>
        <v>53412.5</v>
      </c>
      <c r="W3" s="32">
        <f>SUMIF($F:$F, $S3, $J:$J)</f>
        <v>31960</v>
      </c>
      <c r="X3" s="32">
        <f>SUMIF($F:$F, $S3, $K:$K)</f>
        <v>16023.75</v>
      </c>
    </row>
    <row r="4" spans="1:30" ht="16" thickBot="1" x14ac:dyDescent="0.25">
      <c r="A4" s="21">
        <v>45858</v>
      </c>
      <c r="B4" s="28" t="s">
        <v>24</v>
      </c>
      <c r="C4" s="31" t="s">
        <v>66</v>
      </c>
      <c r="D4" s="18" t="s">
        <v>183</v>
      </c>
      <c r="E4" s="18" t="s">
        <v>68</v>
      </c>
      <c r="F4" s="18" t="s">
        <v>10</v>
      </c>
      <c r="G4" s="22" t="s">
        <v>380</v>
      </c>
      <c r="H4" s="45">
        <v>0.75</v>
      </c>
      <c r="I4" s="60" cm="1">
        <f t="array" ref="I4">IFERROR(
  VALUE($H4) *
  VALUE(
    _xlfn.XLOOKUP(
      TRIM($F4) &amp; "|" &amp; LEFT(SUBSTITUTE($G4,CHAR(160)," "),5) &amp; "|Full Rate",
      TRIM(SUBSTITUTE($N$2:$N$38,CHAR(160)," ")) &amp; "|" &amp;
      LEFT(SUBSTITUTE($O$2:$O$38,CHAR(160)," "),5) &amp; "|" &amp;
      TRIM(SUBSTITUTE($P$2:$P$38,CHAR(160)," ")),
      $Q$2:$Q$38
    )
  ),
"")</f>
        <v>187.5</v>
      </c>
      <c r="J4" s="52" cm="1">
        <f t="array" ref="J4">IFERROR(
  VALUE($H4) *
  VALUE(
    _xlfn.XLOOKUP(
      TRIM($F4) &amp; "|" &amp; LEFT(SUBSTITUTE($G4,CHAR(160)," "),5) &amp; "|Reduced Rate",
      TRIM(SUBSTITUTE($N$2:$N$38,CHAR(160)," ")) &amp; "|" &amp;
      LEFT(SUBSTITUTE($O$2:$O$38,CHAR(160)," "),5) &amp; "|" &amp;
      TRIM(SUBSTITUTE($P$2:$P$38,CHAR(160)," ")),
      $Q$2:$Q$38
    )
  ),
"")</f>
        <v>112.5</v>
      </c>
      <c r="K4" s="32" cm="1">
        <f t="array" ref="K4">IFERROR(
  VALUE($H4) *
  VALUE(
    _xlfn.XLOOKUP(
      TRIM($F4) &amp; "|" &amp; LEFT(SUBSTITUTE($G4,CHAR(160)," "),5) &amp; "|Ideas Rate",
      TRIM(SUBSTITUTE($N$2:$N$38,CHAR(160)," ")) &amp; "|" &amp;
      LEFT(SUBSTITUTE($O$2:$O$38,CHAR(160)," "),5) &amp; "|" &amp;
      TRIM(SUBSTITUTE($P$2:$P$38,CHAR(160)," ")),
      $Q$2:$Q$38
    )
  ),
"")</f>
        <v>56.25</v>
      </c>
      <c r="L4" s="32" t="str">
        <f>IFERROR( VALUE($H4) * INDEX(#REF!, MATCH(UPPER(TRIM($F4)),#REF!,0)), "" )</f>
        <v/>
      </c>
      <c r="N4" t="s">
        <v>10</v>
      </c>
      <c r="O4" t="s">
        <v>375</v>
      </c>
      <c r="P4" t="s">
        <v>383</v>
      </c>
      <c r="Q4" s="32">
        <v>300</v>
      </c>
      <c r="R4" s="42"/>
      <c r="S4" t="s">
        <v>155</v>
      </c>
      <c r="T4" s="22">
        <f>SUMIF(F:F,S4,H:H)</f>
        <v>275.75</v>
      </c>
      <c r="U4" s="22">
        <f>COUNTIF($F:$F, S4)</f>
        <v>86</v>
      </c>
      <c r="V4" s="32">
        <f>SUMIF($F:$F, $S4, $I:$I)</f>
        <v>97880</v>
      </c>
      <c r="W4" s="32">
        <f>SUMIF($F:$F, $S4, $J:$J)</f>
        <v>48535</v>
      </c>
      <c r="X4" s="32">
        <f>SUMIF($F:$F, $S4, $K:$K)</f>
        <v>29850</v>
      </c>
    </row>
    <row r="5" spans="1:30" x14ac:dyDescent="0.2">
      <c r="A5" s="21">
        <v>45856</v>
      </c>
      <c r="B5" s="28" t="s">
        <v>24</v>
      </c>
      <c r="C5" s="31" t="s">
        <v>66</v>
      </c>
      <c r="D5" s="18" t="s">
        <v>172</v>
      </c>
      <c r="E5" s="18" t="s">
        <v>69</v>
      </c>
      <c r="F5" s="18" t="s">
        <v>10</v>
      </c>
      <c r="G5" s="22" t="s">
        <v>367</v>
      </c>
      <c r="H5" s="45">
        <v>1.5</v>
      </c>
      <c r="I5" s="60" cm="1">
        <f t="array" ref="I5">IFERROR(
  VALUE($H5) *
  VALUE(
    _xlfn.XLOOKUP(
      TRIM($F5) &amp; "|" &amp; LEFT(SUBSTITUTE($G5,CHAR(160)," "),5) &amp; "|Full Rate",
      TRIM(SUBSTITUTE($N$2:$N$38,CHAR(160)," ")) &amp; "|" &amp;
      LEFT(SUBSTITUTE($O$2:$O$38,CHAR(160)," "),5) &amp; "|" &amp;
      TRIM(SUBSTITUTE($P$2:$P$38,CHAR(160)," ")),
      $Q$2:$Q$38
    )
  ),
"")</f>
        <v>750</v>
      </c>
      <c r="J5" s="52" cm="1">
        <f t="array" ref="J5">IFERROR(
  VALUE($H5) *
  VALUE(
    _xlfn.XLOOKUP(
      TRIM($F5) &amp; "|" &amp; LEFT(SUBSTITUTE($G5,CHAR(160)," "),5) &amp; "|Reduced Rate",
      TRIM(SUBSTITUTE($N$2:$N$38,CHAR(160)," ")) &amp; "|" &amp;
      LEFT(SUBSTITUTE($O$2:$O$38,CHAR(160)," "),5) &amp; "|" &amp;
      TRIM(SUBSTITUTE($P$2:$P$38,CHAR(160)," ")),
      $Q$2:$Q$38
    )
  ),
"")</f>
        <v>450</v>
      </c>
      <c r="K5" s="32" cm="1">
        <f t="array" ref="K5">IFERROR(
  VALUE($H5) *
  VALUE(
    _xlfn.XLOOKUP(
      TRIM($F5) &amp; "|" &amp; LEFT(SUBSTITUTE($G5,CHAR(160)," "),5) &amp; "|Ideas Rate",
      TRIM(SUBSTITUTE($N$2:$N$38,CHAR(160)," ")) &amp; "|" &amp;
      LEFT(SUBSTITUTE($O$2:$O$38,CHAR(160)," "),5) &amp; "|" &amp;
      TRIM(SUBSTITUTE($P$2:$P$38,CHAR(160)," ")),
      $Q$2:$Q$38
    )
  ),
"")</f>
        <v>225</v>
      </c>
      <c r="L5" s="32" t="str">
        <f>IFERROR( VALUE($H5) * INDEX(#REF!, MATCH(UPPER(TRIM($F5)),#REF!,0)), "" )</f>
        <v/>
      </c>
      <c r="M5" s="138" t="s">
        <v>386</v>
      </c>
      <c r="N5" t="s">
        <v>10</v>
      </c>
      <c r="O5" t="s">
        <v>375</v>
      </c>
      <c r="P5" t="s">
        <v>379</v>
      </c>
      <c r="Q5" s="32">
        <v>150</v>
      </c>
      <c r="R5" s="42"/>
      <c r="S5" t="s">
        <v>156</v>
      </c>
      <c r="T5" s="22">
        <f>SUMIF(F:F,S5,H:H)</f>
        <v>23</v>
      </c>
      <c r="U5" s="22">
        <f>COUNTIF($F:$F, S5)</f>
        <v>8</v>
      </c>
      <c r="V5" s="32">
        <f>SUMIF($F:$F, $S5, $I:$I)</f>
        <v>7475</v>
      </c>
      <c r="W5" s="32">
        <f>SUMIF($F:$F, $S5, $J:$J)</f>
        <v>4025</v>
      </c>
      <c r="X5" s="32">
        <f>SUMIF($F:$F, $S5, $K:$K)</f>
        <v>2185</v>
      </c>
    </row>
    <row r="6" spans="1:30" ht="16" thickBot="1" x14ac:dyDescent="0.25">
      <c r="A6" s="21">
        <v>45856</v>
      </c>
      <c r="B6" s="28" t="s">
        <v>24</v>
      </c>
      <c r="C6" s="31" t="s">
        <v>66</v>
      </c>
      <c r="D6" s="18" t="s">
        <v>183</v>
      </c>
      <c r="E6" s="18" t="s">
        <v>70</v>
      </c>
      <c r="F6" s="18" t="s">
        <v>155</v>
      </c>
      <c r="G6" s="22" t="s">
        <v>380</v>
      </c>
      <c r="H6" s="45">
        <v>2</v>
      </c>
      <c r="I6" s="60" cm="1">
        <f t="array" ref="I6">IFERROR(
  VALUE($H6) *
  VALUE(
    _xlfn.XLOOKUP(
      TRIM($F6) &amp; "|" &amp; LEFT(SUBSTITUTE($G6,CHAR(160)," "),5) &amp; "|Full Rate",
      TRIM(SUBSTITUTE($N$2:$N$38,CHAR(160)," ")) &amp; "|" &amp;
      LEFT(SUBSTITUTE($O$2:$O$38,CHAR(160)," "),5) &amp; "|" &amp;
      TRIM(SUBSTITUTE($P$2:$P$38,CHAR(160)," ")),
      $Q$2:$Q$38
    )
  ),
"")</f>
        <v>520</v>
      </c>
      <c r="J6" s="52" cm="1">
        <f t="array" ref="J6">IFERROR(
  VALUE($H6) *
  VALUE(
    _xlfn.XLOOKUP(
      TRIM($F6) &amp; "|" &amp; LEFT(SUBSTITUTE($G6,CHAR(160)," "),5) &amp; "|Reduced Rate",
      TRIM(SUBSTITUTE($N$2:$N$38,CHAR(160)," ")) &amp; "|" &amp;
      LEFT(SUBSTITUTE($O$2:$O$38,CHAR(160)," "),5) &amp; "|" &amp;
      TRIM(SUBSTITUTE($P$2:$P$38,CHAR(160)," ")),
      $Q$2:$Q$38
    )
  ),
"")</f>
        <v>240</v>
      </c>
      <c r="K6" s="32" cm="1">
        <f t="array" ref="K6">IFERROR(
  VALUE($H6) *
  VALUE(
    _xlfn.XLOOKUP(
      TRIM($F6) &amp; "|" &amp; LEFT(SUBSTITUTE($G6,CHAR(160)," "),5) &amp; "|Ideas Rate",
      TRIM(SUBSTITUTE($N$2:$N$38,CHAR(160)," ")) &amp; "|" &amp;
      LEFT(SUBSTITUTE($O$2:$O$38,CHAR(160)," "),5) &amp; "|" &amp;
      TRIM(SUBSTITUTE($P$2:$P$38,CHAR(160)," ")),
      $Q$2:$Q$38
    )
  ),
"")</f>
        <v>180</v>
      </c>
      <c r="L6" s="32" t="str">
        <f>IFERROR( VALUE($H6) * INDEX(#REF!, MATCH(UPPER(TRIM($F6)),#REF!,0)), "" )</f>
        <v/>
      </c>
      <c r="M6" s="139">
        <f>SUM(J:J)</f>
        <v>109957.5</v>
      </c>
      <c r="N6" t="s">
        <v>10</v>
      </c>
      <c r="O6" t="s">
        <v>376</v>
      </c>
      <c r="P6" t="s">
        <v>382</v>
      </c>
      <c r="Q6" s="32">
        <v>250</v>
      </c>
    </row>
    <row r="7" spans="1:30" ht="16" thickBot="1" x14ac:dyDescent="0.25">
      <c r="A7" s="21">
        <v>45859</v>
      </c>
      <c r="B7" s="28" t="s">
        <v>24</v>
      </c>
      <c r="C7" s="31" t="s">
        <v>66</v>
      </c>
      <c r="D7" s="18" t="s">
        <v>172</v>
      </c>
      <c r="E7" s="18" t="s">
        <v>69</v>
      </c>
      <c r="F7" s="18" t="s">
        <v>10</v>
      </c>
      <c r="G7" s="22" t="s">
        <v>367</v>
      </c>
      <c r="H7" s="45">
        <v>1.5</v>
      </c>
      <c r="I7" s="60" cm="1">
        <f t="array" ref="I7">IFERROR(
  VALUE($H7) *
  VALUE(
    _xlfn.XLOOKUP(
      TRIM($F7) &amp; "|" &amp; LEFT(SUBSTITUTE($G7,CHAR(160)," "),5) &amp; "|Full Rate",
      TRIM(SUBSTITUTE($N$2:$N$38,CHAR(160)," ")) &amp; "|" &amp;
      LEFT(SUBSTITUTE($O$2:$O$38,CHAR(160)," "),5) &amp; "|" &amp;
      TRIM(SUBSTITUTE($P$2:$P$38,CHAR(160)," ")),
      $Q$2:$Q$38
    )
  ),
"")</f>
        <v>750</v>
      </c>
      <c r="J7" s="52" cm="1">
        <f t="array" ref="J7">IFERROR(
  VALUE($H7) *
  VALUE(
    _xlfn.XLOOKUP(
      TRIM($F7) &amp; "|" &amp; LEFT(SUBSTITUTE($G7,CHAR(160)," "),5) &amp; "|Reduced Rate",
      TRIM(SUBSTITUTE($N$2:$N$38,CHAR(160)," ")) &amp; "|" &amp;
      LEFT(SUBSTITUTE($O$2:$O$38,CHAR(160)," "),5) &amp; "|" &amp;
      TRIM(SUBSTITUTE($P$2:$P$38,CHAR(160)," ")),
      $Q$2:$Q$38
    )
  ),
"")</f>
        <v>450</v>
      </c>
      <c r="K7" s="32" cm="1">
        <f t="array" ref="K7">IFERROR(
  VALUE($H7) *
  VALUE(
    _xlfn.XLOOKUP(
      TRIM($F7) &amp; "|" &amp; LEFT(SUBSTITUTE($G7,CHAR(160)," "),5) &amp; "|Ideas Rate",
      TRIM(SUBSTITUTE($N$2:$N$38,CHAR(160)," ")) &amp; "|" &amp;
      LEFT(SUBSTITUTE($O$2:$O$38,CHAR(160)," "),5) &amp; "|" &amp;
      TRIM(SUBSTITUTE($P$2:$P$38,CHAR(160)," ")),
      $Q$2:$Q$38
    )
  ),
"")</f>
        <v>225</v>
      </c>
      <c r="L7" s="32" t="str">
        <f>IFERROR( VALUE($H7) * INDEX(#REF!, MATCH(UPPER(TRIM($F7)),#REF!,0)), "" )</f>
        <v/>
      </c>
      <c r="N7" t="s">
        <v>10</v>
      </c>
      <c r="O7" t="s">
        <v>376</v>
      </c>
      <c r="P7" t="s">
        <v>378</v>
      </c>
      <c r="Q7" s="32">
        <v>150</v>
      </c>
    </row>
    <row r="8" spans="1:30" x14ac:dyDescent="0.2">
      <c r="A8" s="21">
        <v>45859</v>
      </c>
      <c r="B8" s="28" t="s">
        <v>24</v>
      </c>
      <c r="C8" s="31" t="s">
        <v>66</v>
      </c>
      <c r="D8" s="18" t="s">
        <v>172</v>
      </c>
      <c r="E8" s="18" t="s">
        <v>71</v>
      </c>
      <c r="F8" s="18" t="s">
        <v>155</v>
      </c>
      <c r="G8" s="22" t="s">
        <v>367</v>
      </c>
      <c r="H8" s="45">
        <v>1.5</v>
      </c>
      <c r="I8" s="60" cm="1">
        <f t="array" ref="I8">IFERROR(
  VALUE($H8) *
  VALUE(
    _xlfn.XLOOKUP(
      TRIM($F8) &amp; "|" &amp; LEFT(SUBSTITUTE($G8,CHAR(160)," "),5) &amp; "|Full Rate",
      TRIM(SUBSTITUTE($N$2:$N$38,CHAR(160)," ")) &amp; "|" &amp;
      LEFT(SUBSTITUTE($O$2:$O$38,CHAR(160)," "),5) &amp; "|" &amp;
      TRIM(SUBSTITUTE($P$2:$P$38,CHAR(160)," ")),
      $Q$2:$Q$38
    )
  ),
"")</f>
        <v>600</v>
      </c>
      <c r="J8" s="52" cm="1">
        <f t="array" ref="J8">IFERROR(
  VALUE($H8) *
  VALUE(
    _xlfn.XLOOKUP(
      TRIM($F8) &amp; "|" &amp; LEFT(SUBSTITUTE($G8,CHAR(160)," "),5) &amp; "|Reduced Rate",
      TRIM(SUBSTITUTE($N$2:$N$38,CHAR(160)," ")) &amp; "|" &amp;
      LEFT(SUBSTITUTE($O$2:$O$38,CHAR(160)," "),5) &amp; "|" &amp;
      TRIM(SUBSTITUTE($P$2:$P$38,CHAR(160)," ")),
      $Q$2:$Q$38
    )
  ),
"")</f>
        <v>300</v>
      </c>
      <c r="K8" s="32" cm="1">
        <f t="array" ref="K8">IFERROR(
  VALUE($H8) *
  VALUE(
    _xlfn.XLOOKUP(
      TRIM($F8) &amp; "|" &amp; LEFT(SUBSTITUTE($G8,CHAR(160)," "),5) &amp; "|Ideas Rate",
      TRIM(SUBSTITUTE($N$2:$N$38,CHAR(160)," ")) &amp; "|" &amp;
      LEFT(SUBSTITUTE($O$2:$O$38,CHAR(160)," "),5) &amp; "|" &amp;
      TRIM(SUBSTITUTE($P$2:$P$38,CHAR(160)," ")),
      $Q$2:$Q$38
    )
  ),
"")</f>
        <v>180</v>
      </c>
      <c r="L8" s="32" t="str">
        <f>IFERROR( VALUE($H8) * INDEX(#REF!, MATCH(UPPER(TRIM($F8)),#REF!,0)), "" )</f>
        <v/>
      </c>
      <c r="M8" s="140" t="s">
        <v>387</v>
      </c>
      <c r="N8" t="s">
        <v>10</v>
      </c>
      <c r="O8" t="s">
        <v>376</v>
      </c>
      <c r="P8" t="s">
        <v>384</v>
      </c>
      <c r="Q8" s="32">
        <v>75</v>
      </c>
    </row>
    <row r="9" spans="1:30" ht="16" thickBot="1" x14ac:dyDescent="0.25">
      <c r="A9" s="21">
        <v>45862</v>
      </c>
      <c r="B9" s="28" t="s">
        <v>24</v>
      </c>
      <c r="C9" s="31" t="s">
        <v>66</v>
      </c>
      <c r="D9" s="18" t="s">
        <v>172</v>
      </c>
      <c r="E9" s="18" t="s">
        <v>72</v>
      </c>
      <c r="F9" s="18" t="s">
        <v>155</v>
      </c>
      <c r="G9" s="22" t="s">
        <v>380</v>
      </c>
      <c r="H9" s="45">
        <v>1</v>
      </c>
      <c r="I9" s="60" cm="1">
        <f t="array" ref="I9">IFERROR(
  VALUE($H9) *
  VALUE(
    _xlfn.XLOOKUP(
      TRIM($F9) &amp; "|" &amp; LEFT(SUBSTITUTE($G9,CHAR(160)," "),5) &amp; "|Full Rate",
      TRIM(SUBSTITUTE($N$2:$N$38,CHAR(160)," ")) &amp; "|" &amp;
      LEFT(SUBSTITUTE($O$2:$O$38,CHAR(160)," "),5) &amp; "|" &amp;
      TRIM(SUBSTITUTE($P$2:$P$38,CHAR(160)," ")),
      $Q$2:$Q$38
    )
  ),
"")</f>
        <v>260</v>
      </c>
      <c r="J9" s="52" cm="1">
        <f t="array" ref="J9">IFERROR(
  VALUE($H9) *
  VALUE(
    _xlfn.XLOOKUP(
      TRIM($F9) &amp; "|" &amp; LEFT(SUBSTITUTE($G9,CHAR(160)," "),5) &amp; "|Reduced Rate",
      TRIM(SUBSTITUTE($N$2:$N$38,CHAR(160)," ")) &amp; "|" &amp;
      LEFT(SUBSTITUTE($O$2:$O$38,CHAR(160)," "),5) &amp; "|" &amp;
      TRIM(SUBSTITUTE($P$2:$P$38,CHAR(160)," ")),
      $Q$2:$Q$38
    )
  ),
"")</f>
        <v>120</v>
      </c>
      <c r="K9" s="32" cm="1">
        <f t="array" ref="K9">IFERROR(
  VALUE($H9) *
  VALUE(
    _xlfn.XLOOKUP(
      TRIM($F9) &amp; "|" &amp; LEFT(SUBSTITUTE($G9,CHAR(160)," "),5) &amp; "|Ideas Rate",
      TRIM(SUBSTITUTE($N$2:$N$38,CHAR(160)," ")) &amp; "|" &amp;
      LEFT(SUBSTITUTE($O$2:$O$38,CHAR(160)," "),5) &amp; "|" &amp;
      TRIM(SUBSTITUTE($P$2:$P$38,CHAR(160)," ")),
      $Q$2:$Q$38
    )
  ),
"")</f>
        <v>90</v>
      </c>
      <c r="L9" s="32" t="str">
        <f>IFERROR( VALUE($H9) * INDEX(#REF!, MATCH(UPPER(TRIM($F9)),#REF!,0)), "" )</f>
        <v/>
      </c>
      <c r="M9" s="141">
        <f>SUM(K:K)</f>
        <v>60887.5</v>
      </c>
      <c r="N9" t="s">
        <v>10</v>
      </c>
      <c r="O9" t="s">
        <v>368</v>
      </c>
      <c r="P9" t="s">
        <v>382</v>
      </c>
      <c r="Q9" s="32">
        <v>100</v>
      </c>
      <c r="S9" s="95" t="s">
        <v>165</v>
      </c>
      <c r="T9" s="96" t="s">
        <v>433</v>
      </c>
      <c r="U9" s="96" t="s">
        <v>491</v>
      </c>
      <c r="V9" s="96" t="s">
        <v>435</v>
      </c>
      <c r="W9" s="54"/>
      <c r="X9" s="54"/>
      <c r="Y9" s="54"/>
      <c r="Z9" s="54"/>
      <c r="AA9" s="54"/>
      <c r="AB9" s="54"/>
      <c r="AC9" s="54"/>
      <c r="AD9" s="54"/>
    </row>
    <row r="10" spans="1:30" x14ac:dyDescent="0.2">
      <c r="A10" s="21">
        <v>45862</v>
      </c>
      <c r="B10" s="28" t="s">
        <v>24</v>
      </c>
      <c r="C10" s="31" t="s">
        <v>66</v>
      </c>
      <c r="D10" s="18" t="s">
        <v>172</v>
      </c>
      <c r="E10" s="18" t="s">
        <v>72</v>
      </c>
      <c r="F10" s="18" t="s">
        <v>10</v>
      </c>
      <c r="G10" s="22" t="s">
        <v>367</v>
      </c>
      <c r="H10" s="45">
        <v>1</v>
      </c>
      <c r="I10" s="60" cm="1">
        <f t="array" ref="I10">IFERROR(
  VALUE($H10) *
  VALUE(
    _xlfn.XLOOKUP(
      TRIM($F10) &amp; "|" &amp; LEFT(SUBSTITUTE($G10,CHAR(160)," "),5) &amp; "|Full Rate",
      TRIM(SUBSTITUTE($N$2:$N$38,CHAR(160)," ")) &amp; "|" &amp;
      LEFT(SUBSTITUTE($O$2:$O$38,CHAR(160)," "),5) &amp; "|" &amp;
      TRIM(SUBSTITUTE($P$2:$P$38,CHAR(160)," ")),
      $Q$2:$Q$38
    )
  ),
"")</f>
        <v>500</v>
      </c>
      <c r="J10" s="52" cm="1">
        <f t="array" ref="J10">IFERROR(
  VALUE($H10) *
  VALUE(
    _xlfn.XLOOKUP(
      TRIM($F10) &amp; "|" &amp; LEFT(SUBSTITUTE($G10,CHAR(160)," "),5) &amp; "|Reduced Rate",
      TRIM(SUBSTITUTE($N$2:$N$38,CHAR(160)," ")) &amp; "|" &amp;
      LEFT(SUBSTITUTE($O$2:$O$38,CHAR(160)," "),5) &amp; "|" &amp;
      TRIM(SUBSTITUTE($P$2:$P$38,CHAR(160)," ")),
      $Q$2:$Q$38
    )
  ),
"")</f>
        <v>300</v>
      </c>
      <c r="K10" s="32" cm="1">
        <f t="array" ref="K10">IFERROR(
  VALUE($H10) *
  VALUE(
    _xlfn.XLOOKUP(
      TRIM($F10) &amp; "|" &amp; LEFT(SUBSTITUTE($G10,CHAR(160)," "),5) &amp; "|Ideas Rate",
      TRIM(SUBSTITUTE($N$2:$N$38,CHAR(160)," ")) &amp; "|" &amp;
      LEFT(SUBSTITUTE($O$2:$O$38,CHAR(160)," "),5) &amp; "|" &amp;
      TRIM(SUBSTITUTE($P$2:$P$38,CHAR(160)," ")),
      $Q$2:$Q$38
    )
  ),
"")</f>
        <v>150</v>
      </c>
      <c r="L10" s="32" t="str">
        <f>IFERROR( VALUE($H10) * INDEX(#REF!, MATCH(UPPER(TRIM($F10)),#REF!,0)), "" )</f>
        <v/>
      </c>
      <c r="N10" t="s">
        <v>10</v>
      </c>
      <c r="O10" t="s">
        <v>368</v>
      </c>
      <c r="P10" t="s">
        <v>378</v>
      </c>
      <c r="Q10" s="32">
        <v>50</v>
      </c>
      <c r="S10" s="97" t="s">
        <v>182</v>
      </c>
      <c r="T10" s="98">
        <f t="shared" ref="T10:T21" si="0">SUMIF($D:$D,$S10,$H:$H)</f>
        <v>68.25</v>
      </c>
      <c r="U10" s="101">
        <f t="shared" ref="U10:U21" si="1">SUMIF($D:$D,$S10,$I:$I)</f>
        <v>27010</v>
      </c>
      <c r="V10" s="99"/>
      <c r="AD10" s="54"/>
    </row>
    <row r="11" spans="1:30" x14ac:dyDescent="0.2">
      <c r="A11" s="21">
        <v>45785</v>
      </c>
      <c r="B11" s="28" t="s">
        <v>52</v>
      </c>
      <c r="C11" s="31" t="s">
        <v>66</v>
      </c>
      <c r="D11" s="18" t="s">
        <v>184</v>
      </c>
      <c r="E11" s="18" t="s">
        <v>355</v>
      </c>
      <c r="F11" s="18" t="s">
        <v>10</v>
      </c>
      <c r="G11" s="22" t="s">
        <v>368</v>
      </c>
      <c r="H11" s="45">
        <v>4</v>
      </c>
      <c r="I11" s="60" cm="1">
        <f t="array" ref="I11">IFERROR(
  VALUE($H11) *
  VALUE(
    _xlfn.XLOOKUP(
      TRIM($F11) &amp; "|" &amp; LEFT(SUBSTITUTE($G11,CHAR(160)," "),5) &amp; "|Full Rate",
      TRIM(SUBSTITUTE($N$2:$N$38,CHAR(160)," ")) &amp; "|" &amp;
      LEFT(SUBSTITUTE($O$2:$O$38,CHAR(160)," "),5) &amp; "|" &amp;
      TRIM(SUBSTITUTE($P$2:$P$38,CHAR(160)," ")),
      $Q$2:$Q$38
    )
  ),
"")</f>
        <v>400</v>
      </c>
      <c r="J11" s="52" cm="1">
        <f t="array" ref="J11">IFERROR(
  VALUE($H11) *
  VALUE(
    _xlfn.XLOOKUP(
      TRIM($F11) &amp; "|" &amp; LEFT(SUBSTITUTE($G11,CHAR(160)," "),5) &amp; "|Reduced Rate",
      TRIM(SUBSTITUTE($N$2:$N$38,CHAR(160)," ")) &amp; "|" &amp;
      LEFT(SUBSTITUTE($O$2:$O$38,CHAR(160)," "),5) &amp; "|" &amp;
      TRIM(SUBSTITUTE($P$2:$P$38,CHAR(160)," ")),
      $Q$2:$Q$38
    )
  ),
"")</f>
        <v>200</v>
      </c>
      <c r="K11" s="32" cm="1">
        <f t="array" ref="K11">IFERROR(
  VALUE($H11) *
  VALUE(
    _xlfn.XLOOKUP(
      TRIM($F11) &amp; "|" &amp; LEFT(SUBSTITUTE($G11,CHAR(160)," "),5) &amp; "|Ideas Rate",
      TRIM(SUBSTITUTE($N$2:$N$38,CHAR(160)," ")) &amp; "|" &amp;
      LEFT(SUBSTITUTE($O$2:$O$38,CHAR(160)," "),5) &amp; "|" &amp;
      TRIM(SUBSTITUTE($P$2:$P$38,CHAR(160)," ")),
      $Q$2:$Q$38
    )
  ),
"")</f>
        <v>120</v>
      </c>
      <c r="L11" s="32" t="str">
        <f>IFERROR( VALUE($H11) * INDEX(#REF!, MATCH(UPPER(TRIM($F11)),#REF!,0)), "" )</f>
        <v/>
      </c>
      <c r="N11" t="s">
        <v>10</v>
      </c>
      <c r="O11" t="s">
        <v>368</v>
      </c>
      <c r="P11" t="s">
        <v>384</v>
      </c>
      <c r="Q11" s="32">
        <v>30</v>
      </c>
      <c r="S11" s="97" t="s">
        <v>190</v>
      </c>
      <c r="T11" s="98">
        <f t="shared" si="0"/>
        <v>14.75</v>
      </c>
      <c r="U11" s="101">
        <f t="shared" si="1"/>
        <v>3137.5</v>
      </c>
      <c r="V11" s="99"/>
      <c r="AD11" s="54"/>
    </row>
    <row r="12" spans="1:30" x14ac:dyDescent="0.2">
      <c r="A12" s="21">
        <v>45785</v>
      </c>
      <c r="B12" s="28" t="s">
        <v>52</v>
      </c>
      <c r="C12" s="31" t="s">
        <v>66</v>
      </c>
      <c r="D12" s="18" t="s">
        <v>184</v>
      </c>
      <c r="E12" s="18" t="s">
        <v>355</v>
      </c>
      <c r="F12" s="18" t="s">
        <v>9</v>
      </c>
      <c r="G12" s="22" t="s">
        <v>368</v>
      </c>
      <c r="H12" s="45">
        <v>4</v>
      </c>
      <c r="I12" s="60" cm="1">
        <f t="array" ref="I12">IFERROR(
  VALUE($H12) *
  VALUE(
    _xlfn.XLOOKUP(
      TRIM($F12) &amp; "|" &amp; LEFT(SUBSTITUTE($G12,CHAR(160)," "),5) &amp; "|Full Rate",
      TRIM(SUBSTITUTE($N$2:$N$38,CHAR(160)," ")) &amp; "|" &amp;
      LEFT(SUBSTITUTE($O$2:$O$38,CHAR(160)," "),5) &amp; "|" &amp;
      TRIM(SUBSTITUTE($P$2:$P$38,CHAR(160)," ")),
      $Q$2:$Q$38
    )
  ),
"")</f>
        <v>400</v>
      </c>
      <c r="J12" s="52" cm="1">
        <f t="array" ref="J12">IFERROR(
  VALUE($H12) *
  VALUE(
    _xlfn.XLOOKUP(
      TRIM($F12) &amp; "|" &amp; LEFT(SUBSTITUTE($G12,CHAR(160)," "),5) &amp; "|Reduced Rate",
      TRIM(SUBSTITUTE($N$2:$N$38,CHAR(160)," ")) &amp; "|" &amp;
      LEFT(SUBSTITUTE($O$2:$O$38,CHAR(160)," "),5) &amp; "|" &amp;
      TRIM(SUBSTITUTE($P$2:$P$38,CHAR(160)," ")),
      $Q$2:$Q$38
    )
  ),
"")</f>
        <v>200</v>
      </c>
      <c r="K12" s="32" cm="1">
        <f t="array" ref="K12">IFERROR(
  VALUE($H12) *
  VALUE(
    _xlfn.XLOOKUP(
      TRIM($F12) &amp; "|" &amp; LEFT(SUBSTITUTE($G12,CHAR(160)," "),5) &amp; "|Ideas Rate",
      TRIM(SUBSTITUTE($N$2:$N$38,CHAR(160)," ")) &amp; "|" &amp;
      LEFT(SUBSTITUTE($O$2:$O$38,CHAR(160)," "),5) &amp; "|" &amp;
      TRIM(SUBSTITUTE($P$2:$P$38,CHAR(160)," ")),
      $Q$2:$Q$38
    )
  ),
"")</f>
        <v>120</v>
      </c>
      <c r="L12" s="32" t="str">
        <f>IFERROR( VALUE($H12) * INDEX(#REF!, MATCH(UPPER(TRIM($F12)),#REF!,0)), "" )</f>
        <v/>
      </c>
      <c r="N12" s="56" t="s">
        <v>9</v>
      </c>
      <c r="O12" s="56" t="s">
        <v>375</v>
      </c>
      <c r="P12" s="56" t="s">
        <v>382</v>
      </c>
      <c r="Q12" s="57">
        <v>500</v>
      </c>
      <c r="S12" s="97" t="s">
        <v>188</v>
      </c>
      <c r="T12" s="98">
        <f t="shared" si="0"/>
        <v>0</v>
      </c>
      <c r="U12" s="101">
        <f t="shared" si="1"/>
        <v>0</v>
      </c>
      <c r="V12" s="99"/>
      <c r="AD12" s="54"/>
    </row>
    <row r="13" spans="1:30" x14ac:dyDescent="0.2">
      <c r="A13" s="21">
        <v>45785</v>
      </c>
      <c r="B13" s="28" t="s">
        <v>52</v>
      </c>
      <c r="C13" s="31" t="s">
        <v>66</v>
      </c>
      <c r="D13" s="18" t="s">
        <v>184</v>
      </c>
      <c r="E13" s="18" t="s">
        <v>355</v>
      </c>
      <c r="F13" s="18" t="s">
        <v>155</v>
      </c>
      <c r="G13" s="22" t="s">
        <v>368</v>
      </c>
      <c r="H13" s="45">
        <v>4</v>
      </c>
      <c r="I13" s="60" cm="1">
        <f t="array" ref="I13">IFERROR(
  VALUE($H13) *
  VALUE(
    _xlfn.XLOOKUP(
      TRIM($F13) &amp; "|" &amp; LEFT(SUBSTITUTE($G13,CHAR(160)," "),5) &amp; "|Full Rate",
      TRIM(SUBSTITUTE($N$2:$N$38,CHAR(160)," ")) &amp; "|" &amp;
      LEFT(SUBSTITUTE($O$2:$O$38,CHAR(160)," "),5) &amp; "|" &amp;
      TRIM(SUBSTITUTE($P$2:$P$38,CHAR(160)," ")),
      $Q$2:$Q$38
    )
  ),
"")</f>
        <v>400</v>
      </c>
      <c r="J13" s="52" cm="1">
        <f t="array" ref="J13">IFERROR(
  VALUE($H13) *
  VALUE(
    _xlfn.XLOOKUP(
      TRIM($F13) &amp; "|" &amp; LEFT(SUBSTITUTE($G13,CHAR(160)," "),5) &amp; "|Reduced Rate",
      TRIM(SUBSTITUTE($N$2:$N$38,CHAR(160)," ")) &amp; "|" &amp;
      LEFT(SUBSTITUTE($O$2:$O$38,CHAR(160)," "),5) &amp; "|" &amp;
      TRIM(SUBSTITUTE($P$2:$P$38,CHAR(160)," ")),
      $Q$2:$Q$38
    )
  ),
"")</f>
        <v>200</v>
      </c>
      <c r="K13" s="32" cm="1">
        <f t="array" ref="K13">IFERROR(
  VALUE($H13) *
  VALUE(
    _xlfn.XLOOKUP(
      TRIM($F13) &amp; "|" &amp; LEFT(SUBSTITUTE($G13,CHAR(160)," "),5) &amp; "|Ideas Rate",
      TRIM(SUBSTITUTE($N$2:$N$38,CHAR(160)," ")) &amp; "|" &amp;
      LEFT(SUBSTITUTE($O$2:$O$38,CHAR(160)," "),5) &amp; "|" &amp;
      TRIM(SUBSTITUTE($P$2:$P$38,CHAR(160)," ")),
      $Q$2:$Q$38
    )
  ),
"")</f>
        <v>120</v>
      </c>
      <c r="L13" s="32" t="str">
        <f>IFERROR( VALUE($H13) * INDEX(#REF!, MATCH(UPPER(TRIM($F13)),#REF!,0)), "" )</f>
        <v/>
      </c>
      <c r="N13" t="s">
        <v>9</v>
      </c>
      <c r="O13" t="s">
        <v>375</v>
      </c>
      <c r="P13" t="s">
        <v>383</v>
      </c>
      <c r="Q13" s="32">
        <v>300</v>
      </c>
      <c r="S13" s="97" t="s">
        <v>191</v>
      </c>
      <c r="T13" s="98">
        <f t="shared" si="0"/>
        <v>61.75</v>
      </c>
      <c r="U13" s="101">
        <f t="shared" si="1"/>
        <v>22737.5</v>
      </c>
      <c r="V13" s="99"/>
      <c r="AD13" s="54"/>
    </row>
    <row r="14" spans="1:30" x14ac:dyDescent="0.2">
      <c r="A14" s="21">
        <v>45785</v>
      </c>
      <c r="B14" s="28" t="s">
        <v>52</v>
      </c>
      <c r="C14" s="31" t="s">
        <v>66</v>
      </c>
      <c r="D14" s="18" t="s">
        <v>184</v>
      </c>
      <c r="E14" s="18" t="s">
        <v>356</v>
      </c>
      <c r="F14" s="18" t="s">
        <v>10</v>
      </c>
      <c r="G14" s="22" t="s">
        <v>367</v>
      </c>
      <c r="H14" s="45">
        <v>2</v>
      </c>
      <c r="I14" s="60" cm="1">
        <f t="array" ref="I14">IFERROR(
  VALUE($H14) *
  VALUE(
    _xlfn.XLOOKUP(
      TRIM($F14) &amp; "|" &amp; LEFT(SUBSTITUTE($G14,CHAR(160)," "),5) &amp; "|Full Rate",
      TRIM(SUBSTITUTE($N$2:$N$38,CHAR(160)," ")) &amp; "|" &amp;
      LEFT(SUBSTITUTE($O$2:$O$38,CHAR(160)," "),5) &amp; "|" &amp;
      TRIM(SUBSTITUTE($P$2:$P$38,CHAR(160)," ")),
      $Q$2:$Q$38
    )
  ),
"")</f>
        <v>1000</v>
      </c>
      <c r="J14" s="52" cm="1">
        <f t="array" ref="J14">IFERROR(
  VALUE($H14) *
  VALUE(
    _xlfn.XLOOKUP(
      TRIM($F14) &amp; "|" &amp; LEFT(SUBSTITUTE($G14,CHAR(160)," "),5) &amp; "|Reduced Rate",
      TRIM(SUBSTITUTE($N$2:$N$38,CHAR(160)," ")) &amp; "|" &amp;
      LEFT(SUBSTITUTE($O$2:$O$38,CHAR(160)," "),5) &amp; "|" &amp;
      TRIM(SUBSTITUTE($P$2:$P$38,CHAR(160)," ")),
      $Q$2:$Q$38
    )
  ),
"")</f>
        <v>600</v>
      </c>
      <c r="K14" s="32" cm="1">
        <f t="array" ref="K14">IFERROR(
  VALUE($H14) *
  VALUE(
    _xlfn.XLOOKUP(
      TRIM($F14) &amp; "|" &amp; LEFT(SUBSTITUTE($G14,CHAR(160)," "),5) &amp; "|Ideas Rate",
      TRIM(SUBSTITUTE($N$2:$N$38,CHAR(160)," ")) &amp; "|" &amp;
      LEFT(SUBSTITUTE($O$2:$O$38,CHAR(160)," "),5) &amp; "|" &amp;
      TRIM(SUBSTITUTE($P$2:$P$38,CHAR(160)," ")),
      $Q$2:$Q$38
    )
  ),
"")</f>
        <v>300</v>
      </c>
      <c r="L14" s="32" t="str">
        <f>IFERROR( VALUE($H14) * INDEX(#REF!, MATCH(UPPER(TRIM($F14)),#REF!,0)), "" )</f>
        <v/>
      </c>
      <c r="N14" t="s">
        <v>9</v>
      </c>
      <c r="O14" t="s">
        <v>375</v>
      </c>
      <c r="P14" t="s">
        <v>384</v>
      </c>
      <c r="Q14" s="32">
        <v>150</v>
      </c>
      <c r="S14" s="97" t="s">
        <v>178</v>
      </c>
      <c r="T14" s="98">
        <f t="shared" si="0"/>
        <v>13.75</v>
      </c>
      <c r="U14" s="101">
        <f t="shared" si="1"/>
        <v>4967.5</v>
      </c>
      <c r="V14" s="99"/>
      <c r="AD14" s="54"/>
    </row>
    <row r="15" spans="1:30" x14ac:dyDescent="0.2">
      <c r="A15" s="21">
        <v>45785</v>
      </c>
      <c r="B15" s="28" t="s">
        <v>52</v>
      </c>
      <c r="C15" s="31" t="s">
        <v>66</v>
      </c>
      <c r="D15" s="18" t="s">
        <v>184</v>
      </c>
      <c r="E15" s="18" t="s">
        <v>356</v>
      </c>
      <c r="F15" s="18" t="s">
        <v>9</v>
      </c>
      <c r="G15" s="22" t="s">
        <v>367</v>
      </c>
      <c r="H15" s="45">
        <v>2</v>
      </c>
      <c r="I15" s="60" cm="1">
        <f t="array" ref="I15">IFERROR(
  VALUE($H15) *
  VALUE(
    _xlfn.XLOOKUP(
      TRIM($F15) &amp; "|" &amp; LEFT(SUBSTITUTE($G15,CHAR(160)," "),5) &amp; "|Full Rate",
      TRIM(SUBSTITUTE($N$2:$N$38,CHAR(160)," ")) &amp; "|" &amp;
      LEFT(SUBSTITUTE($O$2:$O$38,CHAR(160)," "),5) &amp; "|" &amp;
      TRIM(SUBSTITUTE($P$2:$P$38,CHAR(160)," ")),
      $Q$2:$Q$38
    )
  ),
"")</f>
        <v>1000</v>
      </c>
      <c r="J15" s="52" cm="1">
        <f t="array" ref="J15">IFERROR(
  VALUE($H15) *
  VALUE(
    _xlfn.XLOOKUP(
      TRIM($F15) &amp; "|" &amp; LEFT(SUBSTITUTE($G15,CHAR(160)," "),5) &amp; "|Reduced Rate",
      TRIM(SUBSTITUTE($N$2:$N$38,CHAR(160)," ")) &amp; "|" &amp;
      LEFT(SUBSTITUTE($O$2:$O$38,CHAR(160)," "),5) &amp; "|" &amp;
      TRIM(SUBSTITUTE($P$2:$P$38,CHAR(160)," ")),
      $Q$2:$Q$38
    )
  ),
"")</f>
        <v>600</v>
      </c>
      <c r="K15" s="32" cm="1">
        <f t="array" ref="K15">IFERROR(
  VALUE($H15) *
  VALUE(
    _xlfn.XLOOKUP(
      TRIM($F15) &amp; "|" &amp; LEFT(SUBSTITUTE($G15,CHAR(160)," "),5) &amp; "|Ideas Rate",
      TRIM(SUBSTITUTE($N$2:$N$38,CHAR(160)," ")) &amp; "|" &amp;
      LEFT(SUBSTITUTE($O$2:$O$38,CHAR(160)," "),5) &amp; "|" &amp;
      TRIM(SUBSTITUTE($P$2:$P$38,CHAR(160)," ")),
      $Q$2:$Q$38
    )
  ),
"")</f>
        <v>300</v>
      </c>
      <c r="L15" s="32" t="str">
        <f>IFERROR( VALUE($H15) * INDEX(#REF!, MATCH(UPPER(TRIM($F15)),#REF!,0)), "" )</f>
        <v/>
      </c>
      <c r="N15" t="s">
        <v>9</v>
      </c>
      <c r="O15" t="s">
        <v>376</v>
      </c>
      <c r="P15" t="s">
        <v>382</v>
      </c>
      <c r="Q15" s="32">
        <v>250</v>
      </c>
      <c r="S15" s="97" t="s">
        <v>81</v>
      </c>
      <c r="T15" s="98">
        <f t="shared" si="0"/>
        <v>26</v>
      </c>
      <c r="U15" s="101">
        <f t="shared" si="1"/>
        <v>9935</v>
      </c>
      <c r="V15" s="99"/>
      <c r="AD15" s="54"/>
    </row>
    <row r="16" spans="1:30" x14ac:dyDescent="0.2">
      <c r="A16" s="21">
        <v>45785</v>
      </c>
      <c r="B16" s="28" t="s">
        <v>52</v>
      </c>
      <c r="C16" s="31" t="s">
        <v>66</v>
      </c>
      <c r="D16" s="18" t="s">
        <v>184</v>
      </c>
      <c r="E16" s="18" t="s">
        <v>356</v>
      </c>
      <c r="F16" s="18" t="s">
        <v>155</v>
      </c>
      <c r="G16" s="22" t="s">
        <v>367</v>
      </c>
      <c r="H16" s="45">
        <v>2</v>
      </c>
      <c r="I16" s="60" cm="1">
        <f t="array" ref="I16">IFERROR(
  VALUE($H16) *
  VALUE(
    _xlfn.XLOOKUP(
      TRIM($F16) &amp; "|" &amp; LEFT(SUBSTITUTE($G16,CHAR(160)," "),5) &amp; "|Full Rate",
      TRIM(SUBSTITUTE($N$2:$N$38,CHAR(160)," ")) &amp; "|" &amp;
      LEFT(SUBSTITUTE($O$2:$O$38,CHAR(160)," "),5) &amp; "|" &amp;
      TRIM(SUBSTITUTE($P$2:$P$38,CHAR(160)," ")),
      $Q$2:$Q$38
    )
  ),
"")</f>
        <v>800</v>
      </c>
      <c r="J16" s="52" cm="1">
        <f t="array" ref="J16">IFERROR(
  VALUE($H16) *
  VALUE(
    _xlfn.XLOOKUP(
      TRIM($F16) &amp; "|" &amp; LEFT(SUBSTITUTE($G16,CHAR(160)," "),5) &amp; "|Reduced Rate",
      TRIM(SUBSTITUTE($N$2:$N$38,CHAR(160)," ")) &amp; "|" &amp;
      LEFT(SUBSTITUTE($O$2:$O$38,CHAR(160)," "),5) &amp; "|" &amp;
      TRIM(SUBSTITUTE($P$2:$P$38,CHAR(160)," ")),
      $Q$2:$Q$38
    )
  ),
"")</f>
        <v>400</v>
      </c>
      <c r="K16" s="32" cm="1">
        <f t="array" ref="K16">IFERROR(
  VALUE($H16) *
  VALUE(
    _xlfn.XLOOKUP(
      TRIM($F16) &amp; "|" &amp; LEFT(SUBSTITUTE($G16,CHAR(160)," "),5) &amp; "|Ideas Rate",
      TRIM(SUBSTITUTE($N$2:$N$38,CHAR(160)," ")) &amp; "|" &amp;
      LEFT(SUBSTITUTE($O$2:$O$38,CHAR(160)," "),5) &amp; "|" &amp;
      TRIM(SUBSTITUTE($P$2:$P$38,CHAR(160)," ")),
      $Q$2:$Q$38
    )
  ),
"")</f>
        <v>240</v>
      </c>
      <c r="L16" s="32" t="str">
        <f>IFERROR( VALUE($H16) * INDEX(#REF!, MATCH(UPPER(TRIM($F16)),#REF!,0)), "" )</f>
        <v/>
      </c>
      <c r="N16" t="s">
        <v>9</v>
      </c>
      <c r="O16" t="s">
        <v>376</v>
      </c>
      <c r="P16" t="s">
        <v>383</v>
      </c>
      <c r="Q16" s="32">
        <v>150</v>
      </c>
      <c r="S16" s="97" t="s">
        <v>29</v>
      </c>
      <c r="T16" s="98">
        <f t="shared" si="0"/>
        <v>21.5</v>
      </c>
      <c r="U16" s="101">
        <f t="shared" si="1"/>
        <v>6085</v>
      </c>
      <c r="V16" s="99"/>
    </row>
    <row r="17" spans="1:23" x14ac:dyDescent="0.2">
      <c r="A17" s="21">
        <v>45785</v>
      </c>
      <c r="B17" s="28" t="s">
        <v>52</v>
      </c>
      <c r="C17" s="31" t="s">
        <v>66</v>
      </c>
      <c r="D17" s="18" t="s">
        <v>184</v>
      </c>
      <c r="E17" s="18" t="s">
        <v>357</v>
      </c>
      <c r="F17" s="18" t="s">
        <v>10</v>
      </c>
      <c r="G17" s="22" t="s">
        <v>367</v>
      </c>
      <c r="H17" s="45">
        <v>2</v>
      </c>
      <c r="I17" s="60" cm="1">
        <f t="array" ref="I17">IFERROR(
  VALUE($H17) *
  VALUE(
    _xlfn.XLOOKUP(
      TRIM($F17) &amp; "|" &amp; LEFT(SUBSTITUTE($G17,CHAR(160)," "),5) &amp; "|Full Rate",
      TRIM(SUBSTITUTE($N$2:$N$38,CHAR(160)," ")) &amp; "|" &amp;
      LEFT(SUBSTITUTE($O$2:$O$38,CHAR(160)," "),5) &amp; "|" &amp;
      TRIM(SUBSTITUTE($P$2:$P$38,CHAR(160)," ")),
      $Q$2:$Q$38
    )
  ),
"")</f>
        <v>1000</v>
      </c>
      <c r="J17" s="52" cm="1">
        <f t="array" ref="J17">IFERROR(
  VALUE($H17) *
  VALUE(
    _xlfn.XLOOKUP(
      TRIM($F17) &amp; "|" &amp; LEFT(SUBSTITUTE($G17,CHAR(160)," "),5) &amp; "|Reduced Rate",
      TRIM(SUBSTITUTE($N$2:$N$38,CHAR(160)," ")) &amp; "|" &amp;
      LEFT(SUBSTITUTE($O$2:$O$38,CHAR(160)," "),5) &amp; "|" &amp;
      TRIM(SUBSTITUTE($P$2:$P$38,CHAR(160)," ")),
      $Q$2:$Q$38
    )
  ),
"")</f>
        <v>600</v>
      </c>
      <c r="K17" s="32" cm="1">
        <f t="array" ref="K17">IFERROR(
  VALUE($H17) *
  VALUE(
    _xlfn.XLOOKUP(
      TRIM($F17) &amp; "|" &amp; LEFT(SUBSTITUTE($G17,CHAR(160)," "),5) &amp; "|Ideas Rate",
      TRIM(SUBSTITUTE($N$2:$N$38,CHAR(160)," ")) &amp; "|" &amp;
      LEFT(SUBSTITUTE($O$2:$O$38,CHAR(160)," "),5) &amp; "|" &amp;
      TRIM(SUBSTITUTE($P$2:$P$38,CHAR(160)," ")),
      $Q$2:$Q$38
    )
  ),
"")</f>
        <v>300</v>
      </c>
      <c r="L17" s="32" t="str">
        <f>IFERROR( VALUE($H17) * INDEX(#REF!, MATCH(UPPER(TRIM($F17)),#REF!,0)), "" )</f>
        <v/>
      </c>
      <c r="N17" t="s">
        <v>9</v>
      </c>
      <c r="O17" t="s">
        <v>376</v>
      </c>
      <c r="P17" t="s">
        <v>384</v>
      </c>
      <c r="Q17" s="32">
        <v>75</v>
      </c>
      <c r="S17" s="97" t="s">
        <v>192</v>
      </c>
      <c r="T17" s="98">
        <f t="shared" si="0"/>
        <v>8.75</v>
      </c>
      <c r="U17" s="101">
        <f t="shared" si="1"/>
        <v>2287.5</v>
      </c>
      <c r="V17" s="99"/>
    </row>
    <row r="18" spans="1:23" x14ac:dyDescent="0.2">
      <c r="A18" s="21">
        <v>45785</v>
      </c>
      <c r="B18" s="28" t="s">
        <v>52</v>
      </c>
      <c r="C18" s="31" t="s">
        <v>66</v>
      </c>
      <c r="D18" s="18" t="s">
        <v>184</v>
      </c>
      <c r="E18" s="18" t="s">
        <v>357</v>
      </c>
      <c r="F18" s="18" t="s">
        <v>9</v>
      </c>
      <c r="G18" s="22" t="s">
        <v>367</v>
      </c>
      <c r="H18" s="45">
        <v>2</v>
      </c>
      <c r="I18" s="60" cm="1">
        <f t="array" ref="I18">IFERROR(
  VALUE($H18) *
  VALUE(
    _xlfn.XLOOKUP(
      TRIM($F18) &amp; "|" &amp; LEFT(SUBSTITUTE($G18,CHAR(160)," "),5) &amp; "|Full Rate",
      TRIM(SUBSTITUTE($N$2:$N$38,CHAR(160)," ")) &amp; "|" &amp;
      LEFT(SUBSTITUTE($O$2:$O$38,CHAR(160)," "),5) &amp; "|" &amp;
      TRIM(SUBSTITUTE($P$2:$P$38,CHAR(160)," ")),
      $Q$2:$Q$38
    )
  ),
"")</f>
        <v>1000</v>
      </c>
      <c r="J18" s="52" cm="1">
        <f t="array" ref="J18">IFERROR(
  VALUE($H18) *
  VALUE(
    _xlfn.XLOOKUP(
      TRIM($F18) &amp; "|" &amp; LEFT(SUBSTITUTE($G18,CHAR(160)," "),5) &amp; "|Reduced Rate",
      TRIM(SUBSTITUTE($N$2:$N$38,CHAR(160)," ")) &amp; "|" &amp;
      LEFT(SUBSTITUTE($O$2:$O$38,CHAR(160)," "),5) &amp; "|" &amp;
      TRIM(SUBSTITUTE($P$2:$P$38,CHAR(160)," ")),
      $Q$2:$Q$38
    )
  ),
"")</f>
        <v>600</v>
      </c>
      <c r="K18" s="32" cm="1">
        <f t="array" ref="K18">IFERROR(
  VALUE($H18) *
  VALUE(
    _xlfn.XLOOKUP(
      TRIM($F18) &amp; "|" &amp; LEFT(SUBSTITUTE($G18,CHAR(160)," "),5) &amp; "|Ideas Rate",
      TRIM(SUBSTITUTE($N$2:$N$38,CHAR(160)," ")) &amp; "|" &amp;
      LEFT(SUBSTITUTE($O$2:$O$38,CHAR(160)," "),5) &amp; "|" &amp;
      TRIM(SUBSTITUTE($P$2:$P$38,CHAR(160)," ")),
      $Q$2:$Q$38
    )
  ),
"")</f>
        <v>300</v>
      </c>
      <c r="L18" s="32" t="str">
        <f>IFERROR( VALUE($H18) * INDEX(#REF!, MATCH(UPPER(TRIM($F18)),#REF!,0)), "" )</f>
        <v/>
      </c>
      <c r="N18" t="s">
        <v>9</v>
      </c>
      <c r="O18" t="s">
        <v>368</v>
      </c>
      <c r="P18" t="s">
        <v>382</v>
      </c>
      <c r="Q18" s="32">
        <v>100</v>
      </c>
      <c r="S18" s="97" t="s">
        <v>184</v>
      </c>
      <c r="T18" s="98">
        <f t="shared" si="0"/>
        <v>107</v>
      </c>
      <c r="U18" s="101">
        <f t="shared" si="1"/>
        <v>38340</v>
      </c>
      <c r="V18" s="99"/>
    </row>
    <row r="19" spans="1:23" x14ac:dyDescent="0.2">
      <c r="A19" s="21">
        <v>45785</v>
      </c>
      <c r="B19" s="28" t="s">
        <v>52</v>
      </c>
      <c r="C19" s="31" t="s">
        <v>66</v>
      </c>
      <c r="D19" s="18" t="s">
        <v>184</v>
      </c>
      <c r="E19" s="18" t="s">
        <v>357</v>
      </c>
      <c r="F19" s="18" t="s">
        <v>155</v>
      </c>
      <c r="G19" s="22" t="s">
        <v>367</v>
      </c>
      <c r="H19" s="45">
        <v>2</v>
      </c>
      <c r="I19" s="60" cm="1">
        <f t="array" ref="I19">IFERROR(
  VALUE($H19) *
  VALUE(
    _xlfn.XLOOKUP(
      TRIM($F19) &amp; "|" &amp; LEFT(SUBSTITUTE($G19,CHAR(160)," "),5) &amp; "|Full Rate",
      TRIM(SUBSTITUTE($N$2:$N$38,CHAR(160)," ")) &amp; "|" &amp;
      LEFT(SUBSTITUTE($O$2:$O$38,CHAR(160)," "),5) &amp; "|" &amp;
      TRIM(SUBSTITUTE($P$2:$P$38,CHAR(160)," ")),
      $Q$2:$Q$38
    )
  ),
"")</f>
        <v>800</v>
      </c>
      <c r="J19" s="52" cm="1">
        <f t="array" ref="J19">IFERROR(
  VALUE($H19) *
  VALUE(
    _xlfn.XLOOKUP(
      TRIM($F19) &amp; "|" &amp; LEFT(SUBSTITUTE($G19,CHAR(160)," "),5) &amp; "|Reduced Rate",
      TRIM(SUBSTITUTE($N$2:$N$38,CHAR(160)," ")) &amp; "|" &amp;
      LEFT(SUBSTITUTE($O$2:$O$38,CHAR(160)," "),5) &amp; "|" &amp;
      TRIM(SUBSTITUTE($P$2:$P$38,CHAR(160)," ")),
      $Q$2:$Q$38
    )
  ),
"")</f>
        <v>400</v>
      </c>
      <c r="K19" s="32" cm="1">
        <f t="array" ref="K19">IFERROR(
  VALUE($H19) *
  VALUE(
    _xlfn.XLOOKUP(
      TRIM($F19) &amp; "|" &amp; LEFT(SUBSTITUTE($G19,CHAR(160)," "),5) &amp; "|Ideas Rate",
      TRIM(SUBSTITUTE($N$2:$N$38,CHAR(160)," ")) &amp; "|" &amp;
      LEFT(SUBSTITUTE($O$2:$O$38,CHAR(160)," "),5) &amp; "|" &amp;
      TRIM(SUBSTITUTE($P$2:$P$38,CHAR(160)," ")),
      $Q$2:$Q$38
    )
  ),
"")</f>
        <v>240</v>
      </c>
      <c r="L19" s="32" t="str">
        <f>IFERROR( VALUE($H19) * INDEX(#REF!, MATCH(UPPER(TRIM($F19)),#REF!,0)), "" )</f>
        <v/>
      </c>
      <c r="N19" t="s">
        <v>9</v>
      </c>
      <c r="O19" t="s">
        <v>368</v>
      </c>
      <c r="P19" t="s">
        <v>378</v>
      </c>
      <c r="Q19" s="32">
        <v>50</v>
      </c>
      <c r="S19" s="97" t="s">
        <v>187</v>
      </c>
      <c r="T19" s="98">
        <f t="shared" si="0"/>
        <v>77</v>
      </c>
      <c r="U19" s="101">
        <f t="shared" si="1"/>
        <v>28050</v>
      </c>
      <c r="V19" s="99"/>
    </row>
    <row r="20" spans="1:23" x14ac:dyDescent="0.2">
      <c r="A20" s="303">
        <v>45816</v>
      </c>
      <c r="B20" s="295" t="s">
        <v>52</v>
      </c>
      <c r="C20" s="307" t="s">
        <v>66</v>
      </c>
      <c r="D20" s="296" t="s">
        <v>185</v>
      </c>
      <c r="E20" s="296" t="s">
        <v>73</v>
      </c>
      <c r="F20" s="296" t="s">
        <v>155</v>
      </c>
      <c r="G20" s="297" t="s">
        <v>367</v>
      </c>
      <c r="H20" s="298">
        <v>3</v>
      </c>
      <c r="I20" s="299" cm="1">
        <f t="array" ref="I20">IFERROR(
  VALUE($H20) *
  VALUE(
    _xlfn.XLOOKUP(
      TRIM($F20) &amp; "|" &amp; LEFT(SUBSTITUTE($G20,CHAR(160)," "),5) &amp; "|Full Rate",
      TRIM(SUBSTITUTE($N$2:$N$38,CHAR(160)," ")) &amp; "|" &amp;
      LEFT(SUBSTITUTE($O$2:$O$38,CHAR(160)," "),5) &amp; "|" &amp;
      TRIM(SUBSTITUTE($P$2:$P$38,CHAR(160)," ")),
      $Q$2:$Q$38
    )
  ),
"")</f>
        <v>1200</v>
      </c>
      <c r="J20" s="300" cm="1">
        <f t="array" ref="J20">IFERROR(
  VALUE($H20) *
  VALUE(
    _xlfn.XLOOKUP(
      TRIM($F20) &amp; "|" &amp; LEFT(SUBSTITUTE($G20,CHAR(160)," "),5) &amp; "|Reduced Rate",
      TRIM(SUBSTITUTE($N$2:$N$38,CHAR(160)," ")) &amp; "|" &amp;
      LEFT(SUBSTITUTE($O$2:$O$38,CHAR(160)," "),5) &amp; "|" &amp;
      TRIM(SUBSTITUTE($P$2:$P$38,CHAR(160)," ")),
      $Q$2:$Q$38
    )
  ),
"")</f>
        <v>600</v>
      </c>
      <c r="K20" s="301" cm="1">
        <f t="array" ref="K20">IFERROR(
  VALUE($H20) *
  VALUE(
    _xlfn.XLOOKUP(
      TRIM($F20) &amp; "|" &amp; LEFT(SUBSTITUTE($G20,CHAR(160)," "),5) &amp; "|Ideas Rate",
      TRIM(SUBSTITUTE($N$2:$N$38,CHAR(160)," ")) &amp; "|" &amp;
      LEFT(SUBSTITUTE($O$2:$O$38,CHAR(160)," "),5) &amp; "|" &amp;
      TRIM(SUBSTITUTE($P$2:$P$38,CHAR(160)," ")),
      $Q$2:$Q$38
    )
  ),
"")</f>
        <v>360</v>
      </c>
      <c r="L20" s="32" t="str">
        <f>IFERROR( VALUE($H20) * INDEX(#REF!, MATCH(UPPER(TRIM($F20)),#REF!,0)), "" )</f>
        <v/>
      </c>
      <c r="N20" t="s">
        <v>9</v>
      </c>
      <c r="O20" t="s">
        <v>368</v>
      </c>
      <c r="P20" t="s">
        <v>384</v>
      </c>
      <c r="Q20" s="32">
        <v>30</v>
      </c>
      <c r="S20" s="97" t="s">
        <v>323</v>
      </c>
      <c r="T20" s="98">
        <f t="shared" si="0"/>
        <v>28.5</v>
      </c>
      <c r="U20" s="101">
        <f t="shared" si="1"/>
        <v>2850</v>
      </c>
      <c r="V20" s="99"/>
    </row>
    <row r="21" spans="1:23" ht="17" x14ac:dyDescent="0.2">
      <c r="A21" s="303">
        <v>45846</v>
      </c>
      <c r="B21" s="295" t="s">
        <v>52</v>
      </c>
      <c r="C21" s="307" t="s">
        <v>66</v>
      </c>
      <c r="D21" s="296" t="s">
        <v>185</v>
      </c>
      <c r="E21" s="296" t="s">
        <v>74</v>
      </c>
      <c r="F21" s="296" t="s">
        <v>155</v>
      </c>
      <c r="G21" s="297" t="s">
        <v>367</v>
      </c>
      <c r="H21" s="298">
        <v>7</v>
      </c>
      <c r="I21" s="299" cm="1">
        <f t="array" ref="I21">IFERROR(
  VALUE($H21) *
  VALUE(
    _xlfn.XLOOKUP(
      TRIM($F21) &amp; "|" &amp; LEFT(SUBSTITUTE($G21,CHAR(160)," "),5) &amp; "|Full Rate",
      TRIM(SUBSTITUTE($N$2:$N$38,CHAR(160)," ")) &amp; "|" &amp;
      LEFT(SUBSTITUTE($O$2:$O$38,CHAR(160)," "),5) &amp; "|" &amp;
      TRIM(SUBSTITUTE($P$2:$P$38,CHAR(160)," ")),
      $Q$2:$Q$38
    )
  ),
"")</f>
        <v>2800</v>
      </c>
      <c r="J21" s="300" cm="1">
        <f t="array" ref="J21">IFERROR(
  VALUE($H21) *
  VALUE(
    _xlfn.XLOOKUP(
      TRIM($F21) &amp; "|" &amp; LEFT(SUBSTITUTE($G21,CHAR(160)," "),5) &amp; "|Reduced Rate",
      TRIM(SUBSTITUTE($N$2:$N$38,CHAR(160)," ")) &amp; "|" &amp;
      LEFT(SUBSTITUTE($O$2:$O$38,CHAR(160)," "),5) &amp; "|" &amp;
      TRIM(SUBSTITUTE($P$2:$P$38,CHAR(160)," ")),
      $Q$2:$Q$38
    )
  ),
"")</f>
        <v>1400</v>
      </c>
      <c r="K21" s="301" cm="1">
        <f t="array" ref="K21">IFERROR(
  VALUE($H21) *
  VALUE(
    _xlfn.XLOOKUP(
      TRIM($F21) &amp; "|" &amp; LEFT(SUBSTITUTE($G21,CHAR(160)," "),5) &amp; "|Ideas Rate",
      TRIM(SUBSTITUTE($N$2:$N$38,CHAR(160)," ")) &amp; "|" &amp;
      LEFT(SUBSTITUTE($O$2:$O$38,CHAR(160)," "),5) &amp; "|" &amp;
      TRIM(SUBSTITUTE($P$2:$P$38,CHAR(160)," ")),
      $Q$2:$Q$38
    )
  ),
"")</f>
        <v>840</v>
      </c>
      <c r="L21" s="32" t="str">
        <f>IFERROR( VALUE($H21) * INDEX(#REF!, MATCH(UPPER(TRIM($F21)),#REF!,0)), "" )</f>
        <v/>
      </c>
      <c r="N21" s="56" t="s">
        <v>155</v>
      </c>
      <c r="O21" s="56" t="s">
        <v>375</v>
      </c>
      <c r="P21" t="s">
        <v>382</v>
      </c>
      <c r="Q21" s="57">
        <v>400</v>
      </c>
      <c r="S21" s="97" t="s">
        <v>324</v>
      </c>
      <c r="T21" s="98">
        <f t="shared" si="0"/>
        <v>11.5</v>
      </c>
      <c r="U21" s="101">
        <f t="shared" si="1"/>
        <v>5750</v>
      </c>
      <c r="V21" s="99"/>
      <c r="W21" s="308"/>
    </row>
    <row r="22" spans="1:23" x14ac:dyDescent="0.2">
      <c r="A22" s="303">
        <v>45877</v>
      </c>
      <c r="B22" s="295" t="s">
        <v>52</v>
      </c>
      <c r="C22" s="307" t="s">
        <v>66</v>
      </c>
      <c r="D22" s="296" t="s">
        <v>185</v>
      </c>
      <c r="E22" s="296" t="s">
        <v>75</v>
      </c>
      <c r="F22" s="296" t="s">
        <v>155</v>
      </c>
      <c r="G22" s="297" t="s">
        <v>367</v>
      </c>
      <c r="H22" s="298">
        <v>7</v>
      </c>
      <c r="I22" s="299" cm="1">
        <f t="array" ref="I22">IFERROR(
  VALUE($H22) *
  VALUE(
    _xlfn.XLOOKUP(
      TRIM($F22) &amp; "|" &amp; LEFT(SUBSTITUTE($G22,CHAR(160)," "),5) &amp; "|Full Rate",
      TRIM(SUBSTITUTE($N$2:$N$38,CHAR(160)," ")) &amp; "|" &amp;
      LEFT(SUBSTITUTE($O$2:$O$38,CHAR(160)," "),5) &amp; "|" &amp;
      TRIM(SUBSTITUTE($P$2:$P$38,CHAR(160)," ")),
      $Q$2:$Q$38
    )
  ),
"")</f>
        <v>2800</v>
      </c>
      <c r="J22" s="300" cm="1">
        <f t="array" ref="J22">IFERROR(
  VALUE($H22) *
  VALUE(
    _xlfn.XLOOKUP(
      TRIM($F22) &amp; "|" &amp; LEFT(SUBSTITUTE($G22,CHAR(160)," "),5) &amp; "|Reduced Rate",
      TRIM(SUBSTITUTE($N$2:$N$38,CHAR(160)," ")) &amp; "|" &amp;
      LEFT(SUBSTITUTE($O$2:$O$38,CHAR(160)," "),5) &amp; "|" &amp;
      TRIM(SUBSTITUTE($P$2:$P$38,CHAR(160)," ")),
      $Q$2:$Q$38
    )
  ),
"")</f>
        <v>1400</v>
      </c>
      <c r="K22" s="301" cm="1">
        <f t="array" ref="K22">IFERROR(
  VALUE($H22) *
  VALUE(
    _xlfn.XLOOKUP(
      TRIM($F22) &amp; "|" &amp; LEFT(SUBSTITUTE($G22,CHAR(160)," "),5) &amp; "|Ideas Rate",
      TRIM(SUBSTITUTE($N$2:$N$38,CHAR(160)," ")) &amp; "|" &amp;
      LEFT(SUBSTITUTE($O$2:$O$38,CHAR(160)," "),5) &amp; "|" &amp;
      TRIM(SUBSTITUTE($P$2:$P$38,CHAR(160)," ")),
      $Q$2:$Q$38
    )
  ),
"")</f>
        <v>840</v>
      </c>
      <c r="L22" s="32" t="str">
        <f>IFERROR( VALUE($H22) * INDEX(#REF!, MATCH(UPPER(TRIM($F22)),#REF!,0)), "" )</f>
        <v/>
      </c>
      <c r="N22" t="s">
        <v>155</v>
      </c>
      <c r="O22" t="s">
        <v>375</v>
      </c>
      <c r="P22" t="s">
        <v>383</v>
      </c>
      <c r="Q22" s="32">
        <v>200</v>
      </c>
    </row>
    <row r="23" spans="1:23" x14ac:dyDescent="0.2">
      <c r="A23" s="303">
        <v>45880</v>
      </c>
      <c r="B23" s="295" t="s">
        <v>52</v>
      </c>
      <c r="C23" s="307" t="s">
        <v>66</v>
      </c>
      <c r="D23" s="296" t="s">
        <v>185</v>
      </c>
      <c r="E23" s="296" t="s">
        <v>76</v>
      </c>
      <c r="F23" s="296" t="s">
        <v>155</v>
      </c>
      <c r="G23" s="297" t="s">
        <v>367</v>
      </c>
      <c r="H23" s="298">
        <v>5</v>
      </c>
      <c r="I23" s="299" cm="1">
        <f t="array" ref="I23">IFERROR(
  VALUE($H23) *
  VALUE(
    _xlfn.XLOOKUP(
      TRIM($F23) &amp; "|" &amp; LEFT(SUBSTITUTE($G23,CHAR(160)," "),5) &amp; "|Full Rate",
      TRIM(SUBSTITUTE($N$2:$N$38,CHAR(160)," ")) &amp; "|" &amp;
      LEFT(SUBSTITUTE($O$2:$O$38,CHAR(160)," "),5) &amp; "|" &amp;
      TRIM(SUBSTITUTE($P$2:$P$38,CHAR(160)," ")),
      $Q$2:$Q$38
    )
  ),
"")</f>
        <v>2000</v>
      </c>
      <c r="J23" s="300" cm="1">
        <f t="array" ref="J23">IFERROR(
  VALUE($H23) *
  VALUE(
    _xlfn.XLOOKUP(
      TRIM($F23) &amp; "|" &amp; LEFT(SUBSTITUTE($G23,CHAR(160)," "),5) &amp; "|Reduced Rate",
      TRIM(SUBSTITUTE($N$2:$N$38,CHAR(160)," ")) &amp; "|" &amp;
      LEFT(SUBSTITUTE($O$2:$O$38,CHAR(160)," "),5) &amp; "|" &amp;
      TRIM(SUBSTITUTE($P$2:$P$38,CHAR(160)," ")),
      $Q$2:$Q$38
    )
  ),
"")</f>
        <v>1000</v>
      </c>
      <c r="K23" s="301" cm="1">
        <f t="array" ref="K23">IFERROR(
  VALUE($H23) *
  VALUE(
    _xlfn.XLOOKUP(
      TRIM($F23) &amp; "|" &amp; LEFT(SUBSTITUTE($G23,CHAR(160)," "),5) &amp; "|Ideas Rate",
      TRIM(SUBSTITUTE($N$2:$N$38,CHAR(160)," ")) &amp; "|" &amp;
      LEFT(SUBSTITUTE($O$2:$O$38,CHAR(160)," "),5) &amp; "|" &amp;
      TRIM(SUBSTITUTE($P$2:$P$38,CHAR(160)," ")),
      $Q$2:$Q$38
    )
  ),
"")</f>
        <v>600</v>
      </c>
      <c r="L23" s="32" t="str">
        <f>IFERROR( VALUE($H23) * INDEX(#REF!, MATCH(UPPER(TRIM($F23)),#REF!,0)), "" )</f>
        <v/>
      </c>
      <c r="N23" t="s">
        <v>155</v>
      </c>
      <c r="O23" t="s">
        <v>375</v>
      </c>
      <c r="P23" t="s">
        <v>384</v>
      </c>
      <c r="Q23" s="32">
        <v>120</v>
      </c>
    </row>
    <row r="24" spans="1:23" x14ac:dyDescent="0.2">
      <c r="A24" s="21">
        <v>45880</v>
      </c>
      <c r="B24" s="28" t="s">
        <v>52</v>
      </c>
      <c r="C24" s="31" t="s">
        <v>66</v>
      </c>
      <c r="D24" s="18" t="s">
        <v>172</v>
      </c>
      <c r="E24" s="18" t="s">
        <v>77</v>
      </c>
      <c r="F24" s="18" t="s">
        <v>155</v>
      </c>
      <c r="G24" s="22" t="s">
        <v>380</v>
      </c>
      <c r="H24" s="45">
        <v>0.5</v>
      </c>
      <c r="I24" s="60" cm="1">
        <f t="array" ref="I24">IFERROR(
  VALUE($H24) *
  VALUE(
    _xlfn.XLOOKUP(
      TRIM($F24) &amp; "|" &amp; LEFT(SUBSTITUTE($G24,CHAR(160)," "),5) &amp; "|Full Rate",
      TRIM(SUBSTITUTE($N$2:$N$38,CHAR(160)," ")) &amp; "|" &amp;
      LEFT(SUBSTITUTE($O$2:$O$38,CHAR(160)," "),5) &amp; "|" &amp;
      TRIM(SUBSTITUTE($P$2:$P$38,CHAR(160)," ")),
      $Q$2:$Q$38
    )
  ),
"")</f>
        <v>130</v>
      </c>
      <c r="J24" s="52" cm="1">
        <f t="array" ref="J24">IFERROR(
  VALUE($H24) *
  VALUE(
    _xlfn.XLOOKUP(
      TRIM($F24) &amp; "|" &amp; LEFT(SUBSTITUTE($G24,CHAR(160)," "),5) &amp; "|Reduced Rate",
      TRIM(SUBSTITUTE($N$2:$N$38,CHAR(160)," ")) &amp; "|" &amp;
      LEFT(SUBSTITUTE($O$2:$O$38,CHAR(160)," "),5) &amp; "|" &amp;
      TRIM(SUBSTITUTE($P$2:$P$38,CHAR(160)," ")),
      $Q$2:$Q$38
    )
  ),
"")</f>
        <v>60</v>
      </c>
      <c r="K24" s="32" cm="1">
        <f t="array" ref="K24">IFERROR(
  VALUE($H24) *
  VALUE(
    _xlfn.XLOOKUP(
      TRIM($F24) &amp; "|" &amp; LEFT(SUBSTITUTE($G24,CHAR(160)," "),5) &amp; "|Ideas Rate",
      TRIM(SUBSTITUTE($N$2:$N$38,CHAR(160)," ")) &amp; "|" &amp;
      LEFT(SUBSTITUTE($O$2:$O$38,CHAR(160)," "),5) &amp; "|" &amp;
      TRIM(SUBSTITUTE($P$2:$P$38,CHAR(160)," ")),
      $Q$2:$Q$38
    )
  ),
"")</f>
        <v>45</v>
      </c>
      <c r="L24" s="32" t="str">
        <f>IFERROR( VALUE($H24) * INDEX(#REF!, MATCH(UPPER(TRIM($F24)),#REF!,0)), "" )</f>
        <v/>
      </c>
      <c r="N24" t="s">
        <v>155</v>
      </c>
      <c r="O24" t="s">
        <v>376</v>
      </c>
      <c r="P24" t="s">
        <v>382</v>
      </c>
      <c r="Q24" s="32">
        <v>260</v>
      </c>
    </row>
    <row r="25" spans="1:23" x14ac:dyDescent="0.2">
      <c r="A25" s="303">
        <v>45883</v>
      </c>
      <c r="B25" s="295" t="s">
        <v>52</v>
      </c>
      <c r="C25" s="307" t="s">
        <v>66</v>
      </c>
      <c r="D25" s="296" t="s">
        <v>185</v>
      </c>
      <c r="E25" s="296" t="s">
        <v>78</v>
      </c>
      <c r="F25" s="296" t="s">
        <v>155</v>
      </c>
      <c r="G25" s="297" t="s">
        <v>367</v>
      </c>
      <c r="H25" s="298">
        <v>5</v>
      </c>
      <c r="I25" s="299" cm="1">
        <f t="array" ref="I25">IFERROR(
  VALUE($H25) *
  VALUE(
    _xlfn.XLOOKUP(
      TRIM($F25) &amp; "|" &amp; LEFT(SUBSTITUTE($G25,CHAR(160)," "),5) &amp; "|Full Rate",
      TRIM(SUBSTITUTE($N$2:$N$38,CHAR(160)," ")) &amp; "|" &amp;
      LEFT(SUBSTITUTE($O$2:$O$38,CHAR(160)," "),5) &amp; "|" &amp;
      TRIM(SUBSTITUTE($P$2:$P$38,CHAR(160)," ")),
      $Q$2:$Q$38
    )
  ),
"")</f>
        <v>2000</v>
      </c>
      <c r="J25" s="300" cm="1">
        <f t="array" ref="J25">IFERROR(
  VALUE($H25) *
  VALUE(
    _xlfn.XLOOKUP(
      TRIM($F25) &amp; "|" &amp; LEFT(SUBSTITUTE($G25,CHAR(160)," "),5) &amp; "|Reduced Rate",
      TRIM(SUBSTITUTE($N$2:$N$38,CHAR(160)," ")) &amp; "|" &amp;
      LEFT(SUBSTITUTE($O$2:$O$38,CHAR(160)," "),5) &amp; "|" &amp;
      TRIM(SUBSTITUTE($P$2:$P$38,CHAR(160)," ")),
      $Q$2:$Q$38
    )
  ),
"")</f>
        <v>1000</v>
      </c>
      <c r="K25" s="301" cm="1">
        <f t="array" ref="K25">IFERROR(
  VALUE($H25) *
  VALUE(
    _xlfn.XLOOKUP(
      TRIM($F25) &amp; "|" &amp; LEFT(SUBSTITUTE($G25,CHAR(160)," "),5) &amp; "|Ideas Rate",
      TRIM(SUBSTITUTE($N$2:$N$38,CHAR(160)," ")) &amp; "|" &amp;
      LEFT(SUBSTITUTE($O$2:$O$38,CHAR(160)," "),5) &amp; "|" &amp;
      TRIM(SUBSTITUTE($P$2:$P$38,CHAR(160)," ")),
      $Q$2:$Q$38
    )
  ),
"")</f>
        <v>600</v>
      </c>
      <c r="L25" s="32" t="str">
        <f>IFERROR( VALUE($H25) * INDEX(#REF!, MATCH(UPPER(TRIM($F25)),#REF!,0)), "" )</f>
        <v/>
      </c>
      <c r="N25" t="s">
        <v>155</v>
      </c>
      <c r="O25" t="s">
        <v>376</v>
      </c>
      <c r="P25" t="s">
        <v>383</v>
      </c>
      <c r="Q25" s="32">
        <v>120</v>
      </c>
    </row>
    <row r="26" spans="1:23" x14ac:dyDescent="0.2">
      <c r="A26" s="303">
        <v>45883</v>
      </c>
      <c r="B26" s="295" t="s">
        <v>52</v>
      </c>
      <c r="C26" s="307" t="s">
        <v>66</v>
      </c>
      <c r="D26" s="296" t="s">
        <v>172</v>
      </c>
      <c r="E26" s="296" t="s">
        <v>79</v>
      </c>
      <c r="F26" s="296" t="s">
        <v>155</v>
      </c>
      <c r="G26" s="297" t="s">
        <v>380</v>
      </c>
      <c r="H26" s="298">
        <v>1</v>
      </c>
      <c r="I26" s="299" cm="1">
        <f t="array" ref="I26">IFERROR(
  VALUE($H26) *
  VALUE(
    _xlfn.XLOOKUP(
      TRIM($F26) &amp; "|" &amp; LEFT(SUBSTITUTE($G26,CHAR(160)," "),5) &amp; "|Full Rate",
      TRIM(SUBSTITUTE($N$2:$N$38,CHAR(160)," ")) &amp; "|" &amp;
      LEFT(SUBSTITUTE($O$2:$O$38,CHAR(160)," "),5) &amp; "|" &amp;
      TRIM(SUBSTITUTE($P$2:$P$38,CHAR(160)," ")),
      $Q$2:$Q$38
    )
  ),
"")</f>
        <v>260</v>
      </c>
      <c r="J26" s="300" cm="1">
        <f t="array" ref="J26">IFERROR(
  VALUE($H26) *
  VALUE(
    _xlfn.XLOOKUP(
      TRIM($F26) &amp; "|" &amp; LEFT(SUBSTITUTE($G26,CHAR(160)," "),5) &amp; "|Reduced Rate",
      TRIM(SUBSTITUTE($N$2:$N$38,CHAR(160)," ")) &amp; "|" &amp;
      LEFT(SUBSTITUTE($O$2:$O$38,CHAR(160)," "),5) &amp; "|" &amp;
      TRIM(SUBSTITUTE($P$2:$P$38,CHAR(160)," ")),
      $Q$2:$Q$38
    )
  ),
"")</f>
        <v>120</v>
      </c>
      <c r="K26" s="301" cm="1">
        <f t="array" ref="K26">IFERROR(
  VALUE($H26) *
  VALUE(
    _xlfn.XLOOKUP(
      TRIM($F26) &amp; "|" &amp; LEFT(SUBSTITUTE($G26,CHAR(160)," "),5) &amp; "|Ideas Rate",
      TRIM(SUBSTITUTE($N$2:$N$38,CHAR(160)," ")) &amp; "|" &amp;
      LEFT(SUBSTITUTE($O$2:$O$38,CHAR(160)," "),5) &amp; "|" &amp;
      TRIM(SUBSTITUTE($P$2:$P$38,CHAR(160)," ")),
      $Q$2:$Q$38
    )
  ),
"")</f>
        <v>90</v>
      </c>
      <c r="L26" s="32" t="str">
        <f>IFERROR( VALUE($H26) * INDEX(#REF!, MATCH(UPPER(TRIM($F26)),#REF!,0)), "" )</f>
        <v/>
      </c>
      <c r="N26" t="s">
        <v>155</v>
      </c>
      <c r="O26" t="s">
        <v>376</v>
      </c>
      <c r="P26" t="s">
        <v>384</v>
      </c>
      <c r="Q26" s="32">
        <v>90</v>
      </c>
    </row>
    <row r="27" spans="1:23" x14ac:dyDescent="0.2">
      <c r="A27" s="303">
        <v>45884</v>
      </c>
      <c r="B27" s="295" t="s">
        <v>52</v>
      </c>
      <c r="C27" s="307" t="s">
        <v>66</v>
      </c>
      <c r="D27" s="296" t="s">
        <v>185</v>
      </c>
      <c r="E27" s="296" t="s">
        <v>74</v>
      </c>
      <c r="F27" s="296" t="s">
        <v>155</v>
      </c>
      <c r="G27" s="297" t="s">
        <v>367</v>
      </c>
      <c r="H27" s="298">
        <v>6</v>
      </c>
      <c r="I27" s="299" cm="1">
        <f t="array" ref="I27">IFERROR(
  VALUE($H27) *
  VALUE(
    _xlfn.XLOOKUP(
      TRIM($F27) &amp; "|" &amp; LEFT(SUBSTITUTE($G27,CHAR(160)," "),5) &amp; "|Full Rate",
      TRIM(SUBSTITUTE($N$2:$N$38,CHAR(160)," ")) &amp; "|" &amp;
      LEFT(SUBSTITUTE($O$2:$O$38,CHAR(160)," "),5) &amp; "|" &amp;
      TRIM(SUBSTITUTE($P$2:$P$38,CHAR(160)," ")),
      $Q$2:$Q$38
    )
  ),
"")</f>
        <v>2400</v>
      </c>
      <c r="J27" s="300" cm="1">
        <f t="array" ref="J27">IFERROR(
  VALUE($H27) *
  VALUE(
    _xlfn.XLOOKUP(
      TRIM($F27) &amp; "|" &amp; LEFT(SUBSTITUTE($G27,CHAR(160)," "),5) &amp; "|Reduced Rate",
      TRIM(SUBSTITUTE($N$2:$N$38,CHAR(160)," ")) &amp; "|" &amp;
      LEFT(SUBSTITUTE($O$2:$O$38,CHAR(160)," "),5) &amp; "|" &amp;
      TRIM(SUBSTITUTE($P$2:$P$38,CHAR(160)," ")),
      $Q$2:$Q$38
    )
  ),
"")</f>
        <v>1200</v>
      </c>
      <c r="K27" s="301" cm="1">
        <f t="array" ref="K27">IFERROR(
  VALUE($H27) *
  VALUE(
    _xlfn.XLOOKUP(
      TRIM($F27) &amp; "|" &amp; LEFT(SUBSTITUTE($G27,CHAR(160)," "),5) &amp; "|Ideas Rate",
      TRIM(SUBSTITUTE($N$2:$N$38,CHAR(160)," ")) &amp; "|" &amp;
      LEFT(SUBSTITUTE($O$2:$O$38,CHAR(160)," "),5) &amp; "|" &amp;
      TRIM(SUBSTITUTE($P$2:$P$38,CHAR(160)," ")),
      $Q$2:$Q$38
    )
  ),
"")</f>
        <v>720</v>
      </c>
      <c r="L27" s="32" t="str">
        <f>IFERROR( VALUE($H27) * INDEX(#REF!, MATCH(UPPER(TRIM($F27)),#REF!,0)), "" )</f>
        <v/>
      </c>
      <c r="N27" t="s">
        <v>155</v>
      </c>
      <c r="O27" t="s">
        <v>368</v>
      </c>
      <c r="P27" t="s">
        <v>382</v>
      </c>
      <c r="Q27" s="32">
        <v>100</v>
      </c>
    </row>
    <row r="28" spans="1:23" x14ac:dyDescent="0.2">
      <c r="A28" s="303">
        <v>45887</v>
      </c>
      <c r="B28" s="295" t="s">
        <v>52</v>
      </c>
      <c r="C28" s="307" t="s">
        <v>66</v>
      </c>
      <c r="D28" s="296" t="s">
        <v>172</v>
      </c>
      <c r="E28" s="296" t="s">
        <v>80</v>
      </c>
      <c r="F28" s="296" t="s">
        <v>155</v>
      </c>
      <c r="G28" s="297" t="s">
        <v>380</v>
      </c>
      <c r="H28" s="298">
        <v>0.5</v>
      </c>
      <c r="I28" s="299" cm="1">
        <f t="array" ref="I28">IFERROR(
  VALUE($H28) *
  VALUE(
    _xlfn.XLOOKUP(
      TRIM($F28) &amp; "|" &amp; LEFT(SUBSTITUTE($G28,CHAR(160)," "),5) &amp; "|Full Rate",
      TRIM(SUBSTITUTE($N$2:$N$38,CHAR(160)," ")) &amp; "|" &amp;
      LEFT(SUBSTITUTE($O$2:$O$38,CHAR(160)," "),5) &amp; "|" &amp;
      TRIM(SUBSTITUTE($P$2:$P$38,CHAR(160)," ")),
      $Q$2:$Q$38
    )
  ),
"")</f>
        <v>130</v>
      </c>
      <c r="J28" s="300" cm="1">
        <f t="array" ref="J28">IFERROR(
  VALUE($H28) *
  VALUE(
    _xlfn.XLOOKUP(
      TRIM($F28) &amp; "|" &amp; LEFT(SUBSTITUTE($G28,CHAR(160)," "),5) &amp; "|Reduced Rate",
      TRIM(SUBSTITUTE($N$2:$N$38,CHAR(160)," ")) &amp; "|" &amp;
      LEFT(SUBSTITUTE($O$2:$O$38,CHAR(160)," "),5) &amp; "|" &amp;
      TRIM(SUBSTITUTE($P$2:$P$38,CHAR(160)," ")),
      $Q$2:$Q$38
    )
  ),
"")</f>
        <v>60</v>
      </c>
      <c r="K28" s="301" cm="1">
        <f t="array" ref="K28">IFERROR(
  VALUE($H28) *
  VALUE(
    _xlfn.XLOOKUP(
      TRIM($F28) &amp; "|" &amp; LEFT(SUBSTITUTE($G28,CHAR(160)," "),5) &amp; "|Ideas Rate",
      TRIM(SUBSTITUTE($N$2:$N$38,CHAR(160)," ")) &amp; "|" &amp;
      LEFT(SUBSTITUTE($O$2:$O$38,CHAR(160)," "),5) &amp; "|" &amp;
      TRIM(SUBSTITUTE($P$2:$P$38,CHAR(160)," ")),
      $Q$2:$Q$38
    )
  ),
"")</f>
        <v>45</v>
      </c>
      <c r="L28" s="32" t="str">
        <f>IFERROR( VALUE($H28) * INDEX(#REF!, MATCH(UPPER(TRIM($F28)),#REF!,0)), "" )</f>
        <v/>
      </c>
      <c r="N28" t="s">
        <v>155</v>
      </c>
      <c r="O28" t="s">
        <v>368</v>
      </c>
      <c r="P28" t="s">
        <v>383</v>
      </c>
      <c r="Q28" s="32">
        <v>50</v>
      </c>
    </row>
    <row r="29" spans="1:23" x14ac:dyDescent="0.2">
      <c r="A29" s="303">
        <v>45887</v>
      </c>
      <c r="B29" s="295" t="s">
        <v>52</v>
      </c>
      <c r="C29" s="307" t="s">
        <v>66</v>
      </c>
      <c r="D29" s="296" t="s">
        <v>172</v>
      </c>
      <c r="E29" s="296" t="s">
        <v>80</v>
      </c>
      <c r="F29" s="296" t="s">
        <v>10</v>
      </c>
      <c r="G29" s="297" t="s">
        <v>367</v>
      </c>
      <c r="H29" s="298">
        <v>1</v>
      </c>
      <c r="I29" s="299" cm="1">
        <f t="array" ref="I29">IFERROR(
  VALUE($H29) *
  VALUE(
    _xlfn.XLOOKUP(
      TRIM($F29) &amp; "|" &amp; LEFT(SUBSTITUTE($G29,CHAR(160)," "),5) &amp; "|Full Rate",
      TRIM(SUBSTITUTE($N$2:$N$38,CHAR(160)," ")) &amp; "|" &amp;
      LEFT(SUBSTITUTE($O$2:$O$38,CHAR(160)," "),5) &amp; "|" &amp;
      TRIM(SUBSTITUTE($P$2:$P$38,CHAR(160)," ")),
      $Q$2:$Q$38
    )
  ),
"")</f>
        <v>500</v>
      </c>
      <c r="J29" s="300" cm="1">
        <f t="array" ref="J29">IFERROR(
  VALUE($H29) *
  VALUE(
    _xlfn.XLOOKUP(
      TRIM($F29) &amp; "|" &amp; LEFT(SUBSTITUTE($G29,CHAR(160)," "),5) &amp; "|Reduced Rate",
      TRIM(SUBSTITUTE($N$2:$N$38,CHAR(160)," ")) &amp; "|" &amp;
      LEFT(SUBSTITUTE($O$2:$O$38,CHAR(160)," "),5) &amp; "|" &amp;
      TRIM(SUBSTITUTE($P$2:$P$38,CHAR(160)," ")),
      $Q$2:$Q$38
    )
  ),
"")</f>
        <v>300</v>
      </c>
      <c r="K29" s="301" cm="1">
        <f t="array" ref="K29">IFERROR(
  VALUE($H29) *
  VALUE(
    _xlfn.XLOOKUP(
      TRIM($F29) &amp; "|" &amp; LEFT(SUBSTITUTE($G29,CHAR(160)," "),5) &amp; "|Ideas Rate",
      TRIM(SUBSTITUTE($N$2:$N$38,CHAR(160)," ")) &amp; "|" &amp;
      LEFT(SUBSTITUTE($O$2:$O$38,CHAR(160)," "),5) &amp; "|" &amp;
      TRIM(SUBSTITUTE($P$2:$P$38,CHAR(160)," ")),
      $Q$2:$Q$38
    )
  ),
"")</f>
        <v>150</v>
      </c>
      <c r="L29" s="32" t="str">
        <f>IFERROR( VALUE($H29) * INDEX(#REF!, MATCH(UPPER(TRIM($F29)),#REF!,0)), "" )</f>
        <v/>
      </c>
      <c r="N29" t="s">
        <v>155</v>
      </c>
      <c r="O29" t="s">
        <v>368</v>
      </c>
      <c r="P29" t="s">
        <v>384</v>
      </c>
      <c r="Q29" s="32">
        <v>30</v>
      </c>
    </row>
    <row r="30" spans="1:23" x14ac:dyDescent="0.2">
      <c r="A30" s="303">
        <v>45887</v>
      </c>
      <c r="B30" s="295" t="s">
        <v>52</v>
      </c>
      <c r="C30" s="307" t="s">
        <v>66</v>
      </c>
      <c r="D30" s="296" t="s">
        <v>81</v>
      </c>
      <c r="E30" s="296" t="s">
        <v>81</v>
      </c>
      <c r="F30" s="296" t="s">
        <v>155</v>
      </c>
      <c r="G30" s="297" t="s">
        <v>367</v>
      </c>
      <c r="H30" s="298">
        <v>2</v>
      </c>
      <c r="I30" s="299" cm="1">
        <f t="array" ref="I30">IFERROR(
  VALUE($H30) *
  VALUE(
    _xlfn.XLOOKUP(
      TRIM($F30) &amp; "|" &amp; LEFT(SUBSTITUTE($G30,CHAR(160)," "),5) &amp; "|Full Rate",
      TRIM(SUBSTITUTE($N$2:$N$38,CHAR(160)," ")) &amp; "|" &amp;
      LEFT(SUBSTITUTE($O$2:$O$38,CHAR(160)," "),5) &amp; "|" &amp;
      TRIM(SUBSTITUTE($P$2:$P$38,CHAR(160)," ")),
      $Q$2:$Q$38
    )
  ),
"")</f>
        <v>800</v>
      </c>
      <c r="J30" s="300" cm="1">
        <f t="array" ref="J30">IFERROR(
  VALUE($H30) *
  VALUE(
    _xlfn.XLOOKUP(
      TRIM($F30) &amp; "|" &amp; LEFT(SUBSTITUTE($G30,CHAR(160)," "),5) &amp; "|Reduced Rate",
      TRIM(SUBSTITUTE($N$2:$N$38,CHAR(160)," ")) &amp; "|" &amp;
      LEFT(SUBSTITUTE($O$2:$O$38,CHAR(160)," "),5) &amp; "|" &amp;
      TRIM(SUBSTITUTE($P$2:$P$38,CHAR(160)," ")),
      $Q$2:$Q$38
    )
  ),
"")</f>
        <v>400</v>
      </c>
      <c r="K30" s="301" cm="1">
        <f t="array" ref="K30">IFERROR(
  VALUE($H30) *
  VALUE(
    _xlfn.XLOOKUP(
      TRIM($F30) &amp; "|" &amp; LEFT(SUBSTITUTE($G30,CHAR(160)," "),5) &amp; "|Ideas Rate",
      TRIM(SUBSTITUTE($N$2:$N$38,CHAR(160)," ")) &amp; "|" &amp;
      LEFT(SUBSTITUTE($O$2:$O$38,CHAR(160)," "),5) &amp; "|" &amp;
      TRIM(SUBSTITUTE($P$2:$P$38,CHAR(160)," ")),
      $Q$2:$Q$38
    )
  ),
"")</f>
        <v>240</v>
      </c>
      <c r="L30" s="32" t="str">
        <f>IFERROR( VALUE($H30) * INDEX(#REF!, MATCH(UPPER(TRIM($F30)),#REF!,0)), "" )</f>
        <v/>
      </c>
      <c r="N30" s="56" t="s">
        <v>156</v>
      </c>
      <c r="O30" s="56" t="s">
        <v>375</v>
      </c>
      <c r="P30" t="s">
        <v>382</v>
      </c>
      <c r="Q30" s="57">
        <v>325</v>
      </c>
    </row>
    <row r="31" spans="1:23" x14ac:dyDescent="0.2">
      <c r="A31" s="303">
        <v>45887</v>
      </c>
      <c r="B31" s="295" t="s">
        <v>52</v>
      </c>
      <c r="C31" s="307" t="s">
        <v>66</v>
      </c>
      <c r="D31" s="296" t="s">
        <v>172</v>
      </c>
      <c r="E31" s="296" t="s">
        <v>82</v>
      </c>
      <c r="F31" s="296" t="s">
        <v>155</v>
      </c>
      <c r="G31" s="297" t="s">
        <v>380</v>
      </c>
      <c r="H31" s="298">
        <v>1</v>
      </c>
      <c r="I31" s="299" cm="1">
        <f t="array" ref="I31">IFERROR(
  VALUE($H31) *
  VALUE(
    _xlfn.XLOOKUP(
      TRIM($F31) &amp; "|" &amp; LEFT(SUBSTITUTE($G31,CHAR(160)," "),5) &amp; "|Full Rate",
      TRIM(SUBSTITUTE($N$2:$N$38,CHAR(160)," ")) &amp; "|" &amp;
      LEFT(SUBSTITUTE($O$2:$O$38,CHAR(160)," "),5) &amp; "|" &amp;
      TRIM(SUBSTITUTE($P$2:$P$38,CHAR(160)," ")),
      $Q$2:$Q$38
    )
  ),
"")</f>
        <v>260</v>
      </c>
      <c r="J31" s="300" cm="1">
        <f t="array" ref="J31">IFERROR(
  VALUE($H31) *
  VALUE(
    _xlfn.XLOOKUP(
      TRIM($F31) &amp; "|" &amp; LEFT(SUBSTITUTE($G31,CHAR(160)," "),5) &amp; "|Reduced Rate",
      TRIM(SUBSTITUTE($N$2:$N$38,CHAR(160)," ")) &amp; "|" &amp;
      LEFT(SUBSTITUTE($O$2:$O$38,CHAR(160)," "),5) &amp; "|" &amp;
      TRIM(SUBSTITUTE($P$2:$P$38,CHAR(160)," ")),
      $Q$2:$Q$38
    )
  ),
"")</f>
        <v>120</v>
      </c>
      <c r="K31" s="301" cm="1">
        <f t="array" ref="K31">IFERROR(
  VALUE($H31) *
  VALUE(
    _xlfn.XLOOKUP(
      TRIM($F31) &amp; "|" &amp; LEFT(SUBSTITUTE($G31,CHAR(160)," "),5) &amp; "|Ideas Rate",
      TRIM(SUBSTITUTE($N$2:$N$38,CHAR(160)," ")) &amp; "|" &amp;
      LEFT(SUBSTITUTE($O$2:$O$38,CHAR(160)," "),5) &amp; "|" &amp;
      TRIM(SUBSTITUTE($P$2:$P$38,CHAR(160)," ")),
      $Q$2:$Q$38
    )
  ),
"")</f>
        <v>90</v>
      </c>
      <c r="L31" s="32" t="str">
        <f>IFERROR( VALUE($H31) * INDEX(#REF!, MATCH(UPPER(TRIM($F31)),#REF!,0)), "" )</f>
        <v/>
      </c>
      <c r="N31" t="s">
        <v>156</v>
      </c>
      <c r="O31" t="s">
        <v>375</v>
      </c>
      <c r="P31" t="s">
        <v>383</v>
      </c>
      <c r="Q31" s="32">
        <v>175</v>
      </c>
    </row>
    <row r="32" spans="1:23" x14ac:dyDescent="0.2">
      <c r="A32" s="303">
        <v>45889</v>
      </c>
      <c r="B32" s="295" t="s">
        <v>52</v>
      </c>
      <c r="C32" s="307" t="s">
        <v>66</v>
      </c>
      <c r="D32" s="296" t="s">
        <v>81</v>
      </c>
      <c r="E32" s="296" t="s">
        <v>83</v>
      </c>
      <c r="F32" s="296" t="s">
        <v>10</v>
      </c>
      <c r="G32" s="297" t="s">
        <v>367</v>
      </c>
      <c r="H32" s="298">
        <v>0.25</v>
      </c>
      <c r="I32" s="299" cm="1">
        <f t="array" ref="I32">IFERROR(
  VALUE($H32) *
  VALUE(
    _xlfn.XLOOKUP(
      TRIM($F32) &amp; "|" &amp; LEFT(SUBSTITUTE($G32,CHAR(160)," "),5) &amp; "|Full Rate",
      TRIM(SUBSTITUTE($N$2:$N$38,CHAR(160)," ")) &amp; "|" &amp;
      LEFT(SUBSTITUTE($O$2:$O$38,CHAR(160)," "),5) &amp; "|" &amp;
      TRIM(SUBSTITUTE($P$2:$P$38,CHAR(160)," ")),
      $Q$2:$Q$38
    )
  ),
"")</f>
        <v>125</v>
      </c>
      <c r="J32" s="300" cm="1">
        <f t="array" ref="J32">IFERROR(
  VALUE($H32) *
  VALUE(
    _xlfn.XLOOKUP(
      TRIM($F32) &amp; "|" &amp; LEFT(SUBSTITUTE($G32,CHAR(160)," "),5) &amp; "|Reduced Rate",
      TRIM(SUBSTITUTE($N$2:$N$38,CHAR(160)," ")) &amp; "|" &amp;
      LEFT(SUBSTITUTE($O$2:$O$38,CHAR(160)," "),5) &amp; "|" &amp;
      TRIM(SUBSTITUTE($P$2:$P$38,CHAR(160)," ")),
      $Q$2:$Q$38
    )
  ),
"")</f>
        <v>75</v>
      </c>
      <c r="K32" s="301" cm="1">
        <f t="array" ref="K32">IFERROR(
  VALUE($H32) *
  VALUE(
    _xlfn.XLOOKUP(
      TRIM($F32) &amp; "|" &amp; LEFT(SUBSTITUTE($G32,CHAR(160)," "),5) &amp; "|Ideas Rate",
      TRIM(SUBSTITUTE($N$2:$N$38,CHAR(160)," ")) &amp; "|" &amp;
      LEFT(SUBSTITUTE($O$2:$O$38,CHAR(160)," "),5) &amp; "|" &amp;
      TRIM(SUBSTITUTE($P$2:$P$38,CHAR(160)," ")),
      $Q$2:$Q$38
    )
  ),
"")</f>
        <v>37.5</v>
      </c>
      <c r="L32" s="32" t="str">
        <f>IFERROR( VALUE($H32) * INDEX(#REF!, MATCH(UPPER(TRIM($F32)),#REF!,0)), "" )</f>
        <v/>
      </c>
      <c r="N32" t="s">
        <v>156</v>
      </c>
      <c r="O32" t="s">
        <v>375</v>
      </c>
      <c r="P32" t="s">
        <v>384</v>
      </c>
      <c r="Q32" s="32">
        <v>95</v>
      </c>
    </row>
    <row r="33" spans="1:17" x14ac:dyDescent="0.2">
      <c r="A33" s="303">
        <v>45889</v>
      </c>
      <c r="B33" s="295" t="s">
        <v>52</v>
      </c>
      <c r="C33" s="307" t="s">
        <v>66</v>
      </c>
      <c r="D33" s="296" t="s">
        <v>29</v>
      </c>
      <c r="E33" s="296" t="s">
        <v>84</v>
      </c>
      <c r="F33" s="296" t="s">
        <v>10</v>
      </c>
      <c r="G33" s="297" t="s">
        <v>380</v>
      </c>
      <c r="H33" s="298">
        <v>1</v>
      </c>
      <c r="I33" s="299" cm="1">
        <f t="array" ref="I33">IFERROR(
  VALUE($H33) *
  VALUE(
    _xlfn.XLOOKUP(
      TRIM($F33) &amp; "|" &amp; LEFT(SUBSTITUTE($G33,CHAR(160)," "),5) &amp; "|Full Rate",
      TRIM(SUBSTITUTE($N$2:$N$38,CHAR(160)," ")) &amp; "|" &amp;
      LEFT(SUBSTITUTE($O$2:$O$38,CHAR(160)," "),5) &amp; "|" &amp;
      TRIM(SUBSTITUTE($P$2:$P$38,CHAR(160)," ")),
      $Q$2:$Q$38
    )
  ),
"")</f>
        <v>250</v>
      </c>
      <c r="J33" s="300" cm="1">
        <f t="array" ref="J33">IFERROR(
  VALUE($H33) *
  VALUE(
    _xlfn.XLOOKUP(
      TRIM($F33) &amp; "|" &amp; LEFT(SUBSTITUTE($G33,CHAR(160)," "),5) &amp; "|Reduced Rate",
      TRIM(SUBSTITUTE($N$2:$N$38,CHAR(160)," ")) &amp; "|" &amp;
      LEFT(SUBSTITUTE($O$2:$O$38,CHAR(160)," "),5) &amp; "|" &amp;
      TRIM(SUBSTITUTE($P$2:$P$38,CHAR(160)," ")),
      $Q$2:$Q$38
    )
  ),
"")</f>
        <v>150</v>
      </c>
      <c r="K33" s="301" cm="1">
        <f t="array" ref="K33">IFERROR(
  VALUE($H33) *
  VALUE(
    _xlfn.XLOOKUP(
      TRIM($F33) &amp; "|" &amp; LEFT(SUBSTITUTE($G33,CHAR(160)," "),5) &amp; "|Ideas Rate",
      TRIM(SUBSTITUTE($N$2:$N$38,CHAR(160)," ")) &amp; "|" &amp;
      LEFT(SUBSTITUTE($O$2:$O$38,CHAR(160)," "),5) &amp; "|" &amp;
      TRIM(SUBSTITUTE($P$2:$P$38,CHAR(160)," ")),
      $Q$2:$Q$38
    )
  ),
"")</f>
        <v>75</v>
      </c>
      <c r="L33" s="32" t="str">
        <f>IFERROR( VALUE($H33) * INDEX(#REF!, MATCH(UPPER(TRIM($F33)),#REF!,0)), "" )</f>
        <v/>
      </c>
      <c r="N33" t="s">
        <v>156</v>
      </c>
      <c r="O33" t="s">
        <v>376</v>
      </c>
      <c r="P33" t="s">
        <v>382</v>
      </c>
      <c r="Q33" s="32">
        <v>195</v>
      </c>
    </row>
    <row r="34" spans="1:17" x14ac:dyDescent="0.2">
      <c r="A34" s="303">
        <v>45889</v>
      </c>
      <c r="B34" s="295" t="s">
        <v>52</v>
      </c>
      <c r="C34" s="307" t="s">
        <v>66</v>
      </c>
      <c r="D34" s="296" t="s">
        <v>172</v>
      </c>
      <c r="E34" s="296" t="s">
        <v>85</v>
      </c>
      <c r="F34" s="296" t="s">
        <v>10</v>
      </c>
      <c r="G34" s="297" t="s">
        <v>367</v>
      </c>
      <c r="H34" s="298">
        <v>1</v>
      </c>
      <c r="I34" s="299" cm="1">
        <f t="array" ref="I34">IFERROR(
  VALUE($H34) *
  VALUE(
    _xlfn.XLOOKUP(
      TRIM($F34) &amp; "|" &amp; LEFT(SUBSTITUTE($G34,CHAR(160)," "),5) &amp; "|Full Rate",
      TRIM(SUBSTITUTE($N$2:$N$38,CHAR(160)," ")) &amp; "|" &amp;
      LEFT(SUBSTITUTE($O$2:$O$38,CHAR(160)," "),5) &amp; "|" &amp;
      TRIM(SUBSTITUTE($P$2:$P$38,CHAR(160)," ")),
      $Q$2:$Q$38
    )
  ),
"")</f>
        <v>500</v>
      </c>
      <c r="J34" s="300" cm="1">
        <f t="array" ref="J34">IFERROR(
  VALUE($H34) *
  VALUE(
    _xlfn.XLOOKUP(
      TRIM($F34) &amp; "|" &amp; LEFT(SUBSTITUTE($G34,CHAR(160)," "),5) &amp; "|Reduced Rate",
      TRIM(SUBSTITUTE($N$2:$N$38,CHAR(160)," ")) &amp; "|" &amp;
      LEFT(SUBSTITUTE($O$2:$O$38,CHAR(160)," "),5) &amp; "|" &amp;
      TRIM(SUBSTITUTE($P$2:$P$38,CHAR(160)," ")),
      $Q$2:$Q$38
    )
  ),
"")</f>
        <v>300</v>
      </c>
      <c r="K34" s="301" cm="1">
        <f t="array" ref="K34">IFERROR(
  VALUE($H34) *
  VALUE(
    _xlfn.XLOOKUP(
      TRIM($F34) &amp; "|" &amp; LEFT(SUBSTITUTE($G34,CHAR(160)," "),5) &amp; "|Ideas Rate",
      TRIM(SUBSTITUTE($N$2:$N$38,CHAR(160)," ")) &amp; "|" &amp;
      LEFT(SUBSTITUTE($O$2:$O$38,CHAR(160)," "),5) &amp; "|" &amp;
      TRIM(SUBSTITUTE($P$2:$P$38,CHAR(160)," ")),
      $Q$2:$Q$38
    )
  ),
"")</f>
        <v>150</v>
      </c>
      <c r="L34" s="32" t="str">
        <f>IFERROR( VALUE($H34) * INDEX(#REF!, MATCH(UPPER(TRIM($F34)),#REF!,0)), "" )</f>
        <v/>
      </c>
      <c r="N34" t="s">
        <v>156</v>
      </c>
      <c r="O34" t="s">
        <v>376</v>
      </c>
      <c r="P34" t="s">
        <v>383</v>
      </c>
      <c r="Q34" s="32">
        <v>90</v>
      </c>
    </row>
    <row r="35" spans="1:17" x14ac:dyDescent="0.2">
      <c r="A35" s="303">
        <v>45888</v>
      </c>
      <c r="B35" s="295" t="s">
        <v>52</v>
      </c>
      <c r="C35" s="307" t="s">
        <v>66</v>
      </c>
      <c r="D35" s="296" t="s">
        <v>81</v>
      </c>
      <c r="E35" s="296" t="s">
        <v>83</v>
      </c>
      <c r="F35" s="296" t="s">
        <v>155</v>
      </c>
      <c r="G35" s="297" t="s">
        <v>380</v>
      </c>
      <c r="H35" s="298">
        <v>3</v>
      </c>
      <c r="I35" s="299" cm="1">
        <f t="array" ref="I35">IFERROR(
  VALUE($H35) *
  VALUE(
    _xlfn.XLOOKUP(
      TRIM($F35) &amp; "|" &amp; LEFT(SUBSTITUTE($G35,CHAR(160)," "),5) &amp; "|Full Rate",
      TRIM(SUBSTITUTE($N$2:$N$38,CHAR(160)," ")) &amp; "|" &amp;
      LEFT(SUBSTITUTE($O$2:$O$38,CHAR(160)," "),5) &amp; "|" &amp;
      TRIM(SUBSTITUTE($P$2:$P$38,CHAR(160)," ")),
      $Q$2:$Q$38
    )
  ),
"")</f>
        <v>780</v>
      </c>
      <c r="J35" s="300" cm="1">
        <f t="array" ref="J35">IFERROR(
  VALUE($H35) *
  VALUE(
    _xlfn.XLOOKUP(
      TRIM($F35) &amp; "|" &amp; LEFT(SUBSTITUTE($G35,CHAR(160)," "),5) &amp; "|Reduced Rate",
      TRIM(SUBSTITUTE($N$2:$N$38,CHAR(160)," ")) &amp; "|" &amp;
      LEFT(SUBSTITUTE($O$2:$O$38,CHAR(160)," "),5) &amp; "|" &amp;
      TRIM(SUBSTITUTE($P$2:$P$38,CHAR(160)," ")),
      $Q$2:$Q$38
    )
  ),
"")</f>
        <v>360</v>
      </c>
      <c r="K35" s="301" cm="1">
        <f t="array" ref="K35">IFERROR(
  VALUE($H35) *
  VALUE(
    _xlfn.XLOOKUP(
      TRIM($F35) &amp; "|" &amp; LEFT(SUBSTITUTE($G35,CHAR(160)," "),5) &amp; "|Ideas Rate",
      TRIM(SUBSTITUTE($N$2:$N$38,CHAR(160)," ")) &amp; "|" &amp;
      LEFT(SUBSTITUTE($O$2:$O$38,CHAR(160)," "),5) &amp; "|" &amp;
      TRIM(SUBSTITUTE($P$2:$P$38,CHAR(160)," ")),
      $Q$2:$Q$38
    )
  ),
"")</f>
        <v>270</v>
      </c>
      <c r="L35" s="32" t="str">
        <f>IFERROR( VALUE($H35) * INDEX(#REF!, MATCH(UPPER(TRIM($F35)),#REF!,0)), "" )</f>
        <v/>
      </c>
      <c r="N35" t="s">
        <v>156</v>
      </c>
      <c r="O35" t="s">
        <v>376</v>
      </c>
      <c r="P35" t="s">
        <v>384</v>
      </c>
      <c r="Q35" s="32">
        <v>45</v>
      </c>
    </row>
    <row r="36" spans="1:17" x14ac:dyDescent="0.2">
      <c r="A36" s="303">
        <v>45889</v>
      </c>
      <c r="B36" s="295" t="s">
        <v>52</v>
      </c>
      <c r="C36" s="307" t="s">
        <v>66</v>
      </c>
      <c r="D36" s="296" t="s">
        <v>81</v>
      </c>
      <c r="E36" s="296" t="s">
        <v>86</v>
      </c>
      <c r="F36" s="296" t="s">
        <v>155</v>
      </c>
      <c r="G36" s="297" t="s">
        <v>367</v>
      </c>
      <c r="H36" s="298">
        <v>3</v>
      </c>
      <c r="I36" s="299" cm="1">
        <f t="array" ref="I36">IFERROR(
  VALUE($H36) *
  VALUE(
    _xlfn.XLOOKUP(
      TRIM($F36) &amp; "|" &amp; LEFT(SUBSTITUTE($G36,CHAR(160)," "),5) &amp; "|Full Rate",
      TRIM(SUBSTITUTE($N$2:$N$38,CHAR(160)," ")) &amp; "|" &amp;
      LEFT(SUBSTITUTE($O$2:$O$38,CHAR(160)," "),5) &amp; "|" &amp;
      TRIM(SUBSTITUTE($P$2:$P$38,CHAR(160)," ")),
      $Q$2:$Q$38
    )
  ),
"")</f>
        <v>1200</v>
      </c>
      <c r="J36" s="300" cm="1">
        <f t="array" ref="J36">IFERROR(
  VALUE($H36) *
  VALUE(
    _xlfn.XLOOKUP(
      TRIM($F36) &amp; "|" &amp; LEFT(SUBSTITUTE($G36,CHAR(160)," "),5) &amp; "|Reduced Rate",
      TRIM(SUBSTITUTE($N$2:$N$38,CHAR(160)," ")) &amp; "|" &amp;
      LEFT(SUBSTITUTE($O$2:$O$38,CHAR(160)," "),5) &amp; "|" &amp;
      TRIM(SUBSTITUTE($P$2:$P$38,CHAR(160)," ")),
      $Q$2:$Q$38
    )
  ),
"")</f>
        <v>600</v>
      </c>
      <c r="K36" s="301" cm="1">
        <f t="array" ref="K36">IFERROR(
  VALUE($H36) *
  VALUE(
    _xlfn.XLOOKUP(
      TRIM($F36) &amp; "|" &amp; LEFT(SUBSTITUTE($G36,CHAR(160)," "),5) &amp; "|Ideas Rate",
      TRIM(SUBSTITUTE($N$2:$N$38,CHAR(160)," ")) &amp; "|" &amp;
      LEFT(SUBSTITUTE($O$2:$O$38,CHAR(160)," "),5) &amp; "|" &amp;
      TRIM(SUBSTITUTE($P$2:$P$38,CHAR(160)," ")),
      $Q$2:$Q$38
    )
  ),
"")</f>
        <v>360</v>
      </c>
      <c r="L36" s="32" t="str">
        <f>IFERROR( VALUE($H36) * INDEX(#REF!, MATCH(UPPER(TRIM($F36)),#REF!,0)), "" )</f>
        <v/>
      </c>
      <c r="N36" t="s">
        <v>156</v>
      </c>
      <c r="O36" t="s">
        <v>368</v>
      </c>
      <c r="P36" t="s">
        <v>382</v>
      </c>
      <c r="Q36" s="32">
        <v>100</v>
      </c>
    </row>
    <row r="37" spans="1:17" x14ac:dyDescent="0.2">
      <c r="A37" s="303">
        <v>45889</v>
      </c>
      <c r="B37" s="295" t="s">
        <v>52</v>
      </c>
      <c r="C37" s="307" t="s">
        <v>66</v>
      </c>
      <c r="D37" s="296" t="s">
        <v>29</v>
      </c>
      <c r="E37" s="296" t="s">
        <v>87</v>
      </c>
      <c r="F37" s="296" t="s">
        <v>155</v>
      </c>
      <c r="G37" s="297" t="s">
        <v>380</v>
      </c>
      <c r="H37" s="298">
        <v>1</v>
      </c>
      <c r="I37" s="299" cm="1">
        <f t="array" ref="I37">IFERROR(
  VALUE($H37) *
  VALUE(
    _xlfn.XLOOKUP(
      TRIM($F37) &amp; "|" &amp; LEFT(SUBSTITUTE($G37,CHAR(160)," "),5) &amp; "|Full Rate",
      TRIM(SUBSTITUTE($N$2:$N$38,CHAR(160)," ")) &amp; "|" &amp;
      LEFT(SUBSTITUTE($O$2:$O$38,CHAR(160)," "),5) &amp; "|" &amp;
      TRIM(SUBSTITUTE($P$2:$P$38,CHAR(160)," ")),
      $Q$2:$Q$38
    )
  ),
"")</f>
        <v>260</v>
      </c>
      <c r="J37" s="300" cm="1">
        <f t="array" ref="J37">IFERROR(
  VALUE($H37) *
  VALUE(
    _xlfn.XLOOKUP(
      TRIM($F37) &amp; "|" &amp; LEFT(SUBSTITUTE($G37,CHAR(160)," "),5) &amp; "|Reduced Rate",
      TRIM(SUBSTITUTE($N$2:$N$38,CHAR(160)," ")) &amp; "|" &amp;
      LEFT(SUBSTITUTE($O$2:$O$38,CHAR(160)," "),5) &amp; "|" &amp;
      TRIM(SUBSTITUTE($P$2:$P$38,CHAR(160)," ")),
      $Q$2:$Q$38
    )
  ),
"")</f>
        <v>120</v>
      </c>
      <c r="K37" s="301" cm="1">
        <f t="array" ref="K37">IFERROR(
  VALUE($H37) *
  VALUE(
    _xlfn.XLOOKUP(
      TRIM($F37) &amp; "|" &amp; LEFT(SUBSTITUTE($G37,CHAR(160)," "),5) &amp; "|Ideas Rate",
      TRIM(SUBSTITUTE($N$2:$N$38,CHAR(160)," ")) &amp; "|" &amp;
      LEFT(SUBSTITUTE($O$2:$O$38,CHAR(160)," "),5) &amp; "|" &amp;
      TRIM(SUBSTITUTE($P$2:$P$38,CHAR(160)," ")),
      $Q$2:$Q$38
    )
  ),
"")</f>
        <v>90</v>
      </c>
      <c r="L37" s="32" t="str">
        <f>IFERROR( VALUE($H37) * INDEX(#REF!, MATCH(UPPER(TRIM($F37)),#REF!,0)), "" )</f>
        <v/>
      </c>
      <c r="N37" t="s">
        <v>156</v>
      </c>
      <c r="O37" t="s">
        <v>368</v>
      </c>
      <c r="P37" t="s">
        <v>383</v>
      </c>
      <c r="Q37" s="32">
        <v>50</v>
      </c>
    </row>
    <row r="38" spans="1:17" x14ac:dyDescent="0.2">
      <c r="A38" s="303">
        <v>45889</v>
      </c>
      <c r="B38" s="295" t="s">
        <v>52</v>
      </c>
      <c r="C38" s="307" t="s">
        <v>66</v>
      </c>
      <c r="D38" s="296" t="s">
        <v>185</v>
      </c>
      <c r="E38" s="296" t="s">
        <v>88</v>
      </c>
      <c r="F38" s="296" t="s">
        <v>155</v>
      </c>
      <c r="G38" s="297" t="s">
        <v>380</v>
      </c>
      <c r="H38" s="298">
        <v>0.25</v>
      </c>
      <c r="I38" s="299" cm="1">
        <f t="array" ref="I38">IFERROR(
  VALUE($H38) *
  VALUE(
    _xlfn.XLOOKUP(
      TRIM($F38) &amp; "|" &amp; LEFT(SUBSTITUTE($G38,CHAR(160)," "),5) &amp; "|Full Rate",
      TRIM(SUBSTITUTE($N$2:$N$38,CHAR(160)," ")) &amp; "|" &amp;
      LEFT(SUBSTITUTE($O$2:$O$38,CHAR(160)," "),5) &amp; "|" &amp;
      TRIM(SUBSTITUTE($P$2:$P$38,CHAR(160)," ")),
      $Q$2:$Q$38
    )
  ),
"")</f>
        <v>65</v>
      </c>
      <c r="J38" s="300" cm="1">
        <f t="array" ref="J38">IFERROR(
  VALUE($H38) *
  VALUE(
    _xlfn.XLOOKUP(
      TRIM($F38) &amp; "|" &amp; LEFT(SUBSTITUTE($G38,CHAR(160)," "),5) &amp; "|Reduced Rate",
      TRIM(SUBSTITUTE($N$2:$N$38,CHAR(160)," ")) &amp; "|" &amp;
      LEFT(SUBSTITUTE($O$2:$O$38,CHAR(160)," "),5) &amp; "|" &amp;
      TRIM(SUBSTITUTE($P$2:$P$38,CHAR(160)," ")),
      $Q$2:$Q$38
    )
  ),
"")</f>
        <v>30</v>
      </c>
      <c r="K38" s="301" cm="1">
        <f t="array" ref="K38">IFERROR(
  VALUE($H38) *
  VALUE(
    _xlfn.XLOOKUP(
      TRIM($F38) &amp; "|" &amp; LEFT(SUBSTITUTE($G38,CHAR(160)," "),5) &amp; "|Ideas Rate",
      TRIM(SUBSTITUTE($N$2:$N$38,CHAR(160)," ")) &amp; "|" &amp;
      LEFT(SUBSTITUTE($O$2:$O$38,CHAR(160)," "),5) &amp; "|" &amp;
      TRIM(SUBSTITUTE($P$2:$P$38,CHAR(160)," ")),
      $Q$2:$Q$38
    )
  ),
"")</f>
        <v>22.5</v>
      </c>
      <c r="L38" s="32" t="str">
        <f>IFERROR( VALUE($H38) * INDEX(#REF!, MATCH(UPPER(TRIM($F38)),#REF!,0)), "" )</f>
        <v/>
      </c>
      <c r="N38" t="s">
        <v>156</v>
      </c>
      <c r="O38" t="s">
        <v>368</v>
      </c>
      <c r="P38" t="s">
        <v>384</v>
      </c>
      <c r="Q38" s="32">
        <v>30</v>
      </c>
    </row>
    <row r="39" spans="1:17" x14ac:dyDescent="0.2">
      <c r="A39" s="303">
        <v>45890</v>
      </c>
      <c r="B39" s="295" t="s">
        <v>52</v>
      </c>
      <c r="C39" s="307" t="s">
        <v>66</v>
      </c>
      <c r="D39" s="296" t="s">
        <v>185</v>
      </c>
      <c r="E39" s="296" t="s">
        <v>73</v>
      </c>
      <c r="F39" s="296" t="s">
        <v>155</v>
      </c>
      <c r="G39" s="297" t="s">
        <v>367</v>
      </c>
      <c r="H39" s="298">
        <v>3</v>
      </c>
      <c r="I39" s="299" cm="1">
        <f t="array" ref="I39">IFERROR(
  VALUE($H39) *
  VALUE(
    _xlfn.XLOOKUP(
      TRIM($F39) &amp; "|" &amp; LEFT(SUBSTITUTE($G39,CHAR(160)," "),5) &amp; "|Full Rate",
      TRIM(SUBSTITUTE($N$2:$N$38,CHAR(160)," ")) &amp; "|" &amp;
      LEFT(SUBSTITUTE($O$2:$O$38,CHAR(160)," "),5) &amp; "|" &amp;
      TRIM(SUBSTITUTE($P$2:$P$38,CHAR(160)," ")),
      $Q$2:$Q$38
    )
  ),
"")</f>
        <v>1200</v>
      </c>
      <c r="J39" s="300" cm="1">
        <f t="array" ref="J39">IFERROR(
  VALUE($H39) *
  VALUE(
    _xlfn.XLOOKUP(
      TRIM($F39) &amp; "|" &amp; LEFT(SUBSTITUTE($G39,CHAR(160)," "),5) &amp; "|Reduced Rate",
      TRIM(SUBSTITUTE($N$2:$N$38,CHAR(160)," ")) &amp; "|" &amp;
      LEFT(SUBSTITUTE($O$2:$O$38,CHAR(160)," "),5) &amp; "|" &amp;
      TRIM(SUBSTITUTE($P$2:$P$38,CHAR(160)," ")),
      $Q$2:$Q$38
    )
  ),
"")</f>
        <v>600</v>
      </c>
      <c r="K39" s="301" cm="1">
        <f t="array" ref="K39">IFERROR(
  VALUE($H39) *
  VALUE(
    _xlfn.XLOOKUP(
      TRIM($F39) &amp; "|" &amp; LEFT(SUBSTITUTE($G39,CHAR(160)," "),5) &amp; "|Ideas Rate",
      TRIM(SUBSTITUTE($N$2:$N$38,CHAR(160)," ")) &amp; "|" &amp;
      LEFT(SUBSTITUTE($O$2:$O$38,CHAR(160)," "),5) &amp; "|" &amp;
      TRIM(SUBSTITUTE($P$2:$P$38,CHAR(160)," ")),
      $Q$2:$Q$38
    )
  ),
"")</f>
        <v>360</v>
      </c>
      <c r="L39" s="32" t="str">
        <f>IFERROR( VALUE($H39) * INDEX(#REF!, MATCH(UPPER(TRIM($F39)),#REF!,0)), "" )</f>
        <v/>
      </c>
    </row>
    <row r="40" spans="1:17" x14ac:dyDescent="0.2">
      <c r="A40" s="303">
        <v>45890</v>
      </c>
      <c r="B40" s="295" t="s">
        <v>52</v>
      </c>
      <c r="C40" s="304" t="s">
        <v>66</v>
      </c>
      <c r="D40" s="296" t="s">
        <v>186</v>
      </c>
      <c r="E40" s="296" t="s">
        <v>89</v>
      </c>
      <c r="F40" s="296" t="s">
        <v>10</v>
      </c>
      <c r="G40" s="297" t="s">
        <v>367</v>
      </c>
      <c r="H40" s="298">
        <v>1</v>
      </c>
      <c r="I40" s="299" cm="1">
        <f t="array" ref="I40">IFERROR(
  VALUE($H40) *
  VALUE(
    _xlfn.XLOOKUP(
      TRIM($F40) &amp; "|" &amp; LEFT(SUBSTITUTE($G40,CHAR(160)," "),5) &amp; "|Full Rate",
      TRIM(SUBSTITUTE($N$2:$N$38,CHAR(160)," ")) &amp; "|" &amp;
      LEFT(SUBSTITUTE($O$2:$O$38,CHAR(160)," "),5) &amp; "|" &amp;
      TRIM(SUBSTITUTE($P$2:$P$38,CHAR(160)," ")),
      $Q$2:$Q$38
    )
  ),
"")</f>
        <v>500</v>
      </c>
      <c r="J40" s="300" cm="1">
        <f t="array" ref="J40">IFERROR(
  VALUE($H40) *
  VALUE(
    _xlfn.XLOOKUP(
      TRIM($F40) &amp; "|" &amp; LEFT(SUBSTITUTE($G40,CHAR(160)," "),5) &amp; "|Reduced Rate",
      TRIM(SUBSTITUTE($N$2:$N$38,CHAR(160)," ")) &amp; "|" &amp;
      LEFT(SUBSTITUTE($O$2:$O$38,CHAR(160)," "),5) &amp; "|" &amp;
      TRIM(SUBSTITUTE($P$2:$P$38,CHAR(160)," ")),
      $Q$2:$Q$38
    )
  ),
"")</f>
        <v>300</v>
      </c>
      <c r="K40" s="301" cm="1">
        <f t="array" ref="K40">IFERROR(
  VALUE($H40) *
  VALUE(
    _xlfn.XLOOKUP(
      TRIM($F40) &amp; "|" &amp; LEFT(SUBSTITUTE($G40,CHAR(160)," "),5) &amp; "|Ideas Rate",
      TRIM(SUBSTITUTE($N$2:$N$38,CHAR(160)," ")) &amp; "|" &amp;
      LEFT(SUBSTITUTE($O$2:$O$38,CHAR(160)," "),5) &amp; "|" &amp;
      TRIM(SUBSTITUTE($P$2:$P$38,CHAR(160)," ")),
      $Q$2:$Q$38
    )
  ),
"")</f>
        <v>150</v>
      </c>
      <c r="L40" s="32" t="str">
        <f>IFERROR( VALUE($H40) * INDEX(#REF!, MATCH(UPPER(TRIM($F40)),#REF!,0)), "" )</f>
        <v/>
      </c>
    </row>
    <row r="41" spans="1:17" x14ac:dyDescent="0.2">
      <c r="A41" s="303">
        <v>45890</v>
      </c>
      <c r="B41" s="295" t="s">
        <v>52</v>
      </c>
      <c r="C41" s="304" t="s">
        <v>66</v>
      </c>
      <c r="D41" s="296" t="s">
        <v>186</v>
      </c>
      <c r="E41" s="296" t="s">
        <v>90</v>
      </c>
      <c r="F41" s="296" t="s">
        <v>10</v>
      </c>
      <c r="G41" s="297" t="s">
        <v>367</v>
      </c>
      <c r="H41" s="298">
        <v>0.5</v>
      </c>
      <c r="I41" s="299" cm="1">
        <f t="array" ref="I41">IFERROR(
  VALUE($H41) *
  VALUE(
    _xlfn.XLOOKUP(
      TRIM($F41) &amp; "|" &amp; LEFT(SUBSTITUTE($G41,CHAR(160)," "),5) &amp; "|Full Rate",
      TRIM(SUBSTITUTE($N$2:$N$38,CHAR(160)," ")) &amp; "|" &amp;
      LEFT(SUBSTITUTE($O$2:$O$38,CHAR(160)," "),5) &amp; "|" &amp;
      TRIM(SUBSTITUTE($P$2:$P$38,CHAR(160)," ")),
      $Q$2:$Q$38
    )
  ),
"")</f>
        <v>250</v>
      </c>
      <c r="J41" s="300" cm="1">
        <f t="array" ref="J41">IFERROR(
  VALUE($H41) *
  VALUE(
    _xlfn.XLOOKUP(
      TRIM($F41) &amp; "|" &amp; LEFT(SUBSTITUTE($G41,CHAR(160)," "),5) &amp; "|Reduced Rate",
      TRIM(SUBSTITUTE($N$2:$N$38,CHAR(160)," ")) &amp; "|" &amp;
      LEFT(SUBSTITUTE($O$2:$O$38,CHAR(160)," "),5) &amp; "|" &amp;
      TRIM(SUBSTITUTE($P$2:$P$38,CHAR(160)," ")),
      $Q$2:$Q$38
    )
  ),
"")</f>
        <v>150</v>
      </c>
      <c r="K41" s="301" cm="1">
        <f t="array" ref="K41">IFERROR(
  VALUE($H41) *
  VALUE(
    _xlfn.XLOOKUP(
      TRIM($F41) &amp; "|" &amp; LEFT(SUBSTITUTE($G41,CHAR(160)," "),5) &amp; "|Ideas Rate",
      TRIM(SUBSTITUTE($N$2:$N$38,CHAR(160)," ")) &amp; "|" &amp;
      LEFT(SUBSTITUTE($O$2:$O$38,CHAR(160)," "),5) &amp; "|" &amp;
      TRIM(SUBSTITUTE($P$2:$P$38,CHAR(160)," ")),
      $Q$2:$Q$38
    )
  ),
"")</f>
        <v>75</v>
      </c>
      <c r="L41" s="32" t="str">
        <f>IFERROR( VALUE($H41) * INDEX(#REF!, MATCH(UPPER(TRIM($F41)),#REF!,0)), "" )</f>
        <v/>
      </c>
    </row>
    <row r="42" spans="1:17" x14ac:dyDescent="0.2">
      <c r="A42" s="303">
        <v>45891</v>
      </c>
      <c r="B42" s="295" t="s">
        <v>52</v>
      </c>
      <c r="C42" s="304" t="s">
        <v>66</v>
      </c>
      <c r="D42" s="296" t="s">
        <v>185</v>
      </c>
      <c r="E42" s="296" t="s">
        <v>73</v>
      </c>
      <c r="F42" s="296" t="s">
        <v>155</v>
      </c>
      <c r="G42" s="297" t="s">
        <v>367</v>
      </c>
      <c r="H42" s="298">
        <v>10</v>
      </c>
      <c r="I42" s="299" cm="1">
        <f t="array" ref="I42">IFERROR(
  VALUE($H42) *
  VALUE(
    _xlfn.XLOOKUP(
      TRIM($F42) &amp; "|" &amp; LEFT(SUBSTITUTE($G42,CHAR(160)," "),5) &amp; "|Full Rate",
      TRIM(SUBSTITUTE($N$2:$N$38,CHAR(160)," ")) &amp; "|" &amp;
      LEFT(SUBSTITUTE($O$2:$O$38,CHAR(160)," "),5) &amp; "|" &amp;
      TRIM(SUBSTITUTE($P$2:$P$38,CHAR(160)," ")),
      $Q$2:$Q$38
    )
  ),
"")</f>
        <v>4000</v>
      </c>
      <c r="J42" s="300" cm="1">
        <f t="array" ref="J42">IFERROR(
  VALUE($H42) *
  VALUE(
    _xlfn.XLOOKUP(
      TRIM($F42) &amp; "|" &amp; LEFT(SUBSTITUTE($G42,CHAR(160)," "),5) &amp; "|Reduced Rate",
      TRIM(SUBSTITUTE($N$2:$N$38,CHAR(160)," ")) &amp; "|" &amp;
      LEFT(SUBSTITUTE($O$2:$O$38,CHAR(160)," "),5) &amp; "|" &amp;
      TRIM(SUBSTITUTE($P$2:$P$38,CHAR(160)," ")),
      $Q$2:$Q$38
    )
  ),
"")</f>
        <v>2000</v>
      </c>
      <c r="K42" s="301" cm="1">
        <f t="array" ref="K42">IFERROR(
  VALUE($H42) *
  VALUE(
    _xlfn.XLOOKUP(
      TRIM($F42) &amp; "|" &amp; LEFT(SUBSTITUTE($G42,CHAR(160)," "),5) &amp; "|Ideas Rate",
      TRIM(SUBSTITUTE($N$2:$N$38,CHAR(160)," ")) &amp; "|" &amp;
      LEFT(SUBSTITUTE($O$2:$O$38,CHAR(160)," "),5) &amp; "|" &amp;
      TRIM(SUBSTITUTE($P$2:$P$38,CHAR(160)," ")),
      $Q$2:$Q$38
    )
  ),
"")</f>
        <v>1200</v>
      </c>
      <c r="L42" s="32" t="str">
        <f>IFERROR( VALUE($H42) * INDEX(#REF!, MATCH(UPPER(TRIM($F42)),#REF!,0)), "" )</f>
        <v/>
      </c>
    </row>
    <row r="43" spans="1:17" x14ac:dyDescent="0.2">
      <c r="A43" s="21">
        <v>45891</v>
      </c>
      <c r="B43" s="28" t="s">
        <v>52</v>
      </c>
      <c r="C43" s="23" t="s">
        <v>66</v>
      </c>
      <c r="D43" s="18" t="s">
        <v>172</v>
      </c>
      <c r="E43" s="18" t="s">
        <v>91</v>
      </c>
      <c r="F43" s="18" t="s">
        <v>155</v>
      </c>
      <c r="G43" s="22" t="s">
        <v>367</v>
      </c>
      <c r="H43" s="45">
        <v>0.5</v>
      </c>
      <c r="I43" s="60" cm="1">
        <f t="array" ref="I43">IFERROR(
  VALUE($H43) *
  VALUE(
    _xlfn.XLOOKUP(
      TRIM($F43) &amp; "|" &amp; LEFT(SUBSTITUTE($G43,CHAR(160)," "),5) &amp; "|Full Rate",
      TRIM(SUBSTITUTE($N$2:$N$38,CHAR(160)," ")) &amp; "|" &amp;
      LEFT(SUBSTITUTE($O$2:$O$38,CHAR(160)," "),5) &amp; "|" &amp;
      TRIM(SUBSTITUTE($P$2:$P$38,CHAR(160)," ")),
      $Q$2:$Q$38
    )
  ),
"")</f>
        <v>200</v>
      </c>
      <c r="J43" s="52" cm="1">
        <f t="array" ref="J43">IFERROR(
  VALUE($H43) *
  VALUE(
    _xlfn.XLOOKUP(
      TRIM($F43) &amp; "|" &amp; LEFT(SUBSTITUTE($G43,CHAR(160)," "),5) &amp; "|Reduced Rate",
      TRIM(SUBSTITUTE($N$2:$N$38,CHAR(160)," ")) &amp; "|" &amp;
      LEFT(SUBSTITUTE($O$2:$O$38,CHAR(160)," "),5) &amp; "|" &amp;
      TRIM(SUBSTITUTE($P$2:$P$38,CHAR(160)," ")),
      $Q$2:$Q$38
    )
  ),
"")</f>
        <v>100</v>
      </c>
      <c r="K43" s="32" cm="1">
        <f t="array" ref="K43">IFERROR(
  VALUE($H43) *
  VALUE(
    _xlfn.XLOOKUP(
      TRIM($F43) &amp; "|" &amp; LEFT(SUBSTITUTE($G43,CHAR(160)," "),5) &amp; "|Ideas Rate",
      TRIM(SUBSTITUTE($N$2:$N$38,CHAR(160)," ")) &amp; "|" &amp;
      LEFT(SUBSTITUTE($O$2:$O$38,CHAR(160)," "),5) &amp; "|" &amp;
      TRIM(SUBSTITUTE($P$2:$P$38,CHAR(160)," ")),
      $Q$2:$Q$38
    )
  ),
"")</f>
        <v>60</v>
      </c>
      <c r="L43" s="32" t="str">
        <f>IFERROR( VALUE($H43) * INDEX(#REF!, MATCH(UPPER(TRIM($F43)),#REF!,0)), "" )</f>
        <v/>
      </c>
    </row>
    <row r="44" spans="1:17" x14ac:dyDescent="0.2">
      <c r="A44" s="303">
        <v>45880</v>
      </c>
      <c r="B44" s="295" t="s">
        <v>52</v>
      </c>
      <c r="C44" s="304" t="s">
        <v>66</v>
      </c>
      <c r="D44" s="296" t="s">
        <v>181</v>
      </c>
      <c r="E44" s="296" t="s">
        <v>92</v>
      </c>
      <c r="F44" s="296" t="s">
        <v>9</v>
      </c>
      <c r="G44" s="297" t="s">
        <v>368</v>
      </c>
      <c r="H44" s="298">
        <v>0.5</v>
      </c>
      <c r="I44" s="299" cm="1">
        <f t="array" ref="I44">IFERROR(
  VALUE($H44) *
  VALUE(
    _xlfn.XLOOKUP(
      TRIM($F44) &amp; "|" &amp; LEFT(SUBSTITUTE($G44,CHAR(160)," "),5) &amp; "|Full Rate",
      TRIM(SUBSTITUTE($N$2:$N$38,CHAR(160)," ")) &amp; "|" &amp;
      LEFT(SUBSTITUTE($O$2:$O$38,CHAR(160)," "),5) &amp; "|" &amp;
      TRIM(SUBSTITUTE($P$2:$P$38,CHAR(160)," ")),
      $Q$2:$Q$38
    )
  ),
"")</f>
        <v>50</v>
      </c>
      <c r="J44" s="300" cm="1">
        <f t="array" ref="J44">IFERROR(
  VALUE($H44) *
  VALUE(
    _xlfn.XLOOKUP(
      TRIM($F44) &amp; "|" &amp; LEFT(SUBSTITUTE($G44,CHAR(160)," "),5) &amp; "|Reduced Rate",
      TRIM(SUBSTITUTE($N$2:$N$38,CHAR(160)," ")) &amp; "|" &amp;
      LEFT(SUBSTITUTE($O$2:$O$38,CHAR(160)," "),5) &amp; "|" &amp;
      TRIM(SUBSTITUTE($P$2:$P$38,CHAR(160)," ")),
      $Q$2:$Q$38
    )
  ),
"")</f>
        <v>25</v>
      </c>
      <c r="K44" s="301" cm="1">
        <f t="array" ref="K44">IFERROR(
  VALUE($H44) *
  VALUE(
    _xlfn.XLOOKUP(
      TRIM($F44) &amp; "|" &amp; LEFT(SUBSTITUTE($G44,CHAR(160)," "),5) &amp; "|Ideas Rate",
      TRIM(SUBSTITUTE($N$2:$N$38,CHAR(160)," ")) &amp; "|" &amp;
      LEFT(SUBSTITUTE($O$2:$O$38,CHAR(160)," "),5) &amp; "|" &amp;
      TRIM(SUBSTITUTE($P$2:$P$38,CHAR(160)," ")),
      $Q$2:$Q$38
    )
  ),
"")</f>
        <v>15</v>
      </c>
      <c r="L44" s="32" t="str">
        <f>IFERROR( VALUE($H44) * INDEX(#REF!, MATCH(UPPER(TRIM($F44)),#REF!,0)), "" )</f>
        <v/>
      </c>
    </row>
    <row r="45" spans="1:17" x14ac:dyDescent="0.2">
      <c r="A45" s="303">
        <v>45882</v>
      </c>
      <c r="B45" s="295" t="s">
        <v>52</v>
      </c>
      <c r="C45" s="304" t="s">
        <v>66</v>
      </c>
      <c r="D45" s="296" t="s">
        <v>172</v>
      </c>
      <c r="E45" s="296" t="s">
        <v>93</v>
      </c>
      <c r="F45" s="296" t="s">
        <v>9</v>
      </c>
      <c r="G45" s="297" t="s">
        <v>367</v>
      </c>
      <c r="H45" s="298">
        <v>1</v>
      </c>
      <c r="I45" s="299" cm="1">
        <f t="array" ref="I45">IFERROR(
  VALUE($H45) *
  VALUE(
    _xlfn.XLOOKUP(
      TRIM($F45) &amp; "|" &amp; LEFT(SUBSTITUTE($G45,CHAR(160)," "),5) &amp; "|Full Rate",
      TRIM(SUBSTITUTE($N$2:$N$38,CHAR(160)," ")) &amp; "|" &amp;
      LEFT(SUBSTITUTE($O$2:$O$38,CHAR(160)," "),5) &amp; "|" &amp;
      TRIM(SUBSTITUTE($P$2:$P$38,CHAR(160)," ")),
      $Q$2:$Q$38
    )
  ),
"")</f>
        <v>500</v>
      </c>
      <c r="J45" s="300" cm="1">
        <f t="array" ref="J45">IFERROR(
  VALUE($H45) *
  VALUE(
    _xlfn.XLOOKUP(
      TRIM($F45) &amp; "|" &amp; LEFT(SUBSTITUTE($G45,CHAR(160)," "),5) &amp; "|Reduced Rate",
      TRIM(SUBSTITUTE($N$2:$N$38,CHAR(160)," ")) &amp; "|" &amp;
      LEFT(SUBSTITUTE($O$2:$O$38,CHAR(160)," "),5) &amp; "|" &amp;
      TRIM(SUBSTITUTE($P$2:$P$38,CHAR(160)," ")),
      $Q$2:$Q$38
    )
  ),
"")</f>
        <v>300</v>
      </c>
      <c r="K45" s="301" cm="1">
        <f t="array" ref="K45">IFERROR(
  VALUE($H45) *
  VALUE(
    _xlfn.XLOOKUP(
      TRIM($F45) &amp; "|" &amp; LEFT(SUBSTITUTE($G45,CHAR(160)," "),5) &amp; "|Ideas Rate",
      TRIM(SUBSTITUTE($N$2:$N$38,CHAR(160)," ")) &amp; "|" &amp;
      LEFT(SUBSTITUTE($O$2:$O$38,CHAR(160)," "),5) &amp; "|" &amp;
      TRIM(SUBSTITUTE($P$2:$P$38,CHAR(160)," ")),
      $Q$2:$Q$38
    )
  ),
"")</f>
        <v>150</v>
      </c>
      <c r="L45" s="32" t="str">
        <f>IFERROR( VALUE($H45) * INDEX(#REF!, MATCH(UPPER(TRIM($F45)),#REF!,0)), "" )</f>
        <v/>
      </c>
    </row>
    <row r="46" spans="1:17" x14ac:dyDescent="0.2">
      <c r="A46" s="303">
        <v>45882</v>
      </c>
      <c r="B46" s="295" t="s">
        <v>52</v>
      </c>
      <c r="C46" s="304" t="s">
        <v>66</v>
      </c>
      <c r="D46" s="296" t="s">
        <v>172</v>
      </c>
      <c r="E46" s="296" t="s">
        <v>94</v>
      </c>
      <c r="F46" s="296" t="s">
        <v>9</v>
      </c>
      <c r="G46" s="297" t="s">
        <v>380</v>
      </c>
      <c r="H46" s="298">
        <v>0.5</v>
      </c>
      <c r="I46" s="299" cm="1">
        <f t="array" ref="I46">IFERROR(
  VALUE($H46) *
  VALUE(
    _xlfn.XLOOKUP(
      TRIM($F46) &amp; "|" &amp; LEFT(SUBSTITUTE($G46,CHAR(160)," "),5) &amp; "|Full Rate",
      TRIM(SUBSTITUTE($N$2:$N$38,CHAR(160)," ")) &amp; "|" &amp;
      LEFT(SUBSTITUTE($O$2:$O$38,CHAR(160)," "),5) &amp; "|" &amp;
      TRIM(SUBSTITUTE($P$2:$P$38,CHAR(160)," ")),
      $Q$2:$Q$38
    )
  ),
"")</f>
        <v>125</v>
      </c>
      <c r="J46" s="300" cm="1">
        <f t="array" ref="J46">IFERROR(
  VALUE($H46) *
  VALUE(
    _xlfn.XLOOKUP(
      TRIM($F46) &amp; "|" &amp; LEFT(SUBSTITUTE($G46,CHAR(160)," "),5) &amp; "|Reduced Rate",
      TRIM(SUBSTITUTE($N$2:$N$38,CHAR(160)," ")) &amp; "|" &amp;
      LEFT(SUBSTITUTE($O$2:$O$38,CHAR(160)," "),5) &amp; "|" &amp;
      TRIM(SUBSTITUTE($P$2:$P$38,CHAR(160)," ")),
      $Q$2:$Q$38
    )
  ),
"")</f>
        <v>75</v>
      </c>
      <c r="K46" s="301" cm="1">
        <f t="array" ref="K46">IFERROR(
  VALUE($H46) *
  VALUE(
    _xlfn.XLOOKUP(
      TRIM($F46) &amp; "|" &amp; LEFT(SUBSTITUTE($G46,CHAR(160)," "),5) &amp; "|Ideas Rate",
      TRIM(SUBSTITUTE($N$2:$N$38,CHAR(160)," ")) &amp; "|" &amp;
      LEFT(SUBSTITUTE($O$2:$O$38,CHAR(160)," "),5) &amp; "|" &amp;
      TRIM(SUBSTITUTE($P$2:$P$38,CHAR(160)," ")),
      $Q$2:$Q$38
    )
  ),
"")</f>
        <v>37.5</v>
      </c>
      <c r="L46" s="32" t="str">
        <f>IFERROR( VALUE($H46) * INDEX(#REF!, MATCH(UPPER(TRIM($F46)),#REF!,0)), "" )</f>
        <v/>
      </c>
    </row>
    <row r="47" spans="1:17" x14ac:dyDescent="0.2">
      <c r="A47" s="303">
        <v>45883</v>
      </c>
      <c r="B47" s="295" t="s">
        <v>52</v>
      </c>
      <c r="C47" s="304" t="s">
        <v>66</v>
      </c>
      <c r="D47" s="296" t="s">
        <v>172</v>
      </c>
      <c r="E47" s="296" t="s">
        <v>95</v>
      </c>
      <c r="F47" s="296" t="s">
        <v>9</v>
      </c>
      <c r="G47" s="297" t="s">
        <v>367</v>
      </c>
      <c r="H47" s="298">
        <v>0.5</v>
      </c>
      <c r="I47" s="299" cm="1">
        <f t="array" ref="I47">IFERROR(
  VALUE($H47) *
  VALUE(
    _xlfn.XLOOKUP(
      TRIM($F47) &amp; "|" &amp; LEFT(SUBSTITUTE($G47,CHAR(160)," "),5) &amp; "|Full Rate",
      TRIM(SUBSTITUTE($N$2:$N$38,CHAR(160)," ")) &amp; "|" &amp;
      LEFT(SUBSTITUTE($O$2:$O$38,CHAR(160)," "),5) &amp; "|" &amp;
      TRIM(SUBSTITUTE($P$2:$P$38,CHAR(160)," ")),
      $Q$2:$Q$38
    )
  ),
"")</f>
        <v>250</v>
      </c>
      <c r="J47" s="300" cm="1">
        <f t="array" ref="J47">IFERROR(
  VALUE($H47) *
  VALUE(
    _xlfn.XLOOKUP(
      TRIM($F47) &amp; "|" &amp; LEFT(SUBSTITUTE($G47,CHAR(160)," "),5) &amp; "|Reduced Rate",
      TRIM(SUBSTITUTE($N$2:$N$38,CHAR(160)," ")) &amp; "|" &amp;
      LEFT(SUBSTITUTE($O$2:$O$38,CHAR(160)," "),5) &amp; "|" &amp;
      TRIM(SUBSTITUTE($P$2:$P$38,CHAR(160)," ")),
      $Q$2:$Q$38
    )
  ),
"")</f>
        <v>150</v>
      </c>
      <c r="K47" s="301" cm="1">
        <f t="array" ref="K47">IFERROR(
  VALUE($H47) *
  VALUE(
    _xlfn.XLOOKUP(
      TRIM($F47) &amp; "|" &amp; LEFT(SUBSTITUTE($G47,CHAR(160)," "),5) &amp; "|Ideas Rate",
      TRIM(SUBSTITUTE($N$2:$N$38,CHAR(160)," ")) &amp; "|" &amp;
      LEFT(SUBSTITUTE($O$2:$O$38,CHAR(160)," "),5) &amp; "|" &amp;
      TRIM(SUBSTITUTE($P$2:$P$38,CHAR(160)," ")),
      $Q$2:$Q$38
    )
  ),
"")</f>
        <v>75</v>
      </c>
      <c r="L47" s="32" t="str">
        <f>IFERROR( VALUE($H47) * INDEX(#REF!, MATCH(UPPER(TRIM($F47)),#REF!,0)), "" )</f>
        <v/>
      </c>
    </row>
    <row r="48" spans="1:17" x14ac:dyDescent="0.2">
      <c r="A48" s="303">
        <v>45883</v>
      </c>
      <c r="B48" s="295" t="s">
        <v>52</v>
      </c>
      <c r="C48" s="304" t="s">
        <v>66</v>
      </c>
      <c r="D48" s="296" t="s">
        <v>172</v>
      </c>
      <c r="E48" s="296" t="s">
        <v>96</v>
      </c>
      <c r="F48" s="296" t="s">
        <v>9</v>
      </c>
      <c r="G48" s="297" t="s">
        <v>367</v>
      </c>
      <c r="H48" s="298">
        <v>0.5</v>
      </c>
      <c r="I48" s="299" cm="1">
        <f t="array" ref="I48">IFERROR(
  VALUE($H48) *
  VALUE(
    _xlfn.XLOOKUP(
      TRIM($F48) &amp; "|" &amp; LEFT(SUBSTITUTE($G48,CHAR(160)," "),5) &amp; "|Full Rate",
      TRIM(SUBSTITUTE($N$2:$N$38,CHAR(160)," ")) &amp; "|" &amp;
      LEFT(SUBSTITUTE($O$2:$O$38,CHAR(160)," "),5) &amp; "|" &amp;
      TRIM(SUBSTITUTE($P$2:$P$38,CHAR(160)," ")),
      $Q$2:$Q$38
    )
  ),
"")</f>
        <v>250</v>
      </c>
      <c r="J48" s="300" cm="1">
        <f t="array" ref="J48">IFERROR(
  VALUE($H48) *
  VALUE(
    _xlfn.XLOOKUP(
      TRIM($F48) &amp; "|" &amp; LEFT(SUBSTITUTE($G48,CHAR(160)," "),5) &amp; "|Reduced Rate",
      TRIM(SUBSTITUTE($N$2:$N$38,CHAR(160)," ")) &amp; "|" &amp;
      LEFT(SUBSTITUTE($O$2:$O$38,CHAR(160)," "),5) &amp; "|" &amp;
      TRIM(SUBSTITUTE($P$2:$P$38,CHAR(160)," ")),
      $Q$2:$Q$38
    )
  ),
"")</f>
        <v>150</v>
      </c>
      <c r="K48" s="301" cm="1">
        <f t="array" ref="K48">IFERROR(
  VALUE($H48) *
  VALUE(
    _xlfn.XLOOKUP(
      TRIM($F48) &amp; "|" &amp; LEFT(SUBSTITUTE($G48,CHAR(160)," "),5) &amp; "|Ideas Rate",
      TRIM(SUBSTITUTE($N$2:$N$38,CHAR(160)," ")) &amp; "|" &amp;
      LEFT(SUBSTITUTE($O$2:$O$38,CHAR(160)," "),5) &amp; "|" &amp;
      TRIM(SUBSTITUTE($P$2:$P$38,CHAR(160)," ")),
      $Q$2:$Q$38
    )
  ),
"")</f>
        <v>75</v>
      </c>
      <c r="L48" s="32" t="str">
        <f>IFERROR( VALUE($H48) * INDEX(#REF!, MATCH(UPPER(TRIM($F48)),#REF!,0)), "" )</f>
        <v/>
      </c>
    </row>
    <row r="49" spans="1:12" x14ac:dyDescent="0.2">
      <c r="A49" s="303">
        <v>45883</v>
      </c>
      <c r="B49" s="295" t="s">
        <v>52</v>
      </c>
      <c r="C49" s="304" t="s">
        <v>66</v>
      </c>
      <c r="D49" s="296" t="s">
        <v>172</v>
      </c>
      <c r="E49" s="296" t="s">
        <v>94</v>
      </c>
      <c r="F49" s="296" t="s">
        <v>9</v>
      </c>
      <c r="G49" s="297" t="s">
        <v>380</v>
      </c>
      <c r="H49" s="298">
        <v>0.75</v>
      </c>
      <c r="I49" s="299" cm="1">
        <f t="array" ref="I49">IFERROR(
  VALUE($H49) *
  VALUE(
    _xlfn.XLOOKUP(
      TRIM($F49) &amp; "|" &amp; LEFT(SUBSTITUTE($G49,CHAR(160)," "),5) &amp; "|Full Rate",
      TRIM(SUBSTITUTE($N$2:$N$38,CHAR(160)," ")) &amp; "|" &amp;
      LEFT(SUBSTITUTE($O$2:$O$38,CHAR(160)," "),5) &amp; "|" &amp;
      TRIM(SUBSTITUTE($P$2:$P$38,CHAR(160)," ")),
      $Q$2:$Q$38
    )
  ),
"")</f>
        <v>187.5</v>
      </c>
      <c r="J49" s="300" cm="1">
        <f t="array" ref="J49">IFERROR(
  VALUE($H49) *
  VALUE(
    _xlfn.XLOOKUP(
      TRIM($F49) &amp; "|" &amp; LEFT(SUBSTITUTE($G49,CHAR(160)," "),5) &amp; "|Reduced Rate",
      TRIM(SUBSTITUTE($N$2:$N$38,CHAR(160)," ")) &amp; "|" &amp;
      LEFT(SUBSTITUTE($O$2:$O$38,CHAR(160)," "),5) &amp; "|" &amp;
      TRIM(SUBSTITUTE($P$2:$P$38,CHAR(160)," ")),
      $Q$2:$Q$38
    )
  ),
"")</f>
        <v>112.5</v>
      </c>
      <c r="K49" s="301" cm="1">
        <f t="array" ref="K49">IFERROR(
  VALUE($H49) *
  VALUE(
    _xlfn.XLOOKUP(
      TRIM($F49) &amp; "|" &amp; LEFT(SUBSTITUTE($G49,CHAR(160)," "),5) &amp; "|Ideas Rate",
      TRIM(SUBSTITUTE($N$2:$N$38,CHAR(160)," ")) &amp; "|" &amp;
      LEFT(SUBSTITUTE($O$2:$O$38,CHAR(160)," "),5) &amp; "|" &amp;
      TRIM(SUBSTITUTE($P$2:$P$38,CHAR(160)," ")),
      $Q$2:$Q$38
    )
  ),
"")</f>
        <v>56.25</v>
      </c>
      <c r="L49" s="32" t="str">
        <f>IFERROR( VALUE($H49) * INDEX(#REF!, MATCH(UPPER(TRIM($F49)),#REF!,0)), "" )</f>
        <v/>
      </c>
    </row>
    <row r="50" spans="1:12" x14ac:dyDescent="0.2">
      <c r="A50" s="303">
        <v>45883</v>
      </c>
      <c r="B50" s="295" t="s">
        <v>52</v>
      </c>
      <c r="C50" s="304" t="s">
        <v>66</v>
      </c>
      <c r="D50" s="296" t="s">
        <v>172</v>
      </c>
      <c r="E50" s="296" t="s">
        <v>97</v>
      </c>
      <c r="F50" s="296" t="s">
        <v>9</v>
      </c>
      <c r="G50" s="297" t="s">
        <v>367</v>
      </c>
      <c r="H50" s="298">
        <v>7.4999999999999997E-2</v>
      </c>
      <c r="I50" s="299" cm="1">
        <f t="array" ref="I50">IFERROR(
  VALUE($H50) *
  VALUE(
    _xlfn.XLOOKUP(
      TRIM($F50) &amp; "|" &amp; LEFT(SUBSTITUTE($G50,CHAR(160)," "),5) &amp; "|Full Rate",
      TRIM(SUBSTITUTE($N$2:$N$38,CHAR(160)," ")) &amp; "|" &amp;
      LEFT(SUBSTITUTE($O$2:$O$38,CHAR(160)," "),5) &amp; "|" &amp;
      TRIM(SUBSTITUTE($P$2:$P$38,CHAR(160)," ")),
      $Q$2:$Q$38
    )
  ),
"")</f>
        <v>37.5</v>
      </c>
      <c r="J50" s="300" cm="1">
        <f t="array" ref="J50">IFERROR(
  VALUE($H50) *
  VALUE(
    _xlfn.XLOOKUP(
      TRIM($F50) &amp; "|" &amp; LEFT(SUBSTITUTE($G50,CHAR(160)," "),5) &amp; "|Reduced Rate",
      TRIM(SUBSTITUTE($N$2:$N$38,CHAR(160)," ")) &amp; "|" &amp;
      LEFT(SUBSTITUTE($O$2:$O$38,CHAR(160)," "),5) &amp; "|" &amp;
      TRIM(SUBSTITUTE($P$2:$P$38,CHAR(160)," ")),
      $Q$2:$Q$38
    )
  ),
"")</f>
        <v>22.5</v>
      </c>
      <c r="K50" s="301" cm="1">
        <f t="array" ref="K50">IFERROR(
  VALUE($H50) *
  VALUE(
    _xlfn.XLOOKUP(
      TRIM($F50) &amp; "|" &amp; LEFT(SUBSTITUTE($G50,CHAR(160)," "),5) &amp; "|Ideas Rate",
      TRIM(SUBSTITUTE($N$2:$N$38,CHAR(160)," ")) &amp; "|" &amp;
      LEFT(SUBSTITUTE($O$2:$O$38,CHAR(160)," "),5) &amp; "|" &amp;
      TRIM(SUBSTITUTE($P$2:$P$38,CHAR(160)," ")),
      $Q$2:$Q$38
    )
  ),
"")</f>
        <v>11.25</v>
      </c>
      <c r="L50" s="32" t="str">
        <f>IFERROR( VALUE($H50) * INDEX(#REF!, MATCH(UPPER(TRIM($F50)),#REF!,0)), "" )</f>
        <v/>
      </c>
    </row>
    <row r="51" spans="1:12" x14ac:dyDescent="0.2">
      <c r="A51" s="303">
        <v>45883</v>
      </c>
      <c r="B51" s="295" t="s">
        <v>52</v>
      </c>
      <c r="C51" s="304" t="s">
        <v>66</v>
      </c>
      <c r="D51" s="296" t="s">
        <v>181</v>
      </c>
      <c r="E51" s="296" t="s">
        <v>98</v>
      </c>
      <c r="F51" s="296" t="s">
        <v>9</v>
      </c>
      <c r="G51" s="297" t="s">
        <v>380</v>
      </c>
      <c r="H51" s="298">
        <v>0.5</v>
      </c>
      <c r="I51" s="299" cm="1">
        <f t="array" ref="I51">IFERROR(
  VALUE($H51) *
  VALUE(
    _xlfn.XLOOKUP(
      TRIM($F51) &amp; "|" &amp; LEFT(SUBSTITUTE($G51,CHAR(160)," "),5) &amp; "|Full Rate",
      TRIM(SUBSTITUTE($N$2:$N$38,CHAR(160)," ")) &amp; "|" &amp;
      LEFT(SUBSTITUTE($O$2:$O$38,CHAR(160)," "),5) &amp; "|" &amp;
      TRIM(SUBSTITUTE($P$2:$P$38,CHAR(160)," ")),
      $Q$2:$Q$38
    )
  ),
"")</f>
        <v>125</v>
      </c>
      <c r="J51" s="300" cm="1">
        <f t="array" ref="J51">IFERROR(
  VALUE($H51) *
  VALUE(
    _xlfn.XLOOKUP(
      TRIM($F51) &amp; "|" &amp; LEFT(SUBSTITUTE($G51,CHAR(160)," "),5) &amp; "|Reduced Rate",
      TRIM(SUBSTITUTE($N$2:$N$38,CHAR(160)," ")) &amp; "|" &amp;
      LEFT(SUBSTITUTE($O$2:$O$38,CHAR(160)," "),5) &amp; "|" &amp;
      TRIM(SUBSTITUTE($P$2:$P$38,CHAR(160)," ")),
      $Q$2:$Q$38
    )
  ),
"")</f>
        <v>75</v>
      </c>
      <c r="K51" s="301" cm="1">
        <f t="array" ref="K51">IFERROR(
  VALUE($H51) *
  VALUE(
    _xlfn.XLOOKUP(
      TRIM($F51) &amp; "|" &amp; LEFT(SUBSTITUTE($G51,CHAR(160)," "),5) &amp; "|Ideas Rate",
      TRIM(SUBSTITUTE($N$2:$N$38,CHAR(160)," ")) &amp; "|" &amp;
      LEFT(SUBSTITUTE($O$2:$O$38,CHAR(160)," "),5) &amp; "|" &amp;
      TRIM(SUBSTITUTE($P$2:$P$38,CHAR(160)," ")),
      $Q$2:$Q$38
    )
  ),
"")</f>
        <v>37.5</v>
      </c>
      <c r="L51" s="32" t="str">
        <f>IFERROR( VALUE($H51) * INDEX(#REF!, MATCH(UPPER(TRIM($F51)),#REF!,0)), "" )</f>
        <v/>
      </c>
    </row>
    <row r="52" spans="1:12" x14ac:dyDescent="0.2">
      <c r="A52" s="303">
        <v>45884</v>
      </c>
      <c r="B52" s="295" t="s">
        <v>52</v>
      </c>
      <c r="C52" s="304" t="s">
        <v>66</v>
      </c>
      <c r="D52" s="296" t="s">
        <v>172</v>
      </c>
      <c r="E52" s="296" t="s">
        <v>99</v>
      </c>
      <c r="F52" s="296" t="s">
        <v>9</v>
      </c>
      <c r="G52" s="297" t="s">
        <v>367</v>
      </c>
      <c r="H52" s="298">
        <v>0.5</v>
      </c>
      <c r="I52" s="299" cm="1">
        <f t="array" ref="I52">IFERROR(
  VALUE($H52) *
  VALUE(
    _xlfn.XLOOKUP(
      TRIM($F52) &amp; "|" &amp; LEFT(SUBSTITUTE($G52,CHAR(160)," "),5) &amp; "|Full Rate",
      TRIM(SUBSTITUTE($N$2:$N$38,CHAR(160)," ")) &amp; "|" &amp;
      LEFT(SUBSTITUTE($O$2:$O$38,CHAR(160)," "),5) &amp; "|" &amp;
      TRIM(SUBSTITUTE($P$2:$P$38,CHAR(160)," ")),
      $Q$2:$Q$38
    )
  ),
"")</f>
        <v>250</v>
      </c>
      <c r="J52" s="300" cm="1">
        <f t="array" ref="J52">IFERROR(
  VALUE($H52) *
  VALUE(
    _xlfn.XLOOKUP(
      TRIM($F52) &amp; "|" &amp; LEFT(SUBSTITUTE($G52,CHAR(160)," "),5) &amp; "|Reduced Rate",
      TRIM(SUBSTITUTE($N$2:$N$38,CHAR(160)," ")) &amp; "|" &amp;
      LEFT(SUBSTITUTE($O$2:$O$38,CHAR(160)," "),5) &amp; "|" &amp;
      TRIM(SUBSTITUTE($P$2:$P$38,CHAR(160)," ")),
      $Q$2:$Q$38
    )
  ),
"")</f>
        <v>150</v>
      </c>
      <c r="K52" s="301" cm="1">
        <f t="array" ref="K52">IFERROR(
  VALUE($H52) *
  VALUE(
    _xlfn.XLOOKUP(
      TRIM($F52) &amp; "|" &amp; LEFT(SUBSTITUTE($G52,CHAR(160)," "),5) &amp; "|Ideas Rate",
      TRIM(SUBSTITUTE($N$2:$N$38,CHAR(160)," ")) &amp; "|" &amp;
      LEFT(SUBSTITUTE($O$2:$O$38,CHAR(160)," "),5) &amp; "|" &amp;
      TRIM(SUBSTITUTE($P$2:$P$38,CHAR(160)," ")),
      $Q$2:$Q$38
    )
  ),
"")</f>
        <v>75</v>
      </c>
      <c r="L52" s="32" t="str">
        <f>IFERROR( VALUE($H52) * INDEX(#REF!, MATCH(UPPER(TRIM($F52)),#REF!,0)), "" )</f>
        <v/>
      </c>
    </row>
    <row r="53" spans="1:12" x14ac:dyDescent="0.2">
      <c r="A53" s="303">
        <v>45884</v>
      </c>
      <c r="B53" s="295" t="s">
        <v>52</v>
      </c>
      <c r="C53" s="304" t="s">
        <v>66</v>
      </c>
      <c r="D53" s="296" t="s">
        <v>181</v>
      </c>
      <c r="E53" s="296" t="s">
        <v>98</v>
      </c>
      <c r="F53" s="296" t="s">
        <v>9</v>
      </c>
      <c r="G53" s="297" t="s">
        <v>380</v>
      </c>
      <c r="H53" s="298">
        <v>0.5</v>
      </c>
      <c r="I53" s="299" cm="1">
        <f t="array" ref="I53">IFERROR(
  VALUE($H53) *
  VALUE(
    _xlfn.XLOOKUP(
      TRIM($F53) &amp; "|" &amp; LEFT(SUBSTITUTE($G53,CHAR(160)," "),5) &amp; "|Full Rate",
      TRIM(SUBSTITUTE($N$2:$N$38,CHAR(160)," ")) &amp; "|" &amp;
      LEFT(SUBSTITUTE($O$2:$O$38,CHAR(160)," "),5) &amp; "|" &amp;
      TRIM(SUBSTITUTE($P$2:$P$38,CHAR(160)," ")),
      $Q$2:$Q$38
    )
  ),
"")</f>
        <v>125</v>
      </c>
      <c r="J53" s="300" cm="1">
        <f t="array" ref="J53">IFERROR(
  VALUE($H53) *
  VALUE(
    _xlfn.XLOOKUP(
      TRIM($F53) &amp; "|" &amp; LEFT(SUBSTITUTE($G53,CHAR(160)," "),5) &amp; "|Reduced Rate",
      TRIM(SUBSTITUTE($N$2:$N$38,CHAR(160)," ")) &amp; "|" &amp;
      LEFT(SUBSTITUTE($O$2:$O$38,CHAR(160)," "),5) &amp; "|" &amp;
      TRIM(SUBSTITUTE($P$2:$P$38,CHAR(160)," ")),
      $Q$2:$Q$38
    )
  ),
"")</f>
        <v>75</v>
      </c>
      <c r="K53" s="301" cm="1">
        <f t="array" ref="K53">IFERROR(
  VALUE($H53) *
  VALUE(
    _xlfn.XLOOKUP(
      TRIM($F53) &amp; "|" &amp; LEFT(SUBSTITUTE($G53,CHAR(160)," "),5) &amp; "|Ideas Rate",
      TRIM(SUBSTITUTE($N$2:$N$38,CHAR(160)," ")) &amp; "|" &amp;
      LEFT(SUBSTITUTE($O$2:$O$38,CHAR(160)," "),5) &amp; "|" &amp;
      TRIM(SUBSTITUTE($P$2:$P$38,CHAR(160)," ")),
      $Q$2:$Q$38
    )
  ),
"")</f>
        <v>37.5</v>
      </c>
      <c r="L53" s="32" t="str">
        <f>IFERROR( VALUE($H53) * INDEX(#REF!, MATCH(UPPER(TRIM($F53)),#REF!,0)), "" )</f>
        <v/>
      </c>
    </row>
    <row r="54" spans="1:12" x14ac:dyDescent="0.2">
      <c r="A54" s="303">
        <v>45884</v>
      </c>
      <c r="B54" s="295" t="s">
        <v>52</v>
      </c>
      <c r="C54" s="304" t="s">
        <v>66</v>
      </c>
      <c r="D54" s="296" t="s">
        <v>172</v>
      </c>
      <c r="E54" s="296" t="s">
        <v>100</v>
      </c>
      <c r="F54" s="296" t="s">
        <v>9</v>
      </c>
      <c r="G54" s="297" t="s">
        <v>380</v>
      </c>
      <c r="H54" s="298">
        <v>1</v>
      </c>
      <c r="I54" s="299" cm="1">
        <f t="array" ref="I54">IFERROR(
  VALUE($H54) *
  VALUE(
    _xlfn.XLOOKUP(
      TRIM($F54) &amp; "|" &amp; LEFT(SUBSTITUTE($G54,CHAR(160)," "),5) &amp; "|Full Rate",
      TRIM(SUBSTITUTE($N$2:$N$38,CHAR(160)," ")) &amp; "|" &amp;
      LEFT(SUBSTITUTE($O$2:$O$38,CHAR(160)," "),5) &amp; "|" &amp;
      TRIM(SUBSTITUTE($P$2:$P$38,CHAR(160)," ")),
      $Q$2:$Q$38
    )
  ),
"")</f>
        <v>250</v>
      </c>
      <c r="J54" s="300" cm="1">
        <f t="array" ref="J54">IFERROR(
  VALUE($H54) *
  VALUE(
    _xlfn.XLOOKUP(
      TRIM($F54) &amp; "|" &amp; LEFT(SUBSTITUTE($G54,CHAR(160)," "),5) &amp; "|Reduced Rate",
      TRIM(SUBSTITUTE($N$2:$N$38,CHAR(160)," ")) &amp; "|" &amp;
      LEFT(SUBSTITUTE($O$2:$O$38,CHAR(160)," "),5) &amp; "|" &amp;
      TRIM(SUBSTITUTE($P$2:$P$38,CHAR(160)," ")),
      $Q$2:$Q$38
    )
  ),
"")</f>
        <v>150</v>
      </c>
      <c r="K54" s="301" cm="1">
        <f t="array" ref="K54">IFERROR(
  VALUE($H54) *
  VALUE(
    _xlfn.XLOOKUP(
      TRIM($F54) &amp; "|" &amp; LEFT(SUBSTITUTE($G54,CHAR(160)," "),5) &amp; "|Ideas Rate",
      TRIM(SUBSTITUTE($N$2:$N$38,CHAR(160)," ")) &amp; "|" &amp;
      LEFT(SUBSTITUTE($O$2:$O$38,CHAR(160)," "),5) &amp; "|" &amp;
      TRIM(SUBSTITUTE($P$2:$P$38,CHAR(160)," ")),
      $Q$2:$Q$38
    )
  ),
"")</f>
        <v>75</v>
      </c>
      <c r="L54" s="32" t="str">
        <f>IFERROR( VALUE($H54) * INDEX(#REF!, MATCH(UPPER(TRIM($F54)),#REF!,0)), "" )</f>
        <v/>
      </c>
    </row>
    <row r="55" spans="1:12" x14ac:dyDescent="0.2">
      <c r="A55" s="303">
        <v>45887</v>
      </c>
      <c r="B55" s="295" t="s">
        <v>52</v>
      </c>
      <c r="C55" s="304" t="s">
        <v>66</v>
      </c>
      <c r="D55" s="296" t="s">
        <v>183</v>
      </c>
      <c r="E55" s="296" t="s">
        <v>101</v>
      </c>
      <c r="F55" s="296" t="s">
        <v>9</v>
      </c>
      <c r="G55" s="297" t="s">
        <v>367</v>
      </c>
      <c r="H55" s="298">
        <v>1.25</v>
      </c>
      <c r="I55" s="299" cm="1">
        <f t="array" ref="I55">IFERROR(
  VALUE($H55) *
  VALUE(
    _xlfn.XLOOKUP(
      TRIM($F55) &amp; "|" &amp; LEFT(SUBSTITUTE($G55,CHAR(160)," "),5) &amp; "|Full Rate",
      TRIM(SUBSTITUTE($N$2:$N$38,CHAR(160)," ")) &amp; "|" &amp;
      LEFT(SUBSTITUTE($O$2:$O$38,CHAR(160)," "),5) &amp; "|" &amp;
      TRIM(SUBSTITUTE($P$2:$P$38,CHAR(160)," ")),
      $Q$2:$Q$38
    )
  ),
"")</f>
        <v>625</v>
      </c>
      <c r="J55" s="300" cm="1">
        <f t="array" ref="J55">IFERROR(
  VALUE($H55) *
  VALUE(
    _xlfn.XLOOKUP(
      TRIM($F55) &amp; "|" &amp; LEFT(SUBSTITUTE($G55,CHAR(160)," "),5) &amp; "|Reduced Rate",
      TRIM(SUBSTITUTE($N$2:$N$38,CHAR(160)," ")) &amp; "|" &amp;
      LEFT(SUBSTITUTE($O$2:$O$38,CHAR(160)," "),5) &amp; "|" &amp;
      TRIM(SUBSTITUTE($P$2:$P$38,CHAR(160)," ")),
      $Q$2:$Q$38
    )
  ),
"")</f>
        <v>375</v>
      </c>
      <c r="K55" s="301" cm="1">
        <f t="array" ref="K55">IFERROR(
  VALUE($H55) *
  VALUE(
    _xlfn.XLOOKUP(
      TRIM($F55) &amp; "|" &amp; LEFT(SUBSTITUTE($G55,CHAR(160)," "),5) &amp; "|Ideas Rate",
      TRIM(SUBSTITUTE($N$2:$N$38,CHAR(160)," ")) &amp; "|" &amp;
      LEFT(SUBSTITUTE($O$2:$O$38,CHAR(160)," "),5) &amp; "|" &amp;
      TRIM(SUBSTITUTE($P$2:$P$38,CHAR(160)," ")),
      $Q$2:$Q$38
    )
  ),
"")</f>
        <v>187.5</v>
      </c>
      <c r="L55" s="32" t="str">
        <f>IFERROR( VALUE($H55) * INDEX(#REF!, MATCH(UPPER(TRIM($F55)),#REF!,0)), "" )</f>
        <v/>
      </c>
    </row>
    <row r="56" spans="1:12" x14ac:dyDescent="0.2">
      <c r="A56" s="303">
        <v>45889</v>
      </c>
      <c r="B56" s="295" t="s">
        <v>52</v>
      </c>
      <c r="C56" s="304" t="s">
        <v>66</v>
      </c>
      <c r="D56" s="296" t="s">
        <v>172</v>
      </c>
      <c r="E56" s="296" t="s">
        <v>102</v>
      </c>
      <c r="F56" s="296" t="s">
        <v>9</v>
      </c>
      <c r="G56" s="297" t="s">
        <v>367</v>
      </c>
      <c r="H56" s="298">
        <v>0.5</v>
      </c>
      <c r="I56" s="299" cm="1">
        <f t="array" ref="I56">IFERROR(
  VALUE($H56) *
  VALUE(
    _xlfn.XLOOKUP(
      TRIM($F56) &amp; "|" &amp; LEFT(SUBSTITUTE($G56,CHAR(160)," "),5) &amp; "|Full Rate",
      TRIM(SUBSTITUTE($N$2:$N$38,CHAR(160)," ")) &amp; "|" &amp;
      LEFT(SUBSTITUTE($O$2:$O$38,CHAR(160)," "),5) &amp; "|" &amp;
      TRIM(SUBSTITUTE($P$2:$P$38,CHAR(160)," ")),
      $Q$2:$Q$38
    )
  ),
"")</f>
        <v>250</v>
      </c>
      <c r="J56" s="300" cm="1">
        <f t="array" ref="J56">IFERROR(
  VALUE($H56) *
  VALUE(
    _xlfn.XLOOKUP(
      TRIM($F56) &amp; "|" &amp; LEFT(SUBSTITUTE($G56,CHAR(160)," "),5) &amp; "|Reduced Rate",
      TRIM(SUBSTITUTE($N$2:$N$38,CHAR(160)," ")) &amp; "|" &amp;
      LEFT(SUBSTITUTE($O$2:$O$38,CHAR(160)," "),5) &amp; "|" &amp;
      TRIM(SUBSTITUTE($P$2:$P$38,CHAR(160)," ")),
      $Q$2:$Q$38
    )
  ),
"")</f>
        <v>150</v>
      </c>
      <c r="K56" s="301" cm="1">
        <f t="array" ref="K56">IFERROR(
  VALUE($H56) *
  VALUE(
    _xlfn.XLOOKUP(
      TRIM($F56) &amp; "|" &amp; LEFT(SUBSTITUTE($G56,CHAR(160)," "),5) &amp; "|Ideas Rate",
      TRIM(SUBSTITUTE($N$2:$N$38,CHAR(160)," ")) &amp; "|" &amp;
      LEFT(SUBSTITUTE($O$2:$O$38,CHAR(160)," "),5) &amp; "|" &amp;
      TRIM(SUBSTITUTE($P$2:$P$38,CHAR(160)," ")),
      $Q$2:$Q$38
    )
  ),
"")</f>
        <v>75</v>
      </c>
      <c r="L56" s="32" t="str">
        <f>IFERROR( VALUE($H56) * INDEX(#REF!, MATCH(UPPER(TRIM($F56)),#REF!,0)), "" )</f>
        <v/>
      </c>
    </row>
    <row r="57" spans="1:12" x14ac:dyDescent="0.2">
      <c r="A57" s="303">
        <v>45889</v>
      </c>
      <c r="B57" s="295" t="s">
        <v>52</v>
      </c>
      <c r="C57" s="304" t="s">
        <v>66</v>
      </c>
      <c r="D57" s="296" t="s">
        <v>172</v>
      </c>
      <c r="E57" s="296" t="s">
        <v>103</v>
      </c>
      <c r="F57" s="296" t="s">
        <v>9</v>
      </c>
      <c r="G57" s="297" t="s">
        <v>367</v>
      </c>
      <c r="H57" s="298">
        <v>1</v>
      </c>
      <c r="I57" s="299" cm="1">
        <f t="array" ref="I57">IFERROR(
  VALUE($H57) *
  VALUE(
    _xlfn.XLOOKUP(
      TRIM($F57) &amp; "|" &amp; LEFT(SUBSTITUTE($G57,CHAR(160)," "),5) &amp; "|Full Rate",
      TRIM(SUBSTITUTE($N$2:$N$38,CHAR(160)," ")) &amp; "|" &amp;
      LEFT(SUBSTITUTE($O$2:$O$38,CHAR(160)," "),5) &amp; "|" &amp;
      TRIM(SUBSTITUTE($P$2:$P$38,CHAR(160)," ")),
      $Q$2:$Q$38
    )
  ),
"")</f>
        <v>500</v>
      </c>
      <c r="J57" s="300" cm="1">
        <f t="array" ref="J57">IFERROR(
  VALUE($H57) *
  VALUE(
    _xlfn.XLOOKUP(
      TRIM($F57) &amp; "|" &amp; LEFT(SUBSTITUTE($G57,CHAR(160)," "),5) &amp; "|Reduced Rate",
      TRIM(SUBSTITUTE($N$2:$N$38,CHAR(160)," ")) &amp; "|" &amp;
      LEFT(SUBSTITUTE($O$2:$O$38,CHAR(160)," "),5) &amp; "|" &amp;
      TRIM(SUBSTITUTE($P$2:$P$38,CHAR(160)," ")),
      $Q$2:$Q$38
    )
  ),
"")</f>
        <v>300</v>
      </c>
      <c r="K57" s="301" cm="1">
        <f t="array" ref="K57">IFERROR(
  VALUE($H57) *
  VALUE(
    _xlfn.XLOOKUP(
      TRIM($F57) &amp; "|" &amp; LEFT(SUBSTITUTE($G57,CHAR(160)," "),5) &amp; "|Ideas Rate",
      TRIM(SUBSTITUTE($N$2:$N$38,CHAR(160)," ")) &amp; "|" &amp;
      LEFT(SUBSTITUTE($O$2:$O$38,CHAR(160)," "),5) &amp; "|" &amp;
      TRIM(SUBSTITUTE($P$2:$P$38,CHAR(160)," ")),
      $Q$2:$Q$38
    )
  ),
"")</f>
        <v>150</v>
      </c>
      <c r="L57" s="32" t="str">
        <f>IFERROR( VALUE($H57) * INDEX(#REF!, MATCH(UPPER(TRIM($F57)),#REF!,0)), "" )</f>
        <v/>
      </c>
    </row>
    <row r="58" spans="1:12" x14ac:dyDescent="0.2">
      <c r="A58" s="303">
        <v>45890</v>
      </c>
      <c r="B58" s="295" t="s">
        <v>52</v>
      </c>
      <c r="C58" s="304" t="s">
        <v>66</v>
      </c>
      <c r="D58" s="296" t="s">
        <v>172</v>
      </c>
      <c r="E58" s="296" t="s">
        <v>104</v>
      </c>
      <c r="F58" s="296" t="s">
        <v>9</v>
      </c>
      <c r="G58" s="297" t="s">
        <v>367</v>
      </c>
      <c r="H58" s="298">
        <v>0.5</v>
      </c>
      <c r="I58" s="299" cm="1">
        <f t="array" ref="I58">IFERROR(
  VALUE($H58) *
  VALUE(
    _xlfn.XLOOKUP(
      TRIM($F58) &amp; "|" &amp; LEFT(SUBSTITUTE($G58,CHAR(160)," "),5) &amp; "|Full Rate",
      TRIM(SUBSTITUTE($N$2:$N$38,CHAR(160)," ")) &amp; "|" &amp;
      LEFT(SUBSTITUTE($O$2:$O$38,CHAR(160)," "),5) &amp; "|" &amp;
      TRIM(SUBSTITUTE($P$2:$P$38,CHAR(160)," ")),
      $Q$2:$Q$38
    )
  ),
"")</f>
        <v>250</v>
      </c>
      <c r="J58" s="300" cm="1">
        <f t="array" ref="J58">IFERROR(
  VALUE($H58) *
  VALUE(
    _xlfn.XLOOKUP(
      TRIM($F58) &amp; "|" &amp; LEFT(SUBSTITUTE($G58,CHAR(160)," "),5) &amp; "|Reduced Rate",
      TRIM(SUBSTITUTE($N$2:$N$38,CHAR(160)," ")) &amp; "|" &amp;
      LEFT(SUBSTITUTE($O$2:$O$38,CHAR(160)," "),5) &amp; "|" &amp;
      TRIM(SUBSTITUTE($P$2:$P$38,CHAR(160)," ")),
      $Q$2:$Q$38
    )
  ),
"")</f>
        <v>150</v>
      </c>
      <c r="K58" s="301" cm="1">
        <f t="array" ref="K58">IFERROR(
  VALUE($H58) *
  VALUE(
    _xlfn.XLOOKUP(
      TRIM($F58) &amp; "|" &amp; LEFT(SUBSTITUTE($G58,CHAR(160)," "),5) &amp; "|Ideas Rate",
      TRIM(SUBSTITUTE($N$2:$N$38,CHAR(160)," ")) &amp; "|" &amp;
      LEFT(SUBSTITUTE($O$2:$O$38,CHAR(160)," "),5) &amp; "|" &amp;
      TRIM(SUBSTITUTE($P$2:$P$38,CHAR(160)," ")),
      $Q$2:$Q$38
    )
  ),
"")</f>
        <v>75</v>
      </c>
      <c r="L58" s="32" t="str">
        <f>IFERROR( VALUE($H58) * INDEX(#REF!, MATCH(UPPER(TRIM($F58)),#REF!,0)), "" )</f>
        <v/>
      </c>
    </row>
    <row r="59" spans="1:12" x14ac:dyDescent="0.2">
      <c r="A59" s="303">
        <v>45891</v>
      </c>
      <c r="B59" s="295" t="s">
        <v>52</v>
      </c>
      <c r="C59" s="304" t="s">
        <v>66</v>
      </c>
      <c r="D59" s="296" t="s">
        <v>29</v>
      </c>
      <c r="E59" s="296" t="s">
        <v>105</v>
      </c>
      <c r="F59" s="296" t="s">
        <v>9</v>
      </c>
      <c r="G59" s="297" t="s">
        <v>380</v>
      </c>
      <c r="H59" s="298">
        <v>0.5</v>
      </c>
      <c r="I59" s="299" cm="1">
        <f t="array" ref="I59">IFERROR(
  VALUE($H59) *
  VALUE(
    _xlfn.XLOOKUP(
      TRIM($F59) &amp; "|" &amp; LEFT(SUBSTITUTE($G59,CHAR(160)," "),5) &amp; "|Full Rate",
      TRIM(SUBSTITUTE($N$2:$N$38,CHAR(160)," ")) &amp; "|" &amp;
      LEFT(SUBSTITUTE($O$2:$O$38,CHAR(160)," "),5) &amp; "|" &amp;
      TRIM(SUBSTITUTE($P$2:$P$38,CHAR(160)," ")),
      $Q$2:$Q$38
    )
  ),
"")</f>
        <v>125</v>
      </c>
      <c r="J59" s="300" cm="1">
        <f t="array" ref="J59">IFERROR(
  VALUE($H59) *
  VALUE(
    _xlfn.XLOOKUP(
      TRIM($F59) &amp; "|" &amp; LEFT(SUBSTITUTE($G59,CHAR(160)," "),5) &amp; "|Reduced Rate",
      TRIM(SUBSTITUTE($N$2:$N$38,CHAR(160)," ")) &amp; "|" &amp;
      LEFT(SUBSTITUTE($O$2:$O$38,CHAR(160)," "),5) &amp; "|" &amp;
      TRIM(SUBSTITUTE($P$2:$P$38,CHAR(160)," ")),
      $Q$2:$Q$38
    )
  ),
"")</f>
        <v>75</v>
      </c>
      <c r="K59" s="301" cm="1">
        <f t="array" ref="K59">IFERROR(
  VALUE($H59) *
  VALUE(
    _xlfn.XLOOKUP(
      TRIM($F59) &amp; "|" &amp; LEFT(SUBSTITUTE($G59,CHAR(160)," "),5) &amp; "|Ideas Rate",
      TRIM(SUBSTITUTE($N$2:$N$38,CHAR(160)," ")) &amp; "|" &amp;
      LEFT(SUBSTITUTE($O$2:$O$38,CHAR(160)," "),5) &amp; "|" &amp;
      TRIM(SUBSTITUTE($P$2:$P$38,CHAR(160)," ")),
      $Q$2:$Q$38
    )
  ),
"")</f>
        <v>37.5</v>
      </c>
      <c r="L59" s="32" t="str">
        <f>IFERROR( VALUE($H59) * INDEX(#REF!, MATCH(UPPER(TRIM($F59)),#REF!,0)), "" )</f>
        <v/>
      </c>
    </row>
    <row r="60" spans="1:12" x14ac:dyDescent="0.2">
      <c r="A60" s="303">
        <v>45892</v>
      </c>
      <c r="B60" s="295" t="s">
        <v>52</v>
      </c>
      <c r="C60" s="304" t="s">
        <v>66</v>
      </c>
      <c r="D60" s="296" t="s">
        <v>29</v>
      </c>
      <c r="E60" s="296" t="s">
        <v>106</v>
      </c>
      <c r="F60" s="296" t="s">
        <v>9</v>
      </c>
      <c r="G60" s="297" t="s">
        <v>380</v>
      </c>
      <c r="H60" s="298">
        <v>0.5</v>
      </c>
      <c r="I60" s="299" cm="1">
        <f t="array" ref="I60">IFERROR(
  VALUE($H60) *
  VALUE(
    _xlfn.XLOOKUP(
      TRIM($F60) &amp; "|" &amp; LEFT(SUBSTITUTE($G60,CHAR(160)," "),5) &amp; "|Full Rate",
      TRIM(SUBSTITUTE($N$2:$N$38,CHAR(160)," ")) &amp; "|" &amp;
      LEFT(SUBSTITUTE($O$2:$O$38,CHAR(160)," "),5) &amp; "|" &amp;
      TRIM(SUBSTITUTE($P$2:$P$38,CHAR(160)," ")),
      $Q$2:$Q$38
    )
  ),
"")</f>
        <v>125</v>
      </c>
      <c r="J60" s="300" cm="1">
        <f t="array" ref="J60">IFERROR(
  VALUE($H60) *
  VALUE(
    _xlfn.XLOOKUP(
      TRIM($F60) &amp; "|" &amp; LEFT(SUBSTITUTE($G60,CHAR(160)," "),5) &amp; "|Reduced Rate",
      TRIM(SUBSTITUTE($N$2:$N$38,CHAR(160)," ")) &amp; "|" &amp;
      LEFT(SUBSTITUTE($O$2:$O$38,CHAR(160)," "),5) &amp; "|" &amp;
      TRIM(SUBSTITUTE($P$2:$P$38,CHAR(160)," ")),
      $Q$2:$Q$38
    )
  ),
"")</f>
        <v>75</v>
      </c>
      <c r="K60" s="301" cm="1">
        <f t="array" ref="K60">IFERROR(
  VALUE($H60) *
  VALUE(
    _xlfn.XLOOKUP(
      TRIM($F60) &amp; "|" &amp; LEFT(SUBSTITUTE($G60,CHAR(160)," "),5) &amp; "|Ideas Rate",
      TRIM(SUBSTITUTE($N$2:$N$38,CHAR(160)," ")) &amp; "|" &amp;
      LEFT(SUBSTITUTE($O$2:$O$38,CHAR(160)," "),5) &amp; "|" &amp;
      TRIM(SUBSTITUTE($P$2:$P$38,CHAR(160)," ")),
      $Q$2:$Q$38
    )
  ),
"")</f>
        <v>37.5</v>
      </c>
      <c r="L60" s="32" t="str">
        <f>IFERROR( VALUE($H60) * INDEX(#REF!, MATCH(UPPER(TRIM($F60)),#REF!,0)), "" )</f>
        <v/>
      </c>
    </row>
    <row r="61" spans="1:12" x14ac:dyDescent="0.2">
      <c r="A61" s="303">
        <v>45895</v>
      </c>
      <c r="B61" s="295" t="s">
        <v>52</v>
      </c>
      <c r="C61" s="304" t="s">
        <v>66</v>
      </c>
      <c r="D61" s="296" t="s">
        <v>172</v>
      </c>
      <c r="E61" s="296" t="s">
        <v>107</v>
      </c>
      <c r="F61" s="296" t="s">
        <v>10</v>
      </c>
      <c r="G61" s="297" t="s">
        <v>367</v>
      </c>
      <c r="H61" s="298">
        <v>1</v>
      </c>
      <c r="I61" s="299" cm="1">
        <f t="array" ref="I61">IFERROR(
  VALUE($H61) *
  VALUE(
    _xlfn.XLOOKUP(
      TRIM($F61) &amp; "|" &amp; LEFT(SUBSTITUTE($G61,CHAR(160)," "),5) &amp; "|Full Rate",
      TRIM(SUBSTITUTE($N$2:$N$38,CHAR(160)," ")) &amp; "|" &amp;
      LEFT(SUBSTITUTE($O$2:$O$38,CHAR(160)," "),5) &amp; "|" &amp;
      TRIM(SUBSTITUTE($P$2:$P$38,CHAR(160)," ")),
      $Q$2:$Q$38
    )
  ),
"")</f>
        <v>500</v>
      </c>
      <c r="J61" s="300" cm="1">
        <f t="array" ref="J61">IFERROR(
  VALUE($H61) *
  VALUE(
    _xlfn.XLOOKUP(
      TRIM($F61) &amp; "|" &amp; LEFT(SUBSTITUTE($G61,CHAR(160)," "),5) &amp; "|Reduced Rate",
      TRIM(SUBSTITUTE($N$2:$N$38,CHAR(160)," ")) &amp; "|" &amp;
      LEFT(SUBSTITUTE($O$2:$O$38,CHAR(160)," "),5) &amp; "|" &amp;
      TRIM(SUBSTITUTE($P$2:$P$38,CHAR(160)," ")),
      $Q$2:$Q$38
    )
  ),
"")</f>
        <v>300</v>
      </c>
      <c r="K61" s="301" cm="1">
        <f t="array" ref="K61">IFERROR(
  VALUE($H61) *
  VALUE(
    _xlfn.XLOOKUP(
      TRIM($F61) &amp; "|" &amp; LEFT(SUBSTITUTE($G61,CHAR(160)," "),5) &amp; "|Ideas Rate",
      TRIM(SUBSTITUTE($N$2:$N$38,CHAR(160)," ")) &amp; "|" &amp;
      LEFT(SUBSTITUTE($O$2:$O$38,CHAR(160)," "),5) &amp; "|" &amp;
      TRIM(SUBSTITUTE($P$2:$P$38,CHAR(160)," ")),
      $Q$2:$Q$38
    )
  ),
"")</f>
        <v>150</v>
      </c>
      <c r="L61" s="32" t="str">
        <f>IFERROR( VALUE($H61) * INDEX(#REF!, MATCH(UPPER(TRIM($F61)),#REF!,0)), "" )</f>
        <v/>
      </c>
    </row>
    <row r="62" spans="1:12" x14ac:dyDescent="0.2">
      <c r="A62" s="303">
        <v>45895</v>
      </c>
      <c r="B62" s="295" t="s">
        <v>52</v>
      </c>
      <c r="C62" s="304" t="s">
        <v>66</v>
      </c>
      <c r="D62" s="296" t="s">
        <v>172</v>
      </c>
      <c r="E62" s="296" t="s">
        <v>108</v>
      </c>
      <c r="F62" s="296" t="s">
        <v>10</v>
      </c>
      <c r="G62" s="297" t="s">
        <v>367</v>
      </c>
      <c r="H62" s="298">
        <v>0.5</v>
      </c>
      <c r="I62" s="299" cm="1">
        <f t="array" ref="I62">IFERROR(
  VALUE($H62) *
  VALUE(
    _xlfn.XLOOKUP(
      TRIM($F62) &amp; "|" &amp; LEFT(SUBSTITUTE($G62,CHAR(160)," "),5) &amp; "|Full Rate",
      TRIM(SUBSTITUTE($N$2:$N$38,CHAR(160)," ")) &amp; "|" &amp;
      LEFT(SUBSTITUTE($O$2:$O$38,CHAR(160)," "),5) &amp; "|" &amp;
      TRIM(SUBSTITUTE($P$2:$P$38,CHAR(160)," ")),
      $Q$2:$Q$38
    )
  ),
"")</f>
        <v>250</v>
      </c>
      <c r="J62" s="300" cm="1">
        <f t="array" ref="J62">IFERROR(
  VALUE($H62) *
  VALUE(
    _xlfn.XLOOKUP(
      TRIM($F62) &amp; "|" &amp; LEFT(SUBSTITUTE($G62,CHAR(160)," "),5) &amp; "|Reduced Rate",
      TRIM(SUBSTITUTE($N$2:$N$38,CHAR(160)," ")) &amp; "|" &amp;
      LEFT(SUBSTITUTE($O$2:$O$38,CHAR(160)," "),5) &amp; "|" &amp;
      TRIM(SUBSTITUTE($P$2:$P$38,CHAR(160)," ")),
      $Q$2:$Q$38
    )
  ),
"")</f>
        <v>150</v>
      </c>
      <c r="K62" s="301" cm="1">
        <f t="array" ref="K62">IFERROR(
  VALUE($H62) *
  VALUE(
    _xlfn.XLOOKUP(
      TRIM($F62) &amp; "|" &amp; LEFT(SUBSTITUTE($G62,CHAR(160)," "),5) &amp; "|Ideas Rate",
      TRIM(SUBSTITUTE($N$2:$N$38,CHAR(160)," ")) &amp; "|" &amp;
      LEFT(SUBSTITUTE($O$2:$O$38,CHAR(160)," "),5) &amp; "|" &amp;
      TRIM(SUBSTITUTE($P$2:$P$38,CHAR(160)," ")),
      $Q$2:$Q$38
    )
  ),
"")</f>
        <v>75</v>
      </c>
      <c r="L62" s="32" t="str">
        <f>IFERROR( VALUE($H62) * INDEX(#REF!, MATCH(UPPER(TRIM($F62)),#REF!,0)), "" )</f>
        <v/>
      </c>
    </row>
    <row r="63" spans="1:12" x14ac:dyDescent="0.2">
      <c r="A63" s="303">
        <v>45895</v>
      </c>
      <c r="B63" s="295" t="s">
        <v>52</v>
      </c>
      <c r="C63" s="304" t="s">
        <v>66</v>
      </c>
      <c r="D63" s="296" t="s">
        <v>172</v>
      </c>
      <c r="E63" s="296" t="s">
        <v>109</v>
      </c>
      <c r="F63" s="296" t="s">
        <v>9</v>
      </c>
      <c r="G63" s="297" t="s">
        <v>367</v>
      </c>
      <c r="H63" s="298">
        <v>1</v>
      </c>
      <c r="I63" s="299" cm="1">
        <f t="array" ref="I63">IFERROR(
  VALUE($H63) *
  VALUE(
    _xlfn.XLOOKUP(
      TRIM($F63) &amp; "|" &amp; LEFT(SUBSTITUTE($G63,CHAR(160)," "),5) &amp; "|Full Rate",
      TRIM(SUBSTITUTE($N$2:$N$38,CHAR(160)," ")) &amp; "|" &amp;
      LEFT(SUBSTITUTE($O$2:$O$38,CHAR(160)," "),5) &amp; "|" &amp;
      TRIM(SUBSTITUTE($P$2:$P$38,CHAR(160)," ")),
      $Q$2:$Q$38
    )
  ),
"")</f>
        <v>500</v>
      </c>
      <c r="J63" s="300" cm="1">
        <f t="array" ref="J63">IFERROR(
  VALUE($H63) *
  VALUE(
    _xlfn.XLOOKUP(
      TRIM($F63) &amp; "|" &amp; LEFT(SUBSTITUTE($G63,CHAR(160)," "),5) &amp; "|Reduced Rate",
      TRIM(SUBSTITUTE($N$2:$N$38,CHAR(160)," ")) &amp; "|" &amp;
      LEFT(SUBSTITUTE($O$2:$O$38,CHAR(160)," "),5) &amp; "|" &amp;
      TRIM(SUBSTITUTE($P$2:$P$38,CHAR(160)," ")),
      $Q$2:$Q$38
    )
  ),
"")</f>
        <v>300</v>
      </c>
      <c r="K63" s="301" cm="1">
        <f t="array" ref="K63">IFERROR(
  VALUE($H63) *
  VALUE(
    _xlfn.XLOOKUP(
      TRIM($F63) &amp; "|" &amp; LEFT(SUBSTITUTE($G63,CHAR(160)," "),5) &amp; "|Ideas Rate",
      TRIM(SUBSTITUTE($N$2:$N$38,CHAR(160)," ")) &amp; "|" &amp;
      LEFT(SUBSTITUTE($O$2:$O$38,CHAR(160)," "),5) &amp; "|" &amp;
      TRIM(SUBSTITUTE($P$2:$P$38,CHAR(160)," ")),
      $Q$2:$Q$38
    )
  ),
"")</f>
        <v>150</v>
      </c>
      <c r="L63" s="32" t="str">
        <f>IFERROR( VALUE($H63) * INDEX(#REF!, MATCH(UPPER(TRIM($F63)),#REF!,0)), "" )</f>
        <v/>
      </c>
    </row>
    <row r="64" spans="1:12" x14ac:dyDescent="0.2">
      <c r="A64" s="303">
        <v>45895</v>
      </c>
      <c r="B64" s="295" t="s">
        <v>52</v>
      </c>
      <c r="C64" s="304" t="s">
        <v>66</v>
      </c>
      <c r="D64" s="296" t="s">
        <v>172</v>
      </c>
      <c r="E64" s="296" t="s">
        <v>108</v>
      </c>
      <c r="F64" s="296" t="s">
        <v>9</v>
      </c>
      <c r="G64" s="297" t="s">
        <v>367</v>
      </c>
      <c r="H64" s="298">
        <v>0.5</v>
      </c>
      <c r="I64" s="299" cm="1">
        <f t="array" ref="I64">IFERROR(
  VALUE($H64) *
  VALUE(
    _xlfn.XLOOKUP(
      TRIM($F64) &amp; "|" &amp; LEFT(SUBSTITUTE($G64,CHAR(160)," "),5) &amp; "|Full Rate",
      TRIM(SUBSTITUTE($N$2:$N$38,CHAR(160)," ")) &amp; "|" &amp;
      LEFT(SUBSTITUTE($O$2:$O$38,CHAR(160)," "),5) &amp; "|" &amp;
      TRIM(SUBSTITUTE($P$2:$P$38,CHAR(160)," ")),
      $Q$2:$Q$38
    )
  ),
"")</f>
        <v>250</v>
      </c>
      <c r="J64" s="300" cm="1">
        <f t="array" ref="J64">IFERROR(
  VALUE($H64) *
  VALUE(
    _xlfn.XLOOKUP(
      TRIM($F64) &amp; "|" &amp; LEFT(SUBSTITUTE($G64,CHAR(160)," "),5) &amp; "|Reduced Rate",
      TRIM(SUBSTITUTE($N$2:$N$38,CHAR(160)," ")) &amp; "|" &amp;
      LEFT(SUBSTITUTE($O$2:$O$38,CHAR(160)," "),5) &amp; "|" &amp;
      TRIM(SUBSTITUTE($P$2:$P$38,CHAR(160)," ")),
      $Q$2:$Q$38
    )
  ),
"")</f>
        <v>150</v>
      </c>
      <c r="K64" s="301" cm="1">
        <f t="array" ref="K64">IFERROR(
  VALUE($H64) *
  VALUE(
    _xlfn.XLOOKUP(
      TRIM($F64) &amp; "|" &amp; LEFT(SUBSTITUTE($G64,CHAR(160)," "),5) &amp; "|Ideas Rate",
      TRIM(SUBSTITUTE($N$2:$N$38,CHAR(160)," ")) &amp; "|" &amp;
      LEFT(SUBSTITUTE($O$2:$O$38,CHAR(160)," "),5) &amp; "|" &amp;
      TRIM(SUBSTITUTE($P$2:$P$38,CHAR(160)," ")),
      $Q$2:$Q$38
    )
  ),
"")</f>
        <v>75</v>
      </c>
      <c r="L64" s="32" t="str">
        <f>IFERROR( VALUE($H64) * INDEX(#REF!, MATCH(UPPER(TRIM($F64)),#REF!,0)), "" )</f>
        <v/>
      </c>
    </row>
    <row r="65" spans="1:12" x14ac:dyDescent="0.2">
      <c r="A65" s="303">
        <v>45895</v>
      </c>
      <c r="B65" s="295" t="s">
        <v>52</v>
      </c>
      <c r="C65" s="304" t="s">
        <v>66</v>
      </c>
      <c r="D65" s="296" t="s">
        <v>183</v>
      </c>
      <c r="E65" s="296" t="s">
        <v>110</v>
      </c>
      <c r="F65" s="296" t="s">
        <v>9</v>
      </c>
      <c r="G65" s="297" t="s">
        <v>367</v>
      </c>
      <c r="H65" s="298">
        <v>0.75</v>
      </c>
      <c r="I65" s="299" cm="1">
        <f t="array" ref="I65">IFERROR(
  VALUE($H65) *
  VALUE(
    _xlfn.XLOOKUP(
      TRIM($F65) &amp; "|" &amp; LEFT(SUBSTITUTE($G65,CHAR(160)," "),5) &amp; "|Full Rate",
      TRIM(SUBSTITUTE($N$2:$N$38,CHAR(160)," ")) &amp; "|" &amp;
      LEFT(SUBSTITUTE($O$2:$O$38,CHAR(160)," "),5) &amp; "|" &amp;
      TRIM(SUBSTITUTE($P$2:$P$38,CHAR(160)," ")),
      $Q$2:$Q$38
    )
  ),
"")</f>
        <v>375</v>
      </c>
      <c r="J65" s="300" cm="1">
        <f t="array" ref="J65">IFERROR(
  VALUE($H65) *
  VALUE(
    _xlfn.XLOOKUP(
      TRIM($F65) &amp; "|" &amp; LEFT(SUBSTITUTE($G65,CHAR(160)," "),5) &amp; "|Reduced Rate",
      TRIM(SUBSTITUTE($N$2:$N$38,CHAR(160)," ")) &amp; "|" &amp;
      LEFT(SUBSTITUTE($O$2:$O$38,CHAR(160)," "),5) &amp; "|" &amp;
      TRIM(SUBSTITUTE($P$2:$P$38,CHAR(160)," ")),
      $Q$2:$Q$38
    )
  ),
"")</f>
        <v>225</v>
      </c>
      <c r="K65" s="301" cm="1">
        <f t="array" ref="K65">IFERROR(
  VALUE($H65) *
  VALUE(
    _xlfn.XLOOKUP(
      TRIM($F65) &amp; "|" &amp; LEFT(SUBSTITUTE($G65,CHAR(160)," "),5) &amp; "|Ideas Rate",
      TRIM(SUBSTITUTE($N$2:$N$38,CHAR(160)," ")) &amp; "|" &amp;
      LEFT(SUBSTITUTE($O$2:$O$38,CHAR(160)," "),5) &amp; "|" &amp;
      TRIM(SUBSTITUTE($P$2:$P$38,CHAR(160)," ")),
      $Q$2:$Q$38
    )
  ),
"")</f>
        <v>112.5</v>
      </c>
      <c r="L65" s="32" t="str">
        <f>IFERROR( VALUE($H65) * INDEX(#REF!, MATCH(UPPER(TRIM($F65)),#REF!,0)), "" )</f>
        <v/>
      </c>
    </row>
    <row r="66" spans="1:12" x14ac:dyDescent="0.2">
      <c r="A66" s="303">
        <v>45896</v>
      </c>
      <c r="B66" s="295" t="s">
        <v>52</v>
      </c>
      <c r="C66" s="304" t="s">
        <v>66</v>
      </c>
      <c r="D66" s="296" t="s">
        <v>183</v>
      </c>
      <c r="E66" s="296" t="s">
        <v>142</v>
      </c>
      <c r="F66" s="296" t="s">
        <v>10</v>
      </c>
      <c r="G66" s="297" t="s">
        <v>367</v>
      </c>
      <c r="H66" s="298">
        <v>1.75</v>
      </c>
      <c r="I66" s="299" cm="1">
        <f t="array" ref="I66">IFERROR(
  VALUE($H66) *
  VALUE(
    _xlfn.XLOOKUP(
      TRIM($F66) &amp; "|" &amp; LEFT(SUBSTITUTE($G66,CHAR(160)," "),5) &amp; "|Full Rate",
      TRIM(SUBSTITUTE($N$2:$N$38,CHAR(160)," ")) &amp; "|" &amp;
      LEFT(SUBSTITUTE($O$2:$O$38,CHAR(160)," "),5) &amp; "|" &amp;
      TRIM(SUBSTITUTE($P$2:$P$38,CHAR(160)," ")),
      $Q$2:$Q$38
    )
  ),
"")</f>
        <v>875</v>
      </c>
      <c r="J66" s="300" cm="1">
        <f t="array" ref="J66">IFERROR(
  VALUE($H66) *
  VALUE(
    _xlfn.XLOOKUP(
      TRIM($F66) &amp; "|" &amp; LEFT(SUBSTITUTE($G66,CHAR(160)," "),5) &amp; "|Reduced Rate",
      TRIM(SUBSTITUTE($N$2:$N$38,CHAR(160)," ")) &amp; "|" &amp;
      LEFT(SUBSTITUTE($O$2:$O$38,CHAR(160)," "),5) &amp; "|" &amp;
      TRIM(SUBSTITUTE($P$2:$P$38,CHAR(160)," ")),
      $Q$2:$Q$38
    )
  ),
"")</f>
        <v>525</v>
      </c>
      <c r="K66" s="301" cm="1">
        <f t="array" ref="K66">IFERROR(
  VALUE($H66) *
  VALUE(
    _xlfn.XLOOKUP(
      TRIM($F66) &amp; "|" &amp; LEFT(SUBSTITUTE($G66,CHAR(160)," "),5) &amp; "|Ideas Rate",
      TRIM(SUBSTITUTE($N$2:$N$38,CHAR(160)," ")) &amp; "|" &amp;
      LEFT(SUBSTITUTE($O$2:$O$38,CHAR(160)," "),5) &amp; "|" &amp;
      TRIM(SUBSTITUTE($P$2:$P$38,CHAR(160)," ")),
      $Q$2:$Q$38
    )
  ),
"")</f>
        <v>262.5</v>
      </c>
      <c r="L66" s="32" t="str">
        <f>IFERROR( VALUE($H66) * INDEX(#REF!, MATCH(UPPER(TRIM($F66)),#REF!,0)), "" )</f>
        <v/>
      </c>
    </row>
    <row r="67" spans="1:12" x14ac:dyDescent="0.2">
      <c r="A67" s="303">
        <v>45896</v>
      </c>
      <c r="B67" s="295" t="s">
        <v>52</v>
      </c>
      <c r="C67" s="304" t="s">
        <v>66</v>
      </c>
      <c r="D67" s="296" t="s">
        <v>172</v>
      </c>
      <c r="E67" s="296" t="s">
        <v>143</v>
      </c>
      <c r="F67" s="296" t="s">
        <v>10</v>
      </c>
      <c r="G67" s="297" t="s">
        <v>380</v>
      </c>
      <c r="H67" s="298">
        <v>4.5</v>
      </c>
      <c r="I67" s="299" cm="1">
        <f t="array" ref="I67">IFERROR(
  VALUE($H67) *
  VALUE(
    _xlfn.XLOOKUP(
      TRIM($F67) &amp; "|" &amp; LEFT(SUBSTITUTE($G67,CHAR(160)," "),5) &amp; "|Full Rate",
      TRIM(SUBSTITUTE($N$2:$N$38,CHAR(160)," ")) &amp; "|" &amp;
      LEFT(SUBSTITUTE($O$2:$O$38,CHAR(160)," "),5) &amp; "|" &amp;
      TRIM(SUBSTITUTE($P$2:$P$38,CHAR(160)," ")),
      $Q$2:$Q$38
    )
  ),
"")</f>
        <v>1125</v>
      </c>
      <c r="J67" s="300" cm="1">
        <f t="array" ref="J67">IFERROR(
  VALUE($H67) *
  VALUE(
    _xlfn.XLOOKUP(
      TRIM($F67) &amp; "|" &amp; LEFT(SUBSTITUTE($G67,CHAR(160)," "),5) &amp; "|Reduced Rate",
      TRIM(SUBSTITUTE($N$2:$N$38,CHAR(160)," ")) &amp; "|" &amp;
      LEFT(SUBSTITUTE($O$2:$O$38,CHAR(160)," "),5) &amp; "|" &amp;
      TRIM(SUBSTITUTE($P$2:$P$38,CHAR(160)," ")),
      $Q$2:$Q$38
    )
  ),
"")</f>
        <v>675</v>
      </c>
      <c r="K67" s="301" cm="1">
        <f t="array" ref="K67">IFERROR(
  VALUE($H67) *
  VALUE(
    _xlfn.XLOOKUP(
      TRIM($F67) &amp; "|" &amp; LEFT(SUBSTITUTE($G67,CHAR(160)," "),5) &amp; "|Ideas Rate",
      TRIM(SUBSTITUTE($N$2:$N$38,CHAR(160)," ")) &amp; "|" &amp;
      LEFT(SUBSTITUTE($O$2:$O$38,CHAR(160)," "),5) &amp; "|" &amp;
      TRIM(SUBSTITUTE($P$2:$P$38,CHAR(160)," ")),
      $Q$2:$Q$38
    )
  ),
"")</f>
        <v>337.5</v>
      </c>
      <c r="L67" s="32" t="str">
        <f>IFERROR( VALUE($H67) * INDEX(#REF!, MATCH(UPPER(TRIM($F67)),#REF!,0)), "" )</f>
        <v/>
      </c>
    </row>
    <row r="68" spans="1:12" x14ac:dyDescent="0.2">
      <c r="A68" s="303">
        <v>45896</v>
      </c>
      <c r="B68" s="295" t="s">
        <v>52</v>
      </c>
      <c r="C68" s="304" t="s">
        <v>66</v>
      </c>
      <c r="D68" s="296" t="s">
        <v>172</v>
      </c>
      <c r="E68" s="296" t="s">
        <v>144</v>
      </c>
      <c r="F68" s="296" t="s">
        <v>9</v>
      </c>
      <c r="G68" s="297" t="s">
        <v>367</v>
      </c>
      <c r="H68" s="298">
        <v>5</v>
      </c>
      <c r="I68" s="299" cm="1">
        <f t="array" ref="I68">IFERROR(
  VALUE($H68) *
  VALUE(
    _xlfn.XLOOKUP(
      TRIM($F68) &amp; "|" &amp; LEFT(SUBSTITUTE($G68,CHAR(160)," "),5) &amp; "|Full Rate",
      TRIM(SUBSTITUTE($N$2:$N$38,CHAR(160)," ")) &amp; "|" &amp;
      LEFT(SUBSTITUTE($O$2:$O$38,CHAR(160)," "),5) &amp; "|" &amp;
      TRIM(SUBSTITUTE($P$2:$P$38,CHAR(160)," ")),
      $Q$2:$Q$38
    )
  ),
"")</f>
        <v>2500</v>
      </c>
      <c r="J68" s="300" cm="1">
        <f t="array" ref="J68">IFERROR(
  VALUE($H68) *
  VALUE(
    _xlfn.XLOOKUP(
      TRIM($F68) &amp; "|" &amp; LEFT(SUBSTITUTE($G68,CHAR(160)," "),5) &amp; "|Reduced Rate",
      TRIM(SUBSTITUTE($N$2:$N$38,CHAR(160)," ")) &amp; "|" &amp;
      LEFT(SUBSTITUTE($O$2:$O$38,CHAR(160)," "),5) &amp; "|" &amp;
      TRIM(SUBSTITUTE($P$2:$P$38,CHAR(160)," ")),
      $Q$2:$Q$38
    )
  ),
"")</f>
        <v>1500</v>
      </c>
      <c r="K68" s="301" cm="1">
        <f t="array" ref="K68">IFERROR(
  VALUE($H68) *
  VALUE(
    _xlfn.XLOOKUP(
      TRIM($F68) &amp; "|" &amp; LEFT(SUBSTITUTE($G68,CHAR(160)," "),5) &amp; "|Ideas Rate",
      TRIM(SUBSTITUTE($N$2:$N$38,CHAR(160)," ")) &amp; "|" &amp;
      LEFT(SUBSTITUTE($O$2:$O$38,CHAR(160)," "),5) &amp; "|" &amp;
      TRIM(SUBSTITUTE($P$2:$P$38,CHAR(160)," ")),
      $Q$2:$Q$38
    )
  ),
"")</f>
        <v>750</v>
      </c>
      <c r="L68" s="32" t="str">
        <f>IFERROR( VALUE($H68) * INDEX(#REF!, MATCH(UPPER(TRIM($F68)),#REF!,0)), "" )</f>
        <v/>
      </c>
    </row>
    <row r="69" spans="1:12" x14ac:dyDescent="0.2">
      <c r="A69" s="303">
        <v>45895</v>
      </c>
      <c r="B69" s="295" t="s">
        <v>52</v>
      </c>
      <c r="C69" s="304" t="s">
        <v>66</v>
      </c>
      <c r="D69" s="296" t="s">
        <v>185</v>
      </c>
      <c r="E69" s="296" t="s">
        <v>148</v>
      </c>
      <c r="F69" s="296" t="s">
        <v>155</v>
      </c>
      <c r="G69" s="297" t="s">
        <v>367</v>
      </c>
      <c r="H69" s="298">
        <v>3</v>
      </c>
      <c r="I69" s="299" cm="1">
        <f t="array" ref="I69">IFERROR(
  VALUE($H69) *
  VALUE(
    _xlfn.XLOOKUP(
      TRIM($F69) &amp; "|" &amp; LEFT(SUBSTITUTE($G69,CHAR(160)," "),5) &amp; "|Full Rate",
      TRIM(SUBSTITUTE($N$2:$N$38,CHAR(160)," ")) &amp; "|" &amp;
      LEFT(SUBSTITUTE($O$2:$O$38,CHAR(160)," "),5) &amp; "|" &amp;
      TRIM(SUBSTITUTE($P$2:$P$38,CHAR(160)," ")),
      $Q$2:$Q$38
    )
  ),
"")</f>
        <v>1200</v>
      </c>
      <c r="J69" s="300" cm="1">
        <f t="array" ref="J69">IFERROR(
  VALUE($H69) *
  VALUE(
    _xlfn.XLOOKUP(
      TRIM($F69) &amp; "|" &amp; LEFT(SUBSTITUTE($G69,CHAR(160)," "),5) &amp; "|Reduced Rate",
      TRIM(SUBSTITUTE($N$2:$N$38,CHAR(160)," ")) &amp; "|" &amp;
      LEFT(SUBSTITUTE($O$2:$O$38,CHAR(160)," "),5) &amp; "|" &amp;
      TRIM(SUBSTITUTE($P$2:$P$38,CHAR(160)," ")),
      $Q$2:$Q$38
    )
  ),
"")</f>
        <v>600</v>
      </c>
      <c r="K69" s="301" cm="1">
        <f t="array" ref="K69">IFERROR(
  VALUE($H69) *
  VALUE(
    _xlfn.XLOOKUP(
      TRIM($F69) &amp; "|" &amp; LEFT(SUBSTITUTE($G69,CHAR(160)," "),5) &amp; "|Ideas Rate",
      TRIM(SUBSTITUTE($N$2:$N$38,CHAR(160)," ")) &amp; "|" &amp;
      LEFT(SUBSTITUTE($O$2:$O$38,CHAR(160)," "),5) &amp; "|" &amp;
      TRIM(SUBSTITUTE($P$2:$P$38,CHAR(160)," ")),
      $Q$2:$Q$38
    )
  ),
"")</f>
        <v>360</v>
      </c>
      <c r="L69" s="32" t="str">
        <f>IFERROR( VALUE($H69) * INDEX(#REF!, MATCH(UPPER(TRIM($F69)),#REF!,0)), "" )</f>
        <v/>
      </c>
    </row>
    <row r="70" spans="1:12" x14ac:dyDescent="0.2">
      <c r="A70" s="303">
        <v>45895</v>
      </c>
      <c r="B70" s="295" t="s">
        <v>52</v>
      </c>
      <c r="C70" s="304" t="s">
        <v>66</v>
      </c>
      <c r="D70" s="296" t="s">
        <v>172</v>
      </c>
      <c r="E70" s="296" t="s">
        <v>149</v>
      </c>
      <c r="F70" s="296" t="s">
        <v>155</v>
      </c>
      <c r="G70" s="297" t="s">
        <v>380</v>
      </c>
      <c r="H70" s="298">
        <v>0.75</v>
      </c>
      <c r="I70" s="299" cm="1">
        <f t="array" ref="I70">IFERROR(
  VALUE($H70) *
  VALUE(
    _xlfn.XLOOKUP(
      TRIM($F70) &amp; "|" &amp; LEFT(SUBSTITUTE($G70,CHAR(160)," "),5) &amp; "|Full Rate",
      TRIM(SUBSTITUTE($N$2:$N$38,CHAR(160)," ")) &amp; "|" &amp;
      LEFT(SUBSTITUTE($O$2:$O$38,CHAR(160)," "),5) &amp; "|" &amp;
      TRIM(SUBSTITUTE($P$2:$P$38,CHAR(160)," ")),
      $Q$2:$Q$38
    )
  ),
"")</f>
        <v>195</v>
      </c>
      <c r="J70" s="300" cm="1">
        <f t="array" ref="J70">IFERROR(
  VALUE($H70) *
  VALUE(
    _xlfn.XLOOKUP(
      TRIM($F70) &amp; "|" &amp; LEFT(SUBSTITUTE($G70,CHAR(160)," "),5) &amp; "|Reduced Rate",
      TRIM(SUBSTITUTE($N$2:$N$38,CHAR(160)," ")) &amp; "|" &amp;
      LEFT(SUBSTITUTE($O$2:$O$38,CHAR(160)," "),5) &amp; "|" &amp;
      TRIM(SUBSTITUTE($P$2:$P$38,CHAR(160)," ")),
      $Q$2:$Q$38
    )
  ),
"")</f>
        <v>90</v>
      </c>
      <c r="K70" s="301" cm="1">
        <f t="array" ref="K70">IFERROR(
  VALUE($H70) *
  VALUE(
    _xlfn.XLOOKUP(
      TRIM($F70) &amp; "|" &amp; LEFT(SUBSTITUTE($G70,CHAR(160)," "),5) &amp; "|Ideas Rate",
      TRIM(SUBSTITUTE($N$2:$N$38,CHAR(160)," ")) &amp; "|" &amp;
      LEFT(SUBSTITUTE($O$2:$O$38,CHAR(160)," "),5) &amp; "|" &amp;
      TRIM(SUBSTITUTE($P$2:$P$38,CHAR(160)," ")),
      $Q$2:$Q$38
    )
  ),
"")</f>
        <v>67.5</v>
      </c>
      <c r="L70" s="32" t="str">
        <f>IFERROR( VALUE($H70) * INDEX(#REF!, MATCH(UPPER(TRIM($F70)),#REF!,0)), "" )</f>
        <v/>
      </c>
    </row>
    <row r="71" spans="1:12" x14ac:dyDescent="0.2">
      <c r="A71" s="303">
        <v>45895</v>
      </c>
      <c r="B71" s="295" t="s">
        <v>52</v>
      </c>
      <c r="C71" s="304" t="s">
        <v>66</v>
      </c>
      <c r="D71" s="296" t="s">
        <v>172</v>
      </c>
      <c r="E71" s="296" t="s">
        <v>150</v>
      </c>
      <c r="F71" s="296" t="s">
        <v>155</v>
      </c>
      <c r="G71" s="297" t="s">
        <v>380</v>
      </c>
      <c r="H71" s="298">
        <v>1</v>
      </c>
      <c r="I71" s="299" cm="1">
        <f t="array" ref="I71">IFERROR(
  VALUE($H71) *
  VALUE(
    _xlfn.XLOOKUP(
      TRIM($F71) &amp; "|" &amp; LEFT(SUBSTITUTE($G71,CHAR(160)," "),5) &amp; "|Full Rate",
      TRIM(SUBSTITUTE($N$2:$N$38,CHAR(160)," ")) &amp; "|" &amp;
      LEFT(SUBSTITUTE($O$2:$O$38,CHAR(160)," "),5) &amp; "|" &amp;
      TRIM(SUBSTITUTE($P$2:$P$38,CHAR(160)," ")),
      $Q$2:$Q$38
    )
  ),
"")</f>
        <v>260</v>
      </c>
      <c r="J71" s="300" cm="1">
        <f t="array" ref="J71">IFERROR(
  VALUE($H71) *
  VALUE(
    _xlfn.XLOOKUP(
      TRIM($F71) &amp; "|" &amp; LEFT(SUBSTITUTE($G71,CHAR(160)," "),5) &amp; "|Reduced Rate",
      TRIM(SUBSTITUTE($N$2:$N$38,CHAR(160)," ")) &amp; "|" &amp;
      LEFT(SUBSTITUTE($O$2:$O$38,CHAR(160)," "),5) &amp; "|" &amp;
      TRIM(SUBSTITUTE($P$2:$P$38,CHAR(160)," ")),
      $Q$2:$Q$38
    )
  ),
"")</f>
        <v>120</v>
      </c>
      <c r="K71" s="301" cm="1">
        <f t="array" ref="K71">IFERROR(
  VALUE($H71) *
  VALUE(
    _xlfn.XLOOKUP(
      TRIM($F71) &amp; "|" &amp; LEFT(SUBSTITUTE($G71,CHAR(160)," "),5) &amp; "|Ideas Rate",
      TRIM(SUBSTITUTE($N$2:$N$38,CHAR(160)," ")) &amp; "|" &amp;
      LEFT(SUBSTITUTE($O$2:$O$38,CHAR(160)," "),5) &amp; "|" &amp;
      TRIM(SUBSTITUTE($P$2:$P$38,CHAR(160)," ")),
      $Q$2:$Q$38
    )
  ),
"")</f>
        <v>90</v>
      </c>
      <c r="L71" s="32" t="str">
        <f>IFERROR( VALUE($H71) * INDEX(#REF!, MATCH(UPPER(TRIM($F71)),#REF!,0)), "" )</f>
        <v/>
      </c>
    </row>
    <row r="72" spans="1:12" x14ac:dyDescent="0.2">
      <c r="A72" s="303">
        <v>45896</v>
      </c>
      <c r="B72" s="295" t="s">
        <v>52</v>
      </c>
      <c r="C72" s="304" t="s">
        <v>66</v>
      </c>
      <c r="D72" s="296" t="s">
        <v>185</v>
      </c>
      <c r="E72" s="296" t="s">
        <v>148</v>
      </c>
      <c r="F72" s="296" t="s">
        <v>155</v>
      </c>
      <c r="G72" s="297" t="s">
        <v>367</v>
      </c>
      <c r="H72" s="298">
        <v>7</v>
      </c>
      <c r="I72" s="299" cm="1">
        <f t="array" ref="I72">IFERROR(
  VALUE($H72) *
  VALUE(
    _xlfn.XLOOKUP(
      TRIM($F72) &amp; "|" &amp; LEFT(SUBSTITUTE($G72,CHAR(160)," "),5) &amp; "|Full Rate",
      TRIM(SUBSTITUTE($N$2:$N$38,CHAR(160)," ")) &amp; "|" &amp;
      LEFT(SUBSTITUTE($O$2:$O$38,CHAR(160)," "),5) &amp; "|" &amp;
      TRIM(SUBSTITUTE($P$2:$P$38,CHAR(160)," ")),
      $Q$2:$Q$38
    )
  ),
"")</f>
        <v>2800</v>
      </c>
      <c r="J72" s="300" cm="1">
        <f t="array" ref="J72">IFERROR(
  VALUE($H72) *
  VALUE(
    _xlfn.XLOOKUP(
      TRIM($F72) &amp; "|" &amp; LEFT(SUBSTITUTE($G72,CHAR(160)," "),5) &amp; "|Reduced Rate",
      TRIM(SUBSTITUTE($N$2:$N$38,CHAR(160)," ")) &amp; "|" &amp;
      LEFT(SUBSTITUTE($O$2:$O$38,CHAR(160)," "),5) &amp; "|" &amp;
      TRIM(SUBSTITUTE($P$2:$P$38,CHAR(160)," ")),
      $Q$2:$Q$38
    )
  ),
"")</f>
        <v>1400</v>
      </c>
      <c r="K72" s="301" cm="1">
        <f t="array" ref="K72">IFERROR(
  VALUE($H72) *
  VALUE(
    _xlfn.XLOOKUP(
      TRIM($F72) &amp; "|" &amp; LEFT(SUBSTITUTE($G72,CHAR(160)," "),5) &amp; "|Ideas Rate",
      TRIM(SUBSTITUTE($N$2:$N$38,CHAR(160)," ")) &amp; "|" &amp;
      LEFT(SUBSTITUTE($O$2:$O$38,CHAR(160)," "),5) &amp; "|" &amp;
      TRIM(SUBSTITUTE($P$2:$P$38,CHAR(160)," ")),
      $Q$2:$Q$38
    )
  ),
"")</f>
        <v>840</v>
      </c>
      <c r="L72" s="32" t="str">
        <f>IFERROR( VALUE($H72) * INDEX(#REF!, MATCH(UPPER(TRIM($F72)),#REF!,0)), "" )</f>
        <v/>
      </c>
    </row>
    <row r="73" spans="1:12" x14ac:dyDescent="0.2">
      <c r="A73" s="303">
        <v>45897</v>
      </c>
      <c r="B73" s="295" t="s">
        <v>52</v>
      </c>
      <c r="C73" s="304" t="s">
        <v>66</v>
      </c>
      <c r="D73" s="296" t="s">
        <v>81</v>
      </c>
      <c r="E73" s="296" t="s">
        <v>157</v>
      </c>
      <c r="F73" s="296" t="s">
        <v>155</v>
      </c>
      <c r="G73" s="297" t="s">
        <v>367</v>
      </c>
      <c r="H73" s="298">
        <v>4</v>
      </c>
      <c r="I73" s="299" cm="1">
        <f t="array" ref="I73">IFERROR(
  VALUE($H73) *
  VALUE(
    _xlfn.XLOOKUP(
      TRIM($F73) &amp; "|" &amp; LEFT(SUBSTITUTE($G73,CHAR(160)," "),5) &amp; "|Full Rate",
      TRIM(SUBSTITUTE($N$2:$N$38,CHAR(160)," ")) &amp; "|" &amp;
      LEFT(SUBSTITUTE($O$2:$O$38,CHAR(160)," "),5) &amp; "|" &amp;
      TRIM(SUBSTITUTE($P$2:$P$38,CHAR(160)," ")),
      $Q$2:$Q$38
    )
  ),
"")</f>
        <v>1600</v>
      </c>
      <c r="J73" s="300" cm="1">
        <f t="array" ref="J73">IFERROR(
  VALUE($H73) *
  VALUE(
    _xlfn.XLOOKUP(
      TRIM($F73) &amp; "|" &amp; LEFT(SUBSTITUTE($G73,CHAR(160)," "),5) &amp; "|Reduced Rate",
      TRIM(SUBSTITUTE($N$2:$N$38,CHAR(160)," ")) &amp; "|" &amp;
      LEFT(SUBSTITUTE($O$2:$O$38,CHAR(160)," "),5) &amp; "|" &amp;
      TRIM(SUBSTITUTE($P$2:$P$38,CHAR(160)," ")),
      $Q$2:$Q$38
    )
  ),
"")</f>
        <v>800</v>
      </c>
      <c r="K73" s="301" cm="1">
        <f t="array" ref="K73">IFERROR(
  VALUE($H73) *
  VALUE(
    _xlfn.XLOOKUP(
      TRIM($F73) &amp; "|" &amp; LEFT(SUBSTITUTE($G73,CHAR(160)," "),5) &amp; "|Ideas Rate",
      TRIM(SUBSTITUTE($N$2:$N$38,CHAR(160)," ")) &amp; "|" &amp;
      LEFT(SUBSTITUTE($O$2:$O$38,CHAR(160)," "),5) &amp; "|" &amp;
      TRIM(SUBSTITUTE($P$2:$P$38,CHAR(160)," ")),
      $Q$2:$Q$38
    )
  ),
"")</f>
        <v>480</v>
      </c>
      <c r="L73" s="32" t="str">
        <f>IFERROR( VALUE($H73) * INDEX(#REF!, MATCH(UPPER(TRIM($F73)),#REF!,0)), "" )</f>
        <v/>
      </c>
    </row>
    <row r="74" spans="1:12" x14ac:dyDescent="0.2">
      <c r="A74" s="303">
        <v>45897</v>
      </c>
      <c r="B74" s="295" t="s">
        <v>52</v>
      </c>
      <c r="C74" s="304" t="s">
        <v>66</v>
      </c>
      <c r="D74" s="296" t="s">
        <v>81</v>
      </c>
      <c r="E74" s="296" t="s">
        <v>157</v>
      </c>
      <c r="F74" s="296" t="s">
        <v>155</v>
      </c>
      <c r="G74" s="297" t="s">
        <v>367</v>
      </c>
      <c r="H74" s="298">
        <v>1</v>
      </c>
      <c r="I74" s="299" cm="1">
        <f t="array" ref="I74">IFERROR(
  VALUE($H74) *
  VALUE(
    _xlfn.XLOOKUP(
      TRIM($F74) &amp; "|" &amp; LEFT(SUBSTITUTE($G74,CHAR(160)," "),5) &amp; "|Full Rate",
      TRIM(SUBSTITUTE($N$2:$N$38,CHAR(160)," ")) &amp; "|" &amp;
      LEFT(SUBSTITUTE($O$2:$O$38,CHAR(160)," "),5) &amp; "|" &amp;
      TRIM(SUBSTITUTE($P$2:$P$38,CHAR(160)," ")),
      $Q$2:$Q$38
    )
  ),
"")</f>
        <v>400</v>
      </c>
      <c r="J74" s="300" cm="1">
        <f t="array" ref="J74">IFERROR(
  VALUE($H74) *
  VALUE(
    _xlfn.XLOOKUP(
      TRIM($F74) &amp; "|" &amp; LEFT(SUBSTITUTE($G74,CHAR(160)," "),5) &amp; "|Reduced Rate",
      TRIM(SUBSTITUTE($N$2:$N$38,CHAR(160)," ")) &amp; "|" &amp;
      LEFT(SUBSTITUTE($O$2:$O$38,CHAR(160)," "),5) &amp; "|" &amp;
      TRIM(SUBSTITUTE($P$2:$P$38,CHAR(160)," ")),
      $Q$2:$Q$38
    )
  ),
"")</f>
        <v>200</v>
      </c>
      <c r="K74" s="301" cm="1">
        <f t="array" ref="K74">IFERROR(
  VALUE($H74) *
  VALUE(
    _xlfn.XLOOKUP(
      TRIM($F74) &amp; "|" &amp; LEFT(SUBSTITUTE($G74,CHAR(160)," "),5) &amp; "|Ideas Rate",
      TRIM(SUBSTITUTE($N$2:$N$38,CHAR(160)," ")) &amp; "|" &amp;
      LEFT(SUBSTITUTE($O$2:$O$38,CHAR(160)," "),5) &amp; "|" &amp;
      TRIM(SUBSTITUTE($P$2:$P$38,CHAR(160)," ")),
      $Q$2:$Q$38
    )
  ),
"")</f>
        <v>120</v>
      </c>
      <c r="L74" s="32" t="str">
        <f>IFERROR( VALUE($H74) * INDEX(#REF!, MATCH(UPPER(TRIM($F74)),#REF!,0)), "" )</f>
        <v/>
      </c>
    </row>
    <row r="75" spans="1:12" x14ac:dyDescent="0.2">
      <c r="A75" s="303">
        <v>45898</v>
      </c>
      <c r="B75" s="295" t="s">
        <v>52</v>
      </c>
      <c r="C75" s="304" t="s">
        <v>66</v>
      </c>
      <c r="D75" s="296" t="s">
        <v>172</v>
      </c>
      <c r="E75" s="296" t="s">
        <v>158</v>
      </c>
      <c r="F75" s="296" t="s">
        <v>10</v>
      </c>
      <c r="G75" s="297" t="s">
        <v>367</v>
      </c>
      <c r="H75" s="298">
        <v>1.25</v>
      </c>
      <c r="I75" s="299" cm="1">
        <f t="array" ref="I75">IFERROR(
  VALUE($H75) *
  VALUE(
    _xlfn.XLOOKUP(
      TRIM($F75) &amp; "|" &amp; LEFT(SUBSTITUTE($G75,CHAR(160)," "),5) &amp; "|Full Rate",
      TRIM(SUBSTITUTE($N$2:$N$38,CHAR(160)," ")) &amp; "|" &amp;
      LEFT(SUBSTITUTE($O$2:$O$38,CHAR(160)," "),5) &amp; "|" &amp;
      TRIM(SUBSTITUTE($P$2:$P$38,CHAR(160)," ")),
      $Q$2:$Q$38
    )
  ),
"")</f>
        <v>625</v>
      </c>
      <c r="J75" s="300" cm="1">
        <f t="array" ref="J75">IFERROR(
  VALUE($H75) *
  VALUE(
    _xlfn.XLOOKUP(
      TRIM($F75) &amp; "|" &amp; LEFT(SUBSTITUTE($G75,CHAR(160)," "),5) &amp; "|Reduced Rate",
      TRIM(SUBSTITUTE($N$2:$N$38,CHAR(160)," ")) &amp; "|" &amp;
      LEFT(SUBSTITUTE($O$2:$O$38,CHAR(160)," "),5) &amp; "|" &amp;
      TRIM(SUBSTITUTE($P$2:$P$38,CHAR(160)," ")),
      $Q$2:$Q$38
    )
  ),
"")</f>
        <v>375</v>
      </c>
      <c r="K75" s="301" cm="1">
        <f t="array" ref="K75">IFERROR(
  VALUE($H75) *
  VALUE(
    _xlfn.XLOOKUP(
      TRIM($F75) &amp; "|" &amp; LEFT(SUBSTITUTE($G75,CHAR(160)," "),5) &amp; "|Ideas Rate",
      TRIM(SUBSTITUTE($N$2:$N$38,CHAR(160)," ")) &amp; "|" &amp;
      LEFT(SUBSTITUTE($O$2:$O$38,CHAR(160)," "),5) &amp; "|" &amp;
      TRIM(SUBSTITUTE($P$2:$P$38,CHAR(160)," ")),
      $Q$2:$Q$38
    )
  ),
"")</f>
        <v>187.5</v>
      </c>
      <c r="L75" s="32" t="str">
        <f>IFERROR( VALUE($H75) * INDEX(#REF!, MATCH(UPPER(TRIM($F75)),#REF!,0)), "" )</f>
        <v/>
      </c>
    </row>
    <row r="76" spans="1:12" x14ac:dyDescent="0.2">
      <c r="A76" s="303">
        <v>45898</v>
      </c>
      <c r="B76" s="295" t="s">
        <v>52</v>
      </c>
      <c r="C76" s="304" t="s">
        <v>66</v>
      </c>
      <c r="D76" s="296" t="s">
        <v>183</v>
      </c>
      <c r="E76" s="296" t="s">
        <v>159</v>
      </c>
      <c r="F76" s="296" t="s">
        <v>10</v>
      </c>
      <c r="G76" s="297" t="s">
        <v>367</v>
      </c>
      <c r="H76" s="298">
        <v>1</v>
      </c>
      <c r="I76" s="299" cm="1">
        <f t="array" ref="I76">IFERROR(
  VALUE($H76) *
  VALUE(
    _xlfn.XLOOKUP(
      TRIM($F76) &amp; "|" &amp; LEFT(SUBSTITUTE($G76,CHAR(160)," "),5) &amp; "|Full Rate",
      TRIM(SUBSTITUTE($N$2:$N$38,CHAR(160)," ")) &amp; "|" &amp;
      LEFT(SUBSTITUTE($O$2:$O$38,CHAR(160)," "),5) &amp; "|" &amp;
      TRIM(SUBSTITUTE($P$2:$P$38,CHAR(160)," ")),
      $Q$2:$Q$38
    )
  ),
"")</f>
        <v>500</v>
      </c>
      <c r="J76" s="300" cm="1">
        <f t="array" ref="J76">IFERROR(
  VALUE($H76) *
  VALUE(
    _xlfn.XLOOKUP(
      TRIM($F76) &amp; "|" &amp; LEFT(SUBSTITUTE($G76,CHAR(160)," "),5) &amp; "|Reduced Rate",
      TRIM(SUBSTITUTE($N$2:$N$38,CHAR(160)," ")) &amp; "|" &amp;
      LEFT(SUBSTITUTE($O$2:$O$38,CHAR(160)," "),5) &amp; "|" &amp;
      TRIM(SUBSTITUTE($P$2:$P$38,CHAR(160)," ")),
      $Q$2:$Q$38
    )
  ),
"")</f>
        <v>300</v>
      </c>
      <c r="K76" s="301" cm="1">
        <f t="array" ref="K76">IFERROR(
  VALUE($H76) *
  VALUE(
    _xlfn.XLOOKUP(
      TRIM($F76) &amp; "|" &amp; LEFT(SUBSTITUTE($G76,CHAR(160)," "),5) &amp; "|Ideas Rate",
      TRIM(SUBSTITUTE($N$2:$N$38,CHAR(160)," ")) &amp; "|" &amp;
      LEFT(SUBSTITUTE($O$2:$O$38,CHAR(160)," "),5) &amp; "|" &amp;
      TRIM(SUBSTITUTE($P$2:$P$38,CHAR(160)," ")),
      $Q$2:$Q$38
    )
  ),
"")</f>
        <v>150</v>
      </c>
      <c r="L76" s="32" t="str">
        <f>IFERROR( VALUE($H76) * INDEX(#REF!, MATCH(UPPER(TRIM($F76)),#REF!,0)), "" )</f>
        <v/>
      </c>
    </row>
    <row r="77" spans="1:12" x14ac:dyDescent="0.2">
      <c r="A77" s="303">
        <v>45898</v>
      </c>
      <c r="B77" s="295" t="s">
        <v>52</v>
      </c>
      <c r="C77" s="304" t="s">
        <v>66</v>
      </c>
      <c r="D77" s="296" t="s">
        <v>186</v>
      </c>
      <c r="E77" s="296" t="s">
        <v>160</v>
      </c>
      <c r="F77" s="296" t="s">
        <v>10</v>
      </c>
      <c r="G77" s="297" t="s">
        <v>367</v>
      </c>
      <c r="H77" s="298">
        <v>1</v>
      </c>
      <c r="I77" s="299" cm="1">
        <f t="array" ref="I77">IFERROR(
  VALUE($H77) *
  VALUE(
    _xlfn.XLOOKUP(
      TRIM($F77) &amp; "|" &amp; LEFT(SUBSTITUTE($G77,CHAR(160)," "),5) &amp; "|Full Rate",
      TRIM(SUBSTITUTE($N$2:$N$38,CHAR(160)," ")) &amp; "|" &amp;
      LEFT(SUBSTITUTE($O$2:$O$38,CHAR(160)," "),5) &amp; "|" &amp;
      TRIM(SUBSTITUTE($P$2:$P$38,CHAR(160)," ")),
      $Q$2:$Q$38
    )
  ),
"")</f>
        <v>500</v>
      </c>
      <c r="J77" s="300" cm="1">
        <f t="array" ref="J77">IFERROR(
  VALUE($H77) *
  VALUE(
    _xlfn.XLOOKUP(
      TRIM($F77) &amp; "|" &amp; LEFT(SUBSTITUTE($G77,CHAR(160)," "),5) &amp; "|Reduced Rate",
      TRIM(SUBSTITUTE($N$2:$N$38,CHAR(160)," ")) &amp; "|" &amp;
      LEFT(SUBSTITUTE($O$2:$O$38,CHAR(160)," "),5) &amp; "|" &amp;
      TRIM(SUBSTITUTE($P$2:$P$38,CHAR(160)," ")),
      $Q$2:$Q$38
    )
  ),
"")</f>
        <v>300</v>
      </c>
      <c r="K77" s="301" cm="1">
        <f t="array" ref="K77">IFERROR(
  VALUE($H77) *
  VALUE(
    _xlfn.XLOOKUP(
      TRIM($F77) &amp; "|" &amp; LEFT(SUBSTITUTE($G77,CHAR(160)," "),5) &amp; "|Ideas Rate",
      TRIM(SUBSTITUTE($N$2:$N$38,CHAR(160)," ")) &amp; "|" &amp;
      LEFT(SUBSTITUTE($O$2:$O$38,CHAR(160)," "),5) &amp; "|" &amp;
      TRIM(SUBSTITUTE($P$2:$P$38,CHAR(160)," ")),
      $Q$2:$Q$38
    )
  ),
"")</f>
        <v>150</v>
      </c>
      <c r="L77" s="32" t="str">
        <f>IFERROR( VALUE($H77) * INDEX(#REF!, MATCH(UPPER(TRIM($F77)),#REF!,0)), "" )</f>
        <v/>
      </c>
    </row>
    <row r="78" spans="1:12" x14ac:dyDescent="0.2">
      <c r="A78" s="303">
        <v>45897</v>
      </c>
      <c r="B78" s="295" t="s">
        <v>52</v>
      </c>
      <c r="C78" s="304" t="s">
        <v>66</v>
      </c>
      <c r="D78" s="296" t="s">
        <v>183</v>
      </c>
      <c r="E78" s="296" t="s">
        <v>163</v>
      </c>
      <c r="F78" s="296" t="s">
        <v>9</v>
      </c>
      <c r="G78" s="297" t="s">
        <v>367</v>
      </c>
      <c r="H78" s="298">
        <v>2</v>
      </c>
      <c r="I78" s="299" cm="1">
        <f t="array" ref="I78">IFERROR(
  VALUE($H78) *
  VALUE(
    _xlfn.XLOOKUP(
      TRIM($F78) &amp; "|" &amp; LEFT(SUBSTITUTE($G78,CHAR(160)," "),5) &amp; "|Full Rate",
      TRIM(SUBSTITUTE($N$2:$N$38,CHAR(160)," ")) &amp; "|" &amp;
      LEFT(SUBSTITUTE($O$2:$O$38,CHAR(160)," "),5) &amp; "|" &amp;
      TRIM(SUBSTITUTE($P$2:$P$38,CHAR(160)," ")),
      $Q$2:$Q$38
    )
  ),
"")</f>
        <v>1000</v>
      </c>
      <c r="J78" s="300" cm="1">
        <f t="array" ref="J78">IFERROR(
  VALUE($H78) *
  VALUE(
    _xlfn.XLOOKUP(
      TRIM($F78) &amp; "|" &amp; LEFT(SUBSTITUTE($G78,CHAR(160)," "),5) &amp; "|Reduced Rate",
      TRIM(SUBSTITUTE($N$2:$N$38,CHAR(160)," ")) &amp; "|" &amp;
      LEFT(SUBSTITUTE($O$2:$O$38,CHAR(160)," "),5) &amp; "|" &amp;
      TRIM(SUBSTITUTE($P$2:$P$38,CHAR(160)," ")),
      $Q$2:$Q$38
    )
  ),
"")</f>
        <v>600</v>
      </c>
      <c r="K78" s="301" cm="1">
        <f t="array" ref="K78">IFERROR(
  VALUE($H78) *
  VALUE(
    _xlfn.XLOOKUP(
      TRIM($F78) &amp; "|" &amp; LEFT(SUBSTITUTE($G78,CHAR(160)," "),5) &amp; "|Ideas Rate",
      TRIM(SUBSTITUTE($N$2:$N$38,CHAR(160)," ")) &amp; "|" &amp;
      LEFT(SUBSTITUTE($O$2:$O$38,CHAR(160)," "),5) &amp; "|" &amp;
      TRIM(SUBSTITUTE($P$2:$P$38,CHAR(160)," ")),
      $Q$2:$Q$38
    )
  ),
"")</f>
        <v>300</v>
      </c>
      <c r="L78" s="32" t="str">
        <f>IFERROR( VALUE($H78) * INDEX(#REF!, MATCH(UPPER(TRIM($F78)),#REF!,0)), "" )</f>
        <v/>
      </c>
    </row>
    <row r="79" spans="1:12" x14ac:dyDescent="0.2">
      <c r="A79" s="303">
        <v>45898</v>
      </c>
      <c r="B79" s="295" t="s">
        <v>52</v>
      </c>
      <c r="C79" s="304" t="s">
        <v>66</v>
      </c>
      <c r="D79" s="296" t="s">
        <v>183</v>
      </c>
      <c r="E79" s="296" t="s">
        <v>164</v>
      </c>
      <c r="F79" s="296" t="s">
        <v>9</v>
      </c>
      <c r="G79" s="297" t="s">
        <v>367</v>
      </c>
      <c r="H79" s="298">
        <v>2.5</v>
      </c>
      <c r="I79" s="299" cm="1">
        <f t="array" ref="I79">IFERROR(
  VALUE($H79) *
  VALUE(
    _xlfn.XLOOKUP(
      TRIM($F79) &amp; "|" &amp; LEFT(SUBSTITUTE($G79,CHAR(160)," "),5) &amp; "|Full Rate",
      TRIM(SUBSTITUTE($N$2:$N$38,CHAR(160)," ")) &amp; "|" &amp;
      LEFT(SUBSTITUTE($O$2:$O$38,CHAR(160)," "),5) &amp; "|" &amp;
      TRIM(SUBSTITUTE($P$2:$P$38,CHAR(160)," ")),
      $Q$2:$Q$38
    )
  ),
"")</f>
        <v>1250</v>
      </c>
      <c r="J79" s="300" cm="1">
        <f t="array" ref="J79">IFERROR(
  VALUE($H79) *
  VALUE(
    _xlfn.XLOOKUP(
      TRIM($F79) &amp; "|" &amp; LEFT(SUBSTITUTE($G79,CHAR(160)," "),5) &amp; "|Reduced Rate",
      TRIM(SUBSTITUTE($N$2:$N$38,CHAR(160)," ")) &amp; "|" &amp;
      LEFT(SUBSTITUTE($O$2:$O$38,CHAR(160)," "),5) &amp; "|" &amp;
      TRIM(SUBSTITUTE($P$2:$P$38,CHAR(160)," ")),
      $Q$2:$Q$38
    )
  ),
"")</f>
        <v>750</v>
      </c>
      <c r="K79" s="301" cm="1">
        <f t="array" ref="K79">IFERROR(
  VALUE($H79) *
  VALUE(
    _xlfn.XLOOKUP(
      TRIM($F79) &amp; "|" &amp; LEFT(SUBSTITUTE($G79,CHAR(160)," "),5) &amp; "|Ideas Rate",
      TRIM(SUBSTITUTE($N$2:$N$38,CHAR(160)," ")) &amp; "|" &amp;
      LEFT(SUBSTITUTE($O$2:$O$38,CHAR(160)," "),5) &amp; "|" &amp;
      TRIM(SUBSTITUTE($P$2:$P$38,CHAR(160)," ")),
      $Q$2:$Q$38
    )
  ),
"")</f>
        <v>375</v>
      </c>
      <c r="L79" s="32" t="str">
        <f>IFERROR( VALUE($H79) * INDEX(#REF!, MATCH(UPPER(TRIM($F79)),#REF!,0)), "" )</f>
        <v/>
      </c>
    </row>
    <row r="80" spans="1:12" x14ac:dyDescent="0.2">
      <c r="A80" s="303">
        <v>45901</v>
      </c>
      <c r="B80" s="295" t="s">
        <v>169</v>
      </c>
      <c r="C80" s="304" t="s">
        <v>66</v>
      </c>
      <c r="D80" s="296" t="s">
        <v>81</v>
      </c>
      <c r="E80" s="296" t="s">
        <v>166</v>
      </c>
      <c r="F80" s="296" t="s">
        <v>155</v>
      </c>
      <c r="G80" s="297" t="s">
        <v>367</v>
      </c>
      <c r="H80" s="298">
        <v>2</v>
      </c>
      <c r="I80" s="299" cm="1">
        <f t="array" ref="I80">IFERROR(
  VALUE($H80) *
  VALUE(
    _xlfn.XLOOKUP(
      TRIM($F80) &amp; "|" &amp; LEFT(SUBSTITUTE($G80,CHAR(160)," "),5) &amp; "|Full Rate",
      TRIM(SUBSTITUTE($N$2:$N$38,CHAR(160)," ")) &amp; "|" &amp;
      LEFT(SUBSTITUTE($O$2:$O$38,CHAR(160)," "),5) &amp; "|" &amp;
      TRIM(SUBSTITUTE($P$2:$P$38,CHAR(160)," ")),
      $Q$2:$Q$38
    )
  ),
"")</f>
        <v>800</v>
      </c>
      <c r="J80" s="300" cm="1">
        <f t="array" ref="J80">IFERROR(
  VALUE($H80) *
  VALUE(
    _xlfn.XLOOKUP(
      TRIM($F80) &amp; "|" &amp; LEFT(SUBSTITUTE($G80,CHAR(160)," "),5) &amp; "|Reduced Rate",
      TRIM(SUBSTITUTE($N$2:$N$38,CHAR(160)," ")) &amp; "|" &amp;
      LEFT(SUBSTITUTE($O$2:$O$38,CHAR(160)," "),5) &amp; "|" &amp;
      TRIM(SUBSTITUTE($P$2:$P$38,CHAR(160)," ")),
      $Q$2:$Q$38
    )
  ),
"")</f>
        <v>400</v>
      </c>
      <c r="K80" s="301" cm="1">
        <f t="array" ref="K80">IFERROR(
  VALUE($H80) *
  VALUE(
    _xlfn.XLOOKUP(
      TRIM($F80) &amp; "|" &amp; LEFT(SUBSTITUTE($G80,CHAR(160)," "),5) &amp; "|Ideas Rate",
      TRIM(SUBSTITUTE($N$2:$N$38,CHAR(160)," ")) &amp; "|" &amp;
      LEFT(SUBSTITUTE($O$2:$O$38,CHAR(160)," "),5) &amp; "|" &amp;
      TRIM(SUBSTITUTE($P$2:$P$38,CHAR(160)," ")),
      $Q$2:$Q$38
    )
  ),
"")</f>
        <v>240</v>
      </c>
      <c r="L80" s="32" t="str">
        <f>IFERROR( VALUE($H80) * INDEX(#REF!, MATCH(UPPER(TRIM($F80)),#REF!,0)), "" )</f>
        <v/>
      </c>
    </row>
    <row r="81" spans="1:12" x14ac:dyDescent="0.2">
      <c r="A81" s="303">
        <v>45901</v>
      </c>
      <c r="B81" s="295" t="s">
        <v>169</v>
      </c>
      <c r="C81" s="304" t="s">
        <v>66</v>
      </c>
      <c r="D81" s="296" t="s">
        <v>168</v>
      </c>
      <c r="E81" s="296" t="s">
        <v>167</v>
      </c>
      <c r="F81" s="296" t="s">
        <v>155</v>
      </c>
      <c r="G81" s="297" t="s">
        <v>367</v>
      </c>
      <c r="H81" s="298">
        <v>0.5</v>
      </c>
      <c r="I81" s="299" cm="1">
        <f t="array" ref="I81">IFERROR(
  VALUE($H81) *
  VALUE(
    _xlfn.XLOOKUP(
      TRIM($F81) &amp; "|" &amp; LEFT(SUBSTITUTE($G81,CHAR(160)," "),5) &amp; "|Full Rate",
      TRIM(SUBSTITUTE($N$2:$N$38,CHAR(160)," ")) &amp; "|" &amp;
      LEFT(SUBSTITUTE($O$2:$O$38,CHAR(160)," "),5) &amp; "|" &amp;
      TRIM(SUBSTITUTE($P$2:$P$38,CHAR(160)," ")),
      $Q$2:$Q$38
    )
  ),
"")</f>
        <v>200</v>
      </c>
      <c r="J81" s="300" cm="1">
        <f t="array" ref="J81">IFERROR(
  VALUE($H81) *
  VALUE(
    _xlfn.XLOOKUP(
      TRIM($F81) &amp; "|" &amp; LEFT(SUBSTITUTE($G81,CHAR(160)," "),5) &amp; "|Reduced Rate",
      TRIM(SUBSTITUTE($N$2:$N$38,CHAR(160)," ")) &amp; "|" &amp;
      LEFT(SUBSTITUTE($O$2:$O$38,CHAR(160)," "),5) &amp; "|" &amp;
      TRIM(SUBSTITUTE($P$2:$P$38,CHAR(160)," ")),
      $Q$2:$Q$38
    )
  ),
"")</f>
        <v>100</v>
      </c>
      <c r="K81" s="301" cm="1">
        <f t="array" ref="K81">IFERROR(
  VALUE($H81) *
  VALUE(
    _xlfn.XLOOKUP(
      TRIM($F81) &amp; "|" &amp; LEFT(SUBSTITUTE($G81,CHAR(160)," "),5) &amp; "|Ideas Rate",
      TRIM(SUBSTITUTE($N$2:$N$38,CHAR(160)," ")) &amp; "|" &amp;
      LEFT(SUBSTITUTE($O$2:$O$38,CHAR(160)," "),5) &amp; "|" &amp;
      TRIM(SUBSTITUTE($P$2:$P$38,CHAR(160)," ")),
      $Q$2:$Q$38
    )
  ),
"")</f>
        <v>60</v>
      </c>
      <c r="L81" s="32" t="str">
        <f>IFERROR( VALUE($H81) * INDEX(#REF!, MATCH(UPPER(TRIM($F81)),#REF!,0)), "" )</f>
        <v/>
      </c>
    </row>
    <row r="82" spans="1:12" x14ac:dyDescent="0.2">
      <c r="A82" s="303">
        <v>45902</v>
      </c>
      <c r="B82" s="295" t="s">
        <v>169</v>
      </c>
      <c r="C82" s="304" t="s">
        <v>66</v>
      </c>
      <c r="D82" s="296" t="s">
        <v>81</v>
      </c>
      <c r="E82" s="296" t="s">
        <v>170</v>
      </c>
      <c r="F82" s="296" t="s">
        <v>155</v>
      </c>
      <c r="G82" s="297" t="s">
        <v>367</v>
      </c>
      <c r="H82" s="298">
        <v>3</v>
      </c>
      <c r="I82" s="299" cm="1">
        <f t="array" ref="I82">IFERROR(
  VALUE($H82) *
  VALUE(
    _xlfn.XLOOKUP(
      TRIM($F82) &amp; "|" &amp; LEFT(SUBSTITUTE($G82,CHAR(160)," "),5) &amp; "|Full Rate",
      TRIM(SUBSTITUTE($N$2:$N$38,CHAR(160)," ")) &amp; "|" &amp;
      LEFT(SUBSTITUTE($O$2:$O$38,CHAR(160)," "),5) &amp; "|" &amp;
      TRIM(SUBSTITUTE($P$2:$P$38,CHAR(160)," ")),
      $Q$2:$Q$38
    )
  ),
"")</f>
        <v>1200</v>
      </c>
      <c r="J82" s="300" cm="1">
        <f t="array" ref="J82">IFERROR(
  VALUE($H82) *
  VALUE(
    _xlfn.XLOOKUP(
      TRIM($F82) &amp; "|" &amp; LEFT(SUBSTITUTE($G82,CHAR(160)," "),5) &amp; "|Reduced Rate",
      TRIM(SUBSTITUTE($N$2:$N$38,CHAR(160)," ")) &amp; "|" &amp;
      LEFT(SUBSTITUTE($O$2:$O$38,CHAR(160)," "),5) &amp; "|" &amp;
      TRIM(SUBSTITUTE($P$2:$P$38,CHAR(160)," ")),
      $Q$2:$Q$38
    )
  ),
"")</f>
        <v>600</v>
      </c>
      <c r="K82" s="301" cm="1">
        <f t="array" ref="K82">IFERROR(
  VALUE($H82) *
  VALUE(
    _xlfn.XLOOKUP(
      TRIM($F82) &amp; "|" &amp; LEFT(SUBSTITUTE($G82,CHAR(160)," "),5) &amp; "|Ideas Rate",
      TRIM(SUBSTITUTE($N$2:$N$38,CHAR(160)," ")) &amp; "|" &amp;
      LEFT(SUBSTITUTE($O$2:$O$38,CHAR(160)," "),5) &amp; "|" &amp;
      TRIM(SUBSTITUTE($P$2:$P$38,CHAR(160)," ")),
      $Q$2:$Q$38
    )
  ),
"")</f>
        <v>360</v>
      </c>
      <c r="L82" s="32" t="str">
        <f>IFERROR( VALUE($H82) * INDEX(#REF!, MATCH(UPPER(TRIM($F82)),#REF!,0)), "" )</f>
        <v/>
      </c>
    </row>
    <row r="83" spans="1:12" x14ac:dyDescent="0.2">
      <c r="A83" s="303">
        <v>45902</v>
      </c>
      <c r="B83" s="295" t="s">
        <v>169</v>
      </c>
      <c r="C83" s="304" t="s">
        <v>66</v>
      </c>
      <c r="D83" s="296" t="s">
        <v>172</v>
      </c>
      <c r="E83" s="296" t="s">
        <v>171</v>
      </c>
      <c r="F83" s="296" t="s">
        <v>155</v>
      </c>
      <c r="G83" s="297" t="s">
        <v>380</v>
      </c>
      <c r="H83" s="298">
        <v>1</v>
      </c>
      <c r="I83" s="299" cm="1">
        <f t="array" ref="I83">IFERROR(
  VALUE($H83) *
  VALUE(
    _xlfn.XLOOKUP(
      TRIM($F83) &amp; "|" &amp; LEFT(SUBSTITUTE($G83,CHAR(160)," "),5) &amp; "|Full Rate",
      TRIM(SUBSTITUTE($N$2:$N$38,CHAR(160)," ")) &amp; "|" &amp;
      LEFT(SUBSTITUTE($O$2:$O$38,CHAR(160)," "),5) &amp; "|" &amp;
      TRIM(SUBSTITUTE($P$2:$P$38,CHAR(160)," ")),
      $Q$2:$Q$38
    )
  ),
"")</f>
        <v>260</v>
      </c>
      <c r="J83" s="300" cm="1">
        <f t="array" ref="J83">IFERROR(
  VALUE($H83) *
  VALUE(
    _xlfn.XLOOKUP(
      TRIM($F83) &amp; "|" &amp; LEFT(SUBSTITUTE($G83,CHAR(160)," "),5) &amp; "|Reduced Rate",
      TRIM(SUBSTITUTE($N$2:$N$38,CHAR(160)," ")) &amp; "|" &amp;
      LEFT(SUBSTITUTE($O$2:$O$38,CHAR(160)," "),5) &amp; "|" &amp;
      TRIM(SUBSTITUTE($P$2:$P$38,CHAR(160)," ")),
      $Q$2:$Q$38
    )
  ),
"")</f>
        <v>120</v>
      </c>
      <c r="K83" s="301" cm="1">
        <f t="array" ref="K83">IFERROR(
  VALUE($H83) *
  VALUE(
    _xlfn.XLOOKUP(
      TRIM($F83) &amp; "|" &amp; LEFT(SUBSTITUTE($G83,CHAR(160)," "),5) &amp; "|Ideas Rate",
      TRIM(SUBSTITUTE($N$2:$N$38,CHAR(160)," ")) &amp; "|" &amp;
      LEFT(SUBSTITUTE($O$2:$O$38,CHAR(160)," "),5) &amp; "|" &amp;
      TRIM(SUBSTITUTE($P$2:$P$38,CHAR(160)," ")),
      $Q$2:$Q$38
    )
  ),
"")</f>
        <v>90</v>
      </c>
      <c r="L83" s="32" t="str">
        <f>IFERROR( VALUE($H83) * INDEX(#REF!, MATCH(UPPER(TRIM($F83)),#REF!,0)), "" )</f>
        <v/>
      </c>
    </row>
    <row r="84" spans="1:12" x14ac:dyDescent="0.2">
      <c r="A84" s="303">
        <v>45902</v>
      </c>
      <c r="B84" s="295" t="s">
        <v>169</v>
      </c>
      <c r="C84" s="304" t="s">
        <v>66</v>
      </c>
      <c r="D84" s="296" t="s">
        <v>183</v>
      </c>
      <c r="E84" s="296" t="s">
        <v>173</v>
      </c>
      <c r="F84" s="296" t="s">
        <v>155</v>
      </c>
      <c r="G84" s="297" t="s">
        <v>380</v>
      </c>
      <c r="H84" s="298">
        <v>0.25</v>
      </c>
      <c r="I84" s="299" cm="1">
        <f t="array" ref="I84">IFERROR(
  VALUE($H84) *
  VALUE(
    _xlfn.XLOOKUP(
      TRIM($F84) &amp; "|" &amp; LEFT(SUBSTITUTE($G84,CHAR(160)," "),5) &amp; "|Full Rate",
      TRIM(SUBSTITUTE($N$2:$N$38,CHAR(160)," ")) &amp; "|" &amp;
      LEFT(SUBSTITUTE($O$2:$O$38,CHAR(160)," "),5) &amp; "|" &amp;
      TRIM(SUBSTITUTE($P$2:$P$38,CHAR(160)," ")),
      $Q$2:$Q$38
    )
  ),
"")</f>
        <v>65</v>
      </c>
      <c r="J84" s="300" cm="1">
        <f t="array" ref="J84">IFERROR(
  VALUE($H84) *
  VALUE(
    _xlfn.XLOOKUP(
      TRIM($F84) &amp; "|" &amp; LEFT(SUBSTITUTE($G84,CHAR(160)," "),5) &amp; "|Reduced Rate",
      TRIM(SUBSTITUTE($N$2:$N$38,CHAR(160)," ")) &amp; "|" &amp;
      LEFT(SUBSTITUTE($O$2:$O$38,CHAR(160)," "),5) &amp; "|" &amp;
      TRIM(SUBSTITUTE($P$2:$P$38,CHAR(160)," ")),
      $Q$2:$Q$38
    )
  ),
"")</f>
        <v>30</v>
      </c>
      <c r="K84" s="301" cm="1">
        <f t="array" ref="K84">IFERROR(
  VALUE($H84) *
  VALUE(
    _xlfn.XLOOKUP(
      TRIM($F84) &amp; "|" &amp; LEFT(SUBSTITUTE($G84,CHAR(160)," "),5) &amp; "|Ideas Rate",
      TRIM(SUBSTITUTE($N$2:$N$38,CHAR(160)," ")) &amp; "|" &amp;
      LEFT(SUBSTITUTE($O$2:$O$38,CHAR(160)," "),5) &amp; "|" &amp;
      TRIM(SUBSTITUTE($P$2:$P$38,CHAR(160)," ")),
      $Q$2:$Q$38
    )
  ),
"")</f>
        <v>22.5</v>
      </c>
      <c r="L84" s="32" t="str">
        <f>IFERROR( VALUE($H84) * INDEX(#REF!, MATCH(UPPER(TRIM($F84)),#REF!,0)), "" )</f>
        <v/>
      </c>
    </row>
    <row r="85" spans="1:12" x14ac:dyDescent="0.2">
      <c r="A85" s="303">
        <v>45902</v>
      </c>
      <c r="B85" s="295" t="s">
        <v>169</v>
      </c>
      <c r="C85" s="304" t="s">
        <v>66</v>
      </c>
      <c r="D85" s="296" t="s">
        <v>172</v>
      </c>
      <c r="E85" s="296" t="s">
        <v>174</v>
      </c>
      <c r="F85" s="296" t="s">
        <v>10</v>
      </c>
      <c r="G85" s="297" t="s">
        <v>380</v>
      </c>
      <c r="H85" s="298">
        <v>1.5</v>
      </c>
      <c r="I85" s="299" cm="1">
        <f t="array" ref="I85">IFERROR(
  VALUE($H85) *
  VALUE(
    _xlfn.XLOOKUP(
      TRIM($F85) &amp; "|" &amp; LEFT(SUBSTITUTE($G85,CHAR(160)," "),5) &amp; "|Full Rate",
      TRIM(SUBSTITUTE($N$2:$N$38,CHAR(160)," ")) &amp; "|" &amp;
      LEFT(SUBSTITUTE($O$2:$O$38,CHAR(160)," "),5) &amp; "|" &amp;
      TRIM(SUBSTITUTE($P$2:$P$38,CHAR(160)," ")),
      $Q$2:$Q$38
    )
  ),
"")</f>
        <v>375</v>
      </c>
      <c r="J85" s="300" cm="1">
        <f t="array" ref="J85">IFERROR(
  VALUE($H85) *
  VALUE(
    _xlfn.XLOOKUP(
      TRIM($F85) &amp; "|" &amp; LEFT(SUBSTITUTE($G85,CHAR(160)," "),5) &amp; "|Reduced Rate",
      TRIM(SUBSTITUTE($N$2:$N$38,CHAR(160)," ")) &amp; "|" &amp;
      LEFT(SUBSTITUTE($O$2:$O$38,CHAR(160)," "),5) &amp; "|" &amp;
      TRIM(SUBSTITUTE($P$2:$P$38,CHAR(160)," ")),
      $Q$2:$Q$38
    )
  ),
"")</f>
        <v>225</v>
      </c>
      <c r="K85" s="301" cm="1">
        <f t="array" ref="K85">IFERROR(
  VALUE($H85) *
  VALUE(
    _xlfn.XLOOKUP(
      TRIM($F85) &amp; "|" &amp; LEFT(SUBSTITUTE($G85,CHAR(160)," "),5) &amp; "|Ideas Rate",
      TRIM(SUBSTITUTE($N$2:$N$38,CHAR(160)," ")) &amp; "|" &amp;
      LEFT(SUBSTITUTE($O$2:$O$38,CHAR(160)," "),5) &amp; "|" &amp;
      TRIM(SUBSTITUTE($P$2:$P$38,CHAR(160)," ")),
      $Q$2:$Q$38
    )
  ),
"")</f>
        <v>112.5</v>
      </c>
      <c r="L85" s="32" t="str">
        <f>IFERROR( VALUE($H85) * INDEX(#REF!, MATCH(UPPER(TRIM($F85)),#REF!,0)), "" )</f>
        <v/>
      </c>
    </row>
    <row r="86" spans="1:12" x14ac:dyDescent="0.2">
      <c r="A86" s="303">
        <v>45902</v>
      </c>
      <c r="B86" s="295" t="s">
        <v>169</v>
      </c>
      <c r="C86" s="304" t="s">
        <v>66</v>
      </c>
      <c r="D86" s="296" t="s">
        <v>172</v>
      </c>
      <c r="E86" s="296" t="s">
        <v>175</v>
      </c>
      <c r="F86" s="296" t="s">
        <v>10</v>
      </c>
      <c r="G86" s="297" t="s">
        <v>380</v>
      </c>
      <c r="H86" s="298">
        <v>1</v>
      </c>
      <c r="I86" s="299" cm="1">
        <f t="array" ref="I86">IFERROR(
  VALUE($H86) *
  VALUE(
    _xlfn.XLOOKUP(
      TRIM($F86) &amp; "|" &amp; LEFT(SUBSTITUTE($G86,CHAR(160)," "),5) &amp; "|Full Rate",
      TRIM(SUBSTITUTE($N$2:$N$38,CHAR(160)," ")) &amp; "|" &amp;
      LEFT(SUBSTITUTE($O$2:$O$38,CHAR(160)," "),5) &amp; "|" &amp;
      TRIM(SUBSTITUTE($P$2:$P$38,CHAR(160)," ")),
      $Q$2:$Q$38
    )
  ),
"")</f>
        <v>250</v>
      </c>
      <c r="J86" s="300" cm="1">
        <f t="array" ref="J86">IFERROR(
  VALUE($H86) *
  VALUE(
    _xlfn.XLOOKUP(
      TRIM($F86) &amp; "|" &amp; LEFT(SUBSTITUTE($G86,CHAR(160)," "),5) &amp; "|Reduced Rate",
      TRIM(SUBSTITUTE($N$2:$N$38,CHAR(160)," ")) &amp; "|" &amp;
      LEFT(SUBSTITUTE($O$2:$O$38,CHAR(160)," "),5) &amp; "|" &amp;
      TRIM(SUBSTITUTE($P$2:$P$38,CHAR(160)," ")),
      $Q$2:$Q$38
    )
  ),
"")</f>
        <v>150</v>
      </c>
      <c r="K86" s="301" cm="1">
        <f t="array" ref="K86">IFERROR(
  VALUE($H86) *
  VALUE(
    _xlfn.XLOOKUP(
      TRIM($F86) &amp; "|" &amp; LEFT(SUBSTITUTE($G86,CHAR(160)," "),5) &amp; "|Ideas Rate",
      TRIM(SUBSTITUTE($N$2:$N$38,CHAR(160)," ")) &amp; "|" &amp;
      LEFT(SUBSTITUTE($O$2:$O$38,CHAR(160)," "),5) &amp; "|" &amp;
      TRIM(SUBSTITUTE($P$2:$P$38,CHAR(160)," ")),
      $Q$2:$Q$38
    )
  ),
"")</f>
        <v>75</v>
      </c>
      <c r="L86" s="32" t="str">
        <f>IFERROR( VALUE($H86) * INDEX(#REF!, MATCH(UPPER(TRIM($F86)),#REF!,0)), "" )</f>
        <v/>
      </c>
    </row>
    <row r="87" spans="1:12" x14ac:dyDescent="0.2">
      <c r="A87" s="303">
        <v>45902</v>
      </c>
      <c r="B87" s="295" t="s">
        <v>169</v>
      </c>
      <c r="C87" s="304" t="s">
        <v>66</v>
      </c>
      <c r="D87" s="296" t="s">
        <v>183</v>
      </c>
      <c r="E87" s="296" t="s">
        <v>173</v>
      </c>
      <c r="F87" s="296" t="s">
        <v>10</v>
      </c>
      <c r="G87" s="297" t="s">
        <v>380</v>
      </c>
      <c r="H87" s="298">
        <v>0.25</v>
      </c>
      <c r="I87" s="299" cm="1">
        <f t="array" ref="I87">IFERROR(
  VALUE($H87) *
  VALUE(
    _xlfn.XLOOKUP(
      TRIM($F87) &amp; "|" &amp; LEFT(SUBSTITUTE($G87,CHAR(160)," "),5) &amp; "|Full Rate",
      TRIM(SUBSTITUTE($N$2:$N$38,CHAR(160)," ")) &amp; "|" &amp;
      LEFT(SUBSTITUTE($O$2:$O$38,CHAR(160)," "),5) &amp; "|" &amp;
      TRIM(SUBSTITUTE($P$2:$P$38,CHAR(160)," ")),
      $Q$2:$Q$38
    )
  ),
"")</f>
        <v>62.5</v>
      </c>
      <c r="J87" s="300" cm="1">
        <f t="array" ref="J87">IFERROR(
  VALUE($H87) *
  VALUE(
    _xlfn.XLOOKUP(
      TRIM($F87) &amp; "|" &amp; LEFT(SUBSTITUTE($G87,CHAR(160)," "),5) &amp; "|Reduced Rate",
      TRIM(SUBSTITUTE($N$2:$N$38,CHAR(160)," ")) &amp; "|" &amp;
      LEFT(SUBSTITUTE($O$2:$O$38,CHAR(160)," "),5) &amp; "|" &amp;
      TRIM(SUBSTITUTE($P$2:$P$38,CHAR(160)," ")),
      $Q$2:$Q$38
    )
  ),
"")</f>
        <v>37.5</v>
      </c>
      <c r="K87" s="301" cm="1">
        <f t="array" ref="K87">IFERROR(
  VALUE($H87) *
  VALUE(
    _xlfn.XLOOKUP(
      TRIM($F87) &amp; "|" &amp; LEFT(SUBSTITUTE($G87,CHAR(160)," "),5) &amp; "|Ideas Rate",
      TRIM(SUBSTITUTE($N$2:$N$38,CHAR(160)," ")) &amp; "|" &amp;
      LEFT(SUBSTITUTE($O$2:$O$38,CHAR(160)," "),5) &amp; "|" &amp;
      TRIM(SUBSTITUTE($P$2:$P$38,CHAR(160)," ")),
      $Q$2:$Q$38
    )
  ),
"")</f>
        <v>18.75</v>
      </c>
      <c r="L87" s="32" t="str">
        <f>IFERROR( VALUE($H87) * INDEX(#REF!, MATCH(UPPER(TRIM($F87)),#REF!,0)), "" )</f>
        <v/>
      </c>
    </row>
    <row r="88" spans="1:12" x14ac:dyDescent="0.2">
      <c r="A88" s="303">
        <v>45902</v>
      </c>
      <c r="B88" s="295" t="s">
        <v>169</v>
      </c>
      <c r="C88" s="304" t="s">
        <v>66</v>
      </c>
      <c r="D88" s="296" t="s">
        <v>178</v>
      </c>
      <c r="E88" s="296" t="s">
        <v>193</v>
      </c>
      <c r="F88" s="296" t="s">
        <v>9</v>
      </c>
      <c r="G88" s="297" t="s">
        <v>367</v>
      </c>
      <c r="H88" s="298">
        <v>1</v>
      </c>
      <c r="I88" s="299" cm="1">
        <f t="array" ref="I88">IFERROR(
  VALUE($H88) *
  VALUE(
    _xlfn.XLOOKUP(
      TRIM($F88) &amp; "|" &amp; LEFT(SUBSTITUTE($G88,CHAR(160)," "),5) &amp; "|Full Rate",
      TRIM(SUBSTITUTE($N$2:$N$38,CHAR(160)," ")) &amp; "|" &amp;
      LEFT(SUBSTITUTE($O$2:$O$38,CHAR(160)," "),5) &amp; "|" &amp;
      TRIM(SUBSTITUTE($P$2:$P$38,CHAR(160)," ")),
      $Q$2:$Q$38
    )
  ),
"")</f>
        <v>500</v>
      </c>
      <c r="J88" s="300" cm="1">
        <f t="array" ref="J88">IFERROR(
  VALUE($H88) *
  VALUE(
    _xlfn.XLOOKUP(
      TRIM($F88) &amp; "|" &amp; LEFT(SUBSTITUTE($G88,CHAR(160)," "),5) &amp; "|Reduced Rate",
      TRIM(SUBSTITUTE($N$2:$N$38,CHAR(160)," ")) &amp; "|" &amp;
      LEFT(SUBSTITUTE($O$2:$O$38,CHAR(160)," "),5) &amp; "|" &amp;
      TRIM(SUBSTITUTE($P$2:$P$38,CHAR(160)," ")),
      $Q$2:$Q$38
    )
  ),
"")</f>
        <v>300</v>
      </c>
      <c r="K88" s="301" cm="1">
        <f t="array" ref="K88">IFERROR(
  VALUE($H88) *
  VALUE(
    _xlfn.XLOOKUP(
      TRIM($F88) &amp; "|" &amp; LEFT(SUBSTITUTE($G88,CHAR(160)," "),5) &amp; "|Ideas Rate",
      TRIM(SUBSTITUTE($N$2:$N$38,CHAR(160)," ")) &amp; "|" &amp;
      LEFT(SUBSTITUTE($O$2:$O$38,CHAR(160)," "),5) &amp; "|" &amp;
      TRIM(SUBSTITUTE($P$2:$P$38,CHAR(160)," ")),
      $Q$2:$Q$38
    )
  ),
"")</f>
        <v>150</v>
      </c>
      <c r="L88" s="32" t="str">
        <f>IFERROR( VALUE($H88) * INDEX(#REF!, MATCH(UPPER(TRIM($F88)),#REF!,0)), "" )</f>
        <v/>
      </c>
    </row>
    <row r="89" spans="1:12" x14ac:dyDescent="0.2">
      <c r="A89" s="303">
        <v>45902</v>
      </c>
      <c r="B89" s="295" t="s">
        <v>169</v>
      </c>
      <c r="C89" s="304" t="s">
        <v>66</v>
      </c>
      <c r="D89" s="296" t="s">
        <v>178</v>
      </c>
      <c r="E89" s="296" t="s">
        <v>175</v>
      </c>
      <c r="F89" s="296" t="s">
        <v>9</v>
      </c>
      <c r="G89" s="297" t="s">
        <v>367</v>
      </c>
      <c r="H89" s="298">
        <v>1</v>
      </c>
      <c r="I89" s="299" cm="1">
        <f t="array" ref="I89">IFERROR(
  VALUE($H89) *
  VALUE(
    _xlfn.XLOOKUP(
      TRIM($F89) &amp; "|" &amp; LEFT(SUBSTITUTE($G89,CHAR(160)," "),5) &amp; "|Full Rate",
      TRIM(SUBSTITUTE($N$2:$N$38,CHAR(160)," ")) &amp; "|" &amp;
      LEFT(SUBSTITUTE($O$2:$O$38,CHAR(160)," "),5) &amp; "|" &amp;
      TRIM(SUBSTITUTE($P$2:$P$38,CHAR(160)," ")),
      $Q$2:$Q$38
    )
  ),
"")</f>
        <v>500</v>
      </c>
      <c r="J89" s="300" cm="1">
        <f t="array" ref="J89">IFERROR(
  VALUE($H89) *
  VALUE(
    _xlfn.XLOOKUP(
      TRIM($F89) &amp; "|" &amp; LEFT(SUBSTITUTE($G89,CHAR(160)," "),5) &amp; "|Reduced Rate",
      TRIM(SUBSTITUTE($N$2:$N$38,CHAR(160)," ")) &amp; "|" &amp;
      LEFT(SUBSTITUTE($O$2:$O$38,CHAR(160)," "),5) &amp; "|" &amp;
      TRIM(SUBSTITUTE($P$2:$P$38,CHAR(160)," ")),
      $Q$2:$Q$38
    )
  ),
"")</f>
        <v>300</v>
      </c>
      <c r="K89" s="301" cm="1">
        <f t="array" ref="K89">IFERROR(
  VALUE($H89) *
  VALUE(
    _xlfn.XLOOKUP(
      TRIM($F89) &amp; "|" &amp; LEFT(SUBSTITUTE($G89,CHAR(160)," "),5) &amp; "|Ideas Rate",
      TRIM(SUBSTITUTE($N$2:$N$38,CHAR(160)," ")) &amp; "|" &amp;
      LEFT(SUBSTITUTE($O$2:$O$38,CHAR(160)," "),5) &amp; "|" &amp;
      TRIM(SUBSTITUTE($P$2:$P$38,CHAR(160)," ")),
      $Q$2:$Q$38
    )
  ),
"")</f>
        <v>150</v>
      </c>
      <c r="L89" s="32" t="str">
        <f>IFERROR( VALUE($H89) * INDEX(#REF!, MATCH(UPPER(TRIM($F89)),#REF!,0)), "" )</f>
        <v/>
      </c>
    </row>
    <row r="90" spans="1:12" x14ac:dyDescent="0.2">
      <c r="A90" s="303">
        <v>45902</v>
      </c>
      <c r="B90" s="295" t="s">
        <v>169</v>
      </c>
      <c r="C90" s="304" t="s">
        <v>66</v>
      </c>
      <c r="D90" s="296" t="s">
        <v>192</v>
      </c>
      <c r="E90" s="296" t="s">
        <v>173</v>
      </c>
      <c r="F90" s="296" t="s">
        <v>9</v>
      </c>
      <c r="G90" s="297" t="s">
        <v>380</v>
      </c>
      <c r="H90" s="298">
        <v>1</v>
      </c>
      <c r="I90" s="299" cm="1">
        <f t="array" ref="I90">IFERROR(
  VALUE($H90) *
  VALUE(
    _xlfn.XLOOKUP(
      TRIM($F90) &amp; "|" &amp; LEFT(SUBSTITUTE($G90,CHAR(160)," "),5) &amp; "|Full Rate",
      TRIM(SUBSTITUTE($N$2:$N$38,CHAR(160)," ")) &amp; "|" &amp;
      LEFT(SUBSTITUTE($O$2:$O$38,CHAR(160)," "),5) &amp; "|" &amp;
      TRIM(SUBSTITUTE($P$2:$P$38,CHAR(160)," ")),
      $Q$2:$Q$38
    )
  ),
"")</f>
        <v>250</v>
      </c>
      <c r="J90" s="300" cm="1">
        <f t="array" ref="J90">IFERROR(
  VALUE($H90) *
  VALUE(
    _xlfn.XLOOKUP(
      TRIM($F90) &amp; "|" &amp; LEFT(SUBSTITUTE($G90,CHAR(160)," "),5) &amp; "|Reduced Rate",
      TRIM(SUBSTITUTE($N$2:$N$38,CHAR(160)," ")) &amp; "|" &amp;
      LEFT(SUBSTITUTE($O$2:$O$38,CHAR(160)," "),5) &amp; "|" &amp;
      TRIM(SUBSTITUTE($P$2:$P$38,CHAR(160)," ")),
      $Q$2:$Q$38
    )
  ),
"")</f>
        <v>150</v>
      </c>
      <c r="K90" s="301" cm="1">
        <f t="array" ref="K90">IFERROR(
  VALUE($H90) *
  VALUE(
    _xlfn.XLOOKUP(
      TRIM($F90) &amp; "|" &amp; LEFT(SUBSTITUTE($G90,CHAR(160)," "),5) &amp; "|Ideas Rate",
      TRIM(SUBSTITUTE($N$2:$N$38,CHAR(160)," ")) &amp; "|" &amp;
      LEFT(SUBSTITUTE($O$2:$O$38,CHAR(160)," "),5) &amp; "|" &amp;
      TRIM(SUBSTITUTE($P$2:$P$38,CHAR(160)," ")),
      $Q$2:$Q$38
    )
  ),
"")</f>
        <v>75</v>
      </c>
      <c r="L90" s="32" t="str">
        <f>IFERROR( VALUE($H90) * INDEX(#REF!, MATCH(UPPER(TRIM($F90)),#REF!,0)), "" )</f>
        <v/>
      </c>
    </row>
    <row r="91" spans="1:12" x14ac:dyDescent="0.2">
      <c r="A91" s="303">
        <v>45902</v>
      </c>
      <c r="B91" s="295" t="s">
        <v>169</v>
      </c>
      <c r="C91" s="304" t="s">
        <v>66</v>
      </c>
      <c r="D91" s="296" t="s">
        <v>190</v>
      </c>
      <c r="E91" s="296" t="s">
        <v>194</v>
      </c>
      <c r="F91" s="296" t="s">
        <v>9</v>
      </c>
      <c r="G91" s="297" t="s">
        <v>367</v>
      </c>
      <c r="H91" s="298">
        <v>2.5</v>
      </c>
      <c r="I91" s="299" cm="1">
        <f t="array" ref="I91">IFERROR(
  VALUE($H91) *
  VALUE(
    _xlfn.XLOOKUP(
      TRIM($F91) &amp; "|" &amp; LEFT(SUBSTITUTE($G91,CHAR(160)," "),5) &amp; "|Full Rate",
      TRIM(SUBSTITUTE($N$2:$N$38,CHAR(160)," ")) &amp; "|" &amp;
      LEFT(SUBSTITUTE($O$2:$O$38,CHAR(160)," "),5) &amp; "|" &amp;
      TRIM(SUBSTITUTE($P$2:$P$38,CHAR(160)," ")),
      $Q$2:$Q$38
    )
  ),
"")</f>
        <v>1250</v>
      </c>
      <c r="J91" s="300" cm="1">
        <f t="array" ref="J91">IFERROR(
  VALUE($H91) *
  VALUE(
    _xlfn.XLOOKUP(
      TRIM($F91) &amp; "|" &amp; LEFT(SUBSTITUTE($G91,CHAR(160)," "),5) &amp; "|Reduced Rate",
      TRIM(SUBSTITUTE($N$2:$N$38,CHAR(160)," ")) &amp; "|" &amp;
      LEFT(SUBSTITUTE($O$2:$O$38,CHAR(160)," "),5) &amp; "|" &amp;
      TRIM(SUBSTITUTE($P$2:$P$38,CHAR(160)," ")),
      $Q$2:$Q$38
    )
  ),
"")</f>
        <v>750</v>
      </c>
      <c r="K91" s="301" cm="1">
        <f t="array" ref="K91">IFERROR(
  VALUE($H91) *
  VALUE(
    _xlfn.XLOOKUP(
      TRIM($F91) &amp; "|" &amp; LEFT(SUBSTITUTE($G91,CHAR(160)," "),5) &amp; "|Ideas Rate",
      TRIM(SUBSTITUTE($N$2:$N$38,CHAR(160)," ")) &amp; "|" &amp;
      LEFT(SUBSTITUTE($O$2:$O$38,CHAR(160)," "),5) &amp; "|" &amp;
      TRIM(SUBSTITUTE($P$2:$P$38,CHAR(160)," ")),
      $Q$2:$Q$38
    )
  ),
"")</f>
        <v>375</v>
      </c>
      <c r="L91" s="32" t="str">
        <f>IFERROR( VALUE($H91) * INDEX(#REF!, MATCH(UPPER(TRIM($F91)),#REF!,0)), "" )</f>
        <v/>
      </c>
    </row>
    <row r="92" spans="1:12" x14ac:dyDescent="0.2">
      <c r="A92" s="303">
        <v>45902</v>
      </c>
      <c r="B92" s="295" t="s">
        <v>169</v>
      </c>
      <c r="C92" s="304" t="s">
        <v>66</v>
      </c>
      <c r="D92" s="296" t="s">
        <v>191</v>
      </c>
      <c r="E92" s="296" t="s">
        <v>195</v>
      </c>
      <c r="F92" s="296" t="s">
        <v>9</v>
      </c>
      <c r="G92" s="297" t="s">
        <v>367</v>
      </c>
      <c r="H92" s="298">
        <v>1.5</v>
      </c>
      <c r="I92" s="299" cm="1">
        <f t="array" ref="I92">IFERROR(
  VALUE($H92) *
  VALUE(
    _xlfn.XLOOKUP(
      TRIM($F92) &amp; "|" &amp; LEFT(SUBSTITUTE($G92,CHAR(160)," "),5) &amp; "|Full Rate",
      TRIM(SUBSTITUTE($N$2:$N$38,CHAR(160)," ")) &amp; "|" &amp;
      LEFT(SUBSTITUTE($O$2:$O$38,CHAR(160)," "),5) &amp; "|" &amp;
      TRIM(SUBSTITUTE($P$2:$P$38,CHAR(160)," ")),
      $Q$2:$Q$38
    )
  ),
"")</f>
        <v>750</v>
      </c>
      <c r="J92" s="300" cm="1">
        <f t="array" ref="J92">IFERROR(
  VALUE($H92) *
  VALUE(
    _xlfn.XLOOKUP(
      TRIM($F92) &amp; "|" &amp; LEFT(SUBSTITUTE($G92,CHAR(160)," "),5) &amp; "|Reduced Rate",
      TRIM(SUBSTITUTE($N$2:$N$38,CHAR(160)," ")) &amp; "|" &amp;
      LEFT(SUBSTITUTE($O$2:$O$38,CHAR(160)," "),5) &amp; "|" &amp;
      TRIM(SUBSTITUTE($P$2:$P$38,CHAR(160)," ")),
      $Q$2:$Q$38
    )
  ),
"")</f>
        <v>450</v>
      </c>
      <c r="K92" s="301" cm="1">
        <f t="array" ref="K92">IFERROR(
  VALUE($H92) *
  VALUE(
    _xlfn.XLOOKUP(
      TRIM($F92) &amp; "|" &amp; LEFT(SUBSTITUTE($G92,CHAR(160)," "),5) &amp; "|Ideas Rate",
      TRIM(SUBSTITUTE($N$2:$N$38,CHAR(160)," ")) &amp; "|" &amp;
      LEFT(SUBSTITUTE($O$2:$O$38,CHAR(160)," "),5) &amp; "|" &amp;
      TRIM(SUBSTITUTE($P$2:$P$38,CHAR(160)," ")),
      $Q$2:$Q$38
    )
  ),
"")</f>
        <v>225</v>
      </c>
      <c r="L92" s="32" t="str">
        <f>IFERROR( VALUE($H92) * INDEX(#REF!, MATCH(UPPER(TRIM($F92)),#REF!,0)), "" )</f>
        <v/>
      </c>
    </row>
    <row r="93" spans="1:12" x14ac:dyDescent="0.2">
      <c r="A93" s="303">
        <v>45902</v>
      </c>
      <c r="B93" s="295" t="s">
        <v>169</v>
      </c>
      <c r="C93" s="304" t="s">
        <v>66</v>
      </c>
      <c r="D93" s="296" t="s">
        <v>192</v>
      </c>
      <c r="E93" s="296" t="s">
        <v>197</v>
      </c>
      <c r="F93" s="296" t="s">
        <v>9</v>
      </c>
      <c r="G93" s="297" t="s">
        <v>380</v>
      </c>
      <c r="H93" s="298">
        <v>1.5</v>
      </c>
      <c r="I93" s="299" cm="1">
        <f t="array" ref="I93">IFERROR(
  VALUE($H93) *
  VALUE(
    _xlfn.XLOOKUP(
      TRIM($F93) &amp; "|" &amp; LEFT(SUBSTITUTE($G93,CHAR(160)," "),5) &amp; "|Full Rate",
      TRIM(SUBSTITUTE($N$2:$N$38,CHAR(160)," ")) &amp; "|" &amp;
      LEFT(SUBSTITUTE($O$2:$O$38,CHAR(160)," "),5) &amp; "|" &amp;
      TRIM(SUBSTITUTE($P$2:$P$38,CHAR(160)," ")),
      $Q$2:$Q$38
    )
  ),
"")</f>
        <v>375</v>
      </c>
      <c r="J93" s="300" cm="1">
        <f t="array" ref="J93">IFERROR(
  VALUE($H93) *
  VALUE(
    _xlfn.XLOOKUP(
      TRIM($F93) &amp; "|" &amp; LEFT(SUBSTITUTE($G93,CHAR(160)," "),5) &amp; "|Reduced Rate",
      TRIM(SUBSTITUTE($N$2:$N$38,CHAR(160)," ")) &amp; "|" &amp;
      LEFT(SUBSTITUTE($O$2:$O$38,CHAR(160)," "),5) &amp; "|" &amp;
      TRIM(SUBSTITUTE($P$2:$P$38,CHAR(160)," ")),
      $Q$2:$Q$38
    )
  ),
"")</f>
        <v>225</v>
      </c>
      <c r="K93" s="301" cm="1">
        <f t="array" ref="K93">IFERROR(
  VALUE($H93) *
  VALUE(
    _xlfn.XLOOKUP(
      TRIM($F93) &amp; "|" &amp; LEFT(SUBSTITUTE($G93,CHAR(160)," "),5) &amp; "|Ideas Rate",
      TRIM(SUBSTITUTE($N$2:$N$38,CHAR(160)," ")) &amp; "|" &amp;
      LEFT(SUBSTITUTE($O$2:$O$38,CHAR(160)," "),5) &amp; "|" &amp;
      TRIM(SUBSTITUTE($P$2:$P$38,CHAR(160)," ")),
      $Q$2:$Q$38
    )
  ),
"")</f>
        <v>112.5</v>
      </c>
      <c r="L93" s="32" t="str">
        <f>IFERROR( VALUE($H93) * INDEX(#REF!, MATCH(UPPER(TRIM($F93)),#REF!,0)), "" )</f>
        <v/>
      </c>
    </row>
    <row r="94" spans="1:12" x14ac:dyDescent="0.2">
      <c r="A94" s="303">
        <v>45902</v>
      </c>
      <c r="B94" s="295" t="s">
        <v>169</v>
      </c>
      <c r="C94" s="304" t="s">
        <v>66</v>
      </c>
      <c r="D94" s="296" t="s">
        <v>178</v>
      </c>
      <c r="E94" s="296" t="s">
        <v>198</v>
      </c>
      <c r="F94" s="296" t="s">
        <v>9</v>
      </c>
      <c r="G94" s="297" t="s">
        <v>367</v>
      </c>
      <c r="H94" s="298">
        <v>0.25</v>
      </c>
      <c r="I94" s="299" cm="1">
        <f t="array" ref="I94">IFERROR(
  VALUE($H94) *
  VALUE(
    _xlfn.XLOOKUP(
      TRIM($F94) &amp; "|" &amp; LEFT(SUBSTITUTE($G94,CHAR(160)," "),5) &amp; "|Full Rate",
      TRIM(SUBSTITUTE($N$2:$N$38,CHAR(160)," ")) &amp; "|" &amp;
      LEFT(SUBSTITUTE($O$2:$O$38,CHAR(160)," "),5) &amp; "|" &amp;
      TRIM(SUBSTITUTE($P$2:$P$38,CHAR(160)," ")),
      $Q$2:$Q$38
    )
  ),
"")</f>
        <v>125</v>
      </c>
      <c r="J94" s="300" cm="1">
        <f t="array" ref="J94">IFERROR(
  VALUE($H94) *
  VALUE(
    _xlfn.XLOOKUP(
      TRIM($F94) &amp; "|" &amp; LEFT(SUBSTITUTE($G94,CHAR(160)," "),5) &amp; "|Reduced Rate",
      TRIM(SUBSTITUTE($N$2:$N$38,CHAR(160)," ")) &amp; "|" &amp;
      LEFT(SUBSTITUTE($O$2:$O$38,CHAR(160)," "),5) &amp; "|" &amp;
      TRIM(SUBSTITUTE($P$2:$P$38,CHAR(160)," ")),
      $Q$2:$Q$38
    )
  ),
"")</f>
        <v>75</v>
      </c>
      <c r="K94" s="301" cm="1">
        <f t="array" ref="K94">IFERROR(
  VALUE($H94) *
  VALUE(
    _xlfn.XLOOKUP(
      TRIM($F94) &amp; "|" &amp; LEFT(SUBSTITUTE($G94,CHAR(160)," "),5) &amp; "|Ideas Rate",
      TRIM(SUBSTITUTE($N$2:$N$38,CHAR(160)," ")) &amp; "|" &amp;
      LEFT(SUBSTITUTE($O$2:$O$38,CHAR(160)," "),5) &amp; "|" &amp;
      TRIM(SUBSTITUTE($P$2:$P$38,CHAR(160)," ")),
      $Q$2:$Q$38
    )
  ),
"")</f>
        <v>37.5</v>
      </c>
      <c r="L94" s="32" t="str">
        <f>IFERROR( VALUE($H94) * INDEX(#REF!, MATCH(UPPER(TRIM($F94)),#REF!,0)), "" )</f>
        <v/>
      </c>
    </row>
    <row r="95" spans="1:12" x14ac:dyDescent="0.2">
      <c r="A95" s="303">
        <v>45902</v>
      </c>
      <c r="B95" s="295" t="s">
        <v>169</v>
      </c>
      <c r="C95" s="304" t="s">
        <v>66</v>
      </c>
      <c r="D95" s="296" t="s">
        <v>178</v>
      </c>
      <c r="E95" s="296" t="s">
        <v>199</v>
      </c>
      <c r="F95" s="296" t="s">
        <v>9</v>
      </c>
      <c r="G95" s="297" t="s">
        <v>367</v>
      </c>
      <c r="H95" s="298">
        <v>0.5</v>
      </c>
      <c r="I95" s="299" cm="1">
        <f t="array" ref="I95">IFERROR(
  VALUE($H95) *
  VALUE(
    _xlfn.XLOOKUP(
      TRIM($F95) &amp; "|" &amp; LEFT(SUBSTITUTE($G95,CHAR(160)," "),5) &amp; "|Full Rate",
      TRIM(SUBSTITUTE($N$2:$N$38,CHAR(160)," ")) &amp; "|" &amp;
      LEFT(SUBSTITUTE($O$2:$O$38,CHAR(160)," "),5) &amp; "|" &amp;
      TRIM(SUBSTITUTE($P$2:$P$38,CHAR(160)," ")),
      $Q$2:$Q$38
    )
  ),
"")</f>
        <v>250</v>
      </c>
      <c r="J95" s="300" cm="1">
        <f t="array" ref="J95">IFERROR(
  VALUE($H95) *
  VALUE(
    _xlfn.XLOOKUP(
      TRIM($F95) &amp; "|" &amp; LEFT(SUBSTITUTE($G95,CHAR(160)," "),5) &amp; "|Reduced Rate",
      TRIM(SUBSTITUTE($N$2:$N$38,CHAR(160)," ")) &amp; "|" &amp;
      LEFT(SUBSTITUTE($O$2:$O$38,CHAR(160)," "),5) &amp; "|" &amp;
      TRIM(SUBSTITUTE($P$2:$P$38,CHAR(160)," ")),
      $Q$2:$Q$38
    )
  ),
"")</f>
        <v>150</v>
      </c>
      <c r="K95" s="301" cm="1">
        <f t="array" ref="K95">IFERROR(
  VALUE($H95) *
  VALUE(
    _xlfn.XLOOKUP(
      TRIM($F95) &amp; "|" &amp; LEFT(SUBSTITUTE($G95,CHAR(160)," "),5) &amp; "|Ideas Rate",
      TRIM(SUBSTITUTE($N$2:$N$38,CHAR(160)," ")) &amp; "|" &amp;
      LEFT(SUBSTITUTE($O$2:$O$38,CHAR(160)," "),5) &amp; "|" &amp;
      TRIM(SUBSTITUTE($P$2:$P$38,CHAR(160)," ")),
      $Q$2:$Q$38
    )
  ),
"")</f>
        <v>75</v>
      </c>
      <c r="L95" s="32" t="str">
        <f>IFERROR( VALUE($H95) * INDEX(#REF!, MATCH(UPPER(TRIM($F95)),#REF!,0)), "" )</f>
        <v/>
      </c>
    </row>
    <row r="96" spans="1:12" x14ac:dyDescent="0.2">
      <c r="A96" s="303">
        <v>45903</v>
      </c>
      <c r="B96" s="295" t="s">
        <v>169</v>
      </c>
      <c r="C96" s="304" t="s">
        <v>66</v>
      </c>
      <c r="D96" s="296" t="s">
        <v>182</v>
      </c>
      <c r="E96" s="296" t="s">
        <v>148</v>
      </c>
      <c r="F96" s="296" t="s">
        <v>155</v>
      </c>
      <c r="G96" s="297" t="s">
        <v>367</v>
      </c>
      <c r="H96" s="298">
        <v>4</v>
      </c>
      <c r="I96" s="299" cm="1">
        <f t="array" ref="I96">IFERROR(
  VALUE($H96) *
  VALUE(
    _xlfn.XLOOKUP(
      TRIM($F96) &amp; "|" &amp; LEFT(SUBSTITUTE($G96,CHAR(160)," "),5) &amp; "|Full Rate",
      TRIM(SUBSTITUTE($N$2:$N$38,CHAR(160)," ")) &amp; "|" &amp;
      LEFT(SUBSTITUTE($O$2:$O$38,CHAR(160)," "),5) &amp; "|" &amp;
      TRIM(SUBSTITUTE($P$2:$P$38,CHAR(160)," ")),
      $Q$2:$Q$38
    )
  ),
"")</f>
        <v>1600</v>
      </c>
      <c r="J96" s="300" cm="1">
        <f t="array" ref="J96">IFERROR(
  VALUE($H96) *
  VALUE(
    _xlfn.XLOOKUP(
      TRIM($F96) &amp; "|" &amp; LEFT(SUBSTITUTE($G96,CHAR(160)," "),5) &amp; "|Reduced Rate",
      TRIM(SUBSTITUTE($N$2:$N$38,CHAR(160)," ")) &amp; "|" &amp;
      LEFT(SUBSTITUTE($O$2:$O$38,CHAR(160)," "),5) &amp; "|" &amp;
      TRIM(SUBSTITUTE($P$2:$P$38,CHAR(160)," ")),
      $Q$2:$Q$38
    )
  ),
"")</f>
        <v>800</v>
      </c>
      <c r="K96" s="301" cm="1">
        <f t="array" ref="K96">IFERROR(
  VALUE($H96) *
  VALUE(
    _xlfn.XLOOKUP(
      TRIM($F96) &amp; "|" &amp; LEFT(SUBSTITUTE($G96,CHAR(160)," "),5) &amp; "|Ideas Rate",
      TRIM(SUBSTITUTE($N$2:$N$38,CHAR(160)," ")) &amp; "|" &amp;
      LEFT(SUBSTITUTE($O$2:$O$38,CHAR(160)," "),5) &amp; "|" &amp;
      TRIM(SUBSTITUTE($P$2:$P$38,CHAR(160)," ")),
      $Q$2:$Q$38
    )
  ),
"")</f>
        <v>480</v>
      </c>
      <c r="L96" s="32" t="str">
        <f>IFERROR( VALUE($H96) * INDEX(#REF!, MATCH(UPPER(TRIM($F96)),#REF!,0)), "" )</f>
        <v/>
      </c>
    </row>
    <row r="97" spans="1:12" x14ac:dyDescent="0.2">
      <c r="A97" s="303">
        <v>45903</v>
      </c>
      <c r="B97" s="295" t="s">
        <v>169</v>
      </c>
      <c r="C97" s="304" t="s">
        <v>66</v>
      </c>
      <c r="D97" s="296" t="s">
        <v>192</v>
      </c>
      <c r="E97" s="296" t="s">
        <v>197</v>
      </c>
      <c r="F97" s="296" t="s">
        <v>9</v>
      </c>
      <c r="G97" s="297" t="s">
        <v>380</v>
      </c>
      <c r="H97" s="298">
        <v>1</v>
      </c>
      <c r="I97" s="299" cm="1">
        <f t="array" ref="I97">IFERROR(
  VALUE($H97) *
  VALUE(
    _xlfn.XLOOKUP(
      TRIM($F97) &amp; "|" &amp; LEFT(SUBSTITUTE($G97,CHAR(160)," "),5) &amp; "|Full Rate",
      TRIM(SUBSTITUTE($N$2:$N$38,CHAR(160)," ")) &amp; "|" &amp;
      LEFT(SUBSTITUTE($O$2:$O$38,CHAR(160)," "),5) &amp; "|" &amp;
      TRIM(SUBSTITUTE($P$2:$P$38,CHAR(160)," ")),
      $Q$2:$Q$38
    )
  ),
"")</f>
        <v>250</v>
      </c>
      <c r="J97" s="300" cm="1">
        <f t="array" ref="J97">IFERROR(
  VALUE($H97) *
  VALUE(
    _xlfn.XLOOKUP(
      TRIM($F97) &amp; "|" &amp; LEFT(SUBSTITUTE($G97,CHAR(160)," "),5) &amp; "|Reduced Rate",
      TRIM(SUBSTITUTE($N$2:$N$38,CHAR(160)," ")) &amp; "|" &amp;
      LEFT(SUBSTITUTE($O$2:$O$38,CHAR(160)," "),5) &amp; "|" &amp;
      TRIM(SUBSTITUTE($P$2:$P$38,CHAR(160)," ")),
      $Q$2:$Q$38
    )
  ),
"")</f>
        <v>150</v>
      </c>
      <c r="K97" s="301" cm="1">
        <f t="array" ref="K97">IFERROR(
  VALUE($H97) *
  VALUE(
    _xlfn.XLOOKUP(
      TRIM($F97) &amp; "|" &amp; LEFT(SUBSTITUTE($G97,CHAR(160)," "),5) &amp; "|Ideas Rate",
      TRIM(SUBSTITUTE($N$2:$N$38,CHAR(160)," ")) &amp; "|" &amp;
      LEFT(SUBSTITUTE($O$2:$O$38,CHAR(160)," "),5) &amp; "|" &amp;
      TRIM(SUBSTITUTE($P$2:$P$38,CHAR(160)," ")),
      $Q$2:$Q$38
    )
  ),
"")</f>
        <v>75</v>
      </c>
      <c r="L97" s="32" t="str">
        <f>IFERROR( VALUE($H97) * INDEX(#REF!, MATCH(UPPER(TRIM($F97)),#REF!,0)), "" )</f>
        <v/>
      </c>
    </row>
    <row r="98" spans="1:12" x14ac:dyDescent="0.2">
      <c r="A98" s="303">
        <v>45903</v>
      </c>
      <c r="B98" s="295" t="s">
        <v>169</v>
      </c>
      <c r="C98" s="304" t="s">
        <v>66</v>
      </c>
      <c r="D98" s="296" t="s">
        <v>178</v>
      </c>
      <c r="E98" s="296" t="s">
        <v>200</v>
      </c>
      <c r="F98" s="296" t="s">
        <v>9</v>
      </c>
      <c r="G98" s="297" t="s">
        <v>367</v>
      </c>
      <c r="H98" s="298">
        <v>0.5</v>
      </c>
      <c r="I98" s="299" cm="1">
        <f t="array" ref="I98">IFERROR(
  VALUE($H98) *
  VALUE(
    _xlfn.XLOOKUP(
      TRIM($F98) &amp; "|" &amp; LEFT(SUBSTITUTE($G98,CHAR(160)," "),5) &amp; "|Full Rate",
      TRIM(SUBSTITUTE($N$2:$N$38,CHAR(160)," ")) &amp; "|" &amp;
      LEFT(SUBSTITUTE($O$2:$O$38,CHAR(160)," "),5) &amp; "|" &amp;
      TRIM(SUBSTITUTE($P$2:$P$38,CHAR(160)," ")),
      $Q$2:$Q$38
    )
  ),
"")</f>
        <v>250</v>
      </c>
      <c r="J98" s="300" cm="1">
        <f t="array" ref="J98">IFERROR(
  VALUE($H98) *
  VALUE(
    _xlfn.XLOOKUP(
      TRIM($F98) &amp; "|" &amp; LEFT(SUBSTITUTE($G98,CHAR(160)," "),5) &amp; "|Reduced Rate",
      TRIM(SUBSTITUTE($N$2:$N$38,CHAR(160)," ")) &amp; "|" &amp;
      LEFT(SUBSTITUTE($O$2:$O$38,CHAR(160)," "),5) &amp; "|" &amp;
      TRIM(SUBSTITUTE($P$2:$P$38,CHAR(160)," ")),
      $Q$2:$Q$38
    )
  ),
"")</f>
        <v>150</v>
      </c>
      <c r="K98" s="301" cm="1">
        <f t="array" ref="K98">IFERROR(
  VALUE($H98) *
  VALUE(
    _xlfn.XLOOKUP(
      TRIM($F98) &amp; "|" &amp; LEFT(SUBSTITUTE($G98,CHAR(160)," "),5) &amp; "|Ideas Rate",
      TRIM(SUBSTITUTE($N$2:$N$38,CHAR(160)," ")) &amp; "|" &amp;
      LEFT(SUBSTITUTE($O$2:$O$38,CHAR(160)," "),5) &amp; "|" &amp;
      TRIM(SUBSTITUTE($P$2:$P$38,CHAR(160)," ")),
      $Q$2:$Q$38
    )
  ),
"")</f>
        <v>75</v>
      </c>
      <c r="L98" s="32" t="str">
        <f>IFERROR( VALUE($H98) * INDEX(#REF!, MATCH(UPPER(TRIM($F98)),#REF!,0)), "" )</f>
        <v/>
      </c>
    </row>
    <row r="99" spans="1:12" x14ac:dyDescent="0.2">
      <c r="A99" s="303">
        <v>45903</v>
      </c>
      <c r="B99" s="295" t="s">
        <v>169</v>
      </c>
      <c r="C99" s="304" t="s">
        <v>66</v>
      </c>
      <c r="D99" s="296" t="s">
        <v>29</v>
      </c>
      <c r="E99" s="296" t="s">
        <v>201</v>
      </c>
      <c r="F99" s="296" t="s">
        <v>9</v>
      </c>
      <c r="G99" s="297" t="s">
        <v>380</v>
      </c>
      <c r="H99" s="298">
        <v>0.75</v>
      </c>
      <c r="I99" s="299" cm="1">
        <f t="array" ref="I99">IFERROR(
  VALUE($H99) *
  VALUE(
    _xlfn.XLOOKUP(
      TRIM($F99) &amp; "|" &amp; LEFT(SUBSTITUTE($G99,CHAR(160)," "),5) &amp; "|Full Rate",
      TRIM(SUBSTITUTE($N$2:$N$38,CHAR(160)," ")) &amp; "|" &amp;
      LEFT(SUBSTITUTE($O$2:$O$38,CHAR(160)," "),5) &amp; "|" &amp;
      TRIM(SUBSTITUTE($P$2:$P$38,CHAR(160)," ")),
      $Q$2:$Q$38
    )
  ),
"")</f>
        <v>187.5</v>
      </c>
      <c r="J99" s="300" cm="1">
        <f t="array" ref="J99">IFERROR(
  VALUE($H99) *
  VALUE(
    _xlfn.XLOOKUP(
      TRIM($F99) &amp; "|" &amp; LEFT(SUBSTITUTE($G99,CHAR(160)," "),5) &amp; "|Reduced Rate",
      TRIM(SUBSTITUTE($N$2:$N$38,CHAR(160)," ")) &amp; "|" &amp;
      LEFT(SUBSTITUTE($O$2:$O$38,CHAR(160)," "),5) &amp; "|" &amp;
      TRIM(SUBSTITUTE($P$2:$P$38,CHAR(160)," ")),
      $Q$2:$Q$38
    )
  ),
"")</f>
        <v>112.5</v>
      </c>
      <c r="K99" s="301" cm="1">
        <f t="array" ref="K99">IFERROR(
  VALUE($H99) *
  VALUE(
    _xlfn.XLOOKUP(
      TRIM($F99) &amp; "|" &amp; LEFT(SUBSTITUTE($G99,CHAR(160)," "),5) &amp; "|Ideas Rate",
      TRIM(SUBSTITUTE($N$2:$N$38,CHAR(160)," ")) &amp; "|" &amp;
      LEFT(SUBSTITUTE($O$2:$O$38,CHAR(160)," "),5) &amp; "|" &amp;
      TRIM(SUBSTITUTE($P$2:$P$38,CHAR(160)," ")),
      $Q$2:$Q$38
    )
  ),
"")</f>
        <v>56.25</v>
      </c>
      <c r="L99" s="32" t="str">
        <f>IFERROR( VALUE($H99) * INDEX(#REF!, MATCH(UPPER(TRIM($F99)),#REF!,0)), "" )</f>
        <v/>
      </c>
    </row>
    <row r="100" spans="1:12" x14ac:dyDescent="0.2">
      <c r="A100" s="303">
        <v>45903</v>
      </c>
      <c r="B100" s="295" t="s">
        <v>169</v>
      </c>
      <c r="C100" s="304" t="s">
        <v>66</v>
      </c>
      <c r="D100" s="296" t="s">
        <v>191</v>
      </c>
      <c r="E100" s="296" t="s">
        <v>203</v>
      </c>
      <c r="F100" s="296" t="s">
        <v>10</v>
      </c>
      <c r="G100" s="297" t="s">
        <v>367</v>
      </c>
      <c r="H100" s="298">
        <v>0.5</v>
      </c>
      <c r="I100" s="299" cm="1">
        <f t="array" ref="I100">IFERROR(
  VALUE($H100) *
  VALUE(
    _xlfn.XLOOKUP(
      TRIM($F100) &amp; "|" &amp; LEFT(SUBSTITUTE($G100,CHAR(160)," "),5) &amp; "|Full Rate",
      TRIM(SUBSTITUTE($N$2:$N$38,CHAR(160)," ")) &amp; "|" &amp;
      LEFT(SUBSTITUTE($O$2:$O$38,CHAR(160)," "),5) &amp; "|" &amp;
      TRIM(SUBSTITUTE($P$2:$P$38,CHAR(160)," ")),
      $Q$2:$Q$38
    )
  ),
"")</f>
        <v>250</v>
      </c>
      <c r="J100" s="300" cm="1">
        <f t="array" ref="J100">IFERROR(
  VALUE($H100) *
  VALUE(
    _xlfn.XLOOKUP(
      TRIM($F100) &amp; "|" &amp; LEFT(SUBSTITUTE($G100,CHAR(160)," "),5) &amp; "|Reduced Rate",
      TRIM(SUBSTITUTE($N$2:$N$38,CHAR(160)," ")) &amp; "|" &amp;
      LEFT(SUBSTITUTE($O$2:$O$38,CHAR(160)," "),5) &amp; "|" &amp;
      TRIM(SUBSTITUTE($P$2:$P$38,CHAR(160)," ")),
      $Q$2:$Q$38
    )
  ),
"")</f>
        <v>150</v>
      </c>
      <c r="K100" s="301" cm="1">
        <f t="array" ref="K100">IFERROR(
  VALUE($H100) *
  VALUE(
    _xlfn.XLOOKUP(
      TRIM($F100) &amp; "|" &amp; LEFT(SUBSTITUTE($G100,CHAR(160)," "),5) &amp; "|Ideas Rate",
      TRIM(SUBSTITUTE($N$2:$N$38,CHAR(160)," ")) &amp; "|" &amp;
      LEFT(SUBSTITUTE($O$2:$O$38,CHAR(160)," "),5) &amp; "|" &amp;
      TRIM(SUBSTITUTE($P$2:$P$38,CHAR(160)," ")),
      $Q$2:$Q$38
    )
  ),
"")</f>
        <v>75</v>
      </c>
      <c r="L100" s="32" t="str">
        <f>IFERROR( VALUE($H100) * INDEX(#REF!, MATCH(UPPER(TRIM($F100)),#REF!,0)), "" )</f>
        <v/>
      </c>
    </row>
    <row r="101" spans="1:12" x14ac:dyDescent="0.2">
      <c r="A101" s="303">
        <v>45903</v>
      </c>
      <c r="B101" s="295" t="s">
        <v>169</v>
      </c>
      <c r="C101" s="304" t="s">
        <v>66</v>
      </c>
      <c r="D101" s="296" t="s">
        <v>178</v>
      </c>
      <c r="E101" s="296" t="s">
        <v>204</v>
      </c>
      <c r="F101" s="296" t="s">
        <v>10</v>
      </c>
      <c r="G101" s="297" t="s">
        <v>367</v>
      </c>
      <c r="H101" s="298">
        <v>0.25</v>
      </c>
      <c r="I101" s="299" cm="1">
        <f t="array" ref="I101">IFERROR(
  VALUE($H101) *
  VALUE(
    _xlfn.XLOOKUP(
      TRIM($F101) &amp; "|" &amp; LEFT(SUBSTITUTE($G101,CHAR(160)," "),5) &amp; "|Full Rate",
      TRIM(SUBSTITUTE($N$2:$N$38,CHAR(160)," ")) &amp; "|" &amp;
      LEFT(SUBSTITUTE($O$2:$O$38,CHAR(160)," "),5) &amp; "|" &amp;
      TRIM(SUBSTITUTE($P$2:$P$38,CHAR(160)," ")),
      $Q$2:$Q$38
    )
  ),
"")</f>
        <v>125</v>
      </c>
      <c r="J101" s="300" cm="1">
        <f t="array" ref="J101">IFERROR(
  VALUE($H101) *
  VALUE(
    _xlfn.XLOOKUP(
      TRIM($F101) &amp; "|" &amp; LEFT(SUBSTITUTE($G101,CHAR(160)," "),5) &amp; "|Reduced Rate",
      TRIM(SUBSTITUTE($N$2:$N$38,CHAR(160)," ")) &amp; "|" &amp;
      LEFT(SUBSTITUTE($O$2:$O$38,CHAR(160)," "),5) &amp; "|" &amp;
      TRIM(SUBSTITUTE($P$2:$P$38,CHAR(160)," ")),
      $Q$2:$Q$38
    )
  ),
"")</f>
        <v>75</v>
      </c>
      <c r="K101" s="301" cm="1">
        <f t="array" ref="K101">IFERROR(
  VALUE($H101) *
  VALUE(
    _xlfn.XLOOKUP(
      TRIM($F101) &amp; "|" &amp; LEFT(SUBSTITUTE($G101,CHAR(160)," "),5) &amp; "|Ideas Rate",
      TRIM(SUBSTITUTE($N$2:$N$38,CHAR(160)," ")) &amp; "|" &amp;
      LEFT(SUBSTITUTE($O$2:$O$38,CHAR(160)," "),5) &amp; "|" &amp;
      TRIM(SUBSTITUTE($P$2:$P$38,CHAR(160)," ")),
      $Q$2:$Q$38
    )
  ),
"")</f>
        <v>37.5</v>
      </c>
      <c r="L101" s="32" t="str">
        <f>IFERROR( VALUE($H101) * INDEX(#REF!, MATCH(UPPER(TRIM($F101)),#REF!,0)), "" )</f>
        <v/>
      </c>
    </row>
    <row r="102" spans="1:12" x14ac:dyDescent="0.2">
      <c r="A102" s="303">
        <v>45903</v>
      </c>
      <c r="B102" s="295" t="s">
        <v>169</v>
      </c>
      <c r="C102" s="304" t="s">
        <v>66</v>
      </c>
      <c r="D102" s="296" t="s">
        <v>190</v>
      </c>
      <c r="E102" s="296" t="s">
        <v>205</v>
      </c>
      <c r="F102" s="296" t="s">
        <v>10</v>
      </c>
      <c r="G102" s="297" t="s">
        <v>380</v>
      </c>
      <c r="H102" s="298">
        <v>0.5</v>
      </c>
      <c r="I102" s="299" cm="1">
        <f t="array" ref="I102">IFERROR(
  VALUE($H102) *
  VALUE(
    _xlfn.XLOOKUP(
      TRIM($F102) &amp; "|" &amp; LEFT(SUBSTITUTE($G102,CHAR(160)," "),5) &amp; "|Full Rate",
      TRIM(SUBSTITUTE($N$2:$N$38,CHAR(160)," ")) &amp; "|" &amp;
      LEFT(SUBSTITUTE($O$2:$O$38,CHAR(160)," "),5) &amp; "|" &amp;
      TRIM(SUBSTITUTE($P$2:$P$38,CHAR(160)," ")),
      $Q$2:$Q$38
    )
  ),
"")</f>
        <v>125</v>
      </c>
      <c r="J102" s="300" cm="1">
        <f t="array" ref="J102">IFERROR(
  VALUE($H102) *
  VALUE(
    _xlfn.XLOOKUP(
      TRIM($F102) &amp; "|" &amp; LEFT(SUBSTITUTE($G102,CHAR(160)," "),5) &amp; "|Reduced Rate",
      TRIM(SUBSTITUTE($N$2:$N$38,CHAR(160)," ")) &amp; "|" &amp;
      LEFT(SUBSTITUTE($O$2:$O$38,CHAR(160)," "),5) &amp; "|" &amp;
      TRIM(SUBSTITUTE($P$2:$P$38,CHAR(160)," ")),
      $Q$2:$Q$38
    )
  ),
"")</f>
        <v>75</v>
      </c>
      <c r="K102" s="301" cm="1">
        <f t="array" ref="K102">IFERROR(
  VALUE($H102) *
  VALUE(
    _xlfn.XLOOKUP(
      TRIM($F102) &amp; "|" &amp; LEFT(SUBSTITUTE($G102,CHAR(160)," "),5) &amp; "|Ideas Rate",
      TRIM(SUBSTITUTE($N$2:$N$38,CHAR(160)," ")) &amp; "|" &amp;
      LEFT(SUBSTITUTE($O$2:$O$38,CHAR(160)," "),5) &amp; "|" &amp;
      TRIM(SUBSTITUTE($P$2:$P$38,CHAR(160)," ")),
      $Q$2:$Q$38
    )
  ),
"")</f>
        <v>37.5</v>
      </c>
      <c r="L102" s="32" t="str">
        <f>IFERROR( VALUE($H102) * INDEX(#REF!, MATCH(UPPER(TRIM($F102)),#REF!,0)), "" )</f>
        <v/>
      </c>
    </row>
    <row r="103" spans="1:12" x14ac:dyDescent="0.2">
      <c r="A103" s="303">
        <v>45904</v>
      </c>
      <c r="B103" s="295" t="s">
        <v>169</v>
      </c>
      <c r="C103" s="304" t="s">
        <v>66</v>
      </c>
      <c r="D103" s="296" t="s">
        <v>191</v>
      </c>
      <c r="E103" s="296" t="s">
        <v>206</v>
      </c>
      <c r="F103" s="296" t="s">
        <v>9</v>
      </c>
      <c r="G103" s="297" t="s">
        <v>380</v>
      </c>
      <c r="H103" s="298">
        <v>0.5</v>
      </c>
      <c r="I103" s="299" cm="1">
        <f t="array" ref="I103">IFERROR(
  VALUE($H103) *
  VALUE(
    _xlfn.XLOOKUP(
      TRIM($F103) &amp; "|" &amp; LEFT(SUBSTITUTE($G103,CHAR(160)," "),5) &amp; "|Full Rate",
      TRIM(SUBSTITUTE($N$2:$N$38,CHAR(160)," ")) &amp; "|" &amp;
      LEFT(SUBSTITUTE($O$2:$O$38,CHAR(160)," "),5) &amp; "|" &amp;
      TRIM(SUBSTITUTE($P$2:$P$38,CHAR(160)," ")),
      $Q$2:$Q$38
    )
  ),
"")</f>
        <v>125</v>
      </c>
      <c r="J103" s="300" cm="1">
        <f t="array" ref="J103">IFERROR(
  VALUE($H103) *
  VALUE(
    _xlfn.XLOOKUP(
      TRIM($F103) &amp; "|" &amp; LEFT(SUBSTITUTE($G103,CHAR(160)," "),5) &amp; "|Reduced Rate",
      TRIM(SUBSTITUTE($N$2:$N$38,CHAR(160)," ")) &amp; "|" &amp;
      LEFT(SUBSTITUTE($O$2:$O$38,CHAR(160)," "),5) &amp; "|" &amp;
      TRIM(SUBSTITUTE($P$2:$P$38,CHAR(160)," ")),
      $Q$2:$Q$38
    )
  ),
"")</f>
        <v>75</v>
      </c>
      <c r="K103" s="301" cm="1">
        <f t="array" ref="K103">IFERROR(
  VALUE($H103) *
  VALUE(
    _xlfn.XLOOKUP(
      TRIM($F103) &amp; "|" &amp; LEFT(SUBSTITUTE($G103,CHAR(160)," "),5) &amp; "|Ideas Rate",
      TRIM(SUBSTITUTE($N$2:$N$38,CHAR(160)," ")) &amp; "|" &amp;
      LEFT(SUBSTITUTE($O$2:$O$38,CHAR(160)," "),5) &amp; "|" &amp;
      TRIM(SUBSTITUTE($P$2:$P$38,CHAR(160)," ")),
      $Q$2:$Q$38
    )
  ),
"")</f>
        <v>37.5</v>
      </c>
      <c r="L103" s="32" t="str">
        <f>IFERROR( VALUE($H103) * INDEX(#REF!, MATCH(UPPER(TRIM($F103)),#REF!,0)), "" )</f>
        <v/>
      </c>
    </row>
    <row r="104" spans="1:12" x14ac:dyDescent="0.2">
      <c r="A104" s="303">
        <v>45904</v>
      </c>
      <c r="B104" s="295" t="s">
        <v>169</v>
      </c>
      <c r="C104" s="304" t="s">
        <v>66</v>
      </c>
      <c r="D104" s="296" t="s">
        <v>29</v>
      </c>
      <c r="E104" s="296" t="s">
        <v>207</v>
      </c>
      <c r="F104" s="296" t="s">
        <v>9</v>
      </c>
      <c r="G104" s="297" t="s">
        <v>380</v>
      </c>
      <c r="H104" s="298">
        <v>0.25</v>
      </c>
      <c r="I104" s="299" cm="1">
        <f t="array" ref="I104">IFERROR(
  VALUE($H104) *
  VALUE(
    _xlfn.XLOOKUP(
      TRIM($F104) &amp; "|" &amp; LEFT(SUBSTITUTE($G104,CHAR(160)," "),5) &amp; "|Full Rate",
      TRIM(SUBSTITUTE($N$2:$N$38,CHAR(160)," ")) &amp; "|" &amp;
      LEFT(SUBSTITUTE($O$2:$O$38,CHAR(160)," "),5) &amp; "|" &amp;
      TRIM(SUBSTITUTE($P$2:$P$38,CHAR(160)," ")),
      $Q$2:$Q$38
    )
  ),
"")</f>
        <v>62.5</v>
      </c>
      <c r="J104" s="300" cm="1">
        <f t="array" ref="J104">IFERROR(
  VALUE($H104) *
  VALUE(
    _xlfn.XLOOKUP(
      TRIM($F104) &amp; "|" &amp; LEFT(SUBSTITUTE($G104,CHAR(160)," "),5) &amp; "|Reduced Rate",
      TRIM(SUBSTITUTE($N$2:$N$38,CHAR(160)," ")) &amp; "|" &amp;
      LEFT(SUBSTITUTE($O$2:$O$38,CHAR(160)," "),5) &amp; "|" &amp;
      TRIM(SUBSTITUTE($P$2:$P$38,CHAR(160)," ")),
      $Q$2:$Q$38
    )
  ),
"")</f>
        <v>37.5</v>
      </c>
      <c r="K104" s="301" cm="1">
        <f t="array" ref="K104">IFERROR(
  VALUE($H104) *
  VALUE(
    _xlfn.XLOOKUP(
      TRIM($F104) &amp; "|" &amp; LEFT(SUBSTITUTE($G104,CHAR(160)," "),5) &amp; "|Ideas Rate",
      TRIM(SUBSTITUTE($N$2:$N$38,CHAR(160)," ")) &amp; "|" &amp;
      LEFT(SUBSTITUTE($O$2:$O$38,CHAR(160)," "),5) &amp; "|" &amp;
      TRIM(SUBSTITUTE($P$2:$P$38,CHAR(160)," ")),
      $Q$2:$Q$38
    )
  ),
"")</f>
        <v>18.75</v>
      </c>
      <c r="L104" s="32" t="str">
        <f>IFERROR( VALUE($H104) * INDEX(#REF!, MATCH(UPPER(TRIM($F104)),#REF!,0)), "" )</f>
        <v/>
      </c>
    </row>
    <row r="105" spans="1:12" x14ac:dyDescent="0.2">
      <c r="A105" s="303">
        <v>45907</v>
      </c>
      <c r="B105" s="295" t="s">
        <v>169</v>
      </c>
      <c r="C105" s="304" t="s">
        <v>66</v>
      </c>
      <c r="D105" s="296" t="s">
        <v>191</v>
      </c>
      <c r="E105" s="296" t="s">
        <v>217</v>
      </c>
      <c r="F105" s="296" t="s">
        <v>9</v>
      </c>
      <c r="G105" s="297" t="s">
        <v>380</v>
      </c>
      <c r="H105" s="298">
        <v>1</v>
      </c>
      <c r="I105" s="299" cm="1">
        <f t="array" ref="I105">IFERROR(
  VALUE($H105) *
  VALUE(
    _xlfn.XLOOKUP(
      TRIM($F105) &amp; "|" &amp; LEFT(SUBSTITUTE($G105,CHAR(160)," "),5) &amp; "|Full Rate",
      TRIM(SUBSTITUTE($N$2:$N$38,CHAR(160)," ")) &amp; "|" &amp;
      LEFT(SUBSTITUTE($O$2:$O$38,CHAR(160)," "),5) &amp; "|" &amp;
      TRIM(SUBSTITUTE($P$2:$P$38,CHAR(160)," ")),
      $Q$2:$Q$38
    )
  ),
"")</f>
        <v>250</v>
      </c>
      <c r="J105" s="300" cm="1">
        <f t="array" ref="J105">IFERROR(
  VALUE($H105) *
  VALUE(
    _xlfn.XLOOKUP(
      TRIM($F105) &amp; "|" &amp; LEFT(SUBSTITUTE($G105,CHAR(160)," "),5) &amp; "|Reduced Rate",
      TRIM(SUBSTITUTE($N$2:$N$38,CHAR(160)," ")) &amp; "|" &amp;
      LEFT(SUBSTITUTE($O$2:$O$38,CHAR(160)," "),5) &amp; "|" &amp;
      TRIM(SUBSTITUTE($P$2:$P$38,CHAR(160)," ")),
      $Q$2:$Q$38
    )
  ),
"")</f>
        <v>150</v>
      </c>
      <c r="K105" s="301" cm="1">
        <f t="array" ref="K105">IFERROR(
  VALUE($H105) *
  VALUE(
    _xlfn.XLOOKUP(
      TRIM($F105) &amp; "|" &amp; LEFT(SUBSTITUTE($G105,CHAR(160)," "),5) &amp; "|Ideas Rate",
      TRIM(SUBSTITUTE($N$2:$N$38,CHAR(160)," ")) &amp; "|" &amp;
      LEFT(SUBSTITUTE($O$2:$O$38,CHAR(160)," "),5) &amp; "|" &amp;
      TRIM(SUBSTITUTE($P$2:$P$38,CHAR(160)," ")),
      $Q$2:$Q$38
    )
  ),
"")</f>
        <v>75</v>
      </c>
      <c r="L105" s="32" t="str">
        <f>IFERROR( VALUE($H105) * INDEX(#REF!, MATCH(UPPER(TRIM($F105)),#REF!,0)), "" )</f>
        <v/>
      </c>
    </row>
    <row r="106" spans="1:12" x14ac:dyDescent="0.2">
      <c r="A106" s="303">
        <v>45907</v>
      </c>
      <c r="B106" s="295" t="s">
        <v>169</v>
      </c>
      <c r="C106" s="304" t="s">
        <v>66</v>
      </c>
      <c r="D106" s="296" t="s">
        <v>191</v>
      </c>
      <c r="E106" s="296" t="s">
        <v>218</v>
      </c>
      <c r="F106" s="296" t="s">
        <v>9</v>
      </c>
      <c r="G106" s="297" t="s">
        <v>367</v>
      </c>
      <c r="H106" s="298">
        <v>1.25</v>
      </c>
      <c r="I106" s="299" cm="1">
        <f t="array" ref="I106">IFERROR(
  VALUE($H106) *
  VALUE(
    _xlfn.XLOOKUP(
      TRIM($F106) &amp; "|" &amp; LEFT(SUBSTITUTE($G106,CHAR(160)," "),5) &amp; "|Full Rate",
      TRIM(SUBSTITUTE($N$2:$N$38,CHAR(160)," ")) &amp; "|" &amp;
      LEFT(SUBSTITUTE($O$2:$O$38,CHAR(160)," "),5) &amp; "|" &amp;
      TRIM(SUBSTITUTE($P$2:$P$38,CHAR(160)," ")),
      $Q$2:$Q$38
    )
  ),
"")</f>
        <v>625</v>
      </c>
      <c r="J106" s="300" cm="1">
        <f t="array" ref="J106">IFERROR(
  VALUE($H106) *
  VALUE(
    _xlfn.XLOOKUP(
      TRIM($F106) &amp; "|" &amp; LEFT(SUBSTITUTE($G106,CHAR(160)," "),5) &amp; "|Reduced Rate",
      TRIM(SUBSTITUTE($N$2:$N$38,CHAR(160)," ")) &amp; "|" &amp;
      LEFT(SUBSTITUTE($O$2:$O$38,CHAR(160)," "),5) &amp; "|" &amp;
      TRIM(SUBSTITUTE($P$2:$P$38,CHAR(160)," ")),
      $Q$2:$Q$38
    )
  ),
"")</f>
        <v>375</v>
      </c>
      <c r="K106" s="301" cm="1">
        <f t="array" ref="K106">IFERROR(
  VALUE($H106) *
  VALUE(
    _xlfn.XLOOKUP(
      TRIM($F106) &amp; "|" &amp; LEFT(SUBSTITUTE($G106,CHAR(160)," "),5) &amp; "|Ideas Rate",
      TRIM(SUBSTITUTE($N$2:$N$38,CHAR(160)," ")) &amp; "|" &amp;
      LEFT(SUBSTITUTE($O$2:$O$38,CHAR(160)," "),5) &amp; "|" &amp;
      TRIM(SUBSTITUTE($P$2:$P$38,CHAR(160)," ")),
      $Q$2:$Q$38
    )
  ),
"")</f>
        <v>187.5</v>
      </c>
      <c r="L106" s="32" t="str">
        <f>IFERROR( VALUE($H106) * INDEX(#REF!, MATCH(UPPER(TRIM($F106)),#REF!,0)), "" )</f>
        <v/>
      </c>
    </row>
    <row r="107" spans="1:12" x14ac:dyDescent="0.2">
      <c r="A107" s="303">
        <v>45907</v>
      </c>
      <c r="B107" s="295" t="s">
        <v>169</v>
      </c>
      <c r="C107" s="304" t="s">
        <v>66</v>
      </c>
      <c r="D107" s="296" t="s">
        <v>191</v>
      </c>
      <c r="E107" s="296" t="s">
        <v>219</v>
      </c>
      <c r="F107" s="296" t="s">
        <v>9</v>
      </c>
      <c r="G107" s="297" t="s">
        <v>367</v>
      </c>
      <c r="H107" s="298">
        <v>0.75</v>
      </c>
      <c r="I107" s="299" cm="1">
        <f t="array" ref="I107">IFERROR(
  VALUE($H107) *
  VALUE(
    _xlfn.XLOOKUP(
      TRIM($F107) &amp; "|" &amp; LEFT(SUBSTITUTE($G107,CHAR(160)," "),5) &amp; "|Full Rate",
      TRIM(SUBSTITUTE($N$2:$N$38,CHAR(160)," ")) &amp; "|" &amp;
      LEFT(SUBSTITUTE($O$2:$O$38,CHAR(160)," "),5) &amp; "|" &amp;
      TRIM(SUBSTITUTE($P$2:$P$38,CHAR(160)," ")),
      $Q$2:$Q$38
    )
  ),
"")</f>
        <v>375</v>
      </c>
      <c r="J107" s="300" cm="1">
        <f t="array" ref="J107">IFERROR(
  VALUE($H107) *
  VALUE(
    _xlfn.XLOOKUP(
      TRIM($F107) &amp; "|" &amp; LEFT(SUBSTITUTE($G107,CHAR(160)," "),5) &amp; "|Reduced Rate",
      TRIM(SUBSTITUTE($N$2:$N$38,CHAR(160)," ")) &amp; "|" &amp;
      LEFT(SUBSTITUTE($O$2:$O$38,CHAR(160)," "),5) &amp; "|" &amp;
      TRIM(SUBSTITUTE($P$2:$P$38,CHAR(160)," ")),
      $Q$2:$Q$38
    )
  ),
"")</f>
        <v>225</v>
      </c>
      <c r="K107" s="301" cm="1">
        <f t="array" ref="K107">IFERROR(
  VALUE($H107) *
  VALUE(
    _xlfn.XLOOKUP(
      TRIM($F107) &amp; "|" &amp; LEFT(SUBSTITUTE($G107,CHAR(160)," "),5) &amp; "|Ideas Rate",
      TRIM(SUBSTITUTE($N$2:$N$38,CHAR(160)," ")) &amp; "|" &amp;
      LEFT(SUBSTITUTE($O$2:$O$38,CHAR(160)," "),5) &amp; "|" &amp;
      TRIM(SUBSTITUTE($P$2:$P$38,CHAR(160)," ")),
      $Q$2:$Q$38
    )
  ),
"")</f>
        <v>112.5</v>
      </c>
      <c r="L107" s="32" t="str">
        <f>IFERROR( VALUE($H107) * INDEX(#REF!, MATCH(UPPER(TRIM($F107)),#REF!,0)), "" )</f>
        <v/>
      </c>
    </row>
    <row r="108" spans="1:12" x14ac:dyDescent="0.2">
      <c r="A108" s="303">
        <v>45904</v>
      </c>
      <c r="B108" s="295" t="s">
        <v>169</v>
      </c>
      <c r="C108" s="304" t="s">
        <v>66</v>
      </c>
      <c r="D108" s="296" t="s">
        <v>29</v>
      </c>
      <c r="E108" s="296" t="s">
        <v>220</v>
      </c>
      <c r="F108" s="296" t="s">
        <v>10</v>
      </c>
      <c r="G108" s="297" t="s">
        <v>380</v>
      </c>
      <c r="H108" s="298">
        <v>0.25</v>
      </c>
      <c r="I108" s="299" cm="1">
        <f t="array" ref="I108">IFERROR(
  VALUE($H108) *
  VALUE(
    _xlfn.XLOOKUP(
      TRIM($F108) &amp; "|" &amp; LEFT(SUBSTITUTE($G108,CHAR(160)," "),5) &amp; "|Full Rate",
      TRIM(SUBSTITUTE($N$2:$N$38,CHAR(160)," ")) &amp; "|" &amp;
      LEFT(SUBSTITUTE($O$2:$O$38,CHAR(160)," "),5) &amp; "|" &amp;
      TRIM(SUBSTITUTE($P$2:$P$38,CHAR(160)," ")),
      $Q$2:$Q$38
    )
  ),
"")</f>
        <v>62.5</v>
      </c>
      <c r="J108" s="300" cm="1">
        <f t="array" ref="J108">IFERROR(
  VALUE($H108) *
  VALUE(
    _xlfn.XLOOKUP(
      TRIM($F108) &amp; "|" &amp; LEFT(SUBSTITUTE($G108,CHAR(160)," "),5) &amp; "|Reduced Rate",
      TRIM(SUBSTITUTE($N$2:$N$38,CHAR(160)," ")) &amp; "|" &amp;
      LEFT(SUBSTITUTE($O$2:$O$38,CHAR(160)," "),5) &amp; "|" &amp;
      TRIM(SUBSTITUTE($P$2:$P$38,CHAR(160)," ")),
      $Q$2:$Q$38
    )
  ),
"")</f>
        <v>37.5</v>
      </c>
      <c r="K108" s="301" cm="1">
        <f t="array" ref="K108">IFERROR(
  VALUE($H108) *
  VALUE(
    _xlfn.XLOOKUP(
      TRIM($F108) &amp; "|" &amp; LEFT(SUBSTITUTE($G108,CHAR(160)," "),5) &amp; "|Ideas Rate",
      TRIM(SUBSTITUTE($N$2:$N$38,CHAR(160)," ")) &amp; "|" &amp;
      LEFT(SUBSTITUTE($O$2:$O$38,CHAR(160)," "),5) &amp; "|" &amp;
      TRIM(SUBSTITUTE($P$2:$P$38,CHAR(160)," ")),
      $Q$2:$Q$38
    )
  ),
"")</f>
        <v>18.75</v>
      </c>
      <c r="L108" s="32" t="str">
        <f>IFERROR( VALUE($H108) * INDEX(#REF!, MATCH(UPPER(TRIM($F108)),#REF!,0)), "" )</f>
        <v/>
      </c>
    </row>
    <row r="109" spans="1:12" x14ac:dyDescent="0.2">
      <c r="A109" s="303">
        <v>45905</v>
      </c>
      <c r="B109" s="295" t="s">
        <v>169</v>
      </c>
      <c r="C109" s="304" t="s">
        <v>66</v>
      </c>
      <c r="D109" s="296" t="s">
        <v>192</v>
      </c>
      <c r="E109" s="296" t="s">
        <v>212</v>
      </c>
      <c r="F109" s="296" t="s">
        <v>10</v>
      </c>
      <c r="G109" s="297" t="s">
        <v>367</v>
      </c>
      <c r="H109" s="298">
        <v>0.5</v>
      </c>
      <c r="I109" s="299" cm="1">
        <f t="array" ref="I109">IFERROR(
  VALUE($H109) *
  VALUE(
    _xlfn.XLOOKUP(
      TRIM($F109) &amp; "|" &amp; LEFT(SUBSTITUTE($G109,CHAR(160)," "),5) &amp; "|Full Rate",
      TRIM(SUBSTITUTE($N$2:$N$38,CHAR(160)," ")) &amp; "|" &amp;
      LEFT(SUBSTITUTE($O$2:$O$38,CHAR(160)," "),5) &amp; "|" &amp;
      TRIM(SUBSTITUTE($P$2:$P$38,CHAR(160)," ")),
      $Q$2:$Q$38
    )
  ),
"")</f>
        <v>250</v>
      </c>
      <c r="J109" s="300" cm="1">
        <f t="array" ref="J109">IFERROR(
  VALUE($H109) *
  VALUE(
    _xlfn.XLOOKUP(
      TRIM($F109) &amp; "|" &amp; LEFT(SUBSTITUTE($G109,CHAR(160)," "),5) &amp; "|Reduced Rate",
      TRIM(SUBSTITUTE($N$2:$N$38,CHAR(160)," ")) &amp; "|" &amp;
      LEFT(SUBSTITUTE($O$2:$O$38,CHAR(160)," "),5) &amp; "|" &amp;
      TRIM(SUBSTITUTE($P$2:$P$38,CHAR(160)," ")),
      $Q$2:$Q$38
    )
  ),
"")</f>
        <v>150</v>
      </c>
      <c r="K109" s="301" cm="1">
        <f t="array" ref="K109">IFERROR(
  VALUE($H109) *
  VALUE(
    _xlfn.XLOOKUP(
      TRIM($F109) &amp; "|" &amp; LEFT(SUBSTITUTE($G109,CHAR(160)," "),5) &amp; "|Ideas Rate",
      TRIM(SUBSTITUTE($N$2:$N$38,CHAR(160)," ")) &amp; "|" &amp;
      LEFT(SUBSTITUTE($O$2:$O$38,CHAR(160)," "),5) &amp; "|" &amp;
      TRIM(SUBSTITUTE($P$2:$P$38,CHAR(160)," ")),
      $Q$2:$Q$38
    )
  ),
"")</f>
        <v>75</v>
      </c>
      <c r="L109" s="32" t="str">
        <f>IFERROR( VALUE($H109) * INDEX(#REF!, MATCH(UPPER(TRIM($F109)),#REF!,0)), "" )</f>
        <v/>
      </c>
    </row>
    <row r="110" spans="1:12" x14ac:dyDescent="0.2">
      <c r="A110" s="303">
        <v>45905</v>
      </c>
      <c r="B110" s="295" t="s">
        <v>169</v>
      </c>
      <c r="C110" s="304" t="s">
        <v>66</v>
      </c>
      <c r="D110" s="296" t="s">
        <v>178</v>
      </c>
      <c r="E110" s="296" t="s">
        <v>213</v>
      </c>
      <c r="F110" s="296" t="s">
        <v>10</v>
      </c>
      <c r="G110" s="297" t="s">
        <v>380</v>
      </c>
      <c r="H110" s="298">
        <v>0.75</v>
      </c>
      <c r="I110" s="299" cm="1">
        <f t="array" ref="I110">IFERROR(
  VALUE($H110) *
  VALUE(
    _xlfn.XLOOKUP(
      TRIM($F110) &amp; "|" &amp; LEFT(SUBSTITUTE($G110,CHAR(160)," "),5) &amp; "|Full Rate",
      TRIM(SUBSTITUTE($N$2:$N$38,CHAR(160)," ")) &amp; "|" &amp;
      LEFT(SUBSTITUTE($O$2:$O$38,CHAR(160)," "),5) &amp; "|" &amp;
      TRIM(SUBSTITUTE($P$2:$P$38,CHAR(160)," ")),
      $Q$2:$Q$38
    )
  ),
"")</f>
        <v>187.5</v>
      </c>
      <c r="J110" s="300" cm="1">
        <f t="array" ref="J110">IFERROR(
  VALUE($H110) *
  VALUE(
    _xlfn.XLOOKUP(
      TRIM($F110) &amp; "|" &amp; LEFT(SUBSTITUTE($G110,CHAR(160)," "),5) &amp; "|Reduced Rate",
      TRIM(SUBSTITUTE($N$2:$N$38,CHAR(160)," ")) &amp; "|" &amp;
      LEFT(SUBSTITUTE($O$2:$O$38,CHAR(160)," "),5) &amp; "|" &amp;
      TRIM(SUBSTITUTE($P$2:$P$38,CHAR(160)," ")),
      $Q$2:$Q$38
    )
  ),
"")</f>
        <v>112.5</v>
      </c>
      <c r="K110" s="301" cm="1">
        <f t="array" ref="K110">IFERROR(
  VALUE($H110) *
  VALUE(
    _xlfn.XLOOKUP(
      TRIM($F110) &amp; "|" &amp; LEFT(SUBSTITUTE($G110,CHAR(160)," "),5) &amp; "|Ideas Rate",
      TRIM(SUBSTITUTE($N$2:$N$38,CHAR(160)," ")) &amp; "|" &amp;
      LEFT(SUBSTITUTE($O$2:$O$38,CHAR(160)," "),5) &amp; "|" &amp;
      TRIM(SUBSTITUTE($P$2:$P$38,CHAR(160)," ")),
      $Q$2:$Q$38
    )
  ),
"")</f>
        <v>56.25</v>
      </c>
      <c r="L110" s="32" t="str">
        <f>IFERROR( VALUE($H110) * INDEX(#REF!, MATCH(UPPER(TRIM($F110)),#REF!,0)), "" )</f>
        <v/>
      </c>
    </row>
    <row r="111" spans="1:12" x14ac:dyDescent="0.2">
      <c r="A111" s="303">
        <v>45907</v>
      </c>
      <c r="B111" s="295" t="s">
        <v>169</v>
      </c>
      <c r="C111" s="304" t="s">
        <v>66</v>
      </c>
      <c r="D111" s="296" t="s">
        <v>29</v>
      </c>
      <c r="E111" s="296" t="s">
        <v>222</v>
      </c>
      <c r="F111" s="296" t="s">
        <v>10</v>
      </c>
      <c r="G111" s="297" t="s">
        <v>367</v>
      </c>
      <c r="H111" s="298">
        <v>0.25</v>
      </c>
      <c r="I111" s="299" cm="1">
        <f t="array" ref="I111">IFERROR(
  VALUE($H111) *
  VALUE(
    _xlfn.XLOOKUP(
      TRIM($F111) &amp; "|" &amp; LEFT(SUBSTITUTE($G111,CHAR(160)," "),5) &amp; "|Full Rate",
      TRIM(SUBSTITUTE($N$2:$N$38,CHAR(160)," ")) &amp; "|" &amp;
      LEFT(SUBSTITUTE($O$2:$O$38,CHAR(160)," "),5) &amp; "|" &amp;
      TRIM(SUBSTITUTE($P$2:$P$38,CHAR(160)," ")),
      $Q$2:$Q$38
    )
  ),
"")</f>
        <v>125</v>
      </c>
      <c r="J111" s="300" cm="1">
        <f t="array" ref="J111">IFERROR(
  VALUE($H111) *
  VALUE(
    _xlfn.XLOOKUP(
      TRIM($F111) &amp; "|" &amp; LEFT(SUBSTITUTE($G111,CHAR(160)," "),5) &amp; "|Reduced Rate",
      TRIM(SUBSTITUTE($N$2:$N$38,CHAR(160)," ")) &amp; "|" &amp;
      LEFT(SUBSTITUTE($O$2:$O$38,CHAR(160)," "),5) &amp; "|" &amp;
      TRIM(SUBSTITUTE($P$2:$P$38,CHAR(160)," ")),
      $Q$2:$Q$38
    )
  ),
"")</f>
        <v>75</v>
      </c>
      <c r="K111" s="301" cm="1">
        <f t="array" ref="K111">IFERROR(
  VALUE($H111) *
  VALUE(
    _xlfn.XLOOKUP(
      TRIM($F111) &amp; "|" &amp; LEFT(SUBSTITUTE($G111,CHAR(160)," "),5) &amp; "|Ideas Rate",
      TRIM(SUBSTITUTE($N$2:$N$38,CHAR(160)," ")) &amp; "|" &amp;
      LEFT(SUBSTITUTE($O$2:$O$38,CHAR(160)," "),5) &amp; "|" &amp;
      TRIM(SUBSTITUTE($P$2:$P$38,CHAR(160)," ")),
      $Q$2:$Q$38
    )
  ),
"")</f>
        <v>37.5</v>
      </c>
      <c r="L111" s="32" t="str">
        <f>IFERROR( VALUE($H111) * INDEX(#REF!, MATCH(UPPER(TRIM($F111)),#REF!,0)), "" )</f>
        <v/>
      </c>
    </row>
    <row r="112" spans="1:12" x14ac:dyDescent="0.2">
      <c r="A112" s="303">
        <v>45907</v>
      </c>
      <c r="B112" s="295" t="s">
        <v>169</v>
      </c>
      <c r="C112" s="304" t="s">
        <v>66</v>
      </c>
      <c r="D112" s="296" t="s">
        <v>191</v>
      </c>
      <c r="E112" s="296" t="s">
        <v>223</v>
      </c>
      <c r="F112" s="296" t="s">
        <v>10</v>
      </c>
      <c r="G112" s="297" t="s">
        <v>380</v>
      </c>
      <c r="H112" s="298">
        <v>0.75</v>
      </c>
      <c r="I112" s="299" cm="1">
        <f t="array" ref="I112">IFERROR(
  VALUE($H112) *
  VALUE(
    _xlfn.XLOOKUP(
      TRIM($F112) &amp; "|" &amp; LEFT(SUBSTITUTE($G112,CHAR(160)," "),5) &amp; "|Full Rate",
      TRIM(SUBSTITUTE($N$2:$N$38,CHAR(160)," ")) &amp; "|" &amp;
      LEFT(SUBSTITUTE($O$2:$O$38,CHAR(160)," "),5) &amp; "|" &amp;
      TRIM(SUBSTITUTE($P$2:$P$38,CHAR(160)," ")),
      $Q$2:$Q$38
    )
  ),
"")</f>
        <v>187.5</v>
      </c>
      <c r="J112" s="300" cm="1">
        <f t="array" ref="J112">IFERROR(
  VALUE($H112) *
  VALUE(
    _xlfn.XLOOKUP(
      TRIM($F112) &amp; "|" &amp; LEFT(SUBSTITUTE($G112,CHAR(160)," "),5) &amp; "|Reduced Rate",
      TRIM(SUBSTITUTE($N$2:$N$38,CHAR(160)," ")) &amp; "|" &amp;
      LEFT(SUBSTITUTE($O$2:$O$38,CHAR(160)," "),5) &amp; "|" &amp;
      TRIM(SUBSTITUTE($P$2:$P$38,CHAR(160)," ")),
      $Q$2:$Q$38
    )
  ),
"")</f>
        <v>112.5</v>
      </c>
      <c r="K112" s="301" cm="1">
        <f t="array" ref="K112">IFERROR(
  VALUE($H112) *
  VALUE(
    _xlfn.XLOOKUP(
      TRIM($F112) &amp; "|" &amp; LEFT(SUBSTITUTE($G112,CHAR(160)," "),5) &amp; "|Ideas Rate",
      TRIM(SUBSTITUTE($N$2:$N$38,CHAR(160)," ")) &amp; "|" &amp;
      LEFT(SUBSTITUTE($O$2:$O$38,CHAR(160)," "),5) &amp; "|" &amp;
      TRIM(SUBSTITUTE($P$2:$P$38,CHAR(160)," ")),
      $Q$2:$Q$38
    )
  ),
"")</f>
        <v>56.25</v>
      </c>
      <c r="L112" s="32" t="str">
        <f>IFERROR( VALUE($H112) * INDEX(#REF!, MATCH(UPPER(TRIM($F112)),#REF!,0)), "" )</f>
        <v/>
      </c>
    </row>
    <row r="113" spans="1:12" x14ac:dyDescent="0.2">
      <c r="A113" s="294">
        <v>45905</v>
      </c>
      <c r="B113" s="305" t="s">
        <v>169</v>
      </c>
      <c r="C113" s="304" t="s">
        <v>66</v>
      </c>
      <c r="D113" s="76" t="s">
        <v>192</v>
      </c>
      <c r="E113" s="306" t="s">
        <v>212</v>
      </c>
      <c r="F113" s="306" t="s">
        <v>9</v>
      </c>
      <c r="G113" s="297" t="s">
        <v>367</v>
      </c>
      <c r="H113" s="298">
        <v>0.5</v>
      </c>
      <c r="I113" s="299" cm="1">
        <f t="array" ref="I113">IFERROR(
  VALUE($H113) *
  VALUE(
    _xlfn.XLOOKUP(
      TRIM($F113) &amp; "|" &amp; LEFT(SUBSTITUTE($G113,CHAR(160)," "),5) &amp; "|Full Rate",
      TRIM(SUBSTITUTE($N$2:$N$38,CHAR(160)," ")) &amp; "|" &amp;
      LEFT(SUBSTITUTE($O$2:$O$38,CHAR(160)," "),5) &amp; "|" &amp;
      TRIM(SUBSTITUTE($P$2:$P$38,CHAR(160)," ")),
      $Q$2:$Q$38
    )
  ),
"")</f>
        <v>250</v>
      </c>
      <c r="J113" s="300" cm="1">
        <f t="array" ref="J113">IFERROR(
  VALUE($H113) *
  VALUE(
    _xlfn.XLOOKUP(
      TRIM($F113) &amp; "|" &amp; LEFT(SUBSTITUTE($G113,CHAR(160)," "),5) &amp; "|Reduced Rate",
      TRIM(SUBSTITUTE($N$2:$N$38,CHAR(160)," ")) &amp; "|" &amp;
      LEFT(SUBSTITUTE($O$2:$O$38,CHAR(160)," "),5) &amp; "|" &amp;
      TRIM(SUBSTITUTE($P$2:$P$38,CHAR(160)," ")),
      $Q$2:$Q$38
    )
  ),
"")</f>
        <v>150</v>
      </c>
      <c r="K113" s="301" cm="1">
        <f t="array" ref="K113">IFERROR(
  VALUE($H113) *
  VALUE(
    _xlfn.XLOOKUP(
      TRIM($F113) &amp; "|" &amp; LEFT(SUBSTITUTE($G113,CHAR(160)," "),5) &amp; "|Ideas Rate",
      TRIM(SUBSTITUTE($N$2:$N$38,CHAR(160)," ")) &amp; "|" &amp;
      LEFT(SUBSTITUTE($O$2:$O$38,CHAR(160)," "),5) &amp; "|" &amp;
      TRIM(SUBSTITUTE($P$2:$P$38,CHAR(160)," ")),
      $Q$2:$Q$38
    )
  ),
"")</f>
        <v>75</v>
      </c>
      <c r="L113" s="32" t="str">
        <f>IFERROR( VALUE($H113) * INDEX(#REF!, MATCH(UPPER(TRIM($F113)),#REF!,0)), "" )</f>
        <v/>
      </c>
    </row>
    <row r="114" spans="1:12" x14ac:dyDescent="0.2">
      <c r="A114" s="294">
        <v>45905</v>
      </c>
      <c r="B114" s="305" t="s">
        <v>169</v>
      </c>
      <c r="C114" s="304" t="s">
        <v>66</v>
      </c>
      <c r="D114" s="76" t="s">
        <v>178</v>
      </c>
      <c r="E114" s="76" t="s">
        <v>213</v>
      </c>
      <c r="F114" s="306" t="s">
        <v>9</v>
      </c>
      <c r="G114" s="297" t="s">
        <v>367</v>
      </c>
      <c r="H114" s="298">
        <v>0.75</v>
      </c>
      <c r="I114" s="299" cm="1">
        <f t="array" ref="I114">IFERROR(
  VALUE($H114) *
  VALUE(
    _xlfn.XLOOKUP(
      TRIM($F114) &amp; "|" &amp; LEFT(SUBSTITUTE($G114,CHAR(160)," "),5) &amp; "|Full Rate",
      TRIM(SUBSTITUTE($N$2:$N$38,CHAR(160)," ")) &amp; "|" &amp;
      LEFT(SUBSTITUTE($O$2:$O$38,CHAR(160)," "),5) &amp; "|" &amp;
      TRIM(SUBSTITUTE($P$2:$P$38,CHAR(160)," ")),
      $Q$2:$Q$38
    )
  ),
"")</f>
        <v>375</v>
      </c>
      <c r="J114" s="300" cm="1">
        <f t="array" ref="J114">IFERROR(
  VALUE($H114) *
  VALUE(
    _xlfn.XLOOKUP(
      TRIM($F114) &amp; "|" &amp; LEFT(SUBSTITUTE($G114,CHAR(160)," "),5) &amp; "|Reduced Rate",
      TRIM(SUBSTITUTE($N$2:$N$38,CHAR(160)," ")) &amp; "|" &amp;
      LEFT(SUBSTITUTE($O$2:$O$38,CHAR(160)," "),5) &amp; "|" &amp;
      TRIM(SUBSTITUTE($P$2:$P$38,CHAR(160)," ")),
      $Q$2:$Q$38
    )
  ),
"")</f>
        <v>225</v>
      </c>
      <c r="K114" s="301" cm="1">
        <f t="array" ref="K114">IFERROR(
  VALUE($H114) *
  VALUE(
    _xlfn.XLOOKUP(
      TRIM($F114) &amp; "|" &amp; LEFT(SUBSTITUTE($G114,CHAR(160)," "),5) &amp; "|Ideas Rate",
      TRIM(SUBSTITUTE($N$2:$N$38,CHAR(160)," ")) &amp; "|" &amp;
      LEFT(SUBSTITUTE($O$2:$O$38,CHAR(160)," "),5) &amp; "|" &amp;
      TRIM(SUBSTITUTE($P$2:$P$38,CHAR(160)," ")),
      $Q$2:$Q$38
    )
  ),
"")</f>
        <v>112.5</v>
      </c>
      <c r="L114" s="32" t="str">
        <f>IFERROR( VALUE($H114) * INDEX(#REF!, MATCH(UPPER(TRIM($F114)),#REF!,0)), "" )</f>
        <v/>
      </c>
    </row>
    <row r="115" spans="1:12" x14ac:dyDescent="0.2">
      <c r="A115" s="294">
        <v>45905</v>
      </c>
      <c r="B115" s="305" t="s">
        <v>169</v>
      </c>
      <c r="C115" s="304" t="s">
        <v>66</v>
      </c>
      <c r="D115" s="76" t="s">
        <v>191</v>
      </c>
      <c r="E115" s="76" t="s">
        <v>214</v>
      </c>
      <c r="F115" s="306" t="s">
        <v>9</v>
      </c>
      <c r="G115" s="297" t="s">
        <v>367</v>
      </c>
      <c r="H115" s="298">
        <v>1</v>
      </c>
      <c r="I115" s="299" cm="1">
        <f t="array" ref="I115">IFERROR(
  VALUE($H115) *
  VALUE(
    _xlfn.XLOOKUP(
      TRIM($F115) &amp; "|" &amp; LEFT(SUBSTITUTE($G115,CHAR(160)," "),5) &amp; "|Full Rate",
      TRIM(SUBSTITUTE($N$2:$N$38,CHAR(160)," ")) &amp; "|" &amp;
      LEFT(SUBSTITUTE($O$2:$O$38,CHAR(160)," "),5) &amp; "|" &amp;
      TRIM(SUBSTITUTE($P$2:$P$38,CHAR(160)," ")),
      $Q$2:$Q$38
    )
  ),
"")</f>
        <v>500</v>
      </c>
      <c r="J115" s="300" cm="1">
        <f t="array" ref="J115">IFERROR(
  VALUE($H115) *
  VALUE(
    _xlfn.XLOOKUP(
      TRIM($F115) &amp; "|" &amp; LEFT(SUBSTITUTE($G115,CHAR(160)," "),5) &amp; "|Reduced Rate",
      TRIM(SUBSTITUTE($N$2:$N$38,CHAR(160)," ")) &amp; "|" &amp;
      LEFT(SUBSTITUTE($O$2:$O$38,CHAR(160)," "),5) &amp; "|" &amp;
      TRIM(SUBSTITUTE($P$2:$P$38,CHAR(160)," ")),
      $Q$2:$Q$38
    )
  ),
"")</f>
        <v>300</v>
      </c>
      <c r="K115" s="301" cm="1">
        <f t="array" ref="K115">IFERROR(
  VALUE($H115) *
  VALUE(
    _xlfn.XLOOKUP(
      TRIM($F115) &amp; "|" &amp; LEFT(SUBSTITUTE($G115,CHAR(160)," "),5) &amp; "|Ideas Rate",
      TRIM(SUBSTITUTE($N$2:$N$38,CHAR(160)," ")) &amp; "|" &amp;
      LEFT(SUBSTITUTE($O$2:$O$38,CHAR(160)," "),5) &amp; "|" &amp;
      TRIM(SUBSTITUTE($P$2:$P$38,CHAR(160)," ")),
      $Q$2:$Q$38
    )
  ),
"")</f>
        <v>150</v>
      </c>
      <c r="L115" s="32" t="str">
        <f>IFERROR( VALUE($H115) * INDEX(#REF!, MATCH(UPPER(TRIM($F115)),#REF!,0)), "" )</f>
        <v/>
      </c>
    </row>
    <row r="116" spans="1:12" x14ac:dyDescent="0.2">
      <c r="A116" s="294">
        <v>45905</v>
      </c>
      <c r="B116" s="305" t="s">
        <v>169</v>
      </c>
      <c r="C116" s="304" t="s">
        <v>66</v>
      </c>
      <c r="D116" s="76" t="s">
        <v>192</v>
      </c>
      <c r="E116" s="76" t="s">
        <v>215</v>
      </c>
      <c r="F116" s="306" t="s">
        <v>9</v>
      </c>
      <c r="G116" s="297" t="s">
        <v>380</v>
      </c>
      <c r="H116" s="298">
        <v>1.25</v>
      </c>
      <c r="I116" s="299" cm="1">
        <f t="array" ref="I116">IFERROR(
  VALUE($H116) *
  VALUE(
    _xlfn.XLOOKUP(
      TRIM($F116) &amp; "|" &amp; LEFT(SUBSTITUTE($G116,CHAR(160)," "),5) &amp; "|Full Rate",
      TRIM(SUBSTITUTE($N$2:$N$38,CHAR(160)," ")) &amp; "|" &amp;
      LEFT(SUBSTITUTE($O$2:$O$38,CHAR(160)," "),5) &amp; "|" &amp;
      TRIM(SUBSTITUTE($P$2:$P$38,CHAR(160)," ")),
      $Q$2:$Q$38
    )
  ),
"")</f>
        <v>312.5</v>
      </c>
      <c r="J116" s="300" cm="1">
        <f t="array" ref="J116">IFERROR(
  VALUE($H116) *
  VALUE(
    _xlfn.XLOOKUP(
      TRIM($F116) &amp; "|" &amp; LEFT(SUBSTITUTE($G116,CHAR(160)," "),5) &amp; "|Reduced Rate",
      TRIM(SUBSTITUTE($N$2:$N$38,CHAR(160)," ")) &amp; "|" &amp;
      LEFT(SUBSTITUTE($O$2:$O$38,CHAR(160)," "),5) &amp; "|" &amp;
      TRIM(SUBSTITUTE($P$2:$P$38,CHAR(160)," ")),
      $Q$2:$Q$38
    )
  ),
"")</f>
        <v>187.5</v>
      </c>
      <c r="K116" s="301" cm="1">
        <f t="array" ref="K116">IFERROR(
  VALUE($H116) *
  VALUE(
    _xlfn.XLOOKUP(
      TRIM($F116) &amp; "|" &amp; LEFT(SUBSTITUTE($G116,CHAR(160)," "),5) &amp; "|Ideas Rate",
      TRIM(SUBSTITUTE($N$2:$N$38,CHAR(160)," ")) &amp; "|" &amp;
      LEFT(SUBSTITUTE($O$2:$O$38,CHAR(160)," "),5) &amp; "|" &amp;
      TRIM(SUBSTITUTE($P$2:$P$38,CHAR(160)," ")),
      $Q$2:$Q$38
    )
  ),
"")</f>
        <v>93.75</v>
      </c>
      <c r="L116" s="32" t="str">
        <f>IFERROR( VALUE($H116) * INDEX(#REF!, MATCH(UPPER(TRIM($F116)),#REF!,0)), "" )</f>
        <v/>
      </c>
    </row>
    <row r="117" spans="1:12" x14ac:dyDescent="0.2">
      <c r="A117" s="294">
        <v>45905</v>
      </c>
      <c r="B117" s="305" t="s">
        <v>169</v>
      </c>
      <c r="C117" s="304" t="s">
        <v>66</v>
      </c>
      <c r="D117" s="76" t="s">
        <v>191</v>
      </c>
      <c r="E117" s="76" t="s">
        <v>216</v>
      </c>
      <c r="F117" s="306" t="s">
        <v>9</v>
      </c>
      <c r="G117" s="297" t="s">
        <v>380</v>
      </c>
      <c r="H117" s="298">
        <v>0.5</v>
      </c>
      <c r="I117" s="299" cm="1">
        <f t="array" ref="I117">IFERROR(
  VALUE($H117) *
  VALUE(
    _xlfn.XLOOKUP(
      TRIM($F117) &amp; "|" &amp; LEFT(SUBSTITUTE($G117,CHAR(160)," "),5) &amp; "|Full Rate",
      TRIM(SUBSTITUTE($N$2:$N$38,CHAR(160)," ")) &amp; "|" &amp;
      LEFT(SUBSTITUTE($O$2:$O$38,CHAR(160)," "),5) &amp; "|" &amp;
      TRIM(SUBSTITUTE($P$2:$P$38,CHAR(160)," ")),
      $Q$2:$Q$38
    )
  ),
"")</f>
        <v>125</v>
      </c>
      <c r="J117" s="300" cm="1">
        <f t="array" ref="J117">IFERROR(
  VALUE($H117) *
  VALUE(
    _xlfn.XLOOKUP(
      TRIM($F117) &amp; "|" &amp; LEFT(SUBSTITUTE($G117,CHAR(160)," "),5) &amp; "|Reduced Rate",
      TRIM(SUBSTITUTE($N$2:$N$38,CHAR(160)," ")) &amp; "|" &amp;
      LEFT(SUBSTITUTE($O$2:$O$38,CHAR(160)," "),5) &amp; "|" &amp;
      TRIM(SUBSTITUTE($P$2:$P$38,CHAR(160)," ")),
      $Q$2:$Q$38
    )
  ),
"")</f>
        <v>75</v>
      </c>
      <c r="K117" s="301" cm="1">
        <f t="array" ref="K117">IFERROR(
  VALUE($H117) *
  VALUE(
    _xlfn.XLOOKUP(
      TRIM($F117) &amp; "|" &amp; LEFT(SUBSTITUTE($G117,CHAR(160)," "),5) &amp; "|Ideas Rate",
      TRIM(SUBSTITUTE($N$2:$N$38,CHAR(160)," ")) &amp; "|" &amp;
      LEFT(SUBSTITUTE($O$2:$O$38,CHAR(160)," "),5) &amp; "|" &amp;
      TRIM(SUBSTITUTE($P$2:$P$38,CHAR(160)," ")),
      $Q$2:$Q$38
    )
  ),
"")</f>
        <v>37.5</v>
      </c>
      <c r="L117" s="32" t="str">
        <f>IFERROR( VALUE($H117) * INDEX(#REF!, MATCH(UPPER(TRIM($F117)),#REF!,0)), "" )</f>
        <v/>
      </c>
    </row>
    <row r="118" spans="1:12" x14ac:dyDescent="0.2">
      <c r="A118" s="303">
        <v>45904</v>
      </c>
      <c r="B118" s="295" t="s">
        <v>169</v>
      </c>
      <c r="C118" s="304" t="s">
        <v>153</v>
      </c>
      <c r="D118" s="296" t="s">
        <v>81</v>
      </c>
      <c r="E118" s="296" t="s">
        <v>224</v>
      </c>
      <c r="F118" s="296" t="s">
        <v>155</v>
      </c>
      <c r="G118" s="297" t="s">
        <v>380</v>
      </c>
      <c r="H118" s="298">
        <v>0.5</v>
      </c>
      <c r="I118" s="299" cm="1">
        <f t="array" ref="I118">IFERROR(
  VALUE($H118) *
  VALUE(
    _xlfn.XLOOKUP(
      TRIM($F118) &amp; "|" &amp; LEFT(SUBSTITUTE($G118,CHAR(160)," "),5) &amp; "|Full Rate",
      TRIM(SUBSTITUTE($N$2:$N$38,CHAR(160)," ")) &amp; "|" &amp;
      LEFT(SUBSTITUTE($O$2:$O$38,CHAR(160)," "),5) &amp; "|" &amp;
      TRIM(SUBSTITUTE($P$2:$P$38,CHAR(160)," ")),
      $Q$2:$Q$38
    )
  ),
"")</f>
        <v>130</v>
      </c>
      <c r="J118" s="300" cm="1">
        <f t="array" ref="J118">IFERROR(
  VALUE($H118) *
  VALUE(
    _xlfn.XLOOKUP(
      TRIM($F118) &amp; "|" &amp; LEFT(SUBSTITUTE($G118,CHAR(160)," "),5) &amp; "|Reduced Rate",
      TRIM(SUBSTITUTE($N$2:$N$38,CHAR(160)," ")) &amp; "|" &amp;
      LEFT(SUBSTITUTE($O$2:$O$38,CHAR(160)," "),5) &amp; "|" &amp;
      TRIM(SUBSTITUTE($P$2:$P$38,CHAR(160)," ")),
      $Q$2:$Q$38
    )
  ),
"")</f>
        <v>60</v>
      </c>
      <c r="K118" s="301" cm="1">
        <f t="array" ref="K118">IFERROR(
  VALUE($H118) *
  VALUE(
    _xlfn.XLOOKUP(
      TRIM($F118) &amp; "|" &amp; LEFT(SUBSTITUTE($G118,CHAR(160)," "),5) &amp; "|Ideas Rate",
      TRIM(SUBSTITUTE($N$2:$N$38,CHAR(160)," ")) &amp; "|" &amp;
      LEFT(SUBSTITUTE($O$2:$O$38,CHAR(160)," "),5) &amp; "|" &amp;
      TRIM(SUBSTITUTE($P$2:$P$38,CHAR(160)," ")),
      $Q$2:$Q$38
    )
  ),
"")</f>
        <v>45</v>
      </c>
      <c r="L118" s="32" t="str">
        <f>IFERROR( VALUE($H118) * INDEX(#REF!, MATCH(UPPER(TRIM($F118)),#REF!,0)), "" )</f>
        <v/>
      </c>
    </row>
    <row r="119" spans="1:12" x14ac:dyDescent="0.2">
      <c r="A119" s="303">
        <v>45904</v>
      </c>
      <c r="B119" s="295" t="s">
        <v>169</v>
      </c>
      <c r="C119" s="304" t="s">
        <v>66</v>
      </c>
      <c r="D119" s="296" t="s">
        <v>182</v>
      </c>
      <c r="E119" s="296" t="s">
        <v>225</v>
      </c>
      <c r="F119" s="296" t="s">
        <v>155</v>
      </c>
      <c r="G119" s="297" t="s">
        <v>367</v>
      </c>
      <c r="H119" s="298">
        <v>3</v>
      </c>
      <c r="I119" s="299" cm="1">
        <f t="array" ref="I119">IFERROR(
  VALUE($H119) *
  VALUE(
    _xlfn.XLOOKUP(
      TRIM($F119) &amp; "|" &amp; LEFT(SUBSTITUTE($G119,CHAR(160)," "),5) &amp; "|Full Rate",
      TRIM(SUBSTITUTE($N$2:$N$38,CHAR(160)," ")) &amp; "|" &amp;
      LEFT(SUBSTITUTE($O$2:$O$38,CHAR(160)," "),5) &amp; "|" &amp;
      TRIM(SUBSTITUTE($P$2:$P$38,CHAR(160)," ")),
      $Q$2:$Q$38
    )
  ),
"")</f>
        <v>1200</v>
      </c>
      <c r="J119" s="300" cm="1">
        <f t="array" ref="J119">IFERROR(
  VALUE($H119) *
  VALUE(
    _xlfn.XLOOKUP(
      TRIM($F119) &amp; "|" &amp; LEFT(SUBSTITUTE($G119,CHAR(160)," "),5) &amp; "|Reduced Rate",
      TRIM(SUBSTITUTE($N$2:$N$38,CHAR(160)," ")) &amp; "|" &amp;
      LEFT(SUBSTITUTE($O$2:$O$38,CHAR(160)," "),5) &amp; "|" &amp;
      TRIM(SUBSTITUTE($P$2:$P$38,CHAR(160)," ")),
      $Q$2:$Q$38
    )
  ),
"")</f>
        <v>600</v>
      </c>
      <c r="K119" s="301" cm="1">
        <f t="array" ref="K119">IFERROR(
  VALUE($H119) *
  VALUE(
    _xlfn.XLOOKUP(
      TRIM($F119) &amp; "|" &amp; LEFT(SUBSTITUTE($G119,CHAR(160)," "),5) &amp; "|Ideas Rate",
      TRIM(SUBSTITUTE($N$2:$N$38,CHAR(160)," ")) &amp; "|" &amp;
      LEFT(SUBSTITUTE($O$2:$O$38,CHAR(160)," "),5) &amp; "|" &amp;
      TRIM(SUBSTITUTE($P$2:$P$38,CHAR(160)," ")),
      $Q$2:$Q$38
    )
  ),
"")</f>
        <v>360</v>
      </c>
      <c r="L119" s="32" t="str">
        <f>IFERROR( VALUE($H119) * INDEX(#REF!, MATCH(UPPER(TRIM($F119)),#REF!,0)), "" )</f>
        <v/>
      </c>
    </row>
    <row r="120" spans="1:12" x14ac:dyDescent="0.2">
      <c r="A120" s="303">
        <v>45905</v>
      </c>
      <c r="B120" s="295" t="s">
        <v>169</v>
      </c>
      <c r="C120" s="304" t="s">
        <v>153</v>
      </c>
      <c r="D120" s="296" t="s">
        <v>182</v>
      </c>
      <c r="E120" s="296" t="s">
        <v>226</v>
      </c>
      <c r="F120" s="296" t="s">
        <v>155</v>
      </c>
      <c r="G120" s="297" t="s">
        <v>367</v>
      </c>
      <c r="H120" s="298">
        <v>1</v>
      </c>
      <c r="I120" s="299" cm="1">
        <f t="array" ref="I120">IFERROR(
  VALUE($H120) *
  VALUE(
    _xlfn.XLOOKUP(
      TRIM($F120) &amp; "|" &amp; LEFT(SUBSTITUTE($G120,CHAR(160)," "),5) &amp; "|Full Rate",
      TRIM(SUBSTITUTE($N$2:$N$38,CHAR(160)," ")) &amp; "|" &amp;
      LEFT(SUBSTITUTE($O$2:$O$38,CHAR(160)," "),5) &amp; "|" &amp;
      TRIM(SUBSTITUTE($P$2:$P$38,CHAR(160)," ")),
      $Q$2:$Q$38
    )
  ),
"")</f>
        <v>400</v>
      </c>
      <c r="J120" s="300" cm="1">
        <f t="array" ref="J120">IFERROR(
  VALUE($H120) *
  VALUE(
    _xlfn.XLOOKUP(
      TRIM($F120) &amp; "|" &amp; LEFT(SUBSTITUTE($G120,CHAR(160)," "),5) &amp; "|Reduced Rate",
      TRIM(SUBSTITUTE($N$2:$N$38,CHAR(160)," ")) &amp; "|" &amp;
      LEFT(SUBSTITUTE($O$2:$O$38,CHAR(160)," "),5) &amp; "|" &amp;
      TRIM(SUBSTITUTE($P$2:$P$38,CHAR(160)," ")),
      $Q$2:$Q$38
    )
  ),
"")</f>
        <v>200</v>
      </c>
      <c r="K120" s="301" cm="1">
        <f t="array" ref="K120">IFERROR(
  VALUE($H120) *
  VALUE(
    _xlfn.XLOOKUP(
      TRIM($F120) &amp; "|" &amp; LEFT(SUBSTITUTE($G120,CHAR(160)," "),5) &amp; "|Ideas Rate",
      TRIM(SUBSTITUTE($N$2:$N$38,CHAR(160)," ")) &amp; "|" &amp;
      LEFT(SUBSTITUTE($O$2:$O$38,CHAR(160)," "),5) &amp; "|" &amp;
      TRIM(SUBSTITUTE($P$2:$P$38,CHAR(160)," ")),
      $Q$2:$Q$38
    )
  ),
"")</f>
        <v>120</v>
      </c>
      <c r="L120" s="32" t="str">
        <f>IFERROR( VALUE($H120) * INDEX(#REF!, MATCH(UPPER(TRIM($F120)),#REF!,0)), "" )</f>
        <v/>
      </c>
    </row>
    <row r="121" spans="1:12" x14ac:dyDescent="0.2">
      <c r="A121" s="303">
        <v>45905</v>
      </c>
      <c r="B121" s="295" t="s">
        <v>169</v>
      </c>
      <c r="C121" s="304" t="s">
        <v>66</v>
      </c>
      <c r="D121" s="296" t="s">
        <v>182</v>
      </c>
      <c r="E121" s="296" t="s">
        <v>225</v>
      </c>
      <c r="F121" s="296" t="s">
        <v>155</v>
      </c>
      <c r="G121" s="297" t="s">
        <v>367</v>
      </c>
      <c r="H121" s="298">
        <v>3</v>
      </c>
      <c r="I121" s="299" cm="1">
        <f t="array" ref="I121">IFERROR(
  VALUE($H121) *
  VALUE(
    _xlfn.XLOOKUP(
      TRIM($F121) &amp; "|" &amp; LEFT(SUBSTITUTE($G121,CHAR(160)," "),5) &amp; "|Full Rate",
      TRIM(SUBSTITUTE($N$2:$N$38,CHAR(160)," ")) &amp; "|" &amp;
      LEFT(SUBSTITUTE($O$2:$O$38,CHAR(160)," "),5) &amp; "|" &amp;
      TRIM(SUBSTITUTE($P$2:$P$38,CHAR(160)," ")),
      $Q$2:$Q$38
    )
  ),
"")</f>
        <v>1200</v>
      </c>
      <c r="J121" s="300" cm="1">
        <f t="array" ref="J121">IFERROR(
  VALUE($H121) *
  VALUE(
    _xlfn.XLOOKUP(
      TRIM($F121) &amp; "|" &amp; LEFT(SUBSTITUTE($G121,CHAR(160)," "),5) &amp; "|Reduced Rate",
      TRIM(SUBSTITUTE($N$2:$N$38,CHAR(160)," ")) &amp; "|" &amp;
      LEFT(SUBSTITUTE($O$2:$O$38,CHAR(160)," "),5) &amp; "|" &amp;
      TRIM(SUBSTITUTE($P$2:$P$38,CHAR(160)," ")),
      $Q$2:$Q$38
    )
  ),
"")</f>
        <v>600</v>
      </c>
      <c r="K121" s="301" cm="1">
        <f t="array" ref="K121">IFERROR(
  VALUE($H121) *
  VALUE(
    _xlfn.XLOOKUP(
      TRIM($F121) &amp; "|" &amp; LEFT(SUBSTITUTE($G121,CHAR(160)," "),5) &amp; "|Ideas Rate",
      TRIM(SUBSTITUTE($N$2:$N$38,CHAR(160)," ")) &amp; "|" &amp;
      LEFT(SUBSTITUTE($O$2:$O$38,CHAR(160)," "),5) &amp; "|" &amp;
      TRIM(SUBSTITUTE($P$2:$P$38,CHAR(160)," ")),
      $Q$2:$Q$38
    )
  ),
"")</f>
        <v>360</v>
      </c>
      <c r="L121" s="32" t="str">
        <f>IFERROR( VALUE($H121) * INDEX(#REF!, MATCH(UPPER(TRIM($F121)),#REF!,0)), "" )</f>
        <v/>
      </c>
    </row>
    <row r="122" spans="1:12" x14ac:dyDescent="0.2">
      <c r="A122" s="303">
        <v>45908</v>
      </c>
      <c r="B122" s="295" t="s">
        <v>169</v>
      </c>
      <c r="C122" s="304" t="s">
        <v>66</v>
      </c>
      <c r="D122" s="296" t="s">
        <v>29</v>
      </c>
      <c r="E122" s="296" t="s">
        <v>227</v>
      </c>
      <c r="F122" s="296" t="s">
        <v>9</v>
      </c>
      <c r="G122" s="297" t="s">
        <v>380</v>
      </c>
      <c r="H122" s="298">
        <v>0.25</v>
      </c>
      <c r="I122" s="299" cm="1">
        <f t="array" ref="I122">IFERROR(
  VALUE($H122) *
  VALUE(
    _xlfn.XLOOKUP(
      TRIM($F122) &amp; "|" &amp; LEFT(SUBSTITUTE($G122,CHAR(160)," "),5) &amp; "|Full Rate",
      TRIM(SUBSTITUTE($N$2:$N$38,CHAR(160)," ")) &amp; "|" &amp;
      LEFT(SUBSTITUTE($O$2:$O$38,CHAR(160)," "),5) &amp; "|" &amp;
      TRIM(SUBSTITUTE($P$2:$P$38,CHAR(160)," ")),
      $Q$2:$Q$38
    )
  ),
"")</f>
        <v>62.5</v>
      </c>
      <c r="J122" s="300" cm="1">
        <f t="array" ref="J122">IFERROR(
  VALUE($H122) *
  VALUE(
    _xlfn.XLOOKUP(
      TRIM($F122) &amp; "|" &amp; LEFT(SUBSTITUTE($G122,CHAR(160)," "),5) &amp; "|Reduced Rate",
      TRIM(SUBSTITUTE($N$2:$N$38,CHAR(160)," ")) &amp; "|" &amp;
      LEFT(SUBSTITUTE($O$2:$O$38,CHAR(160)," "),5) &amp; "|" &amp;
      TRIM(SUBSTITUTE($P$2:$P$38,CHAR(160)," ")),
      $Q$2:$Q$38
    )
  ),
"")</f>
        <v>37.5</v>
      </c>
      <c r="K122" s="301" cm="1">
        <f t="array" ref="K122">IFERROR(
  VALUE($H122) *
  VALUE(
    _xlfn.XLOOKUP(
      TRIM($F122) &amp; "|" &amp; LEFT(SUBSTITUTE($G122,CHAR(160)," "),5) &amp; "|Ideas Rate",
      TRIM(SUBSTITUTE($N$2:$N$38,CHAR(160)," ")) &amp; "|" &amp;
      LEFT(SUBSTITUTE($O$2:$O$38,CHAR(160)," "),5) &amp; "|" &amp;
      TRIM(SUBSTITUTE($P$2:$P$38,CHAR(160)," ")),
      $Q$2:$Q$38
    )
  ),
"")</f>
        <v>18.75</v>
      </c>
      <c r="L122" s="32" t="str">
        <f>IFERROR( VALUE($H122) * INDEX(#REF!, MATCH(UPPER(TRIM($F122)),#REF!,0)), "" )</f>
        <v/>
      </c>
    </row>
    <row r="123" spans="1:12" x14ac:dyDescent="0.2">
      <c r="A123" s="303">
        <v>45908</v>
      </c>
      <c r="B123" s="295" t="s">
        <v>169</v>
      </c>
      <c r="C123" s="304" t="s">
        <v>66</v>
      </c>
      <c r="D123" s="296" t="s">
        <v>178</v>
      </c>
      <c r="E123" s="296" t="s">
        <v>228</v>
      </c>
      <c r="F123" s="296" t="s">
        <v>9</v>
      </c>
      <c r="G123" s="297" t="s">
        <v>367</v>
      </c>
      <c r="H123" s="298">
        <v>0.5</v>
      </c>
      <c r="I123" s="299" cm="1">
        <f t="array" ref="I123">IFERROR(
  VALUE($H123) *
  VALUE(
    _xlfn.XLOOKUP(
      TRIM($F123) &amp; "|" &amp; LEFT(SUBSTITUTE($G123,CHAR(160)," "),5) &amp; "|Full Rate",
      TRIM(SUBSTITUTE($N$2:$N$38,CHAR(160)," ")) &amp; "|" &amp;
      LEFT(SUBSTITUTE($O$2:$O$38,CHAR(160)," "),5) &amp; "|" &amp;
      TRIM(SUBSTITUTE($P$2:$P$38,CHAR(160)," ")),
      $Q$2:$Q$38
    )
  ),
"")</f>
        <v>250</v>
      </c>
      <c r="J123" s="300" cm="1">
        <f t="array" ref="J123">IFERROR(
  VALUE($H123) *
  VALUE(
    _xlfn.XLOOKUP(
      TRIM($F123) &amp; "|" &amp; LEFT(SUBSTITUTE($G123,CHAR(160)," "),5) &amp; "|Reduced Rate",
      TRIM(SUBSTITUTE($N$2:$N$38,CHAR(160)," ")) &amp; "|" &amp;
      LEFT(SUBSTITUTE($O$2:$O$38,CHAR(160)," "),5) &amp; "|" &amp;
      TRIM(SUBSTITUTE($P$2:$P$38,CHAR(160)," ")),
      $Q$2:$Q$38
    )
  ),
"")</f>
        <v>150</v>
      </c>
      <c r="K123" s="301" cm="1">
        <f t="array" ref="K123">IFERROR(
  VALUE($H123) *
  VALUE(
    _xlfn.XLOOKUP(
      TRIM($F123) &amp; "|" &amp; LEFT(SUBSTITUTE($G123,CHAR(160)," "),5) &amp; "|Ideas Rate",
      TRIM(SUBSTITUTE($N$2:$N$38,CHAR(160)," ")) &amp; "|" &amp;
      LEFT(SUBSTITUTE($O$2:$O$38,CHAR(160)," "),5) &amp; "|" &amp;
      TRIM(SUBSTITUTE($P$2:$P$38,CHAR(160)," ")),
      $Q$2:$Q$38
    )
  ),
"")</f>
        <v>75</v>
      </c>
      <c r="L123" s="32" t="str">
        <f>IFERROR( VALUE($H123) * INDEX(#REF!, MATCH(UPPER(TRIM($F123)),#REF!,0)), "" )</f>
        <v/>
      </c>
    </row>
    <row r="124" spans="1:12" x14ac:dyDescent="0.2">
      <c r="A124" s="303">
        <v>45908</v>
      </c>
      <c r="B124" s="295" t="s">
        <v>169</v>
      </c>
      <c r="C124" s="304" t="s">
        <v>66</v>
      </c>
      <c r="D124" s="296" t="s">
        <v>191</v>
      </c>
      <c r="E124" s="296" t="s">
        <v>229</v>
      </c>
      <c r="F124" s="296" t="s">
        <v>9</v>
      </c>
      <c r="G124" s="297" t="s">
        <v>380</v>
      </c>
      <c r="H124" s="298">
        <v>1.25</v>
      </c>
      <c r="I124" s="299" cm="1">
        <f t="array" ref="I124">IFERROR(
  VALUE($H124) *
  VALUE(
    _xlfn.XLOOKUP(
      TRIM($F124) &amp; "|" &amp; LEFT(SUBSTITUTE($G124,CHAR(160)," "),5) &amp; "|Full Rate",
      TRIM(SUBSTITUTE($N$2:$N$38,CHAR(160)," ")) &amp; "|" &amp;
      LEFT(SUBSTITUTE($O$2:$O$38,CHAR(160)," "),5) &amp; "|" &amp;
      TRIM(SUBSTITUTE($P$2:$P$38,CHAR(160)," ")),
      $Q$2:$Q$38
    )
  ),
"")</f>
        <v>312.5</v>
      </c>
      <c r="J124" s="300" cm="1">
        <f t="array" ref="J124">IFERROR(
  VALUE($H124) *
  VALUE(
    _xlfn.XLOOKUP(
      TRIM($F124) &amp; "|" &amp; LEFT(SUBSTITUTE($G124,CHAR(160)," "),5) &amp; "|Reduced Rate",
      TRIM(SUBSTITUTE($N$2:$N$38,CHAR(160)," ")) &amp; "|" &amp;
      LEFT(SUBSTITUTE($O$2:$O$38,CHAR(160)," "),5) &amp; "|" &amp;
      TRIM(SUBSTITUTE($P$2:$P$38,CHAR(160)," ")),
      $Q$2:$Q$38
    )
  ),
"")</f>
        <v>187.5</v>
      </c>
      <c r="K124" s="301" cm="1">
        <f t="array" ref="K124">IFERROR(
  VALUE($H124) *
  VALUE(
    _xlfn.XLOOKUP(
      TRIM($F124) &amp; "|" &amp; LEFT(SUBSTITUTE($G124,CHAR(160)," "),5) &amp; "|Ideas Rate",
      TRIM(SUBSTITUTE($N$2:$N$38,CHAR(160)," ")) &amp; "|" &amp;
      LEFT(SUBSTITUTE($O$2:$O$38,CHAR(160)," "),5) &amp; "|" &amp;
      TRIM(SUBSTITUTE($P$2:$P$38,CHAR(160)," ")),
      $Q$2:$Q$38
    )
  ),
"")</f>
        <v>93.75</v>
      </c>
      <c r="L124" s="32" t="str">
        <f>IFERROR( VALUE($H124) * INDEX(#REF!, MATCH(UPPER(TRIM($F124)),#REF!,0)), "" )</f>
        <v/>
      </c>
    </row>
    <row r="125" spans="1:12" x14ac:dyDescent="0.2">
      <c r="A125" s="303">
        <v>45908</v>
      </c>
      <c r="B125" s="295" t="s">
        <v>169</v>
      </c>
      <c r="C125" s="304" t="s">
        <v>66</v>
      </c>
      <c r="D125" s="296" t="s">
        <v>191</v>
      </c>
      <c r="E125" s="296" t="s">
        <v>230</v>
      </c>
      <c r="F125" s="296" t="s">
        <v>9</v>
      </c>
      <c r="G125" s="297" t="s">
        <v>380</v>
      </c>
      <c r="H125" s="298">
        <v>0.5</v>
      </c>
      <c r="I125" s="299" cm="1">
        <f t="array" ref="I125">IFERROR(
  VALUE($H125) *
  VALUE(
    _xlfn.XLOOKUP(
      TRIM($F125) &amp; "|" &amp; LEFT(SUBSTITUTE($G125,CHAR(160)," "),5) &amp; "|Full Rate",
      TRIM(SUBSTITUTE($N$2:$N$38,CHAR(160)," ")) &amp; "|" &amp;
      LEFT(SUBSTITUTE($O$2:$O$38,CHAR(160)," "),5) &amp; "|" &amp;
      TRIM(SUBSTITUTE($P$2:$P$38,CHAR(160)," ")),
      $Q$2:$Q$38
    )
  ),
"")</f>
        <v>125</v>
      </c>
      <c r="J125" s="300" cm="1">
        <f t="array" ref="J125">IFERROR(
  VALUE($H125) *
  VALUE(
    _xlfn.XLOOKUP(
      TRIM($F125) &amp; "|" &amp; LEFT(SUBSTITUTE($G125,CHAR(160)," "),5) &amp; "|Reduced Rate",
      TRIM(SUBSTITUTE($N$2:$N$38,CHAR(160)," ")) &amp; "|" &amp;
      LEFT(SUBSTITUTE($O$2:$O$38,CHAR(160)," "),5) &amp; "|" &amp;
      TRIM(SUBSTITUTE($P$2:$P$38,CHAR(160)," ")),
      $Q$2:$Q$38
    )
  ),
"")</f>
        <v>75</v>
      </c>
      <c r="K125" s="301" cm="1">
        <f t="array" ref="K125">IFERROR(
  VALUE($H125) *
  VALUE(
    _xlfn.XLOOKUP(
      TRIM($F125) &amp; "|" &amp; LEFT(SUBSTITUTE($G125,CHAR(160)," "),5) &amp; "|Ideas Rate",
      TRIM(SUBSTITUTE($N$2:$N$38,CHAR(160)," ")) &amp; "|" &amp;
      LEFT(SUBSTITUTE($O$2:$O$38,CHAR(160)," "),5) &amp; "|" &amp;
      TRIM(SUBSTITUTE($P$2:$P$38,CHAR(160)," ")),
      $Q$2:$Q$38
    )
  ),
"")</f>
        <v>37.5</v>
      </c>
      <c r="L125" s="32" t="str">
        <f>IFERROR( VALUE($H125) * INDEX(#REF!, MATCH(UPPER(TRIM($F125)),#REF!,0)), "" )</f>
        <v/>
      </c>
    </row>
    <row r="126" spans="1:12" x14ac:dyDescent="0.2">
      <c r="A126" s="303">
        <v>45908</v>
      </c>
      <c r="B126" s="295" t="s">
        <v>169</v>
      </c>
      <c r="C126" s="304" t="s">
        <v>66</v>
      </c>
      <c r="D126" s="296" t="s">
        <v>182</v>
      </c>
      <c r="E126" s="296" t="s">
        <v>225</v>
      </c>
      <c r="F126" s="296" t="s">
        <v>155</v>
      </c>
      <c r="G126" s="297" t="s">
        <v>367</v>
      </c>
      <c r="H126" s="298">
        <v>8</v>
      </c>
      <c r="I126" s="299" cm="1">
        <f t="array" ref="I126">IFERROR(
  VALUE($H126) *
  VALUE(
    _xlfn.XLOOKUP(
      TRIM($F126) &amp; "|" &amp; LEFT(SUBSTITUTE($G126,CHAR(160)," "),5) &amp; "|Full Rate",
      TRIM(SUBSTITUTE($N$2:$N$38,CHAR(160)," ")) &amp; "|" &amp;
      LEFT(SUBSTITUTE($O$2:$O$38,CHAR(160)," "),5) &amp; "|" &amp;
      TRIM(SUBSTITUTE($P$2:$P$38,CHAR(160)," ")),
      $Q$2:$Q$38
    )
  ),
"")</f>
        <v>3200</v>
      </c>
      <c r="J126" s="300" cm="1">
        <f t="array" ref="J126">IFERROR(
  VALUE($H126) *
  VALUE(
    _xlfn.XLOOKUP(
      TRIM($F126) &amp; "|" &amp; LEFT(SUBSTITUTE($G126,CHAR(160)," "),5) &amp; "|Reduced Rate",
      TRIM(SUBSTITUTE($N$2:$N$38,CHAR(160)," ")) &amp; "|" &amp;
      LEFT(SUBSTITUTE($O$2:$O$38,CHAR(160)," "),5) &amp; "|" &amp;
      TRIM(SUBSTITUTE($P$2:$P$38,CHAR(160)," ")),
      $Q$2:$Q$38
    )
  ),
"")</f>
        <v>1600</v>
      </c>
      <c r="K126" s="301" cm="1">
        <f t="array" ref="K126">IFERROR(
  VALUE($H126) *
  VALUE(
    _xlfn.XLOOKUP(
      TRIM($F126) &amp; "|" &amp; LEFT(SUBSTITUTE($G126,CHAR(160)," "),5) &amp; "|Ideas Rate",
      TRIM(SUBSTITUTE($N$2:$N$38,CHAR(160)," ")) &amp; "|" &amp;
      LEFT(SUBSTITUTE($O$2:$O$38,CHAR(160)," "),5) &amp; "|" &amp;
      TRIM(SUBSTITUTE($P$2:$P$38,CHAR(160)," ")),
      $Q$2:$Q$38
    )
  ),
"")</f>
        <v>960</v>
      </c>
      <c r="L126" s="32" t="str">
        <f>IFERROR( VALUE($H126) * INDEX(#REF!, MATCH(UPPER(TRIM($F126)),#REF!,0)), "" )</f>
        <v/>
      </c>
    </row>
    <row r="127" spans="1:12" x14ac:dyDescent="0.2">
      <c r="A127" s="303">
        <v>45909</v>
      </c>
      <c r="B127" s="295" t="s">
        <v>169</v>
      </c>
      <c r="C127" s="304" t="s">
        <v>66</v>
      </c>
      <c r="D127" s="296" t="s">
        <v>182</v>
      </c>
      <c r="E127" s="296" t="s">
        <v>232</v>
      </c>
      <c r="F127" s="296" t="s">
        <v>155</v>
      </c>
      <c r="G127" s="297" t="s">
        <v>367</v>
      </c>
      <c r="H127" s="298">
        <v>4</v>
      </c>
      <c r="I127" s="299" cm="1">
        <f t="array" ref="I127">IFERROR(
  VALUE($H127) *
  VALUE(
    _xlfn.XLOOKUP(
      TRIM($F127) &amp; "|" &amp; LEFT(SUBSTITUTE($G127,CHAR(160)," "),5) &amp; "|Full Rate",
      TRIM(SUBSTITUTE($N$2:$N$38,CHAR(160)," ")) &amp; "|" &amp;
      LEFT(SUBSTITUTE($O$2:$O$38,CHAR(160)," "),5) &amp; "|" &amp;
      TRIM(SUBSTITUTE($P$2:$P$38,CHAR(160)," ")),
      $Q$2:$Q$38
    )
  ),
"")</f>
        <v>1600</v>
      </c>
      <c r="J127" s="300" cm="1">
        <f t="array" ref="J127">IFERROR(
  VALUE($H127) *
  VALUE(
    _xlfn.XLOOKUP(
      TRIM($F127) &amp; "|" &amp; LEFT(SUBSTITUTE($G127,CHAR(160)," "),5) &amp; "|Reduced Rate",
      TRIM(SUBSTITUTE($N$2:$N$38,CHAR(160)," ")) &amp; "|" &amp;
      LEFT(SUBSTITUTE($O$2:$O$38,CHAR(160)," "),5) &amp; "|" &amp;
      TRIM(SUBSTITUTE($P$2:$P$38,CHAR(160)," ")),
      $Q$2:$Q$38
    )
  ),
"")</f>
        <v>800</v>
      </c>
      <c r="K127" s="301" cm="1">
        <f t="array" ref="K127">IFERROR(
  VALUE($H127) *
  VALUE(
    _xlfn.XLOOKUP(
      TRIM($F127) &amp; "|" &amp; LEFT(SUBSTITUTE($G127,CHAR(160)," "),5) &amp; "|Ideas Rate",
      TRIM(SUBSTITUTE($N$2:$N$38,CHAR(160)," ")) &amp; "|" &amp;
      LEFT(SUBSTITUTE($O$2:$O$38,CHAR(160)," "),5) &amp; "|" &amp;
      TRIM(SUBSTITUTE($P$2:$P$38,CHAR(160)," ")),
      $Q$2:$Q$38
    )
  ),
"")</f>
        <v>480</v>
      </c>
      <c r="L127" s="32" t="str">
        <f>IFERROR( VALUE($H127) * INDEX(#REF!, MATCH(UPPER(TRIM($F127)),#REF!,0)), "" )</f>
        <v/>
      </c>
    </row>
    <row r="128" spans="1:12" x14ac:dyDescent="0.2">
      <c r="A128" s="303">
        <v>45909</v>
      </c>
      <c r="B128" s="295" t="s">
        <v>169</v>
      </c>
      <c r="C128" s="304" t="s">
        <v>66</v>
      </c>
      <c r="D128" s="296" t="s">
        <v>323</v>
      </c>
      <c r="E128" s="296" t="s">
        <v>233</v>
      </c>
      <c r="F128" s="296" t="s">
        <v>155</v>
      </c>
      <c r="G128" s="297" t="s">
        <v>368</v>
      </c>
      <c r="H128" s="298">
        <v>4</v>
      </c>
      <c r="I128" s="299" cm="1">
        <f t="array" ref="I128">IFERROR(
  VALUE($H128) *
  VALUE(
    _xlfn.XLOOKUP(
      TRIM($F128) &amp; "|" &amp; LEFT(SUBSTITUTE($G128,CHAR(160)," "),5) &amp; "|Full Rate",
      TRIM(SUBSTITUTE($N$2:$N$38,CHAR(160)," ")) &amp; "|" &amp;
      LEFT(SUBSTITUTE($O$2:$O$38,CHAR(160)," "),5) &amp; "|" &amp;
      TRIM(SUBSTITUTE($P$2:$P$38,CHAR(160)," ")),
      $Q$2:$Q$38
    )
  ),
"")</f>
        <v>400</v>
      </c>
      <c r="J128" s="300" cm="1">
        <f t="array" ref="J128">IFERROR(
  VALUE($H128) *
  VALUE(
    _xlfn.XLOOKUP(
      TRIM($F128) &amp; "|" &amp; LEFT(SUBSTITUTE($G128,CHAR(160)," "),5) &amp; "|Reduced Rate",
      TRIM(SUBSTITUTE($N$2:$N$38,CHAR(160)," ")) &amp; "|" &amp;
      LEFT(SUBSTITUTE($O$2:$O$38,CHAR(160)," "),5) &amp; "|" &amp;
      TRIM(SUBSTITUTE($P$2:$P$38,CHAR(160)," ")),
      $Q$2:$Q$38
    )
  ),
"")</f>
        <v>200</v>
      </c>
      <c r="K128" s="301" cm="1">
        <f t="array" ref="K128">IFERROR(
  VALUE($H128) *
  VALUE(
    _xlfn.XLOOKUP(
      TRIM($F128) &amp; "|" &amp; LEFT(SUBSTITUTE($G128,CHAR(160)," "),5) &amp; "|Ideas Rate",
      TRIM(SUBSTITUTE($N$2:$N$38,CHAR(160)," ")) &amp; "|" &amp;
      LEFT(SUBSTITUTE($O$2:$O$38,CHAR(160)," "),5) &amp; "|" &amp;
      TRIM(SUBSTITUTE($P$2:$P$38,CHAR(160)," ")),
      $Q$2:$Q$38
    )
  ),
"")</f>
        <v>120</v>
      </c>
      <c r="L128" s="32" t="str">
        <f>IFERROR( VALUE($H128) * INDEX(#REF!, MATCH(UPPER(TRIM($F128)),#REF!,0)), "" )</f>
        <v/>
      </c>
    </row>
    <row r="129" spans="1:12" x14ac:dyDescent="0.2">
      <c r="A129" s="303">
        <v>45910</v>
      </c>
      <c r="B129" s="295" t="s">
        <v>169</v>
      </c>
      <c r="C129" s="304" t="s">
        <v>66</v>
      </c>
      <c r="D129" s="296" t="s">
        <v>184</v>
      </c>
      <c r="E129" s="296" t="s">
        <v>358</v>
      </c>
      <c r="F129" s="296" t="s">
        <v>155</v>
      </c>
      <c r="G129" s="297" t="s">
        <v>367</v>
      </c>
      <c r="H129" s="298">
        <v>4</v>
      </c>
      <c r="I129" s="299" cm="1">
        <f t="array" ref="I129">IFERROR(
  VALUE($H129) *
  VALUE(
    _xlfn.XLOOKUP(
      TRIM($F129) &amp; "|" &amp; LEFT(SUBSTITUTE($G129,CHAR(160)," "),5) &amp; "|Full Rate",
      TRIM(SUBSTITUTE($N$2:$N$38,CHAR(160)," ")) &amp; "|" &amp;
      LEFT(SUBSTITUTE($O$2:$O$38,CHAR(160)," "),5) &amp; "|" &amp;
      TRIM(SUBSTITUTE($P$2:$P$38,CHAR(160)," ")),
      $Q$2:$Q$38
    )
  ),
"")</f>
        <v>1600</v>
      </c>
      <c r="J129" s="300" cm="1">
        <f t="array" ref="J129">IFERROR(
  VALUE($H129) *
  VALUE(
    _xlfn.XLOOKUP(
      TRIM($F129) &amp; "|" &amp; LEFT(SUBSTITUTE($G129,CHAR(160)," "),5) &amp; "|Reduced Rate",
      TRIM(SUBSTITUTE($N$2:$N$38,CHAR(160)," ")) &amp; "|" &amp;
      LEFT(SUBSTITUTE($O$2:$O$38,CHAR(160)," "),5) &amp; "|" &amp;
      TRIM(SUBSTITUTE($P$2:$P$38,CHAR(160)," ")),
      $Q$2:$Q$38
    )
  ),
"")</f>
        <v>800</v>
      </c>
      <c r="K129" s="301" cm="1">
        <f t="array" ref="K129">IFERROR(
  VALUE($H129) *
  VALUE(
    _xlfn.XLOOKUP(
      TRIM($F129) &amp; "|" &amp; LEFT(SUBSTITUTE($G129,CHAR(160)," "),5) &amp; "|Ideas Rate",
      TRIM(SUBSTITUTE($N$2:$N$38,CHAR(160)," ")) &amp; "|" &amp;
      LEFT(SUBSTITUTE($O$2:$O$38,CHAR(160)," "),5) &amp; "|" &amp;
      TRIM(SUBSTITUTE($P$2:$P$38,CHAR(160)," ")),
      $Q$2:$Q$38
    )
  ),
"")</f>
        <v>480</v>
      </c>
      <c r="L129" s="32" t="str">
        <f>IFERROR( VALUE($H129) * INDEX(#REF!, MATCH(UPPER(TRIM($F129)),#REF!,0)), "" )</f>
        <v/>
      </c>
    </row>
    <row r="130" spans="1:12" x14ac:dyDescent="0.2">
      <c r="A130" s="303">
        <v>45910</v>
      </c>
      <c r="B130" s="295" t="s">
        <v>169</v>
      </c>
      <c r="C130" s="304" t="s">
        <v>66</v>
      </c>
      <c r="D130" s="296" t="s">
        <v>184</v>
      </c>
      <c r="E130" s="296" t="s">
        <v>359</v>
      </c>
      <c r="F130" s="296" t="s">
        <v>155</v>
      </c>
      <c r="G130" s="297" t="s">
        <v>380</v>
      </c>
      <c r="H130" s="298">
        <v>4</v>
      </c>
      <c r="I130" s="299" cm="1">
        <f t="array" ref="I130">IFERROR(
  VALUE($H130) *
  VALUE(
    _xlfn.XLOOKUP(
      TRIM($F130) &amp; "|" &amp; LEFT(SUBSTITUTE($G130,CHAR(160)," "),5) &amp; "|Full Rate",
      TRIM(SUBSTITUTE($N$2:$N$38,CHAR(160)," ")) &amp; "|" &amp;
      LEFT(SUBSTITUTE($O$2:$O$38,CHAR(160)," "),5) &amp; "|" &amp;
      TRIM(SUBSTITUTE($P$2:$P$38,CHAR(160)," ")),
      $Q$2:$Q$38
    )
  ),
"")</f>
        <v>1040</v>
      </c>
      <c r="J130" s="300" cm="1">
        <f t="array" ref="J130">IFERROR(
  VALUE($H130) *
  VALUE(
    _xlfn.XLOOKUP(
      TRIM($F130) &amp; "|" &amp; LEFT(SUBSTITUTE($G130,CHAR(160)," "),5) &amp; "|Reduced Rate",
      TRIM(SUBSTITUTE($N$2:$N$38,CHAR(160)," ")) &amp; "|" &amp;
      LEFT(SUBSTITUTE($O$2:$O$38,CHAR(160)," "),5) &amp; "|" &amp;
      TRIM(SUBSTITUTE($P$2:$P$38,CHAR(160)," ")),
      $Q$2:$Q$38
    )
  ),
"")</f>
        <v>480</v>
      </c>
      <c r="K130" s="301" cm="1">
        <f t="array" ref="K130">IFERROR(
  VALUE($H130) *
  VALUE(
    _xlfn.XLOOKUP(
      TRIM($F130) &amp; "|" &amp; LEFT(SUBSTITUTE($G130,CHAR(160)," "),5) &amp; "|Ideas Rate",
      TRIM(SUBSTITUTE($N$2:$N$38,CHAR(160)," ")) &amp; "|" &amp;
      LEFT(SUBSTITUTE($O$2:$O$38,CHAR(160)," "),5) &amp; "|" &amp;
      TRIM(SUBSTITUTE($P$2:$P$38,CHAR(160)," ")),
      $Q$2:$Q$38
    )
  ),
"")</f>
        <v>360</v>
      </c>
      <c r="L130" s="32" t="str">
        <f>IFERROR( VALUE($H130) * INDEX(#REF!, MATCH(UPPER(TRIM($F130)),#REF!,0)), "" )</f>
        <v/>
      </c>
    </row>
    <row r="131" spans="1:12" x14ac:dyDescent="0.2">
      <c r="A131" s="303">
        <v>45911</v>
      </c>
      <c r="B131" s="295" t="s">
        <v>169</v>
      </c>
      <c r="C131" s="304" t="s">
        <v>66</v>
      </c>
      <c r="D131" s="296" t="s">
        <v>184</v>
      </c>
      <c r="E131" s="296" t="s">
        <v>358</v>
      </c>
      <c r="F131" s="296" t="s">
        <v>155</v>
      </c>
      <c r="G131" s="297" t="s">
        <v>367</v>
      </c>
      <c r="H131" s="298">
        <v>4</v>
      </c>
      <c r="I131" s="299" cm="1">
        <f t="array" ref="I131">IFERROR(
  VALUE($H131) *
  VALUE(
    _xlfn.XLOOKUP(
      TRIM($F131) &amp; "|" &amp; LEFT(SUBSTITUTE($G131,CHAR(160)," "),5) &amp; "|Full Rate",
      TRIM(SUBSTITUTE($N$2:$N$38,CHAR(160)," ")) &amp; "|" &amp;
      LEFT(SUBSTITUTE($O$2:$O$38,CHAR(160)," "),5) &amp; "|" &amp;
      TRIM(SUBSTITUTE($P$2:$P$38,CHAR(160)," ")),
      $Q$2:$Q$38
    )
  ),
"")</f>
        <v>1600</v>
      </c>
      <c r="J131" s="300" cm="1">
        <f t="array" ref="J131">IFERROR(
  VALUE($H131) *
  VALUE(
    _xlfn.XLOOKUP(
      TRIM($F131) &amp; "|" &amp; LEFT(SUBSTITUTE($G131,CHAR(160)," "),5) &amp; "|Reduced Rate",
      TRIM(SUBSTITUTE($N$2:$N$38,CHAR(160)," ")) &amp; "|" &amp;
      LEFT(SUBSTITUTE($O$2:$O$38,CHAR(160)," "),5) &amp; "|" &amp;
      TRIM(SUBSTITUTE($P$2:$P$38,CHAR(160)," ")),
      $Q$2:$Q$38
    )
  ),
"")</f>
        <v>800</v>
      </c>
      <c r="K131" s="301" cm="1">
        <f t="array" ref="K131">IFERROR(
  VALUE($H131) *
  VALUE(
    _xlfn.XLOOKUP(
      TRIM($F131) &amp; "|" &amp; LEFT(SUBSTITUTE($G131,CHAR(160)," "),5) &amp; "|Ideas Rate",
      TRIM(SUBSTITUTE($N$2:$N$38,CHAR(160)," ")) &amp; "|" &amp;
      LEFT(SUBSTITUTE($O$2:$O$38,CHAR(160)," "),5) &amp; "|" &amp;
      TRIM(SUBSTITUTE($P$2:$P$38,CHAR(160)," ")),
      $Q$2:$Q$38
    )
  ),
"")</f>
        <v>480</v>
      </c>
      <c r="L131" s="32" t="str">
        <f>IFERROR( VALUE($H131) * INDEX(#REF!, MATCH(UPPER(TRIM($F131)),#REF!,0)), "" )</f>
        <v/>
      </c>
    </row>
    <row r="132" spans="1:12" x14ac:dyDescent="0.2">
      <c r="A132" s="303">
        <v>45911</v>
      </c>
      <c r="B132" s="295" t="s">
        <v>169</v>
      </c>
      <c r="C132" s="304" t="s">
        <v>66</v>
      </c>
      <c r="D132" s="296" t="s">
        <v>184</v>
      </c>
      <c r="E132" s="296" t="s">
        <v>359</v>
      </c>
      <c r="F132" s="296" t="s">
        <v>155</v>
      </c>
      <c r="G132" s="297" t="s">
        <v>380</v>
      </c>
      <c r="H132" s="298">
        <v>4</v>
      </c>
      <c r="I132" s="299" cm="1">
        <f t="array" ref="I132">IFERROR(
  VALUE($H132) *
  VALUE(
    _xlfn.XLOOKUP(
      TRIM($F132) &amp; "|" &amp; LEFT(SUBSTITUTE($G132,CHAR(160)," "),5) &amp; "|Full Rate",
      TRIM(SUBSTITUTE($N$2:$N$38,CHAR(160)," ")) &amp; "|" &amp;
      LEFT(SUBSTITUTE($O$2:$O$38,CHAR(160)," "),5) &amp; "|" &amp;
      TRIM(SUBSTITUTE($P$2:$P$38,CHAR(160)," ")),
      $Q$2:$Q$38
    )
  ),
"")</f>
        <v>1040</v>
      </c>
      <c r="J132" s="300" cm="1">
        <f t="array" ref="J132">IFERROR(
  VALUE($H132) *
  VALUE(
    _xlfn.XLOOKUP(
      TRIM($F132) &amp; "|" &amp; LEFT(SUBSTITUTE($G132,CHAR(160)," "),5) &amp; "|Reduced Rate",
      TRIM(SUBSTITUTE($N$2:$N$38,CHAR(160)," ")) &amp; "|" &amp;
      LEFT(SUBSTITUTE($O$2:$O$38,CHAR(160)," "),5) &amp; "|" &amp;
      TRIM(SUBSTITUTE($P$2:$P$38,CHAR(160)," ")),
      $Q$2:$Q$38
    )
  ),
"")</f>
        <v>480</v>
      </c>
      <c r="K132" s="301" cm="1">
        <f t="array" ref="K132">IFERROR(
  VALUE($H132) *
  VALUE(
    _xlfn.XLOOKUP(
      TRIM($F132) &amp; "|" &amp; LEFT(SUBSTITUTE($G132,CHAR(160)," "),5) &amp; "|Ideas Rate",
      TRIM(SUBSTITUTE($N$2:$N$38,CHAR(160)," ")) &amp; "|" &amp;
      LEFT(SUBSTITUTE($O$2:$O$38,CHAR(160)," "),5) &amp; "|" &amp;
      TRIM(SUBSTITUTE($P$2:$P$38,CHAR(160)," ")),
      $Q$2:$Q$38
    )
  ),
"")</f>
        <v>360</v>
      </c>
      <c r="L132" s="32" t="str">
        <f>IFERROR( VALUE($H132) * INDEX(#REF!, MATCH(UPPER(TRIM($F132)),#REF!,0)), "" )</f>
        <v/>
      </c>
    </row>
    <row r="133" spans="1:12" x14ac:dyDescent="0.2">
      <c r="A133" s="303">
        <v>45912</v>
      </c>
      <c r="B133" s="295" t="s">
        <v>169</v>
      </c>
      <c r="C133" s="304" t="s">
        <v>66</v>
      </c>
      <c r="D133" s="296" t="s">
        <v>323</v>
      </c>
      <c r="E133" s="296" t="s">
        <v>234</v>
      </c>
      <c r="F133" s="296" t="s">
        <v>155</v>
      </c>
      <c r="G133" s="297" t="s">
        <v>368</v>
      </c>
      <c r="H133" s="298">
        <v>4</v>
      </c>
      <c r="I133" s="299" cm="1">
        <f t="array" ref="I133">IFERROR(
  VALUE($H133) *
  VALUE(
    _xlfn.XLOOKUP(
      TRIM($F133) &amp; "|" &amp; LEFT(SUBSTITUTE($G133,CHAR(160)," "),5) &amp; "|Full Rate",
      TRIM(SUBSTITUTE($N$2:$N$38,CHAR(160)," ")) &amp; "|" &amp;
      LEFT(SUBSTITUTE($O$2:$O$38,CHAR(160)," "),5) &amp; "|" &amp;
      TRIM(SUBSTITUTE($P$2:$P$38,CHAR(160)," ")),
      $Q$2:$Q$38
    )
  ),
"")</f>
        <v>400</v>
      </c>
      <c r="J133" s="300" cm="1">
        <f t="array" ref="J133">IFERROR(
  VALUE($H133) *
  VALUE(
    _xlfn.XLOOKUP(
      TRIM($F133) &amp; "|" &amp; LEFT(SUBSTITUTE($G133,CHAR(160)," "),5) &amp; "|Reduced Rate",
      TRIM(SUBSTITUTE($N$2:$N$38,CHAR(160)," ")) &amp; "|" &amp;
      LEFT(SUBSTITUTE($O$2:$O$38,CHAR(160)," "),5) &amp; "|" &amp;
      TRIM(SUBSTITUTE($P$2:$P$38,CHAR(160)," ")),
      $Q$2:$Q$38
    )
  ),
"")</f>
        <v>200</v>
      </c>
      <c r="K133" s="301" cm="1">
        <f t="array" ref="K133">IFERROR(
  VALUE($H133) *
  VALUE(
    _xlfn.XLOOKUP(
      TRIM($F133) &amp; "|" &amp; LEFT(SUBSTITUTE($G133,CHAR(160)," "),5) &amp; "|Ideas Rate",
      TRIM(SUBSTITUTE($N$2:$N$38,CHAR(160)," ")) &amp; "|" &amp;
      LEFT(SUBSTITUTE($O$2:$O$38,CHAR(160)," "),5) &amp; "|" &amp;
      TRIM(SUBSTITUTE($P$2:$P$38,CHAR(160)," ")),
      $Q$2:$Q$38
    )
  ),
"")</f>
        <v>120</v>
      </c>
      <c r="L133" s="32" t="str">
        <f>IFERROR( VALUE($H133) * INDEX(#REF!, MATCH(UPPER(TRIM($F133)),#REF!,0)), "" )</f>
        <v/>
      </c>
    </row>
    <row r="134" spans="1:12" x14ac:dyDescent="0.2">
      <c r="A134" s="303">
        <v>45912</v>
      </c>
      <c r="B134" s="295" t="s">
        <v>169</v>
      </c>
      <c r="C134" s="304" t="s">
        <v>66</v>
      </c>
      <c r="D134" s="296" t="s">
        <v>182</v>
      </c>
      <c r="E134" s="296" t="s">
        <v>235</v>
      </c>
      <c r="F134" s="296" t="s">
        <v>155</v>
      </c>
      <c r="G134" s="297" t="s">
        <v>367</v>
      </c>
      <c r="H134" s="298">
        <v>2</v>
      </c>
      <c r="I134" s="299" cm="1">
        <f t="array" ref="I134">IFERROR(
  VALUE($H134) *
  VALUE(
    _xlfn.XLOOKUP(
      TRIM($F134) &amp; "|" &amp; LEFT(SUBSTITUTE($G134,CHAR(160)," "),5) &amp; "|Full Rate",
      TRIM(SUBSTITUTE($N$2:$N$38,CHAR(160)," ")) &amp; "|" &amp;
      LEFT(SUBSTITUTE($O$2:$O$38,CHAR(160)," "),5) &amp; "|" &amp;
      TRIM(SUBSTITUTE($P$2:$P$38,CHAR(160)," ")),
      $Q$2:$Q$38
    )
  ),
"")</f>
        <v>800</v>
      </c>
      <c r="J134" s="300" cm="1">
        <f t="array" ref="J134">IFERROR(
  VALUE($H134) *
  VALUE(
    _xlfn.XLOOKUP(
      TRIM($F134) &amp; "|" &amp; LEFT(SUBSTITUTE($G134,CHAR(160)," "),5) &amp; "|Reduced Rate",
      TRIM(SUBSTITUTE($N$2:$N$38,CHAR(160)," ")) &amp; "|" &amp;
      LEFT(SUBSTITUTE($O$2:$O$38,CHAR(160)," "),5) &amp; "|" &amp;
      TRIM(SUBSTITUTE($P$2:$P$38,CHAR(160)," ")),
      $Q$2:$Q$38
    )
  ),
"")</f>
        <v>400</v>
      </c>
      <c r="K134" s="301" cm="1">
        <f t="array" ref="K134">IFERROR(
  VALUE($H134) *
  VALUE(
    _xlfn.XLOOKUP(
      TRIM($F134) &amp; "|" &amp; LEFT(SUBSTITUTE($G134,CHAR(160)," "),5) &amp; "|Ideas Rate",
      TRIM(SUBSTITUTE($N$2:$N$38,CHAR(160)," ")) &amp; "|" &amp;
      LEFT(SUBSTITUTE($O$2:$O$38,CHAR(160)," "),5) &amp; "|" &amp;
      TRIM(SUBSTITUTE($P$2:$P$38,CHAR(160)," ")),
      $Q$2:$Q$38
    )
  ),
"")</f>
        <v>240</v>
      </c>
      <c r="L134" s="32" t="str">
        <f>IFERROR( VALUE($H134) * INDEX(#REF!, MATCH(UPPER(TRIM($F134)),#REF!,0)), "" )</f>
        <v/>
      </c>
    </row>
    <row r="135" spans="1:12" x14ac:dyDescent="0.2">
      <c r="A135" s="303">
        <v>45914</v>
      </c>
      <c r="B135" s="295" t="s">
        <v>169</v>
      </c>
      <c r="C135" s="304" t="s">
        <v>66</v>
      </c>
      <c r="D135" s="296" t="s">
        <v>182</v>
      </c>
      <c r="E135" s="296" t="s">
        <v>232</v>
      </c>
      <c r="F135" s="296" t="s">
        <v>155</v>
      </c>
      <c r="G135" s="297" t="s">
        <v>367</v>
      </c>
      <c r="H135" s="298">
        <v>1.5</v>
      </c>
      <c r="I135" s="299" cm="1">
        <f t="array" ref="I135">IFERROR(
  VALUE($H135) *
  VALUE(
    _xlfn.XLOOKUP(
      TRIM($F135) &amp; "|" &amp; LEFT(SUBSTITUTE($G135,CHAR(160)," "),5) &amp; "|Full Rate",
      TRIM(SUBSTITUTE($N$2:$N$38,CHAR(160)," ")) &amp; "|" &amp;
      LEFT(SUBSTITUTE($O$2:$O$38,CHAR(160)," "),5) &amp; "|" &amp;
      TRIM(SUBSTITUTE($P$2:$P$38,CHAR(160)," ")),
      $Q$2:$Q$38
    )
  ),
"")</f>
        <v>600</v>
      </c>
      <c r="J135" s="300" cm="1">
        <f t="array" ref="J135">IFERROR(
  VALUE($H135) *
  VALUE(
    _xlfn.XLOOKUP(
      TRIM($F135) &amp; "|" &amp; LEFT(SUBSTITUTE($G135,CHAR(160)," "),5) &amp; "|Reduced Rate",
      TRIM(SUBSTITUTE($N$2:$N$38,CHAR(160)," ")) &amp; "|" &amp;
      LEFT(SUBSTITUTE($O$2:$O$38,CHAR(160)," "),5) &amp; "|" &amp;
      TRIM(SUBSTITUTE($P$2:$P$38,CHAR(160)," ")),
      $Q$2:$Q$38
    )
  ),
"")</f>
        <v>300</v>
      </c>
      <c r="K135" s="301" cm="1">
        <f t="array" ref="K135">IFERROR(
  VALUE($H135) *
  VALUE(
    _xlfn.XLOOKUP(
      TRIM($F135) &amp; "|" &amp; LEFT(SUBSTITUTE($G135,CHAR(160)," "),5) &amp; "|Ideas Rate",
      TRIM(SUBSTITUTE($N$2:$N$38,CHAR(160)," ")) &amp; "|" &amp;
      LEFT(SUBSTITUTE($O$2:$O$38,CHAR(160)," "),5) &amp; "|" &amp;
      TRIM(SUBSTITUTE($P$2:$P$38,CHAR(160)," ")),
      $Q$2:$Q$38
    )
  ),
"")</f>
        <v>180</v>
      </c>
      <c r="L135" s="32" t="str">
        <f>IFERROR( VALUE($H135) * INDEX(#REF!, MATCH(UPPER(TRIM($F135)),#REF!,0)), "" )</f>
        <v/>
      </c>
    </row>
    <row r="136" spans="1:12" x14ac:dyDescent="0.2">
      <c r="A136" s="303">
        <v>45915</v>
      </c>
      <c r="B136" s="295" t="s">
        <v>169</v>
      </c>
      <c r="C136" s="304" t="s">
        <v>66</v>
      </c>
      <c r="D136" s="296" t="s">
        <v>182</v>
      </c>
      <c r="E136" s="296" t="s">
        <v>225</v>
      </c>
      <c r="F136" s="296" t="s">
        <v>155</v>
      </c>
      <c r="G136" s="297" t="s">
        <v>367</v>
      </c>
      <c r="H136" s="298">
        <v>10</v>
      </c>
      <c r="I136" s="299" cm="1">
        <f t="array" ref="I136">IFERROR(
  VALUE($H136) *
  VALUE(
    _xlfn.XLOOKUP(
      TRIM($F136) &amp; "|" &amp; LEFT(SUBSTITUTE($G136,CHAR(160)," "),5) &amp; "|Full Rate",
      TRIM(SUBSTITUTE($N$2:$N$38,CHAR(160)," ")) &amp; "|" &amp;
      LEFT(SUBSTITUTE($O$2:$O$38,CHAR(160)," "),5) &amp; "|" &amp;
      TRIM(SUBSTITUTE($P$2:$P$38,CHAR(160)," ")),
      $Q$2:$Q$38
    )
  ),
"")</f>
        <v>4000</v>
      </c>
      <c r="J136" s="300" cm="1">
        <f t="array" ref="J136">IFERROR(
  VALUE($H136) *
  VALUE(
    _xlfn.XLOOKUP(
      TRIM($F136) &amp; "|" &amp; LEFT(SUBSTITUTE($G136,CHAR(160)," "),5) &amp; "|Reduced Rate",
      TRIM(SUBSTITUTE($N$2:$N$38,CHAR(160)," ")) &amp; "|" &amp;
      LEFT(SUBSTITUTE($O$2:$O$38,CHAR(160)," "),5) &amp; "|" &amp;
      TRIM(SUBSTITUTE($P$2:$P$38,CHAR(160)," ")),
      $Q$2:$Q$38
    )
  ),
"")</f>
        <v>2000</v>
      </c>
      <c r="K136" s="301" cm="1">
        <f t="array" ref="K136">IFERROR(
  VALUE($H136) *
  VALUE(
    _xlfn.XLOOKUP(
      TRIM($F136) &amp; "|" &amp; LEFT(SUBSTITUTE($G136,CHAR(160)," "),5) &amp; "|Ideas Rate",
      TRIM(SUBSTITUTE($N$2:$N$38,CHAR(160)," ")) &amp; "|" &amp;
      LEFT(SUBSTITUTE($O$2:$O$38,CHAR(160)," "),5) &amp; "|" &amp;
      TRIM(SUBSTITUTE($P$2:$P$38,CHAR(160)," ")),
      $Q$2:$Q$38
    )
  ),
"")</f>
        <v>1200</v>
      </c>
      <c r="L136" s="32" t="str">
        <f>IFERROR( VALUE($H136) * INDEX(#REF!, MATCH(UPPER(TRIM($F136)),#REF!,0)), "" )</f>
        <v/>
      </c>
    </row>
    <row r="137" spans="1:12" x14ac:dyDescent="0.2">
      <c r="A137" s="303">
        <v>45914</v>
      </c>
      <c r="B137" s="295" t="s">
        <v>169</v>
      </c>
      <c r="C137" s="304" t="s">
        <v>66</v>
      </c>
      <c r="D137" s="296" t="s">
        <v>187</v>
      </c>
      <c r="E137" s="296" t="s">
        <v>238</v>
      </c>
      <c r="F137" s="296" t="s">
        <v>155</v>
      </c>
      <c r="G137" s="297" t="s">
        <v>367</v>
      </c>
      <c r="H137" s="298">
        <v>8</v>
      </c>
      <c r="I137" s="299" cm="1">
        <f t="array" ref="I137">IFERROR(
  VALUE($H137) *
  VALUE(
    _xlfn.XLOOKUP(
      TRIM($F137) &amp; "|" &amp; LEFT(SUBSTITUTE($G137,CHAR(160)," "),5) &amp; "|Full Rate",
      TRIM(SUBSTITUTE($N$2:$N$38,CHAR(160)," ")) &amp; "|" &amp;
      LEFT(SUBSTITUTE($O$2:$O$38,CHAR(160)," "),5) &amp; "|" &amp;
      TRIM(SUBSTITUTE($P$2:$P$38,CHAR(160)," ")),
      $Q$2:$Q$38
    )
  ),
"")</f>
        <v>3200</v>
      </c>
      <c r="J137" s="300" cm="1">
        <f t="array" ref="J137">IFERROR(
  VALUE($H137) *
  VALUE(
    _xlfn.XLOOKUP(
      TRIM($F137) &amp; "|" &amp; LEFT(SUBSTITUTE($G137,CHAR(160)," "),5) &amp; "|Reduced Rate",
      TRIM(SUBSTITUTE($N$2:$N$38,CHAR(160)," ")) &amp; "|" &amp;
      LEFT(SUBSTITUTE($O$2:$O$38,CHAR(160)," "),5) &amp; "|" &amp;
      TRIM(SUBSTITUTE($P$2:$P$38,CHAR(160)," ")),
      $Q$2:$Q$38
    )
  ),
"")</f>
        <v>1600</v>
      </c>
      <c r="K137" s="301" cm="1">
        <f t="array" ref="K137">IFERROR(
  VALUE($H137) *
  VALUE(
    _xlfn.XLOOKUP(
      TRIM($F137) &amp; "|" &amp; LEFT(SUBSTITUTE($G137,CHAR(160)," "),5) &amp; "|Ideas Rate",
      TRIM(SUBSTITUTE($N$2:$N$38,CHAR(160)," ")) &amp; "|" &amp;
      LEFT(SUBSTITUTE($O$2:$O$38,CHAR(160)," "),5) &amp; "|" &amp;
      TRIM(SUBSTITUTE($P$2:$P$38,CHAR(160)," ")),
      $Q$2:$Q$38
    )
  ),
"")</f>
        <v>960</v>
      </c>
      <c r="L137" s="32" t="str">
        <f>IFERROR( VALUE($H137) * INDEX(#REF!, MATCH(UPPER(TRIM($F137)),#REF!,0)), "" )</f>
        <v/>
      </c>
    </row>
    <row r="138" spans="1:12" x14ac:dyDescent="0.2">
      <c r="A138" s="303">
        <v>45915</v>
      </c>
      <c r="B138" s="295" t="s">
        <v>169</v>
      </c>
      <c r="C138" s="304" t="s">
        <v>66</v>
      </c>
      <c r="D138" s="296" t="s">
        <v>187</v>
      </c>
      <c r="E138" s="296" t="s">
        <v>238</v>
      </c>
      <c r="F138" s="296" t="s">
        <v>155</v>
      </c>
      <c r="G138" s="297" t="s">
        <v>367</v>
      </c>
      <c r="H138" s="298">
        <v>7</v>
      </c>
      <c r="I138" s="299" cm="1">
        <f t="array" ref="I138">IFERROR(
  VALUE($H138) *
  VALUE(
    _xlfn.XLOOKUP(
      TRIM($F138) &amp; "|" &amp; LEFT(SUBSTITUTE($G138,CHAR(160)," "),5) &amp; "|Full Rate",
      TRIM(SUBSTITUTE($N$2:$N$38,CHAR(160)," ")) &amp; "|" &amp;
      LEFT(SUBSTITUTE($O$2:$O$38,CHAR(160)," "),5) &amp; "|" &amp;
      TRIM(SUBSTITUTE($P$2:$P$38,CHAR(160)," ")),
      $Q$2:$Q$38
    )
  ),
"")</f>
        <v>2800</v>
      </c>
      <c r="J138" s="300" cm="1">
        <f t="array" ref="J138">IFERROR(
  VALUE($H138) *
  VALUE(
    _xlfn.XLOOKUP(
      TRIM($F138) &amp; "|" &amp; LEFT(SUBSTITUTE($G138,CHAR(160)," "),5) &amp; "|Reduced Rate",
      TRIM(SUBSTITUTE($N$2:$N$38,CHAR(160)," ")) &amp; "|" &amp;
      LEFT(SUBSTITUTE($O$2:$O$38,CHAR(160)," "),5) &amp; "|" &amp;
      TRIM(SUBSTITUTE($P$2:$P$38,CHAR(160)," ")),
      $Q$2:$Q$38
    )
  ),
"")</f>
        <v>1400</v>
      </c>
      <c r="K138" s="301" cm="1">
        <f t="array" ref="K138">IFERROR(
  VALUE($H138) *
  VALUE(
    _xlfn.XLOOKUP(
      TRIM($F138) &amp; "|" &amp; LEFT(SUBSTITUTE($G138,CHAR(160)," "),5) &amp; "|Ideas Rate",
      TRIM(SUBSTITUTE($N$2:$N$38,CHAR(160)," ")) &amp; "|" &amp;
      LEFT(SUBSTITUTE($O$2:$O$38,CHAR(160)," "),5) &amp; "|" &amp;
      TRIM(SUBSTITUTE($P$2:$P$38,CHAR(160)," ")),
      $Q$2:$Q$38
    )
  ),
"")</f>
        <v>840</v>
      </c>
      <c r="L138" s="32" t="str">
        <f>IFERROR( VALUE($H138) * INDEX(#REF!, MATCH(UPPER(TRIM($F138)),#REF!,0)), "" )</f>
        <v/>
      </c>
    </row>
    <row r="139" spans="1:12" x14ac:dyDescent="0.2">
      <c r="A139" s="303">
        <v>45916</v>
      </c>
      <c r="B139" s="295" t="s">
        <v>169</v>
      </c>
      <c r="C139" s="304" t="s">
        <v>66</v>
      </c>
      <c r="D139" s="296" t="s">
        <v>187</v>
      </c>
      <c r="E139" s="296" t="s">
        <v>239</v>
      </c>
      <c r="F139" s="296" t="s">
        <v>155</v>
      </c>
      <c r="G139" s="297" t="s">
        <v>367</v>
      </c>
      <c r="H139" s="298">
        <v>6</v>
      </c>
      <c r="I139" s="299" cm="1">
        <f t="array" ref="I139">IFERROR(
  VALUE($H139) *
  VALUE(
    _xlfn.XLOOKUP(
      TRIM($F139) &amp; "|" &amp; LEFT(SUBSTITUTE($G139,CHAR(160)," "),5) &amp; "|Full Rate",
      TRIM(SUBSTITUTE($N$2:$N$38,CHAR(160)," ")) &amp; "|" &amp;
      LEFT(SUBSTITUTE($O$2:$O$38,CHAR(160)," "),5) &amp; "|" &amp;
      TRIM(SUBSTITUTE($P$2:$P$38,CHAR(160)," ")),
      $Q$2:$Q$38
    )
  ),
"")</f>
        <v>2400</v>
      </c>
      <c r="J139" s="300" cm="1">
        <f t="array" ref="J139">IFERROR(
  VALUE($H139) *
  VALUE(
    _xlfn.XLOOKUP(
      TRIM($F139) &amp; "|" &amp; LEFT(SUBSTITUTE($G139,CHAR(160)," "),5) &amp; "|Reduced Rate",
      TRIM(SUBSTITUTE($N$2:$N$38,CHAR(160)," ")) &amp; "|" &amp;
      LEFT(SUBSTITUTE($O$2:$O$38,CHAR(160)," "),5) &amp; "|" &amp;
      TRIM(SUBSTITUTE($P$2:$P$38,CHAR(160)," ")),
      $Q$2:$Q$38
    )
  ),
"")</f>
        <v>1200</v>
      </c>
      <c r="K139" s="301" cm="1">
        <f t="array" ref="K139">IFERROR(
  VALUE($H139) *
  VALUE(
    _xlfn.XLOOKUP(
      TRIM($F139) &amp; "|" &amp; LEFT(SUBSTITUTE($G139,CHAR(160)," "),5) &amp; "|Ideas Rate",
      TRIM(SUBSTITUTE($N$2:$N$38,CHAR(160)," ")) &amp; "|" &amp;
      LEFT(SUBSTITUTE($O$2:$O$38,CHAR(160)," "),5) &amp; "|" &amp;
      TRIM(SUBSTITUTE($P$2:$P$38,CHAR(160)," ")),
      $Q$2:$Q$38
    )
  ),
"")</f>
        <v>720</v>
      </c>
      <c r="L139" s="32" t="str">
        <f>IFERROR( VALUE($H139) * INDEX(#REF!, MATCH(UPPER(TRIM($F139)),#REF!,0)), "" )</f>
        <v/>
      </c>
    </row>
    <row r="140" spans="1:12" x14ac:dyDescent="0.2">
      <c r="A140" s="303">
        <v>45916</v>
      </c>
      <c r="B140" s="295" t="s">
        <v>169</v>
      </c>
      <c r="C140" s="304" t="s">
        <v>66</v>
      </c>
      <c r="D140" s="296" t="s">
        <v>184</v>
      </c>
      <c r="E140" s="296" t="s">
        <v>240</v>
      </c>
      <c r="F140" s="296" t="s">
        <v>155</v>
      </c>
      <c r="G140" s="297" t="s">
        <v>367</v>
      </c>
      <c r="H140" s="298">
        <v>14</v>
      </c>
      <c r="I140" s="299" cm="1">
        <f t="array" ref="I140">IFERROR(
  VALUE($H140) *
  VALUE(
    _xlfn.XLOOKUP(
      TRIM($F140) &amp; "|" &amp; LEFT(SUBSTITUTE($G140,CHAR(160)," "),5) &amp; "|Full Rate",
      TRIM(SUBSTITUTE($N$2:$N$38,CHAR(160)," ")) &amp; "|" &amp;
      LEFT(SUBSTITUTE($O$2:$O$38,CHAR(160)," "),5) &amp; "|" &amp;
      TRIM(SUBSTITUTE($P$2:$P$38,CHAR(160)," ")),
      $Q$2:$Q$38
    )
  ),
"")</f>
        <v>5600</v>
      </c>
      <c r="J140" s="300" cm="1">
        <f t="array" ref="J140">IFERROR(
  VALUE($H140) *
  VALUE(
    _xlfn.XLOOKUP(
      TRIM($F140) &amp; "|" &amp; LEFT(SUBSTITUTE($G140,CHAR(160)," "),5) &amp; "|Reduced Rate",
      TRIM(SUBSTITUTE($N$2:$N$38,CHAR(160)," ")) &amp; "|" &amp;
      LEFT(SUBSTITUTE($O$2:$O$38,CHAR(160)," "),5) &amp; "|" &amp;
      TRIM(SUBSTITUTE($P$2:$P$38,CHAR(160)," ")),
      $Q$2:$Q$38
    )
  ),
"")</f>
        <v>2800</v>
      </c>
      <c r="K140" s="301" cm="1">
        <f t="array" ref="K140">IFERROR(
  VALUE($H140) *
  VALUE(
    _xlfn.XLOOKUP(
      TRIM($F140) &amp; "|" &amp; LEFT(SUBSTITUTE($G140,CHAR(160)," "),5) &amp; "|Ideas Rate",
      TRIM(SUBSTITUTE($N$2:$N$38,CHAR(160)," ")) &amp; "|" &amp;
      LEFT(SUBSTITUTE($O$2:$O$38,CHAR(160)," "),5) &amp; "|" &amp;
      TRIM(SUBSTITUTE($P$2:$P$38,CHAR(160)," ")),
      $Q$2:$Q$38
    )
  ),
"")</f>
        <v>1680</v>
      </c>
      <c r="L140" s="32" t="str">
        <f>IFERROR( VALUE($H140) * INDEX(#REF!, MATCH(UPPER(TRIM($F140)),#REF!,0)), "" )</f>
        <v/>
      </c>
    </row>
    <row r="141" spans="1:12" x14ac:dyDescent="0.2">
      <c r="A141" s="303">
        <v>45916</v>
      </c>
      <c r="B141" s="295" t="s">
        <v>169</v>
      </c>
      <c r="C141" s="304" t="s">
        <v>66</v>
      </c>
      <c r="D141" s="296" t="s">
        <v>323</v>
      </c>
      <c r="E141" s="296" t="s">
        <v>241</v>
      </c>
      <c r="F141" s="296" t="s">
        <v>155</v>
      </c>
      <c r="G141" s="297" t="s">
        <v>368</v>
      </c>
      <c r="H141" s="298">
        <v>1.5</v>
      </c>
      <c r="I141" s="299" cm="1">
        <f t="array" ref="I141">IFERROR(
  VALUE($H141) *
  VALUE(
    _xlfn.XLOOKUP(
      TRIM($F141) &amp; "|" &amp; LEFT(SUBSTITUTE($G141,CHAR(160)," "),5) &amp; "|Full Rate",
      TRIM(SUBSTITUTE($N$2:$N$38,CHAR(160)," ")) &amp; "|" &amp;
      LEFT(SUBSTITUTE($O$2:$O$38,CHAR(160)," "),5) &amp; "|" &amp;
      TRIM(SUBSTITUTE($P$2:$P$38,CHAR(160)," ")),
      $Q$2:$Q$38
    )
  ),
"")</f>
        <v>150</v>
      </c>
      <c r="J141" s="300" cm="1">
        <f t="array" ref="J141">IFERROR(
  VALUE($H141) *
  VALUE(
    _xlfn.XLOOKUP(
      TRIM($F141) &amp; "|" &amp; LEFT(SUBSTITUTE($G141,CHAR(160)," "),5) &amp; "|Reduced Rate",
      TRIM(SUBSTITUTE($N$2:$N$38,CHAR(160)," ")) &amp; "|" &amp;
      LEFT(SUBSTITUTE($O$2:$O$38,CHAR(160)," "),5) &amp; "|" &amp;
      TRIM(SUBSTITUTE($P$2:$P$38,CHAR(160)," ")),
      $Q$2:$Q$38
    )
  ),
"")</f>
        <v>75</v>
      </c>
      <c r="K141" s="301" cm="1">
        <f t="array" ref="K141">IFERROR(
  VALUE($H141) *
  VALUE(
    _xlfn.XLOOKUP(
      TRIM($F141) &amp; "|" &amp; LEFT(SUBSTITUTE($G141,CHAR(160)," "),5) &amp; "|Ideas Rate",
      TRIM(SUBSTITUTE($N$2:$N$38,CHAR(160)," ")) &amp; "|" &amp;
      LEFT(SUBSTITUTE($O$2:$O$38,CHAR(160)," "),5) &amp; "|" &amp;
      TRIM(SUBSTITUTE($P$2:$P$38,CHAR(160)," ")),
      $Q$2:$Q$38
    )
  ),
"")</f>
        <v>45</v>
      </c>
      <c r="L141" s="32" t="str">
        <f>IFERROR( VALUE($H141) * INDEX(#REF!, MATCH(UPPER(TRIM($F141)),#REF!,0)), "" )</f>
        <v/>
      </c>
    </row>
    <row r="142" spans="1:12" x14ac:dyDescent="0.2">
      <c r="A142" s="303">
        <v>45917</v>
      </c>
      <c r="B142" s="295" t="s">
        <v>169</v>
      </c>
      <c r="C142" s="304" t="s">
        <v>66</v>
      </c>
      <c r="D142" s="296" t="s">
        <v>184</v>
      </c>
      <c r="E142" s="296" t="s">
        <v>242</v>
      </c>
      <c r="F142" s="296" t="s">
        <v>155</v>
      </c>
      <c r="G142" s="297" t="s">
        <v>380</v>
      </c>
      <c r="H142" s="298">
        <v>9.5</v>
      </c>
      <c r="I142" s="299" cm="1">
        <f t="array" ref="I142">IFERROR(
  VALUE($H142) *
  VALUE(
    _xlfn.XLOOKUP(
      TRIM($F142) &amp; "|" &amp; LEFT(SUBSTITUTE($G142,CHAR(160)," "),5) &amp; "|Full Rate",
      TRIM(SUBSTITUTE($N$2:$N$38,CHAR(160)," ")) &amp; "|" &amp;
      LEFT(SUBSTITUTE($O$2:$O$38,CHAR(160)," "),5) &amp; "|" &amp;
      TRIM(SUBSTITUTE($P$2:$P$38,CHAR(160)," ")),
      $Q$2:$Q$38
    )
  ),
"")</f>
        <v>2470</v>
      </c>
      <c r="J142" s="300" cm="1">
        <f t="array" ref="J142">IFERROR(
  VALUE($H142) *
  VALUE(
    _xlfn.XLOOKUP(
      TRIM($F142) &amp; "|" &amp; LEFT(SUBSTITUTE($G142,CHAR(160)," "),5) &amp; "|Reduced Rate",
      TRIM(SUBSTITUTE($N$2:$N$38,CHAR(160)," ")) &amp; "|" &amp;
      LEFT(SUBSTITUTE($O$2:$O$38,CHAR(160)," "),5) &amp; "|" &amp;
      TRIM(SUBSTITUTE($P$2:$P$38,CHAR(160)," ")),
      $Q$2:$Q$38
    )
  ),
"")</f>
        <v>1140</v>
      </c>
      <c r="K142" s="301" cm="1">
        <f t="array" ref="K142">IFERROR(
  VALUE($H142) *
  VALUE(
    _xlfn.XLOOKUP(
      TRIM($F142) &amp; "|" &amp; LEFT(SUBSTITUTE($G142,CHAR(160)," "),5) &amp; "|Ideas Rate",
      TRIM(SUBSTITUTE($N$2:$N$38,CHAR(160)," ")) &amp; "|" &amp;
      LEFT(SUBSTITUTE($O$2:$O$38,CHAR(160)," "),5) &amp; "|" &amp;
      TRIM(SUBSTITUTE($P$2:$P$38,CHAR(160)," ")),
      $Q$2:$Q$38
    )
  ),
"")</f>
        <v>855</v>
      </c>
      <c r="L142" s="32" t="str">
        <f>IFERROR( VALUE($H142) * INDEX(#REF!, MATCH(UPPER(TRIM($F142)),#REF!,0)), "" )</f>
        <v/>
      </c>
    </row>
    <row r="143" spans="1:12" x14ac:dyDescent="0.2">
      <c r="A143" s="303">
        <v>45918</v>
      </c>
      <c r="B143" s="295" t="s">
        <v>169</v>
      </c>
      <c r="C143" s="304" t="s">
        <v>66</v>
      </c>
      <c r="D143" s="296" t="s">
        <v>184</v>
      </c>
      <c r="E143" s="296" t="s">
        <v>242</v>
      </c>
      <c r="F143" s="296" t="s">
        <v>155</v>
      </c>
      <c r="G143" s="297" t="s">
        <v>380</v>
      </c>
      <c r="H143" s="298">
        <v>6.5</v>
      </c>
      <c r="I143" s="299" cm="1">
        <f t="array" ref="I143">IFERROR(
  VALUE($H143) *
  VALUE(
    _xlfn.XLOOKUP(
      TRIM($F143) &amp; "|" &amp; LEFT(SUBSTITUTE($G143,CHAR(160)," "),5) &amp; "|Full Rate",
      TRIM(SUBSTITUTE($N$2:$N$38,CHAR(160)," ")) &amp; "|" &amp;
      LEFT(SUBSTITUTE($O$2:$O$38,CHAR(160)," "),5) &amp; "|" &amp;
      TRIM(SUBSTITUTE($P$2:$P$38,CHAR(160)," ")),
      $Q$2:$Q$38
    )
  ),
"")</f>
        <v>1690</v>
      </c>
      <c r="J143" s="300" cm="1">
        <f t="array" ref="J143">IFERROR(
  VALUE($H143) *
  VALUE(
    _xlfn.XLOOKUP(
      TRIM($F143) &amp; "|" &amp; LEFT(SUBSTITUTE($G143,CHAR(160)," "),5) &amp; "|Reduced Rate",
      TRIM(SUBSTITUTE($N$2:$N$38,CHAR(160)," ")) &amp; "|" &amp;
      LEFT(SUBSTITUTE($O$2:$O$38,CHAR(160)," "),5) &amp; "|" &amp;
      TRIM(SUBSTITUTE($P$2:$P$38,CHAR(160)," ")),
      $Q$2:$Q$38
    )
  ),
"")</f>
        <v>780</v>
      </c>
      <c r="K143" s="301" cm="1">
        <f t="array" ref="K143">IFERROR(
  VALUE($H143) *
  VALUE(
    _xlfn.XLOOKUP(
      TRIM($F143) &amp; "|" &amp; LEFT(SUBSTITUTE($G143,CHAR(160)," "),5) &amp; "|Ideas Rate",
      TRIM(SUBSTITUTE($N$2:$N$38,CHAR(160)," ")) &amp; "|" &amp;
      LEFT(SUBSTITUTE($O$2:$O$38,CHAR(160)," "),5) &amp; "|" &amp;
      TRIM(SUBSTITUTE($P$2:$P$38,CHAR(160)," ")),
      $Q$2:$Q$38
    )
  ),
"")</f>
        <v>585</v>
      </c>
      <c r="L143" s="32" t="str">
        <f>IFERROR( VALUE($H143) * INDEX(#REF!, MATCH(UPPER(TRIM($F143)),#REF!,0)), "" )</f>
        <v/>
      </c>
    </row>
    <row r="144" spans="1:12" x14ac:dyDescent="0.2">
      <c r="A144" s="303">
        <v>45918</v>
      </c>
      <c r="B144" s="295" t="s">
        <v>169</v>
      </c>
      <c r="C144" s="304" t="s">
        <v>66</v>
      </c>
      <c r="D144" s="296" t="s">
        <v>323</v>
      </c>
      <c r="E144" s="296" t="s">
        <v>243</v>
      </c>
      <c r="F144" s="296" t="s">
        <v>155</v>
      </c>
      <c r="G144" s="297" t="s">
        <v>368</v>
      </c>
      <c r="H144" s="298">
        <v>1.5</v>
      </c>
      <c r="I144" s="299" cm="1">
        <f t="array" ref="I144">IFERROR(
  VALUE($H144) *
  VALUE(
    _xlfn.XLOOKUP(
      TRIM($F144) &amp; "|" &amp; LEFT(SUBSTITUTE($G144,CHAR(160)," "),5) &amp; "|Full Rate",
      TRIM(SUBSTITUTE($N$2:$N$38,CHAR(160)," ")) &amp; "|" &amp;
      LEFT(SUBSTITUTE($O$2:$O$38,CHAR(160)," "),5) &amp; "|" &amp;
      TRIM(SUBSTITUTE($P$2:$P$38,CHAR(160)," ")),
      $Q$2:$Q$38
    )
  ),
"")</f>
        <v>150</v>
      </c>
      <c r="J144" s="300" cm="1">
        <f t="array" ref="J144">IFERROR(
  VALUE($H144) *
  VALUE(
    _xlfn.XLOOKUP(
      TRIM($F144) &amp; "|" &amp; LEFT(SUBSTITUTE($G144,CHAR(160)," "),5) &amp; "|Reduced Rate",
      TRIM(SUBSTITUTE($N$2:$N$38,CHAR(160)," ")) &amp; "|" &amp;
      LEFT(SUBSTITUTE($O$2:$O$38,CHAR(160)," "),5) &amp; "|" &amp;
      TRIM(SUBSTITUTE($P$2:$P$38,CHAR(160)," ")),
      $Q$2:$Q$38
    )
  ),
"")</f>
        <v>75</v>
      </c>
      <c r="K144" s="301" cm="1">
        <f t="array" ref="K144">IFERROR(
  VALUE($H144) *
  VALUE(
    _xlfn.XLOOKUP(
      TRIM($F144) &amp; "|" &amp; LEFT(SUBSTITUTE($G144,CHAR(160)," "),5) &amp; "|Ideas Rate",
      TRIM(SUBSTITUTE($N$2:$N$38,CHAR(160)," ")) &amp; "|" &amp;
      LEFT(SUBSTITUTE($O$2:$O$38,CHAR(160)," "),5) &amp; "|" &amp;
      TRIM(SUBSTITUTE($P$2:$P$38,CHAR(160)," ")),
      $Q$2:$Q$38
    )
  ),
"")</f>
        <v>45</v>
      </c>
      <c r="L144" s="32" t="str">
        <f>IFERROR( VALUE($H144) * INDEX(#REF!, MATCH(UPPER(TRIM($F144)),#REF!,0)), "" )</f>
        <v/>
      </c>
    </row>
    <row r="145" spans="1:12" x14ac:dyDescent="0.2">
      <c r="A145" s="303">
        <v>45922</v>
      </c>
      <c r="B145" s="295" t="s">
        <v>169</v>
      </c>
      <c r="C145" s="304" t="s">
        <v>66</v>
      </c>
      <c r="D145" s="296" t="s">
        <v>182</v>
      </c>
      <c r="E145" s="296" t="s">
        <v>226</v>
      </c>
      <c r="F145" s="296" t="s">
        <v>155</v>
      </c>
      <c r="G145" s="297" t="s">
        <v>367</v>
      </c>
      <c r="H145" s="298">
        <v>10</v>
      </c>
      <c r="I145" s="299" cm="1">
        <f t="array" ref="I145">IFERROR(
  VALUE($H145) *
  VALUE(
    _xlfn.XLOOKUP(
      TRIM($F145) &amp; "|" &amp; LEFT(SUBSTITUTE($G145,CHAR(160)," "),5) &amp; "|Full Rate",
      TRIM(SUBSTITUTE($N$2:$N$38,CHAR(160)," ")) &amp; "|" &amp;
      LEFT(SUBSTITUTE($O$2:$O$38,CHAR(160)," "),5) &amp; "|" &amp;
      TRIM(SUBSTITUTE($P$2:$P$38,CHAR(160)," ")),
      $Q$2:$Q$38
    )
  ),
"")</f>
        <v>4000</v>
      </c>
      <c r="J145" s="300" cm="1">
        <f t="array" ref="J145">IFERROR(
  VALUE($H145) *
  VALUE(
    _xlfn.XLOOKUP(
      TRIM($F145) &amp; "|" &amp; LEFT(SUBSTITUTE($G145,CHAR(160)," "),5) &amp; "|Reduced Rate",
      TRIM(SUBSTITUTE($N$2:$N$38,CHAR(160)," ")) &amp; "|" &amp;
      LEFT(SUBSTITUTE($O$2:$O$38,CHAR(160)," "),5) &amp; "|" &amp;
      TRIM(SUBSTITUTE($P$2:$P$38,CHAR(160)," ")),
      $Q$2:$Q$38
    )
  ),
"")</f>
        <v>2000</v>
      </c>
      <c r="K145" s="301" cm="1">
        <f t="array" ref="K145">IFERROR(
  VALUE($H145) *
  VALUE(
    _xlfn.XLOOKUP(
      TRIM($F145) &amp; "|" &amp; LEFT(SUBSTITUTE($G145,CHAR(160)," "),5) &amp; "|Ideas Rate",
      TRIM(SUBSTITUTE($N$2:$N$38,CHAR(160)," ")) &amp; "|" &amp;
      LEFT(SUBSTITUTE($O$2:$O$38,CHAR(160)," "),5) &amp; "|" &amp;
      TRIM(SUBSTITUTE($P$2:$P$38,CHAR(160)," ")),
      $Q$2:$Q$38
    )
  ),
"")</f>
        <v>1200</v>
      </c>
      <c r="L145" s="32" t="str">
        <f>IFERROR( VALUE($H145) * INDEX(#REF!, MATCH(UPPER(TRIM($F145)),#REF!,0)), "" )</f>
        <v/>
      </c>
    </row>
    <row r="146" spans="1:12" x14ac:dyDescent="0.2">
      <c r="A146" s="303">
        <v>45908</v>
      </c>
      <c r="B146" s="295" t="s">
        <v>169</v>
      </c>
      <c r="C146" s="304" t="s">
        <v>66</v>
      </c>
      <c r="D146" s="296" t="s">
        <v>29</v>
      </c>
      <c r="E146" s="296" t="s">
        <v>244</v>
      </c>
      <c r="F146" s="296" t="s">
        <v>10</v>
      </c>
      <c r="G146" s="297" t="s">
        <v>380</v>
      </c>
      <c r="H146" s="298">
        <v>0.25</v>
      </c>
      <c r="I146" s="299" cm="1">
        <f t="array" ref="I146">IFERROR(
  VALUE($H146) *
  VALUE(
    _xlfn.XLOOKUP(
      TRIM($F146) &amp; "|" &amp; LEFT(SUBSTITUTE($G146,CHAR(160)," "),5) &amp; "|Full Rate",
      TRIM(SUBSTITUTE($N$2:$N$38,CHAR(160)," ")) &amp; "|" &amp;
      LEFT(SUBSTITUTE($O$2:$O$38,CHAR(160)," "),5) &amp; "|" &amp;
      TRIM(SUBSTITUTE($P$2:$P$38,CHAR(160)," ")),
      $Q$2:$Q$38
    )
  ),
"")</f>
        <v>62.5</v>
      </c>
      <c r="J146" s="300" cm="1">
        <f t="array" ref="J146">IFERROR(
  VALUE($H146) *
  VALUE(
    _xlfn.XLOOKUP(
      TRIM($F146) &amp; "|" &amp; LEFT(SUBSTITUTE($G146,CHAR(160)," "),5) &amp; "|Reduced Rate",
      TRIM(SUBSTITUTE($N$2:$N$38,CHAR(160)," ")) &amp; "|" &amp;
      LEFT(SUBSTITUTE($O$2:$O$38,CHAR(160)," "),5) &amp; "|" &amp;
      TRIM(SUBSTITUTE($P$2:$P$38,CHAR(160)," ")),
      $Q$2:$Q$38
    )
  ),
"")</f>
        <v>37.5</v>
      </c>
      <c r="K146" s="301" cm="1">
        <f t="array" ref="K146">IFERROR(
  VALUE($H146) *
  VALUE(
    _xlfn.XLOOKUP(
      TRIM($F146) &amp; "|" &amp; LEFT(SUBSTITUTE($G146,CHAR(160)," "),5) &amp; "|Ideas Rate",
      TRIM(SUBSTITUTE($N$2:$N$38,CHAR(160)," ")) &amp; "|" &amp;
      LEFT(SUBSTITUTE($O$2:$O$38,CHAR(160)," "),5) &amp; "|" &amp;
      TRIM(SUBSTITUTE($P$2:$P$38,CHAR(160)," ")),
      $Q$2:$Q$38
    )
  ),
"")</f>
        <v>18.75</v>
      </c>
      <c r="L146" s="32" t="str">
        <f>IFERROR( VALUE($H146) * INDEX(#REF!, MATCH(UPPER(TRIM($F146)),#REF!,0)), "" )</f>
        <v/>
      </c>
    </row>
    <row r="147" spans="1:12" x14ac:dyDescent="0.2">
      <c r="A147" s="303">
        <v>45908</v>
      </c>
      <c r="B147" s="295" t="s">
        <v>169</v>
      </c>
      <c r="C147" s="304" t="s">
        <v>66</v>
      </c>
      <c r="D147" s="296" t="s">
        <v>191</v>
      </c>
      <c r="E147" s="296" t="s">
        <v>245</v>
      </c>
      <c r="F147" s="296" t="s">
        <v>10</v>
      </c>
      <c r="G147" s="297" t="s">
        <v>380</v>
      </c>
      <c r="H147" s="298">
        <v>0.75</v>
      </c>
      <c r="I147" s="299" cm="1">
        <f t="array" ref="I147">IFERROR(
  VALUE($H147) *
  VALUE(
    _xlfn.XLOOKUP(
      TRIM($F147) &amp; "|" &amp; LEFT(SUBSTITUTE($G147,CHAR(160)," "),5) &amp; "|Full Rate",
      TRIM(SUBSTITUTE($N$2:$N$38,CHAR(160)," ")) &amp; "|" &amp;
      LEFT(SUBSTITUTE($O$2:$O$38,CHAR(160)," "),5) &amp; "|" &amp;
      TRIM(SUBSTITUTE($P$2:$P$38,CHAR(160)," ")),
      $Q$2:$Q$38
    )
  ),
"")</f>
        <v>187.5</v>
      </c>
      <c r="J147" s="300" cm="1">
        <f t="array" ref="J147">IFERROR(
  VALUE($H147) *
  VALUE(
    _xlfn.XLOOKUP(
      TRIM($F147) &amp; "|" &amp; LEFT(SUBSTITUTE($G147,CHAR(160)," "),5) &amp; "|Reduced Rate",
      TRIM(SUBSTITUTE($N$2:$N$38,CHAR(160)," ")) &amp; "|" &amp;
      LEFT(SUBSTITUTE($O$2:$O$38,CHAR(160)," "),5) &amp; "|" &amp;
      TRIM(SUBSTITUTE($P$2:$P$38,CHAR(160)," ")),
      $Q$2:$Q$38
    )
  ),
"")</f>
        <v>112.5</v>
      </c>
      <c r="K147" s="301" cm="1">
        <f t="array" ref="K147">IFERROR(
  VALUE($H147) *
  VALUE(
    _xlfn.XLOOKUP(
      TRIM($F147) &amp; "|" &amp; LEFT(SUBSTITUTE($G147,CHAR(160)," "),5) &amp; "|Ideas Rate",
      TRIM(SUBSTITUTE($N$2:$N$38,CHAR(160)," ")) &amp; "|" &amp;
      LEFT(SUBSTITUTE($O$2:$O$38,CHAR(160)," "),5) &amp; "|" &amp;
      TRIM(SUBSTITUTE($P$2:$P$38,CHAR(160)," ")),
      $Q$2:$Q$38
    )
  ),
"")</f>
        <v>56.25</v>
      </c>
      <c r="L147" s="32" t="str">
        <f>IFERROR( VALUE($H147) * INDEX(#REF!, MATCH(UPPER(TRIM($F147)),#REF!,0)), "" )</f>
        <v/>
      </c>
    </row>
    <row r="148" spans="1:12" x14ac:dyDescent="0.2">
      <c r="A148" s="303">
        <v>45909</v>
      </c>
      <c r="B148" s="295" t="s">
        <v>169</v>
      </c>
      <c r="C148" s="304" t="s">
        <v>66</v>
      </c>
      <c r="D148" s="296" t="s">
        <v>323</v>
      </c>
      <c r="E148" s="296" t="s">
        <v>246</v>
      </c>
      <c r="F148" s="296" t="s">
        <v>10</v>
      </c>
      <c r="G148" s="297" t="s">
        <v>368</v>
      </c>
      <c r="H148" s="298">
        <v>4</v>
      </c>
      <c r="I148" s="299" cm="1">
        <f t="array" ref="I148">IFERROR(
  VALUE($H148) *
  VALUE(
    _xlfn.XLOOKUP(
      TRIM($F148) &amp; "|" &amp; LEFT(SUBSTITUTE($G148,CHAR(160)," "),5) &amp; "|Full Rate",
      TRIM(SUBSTITUTE($N$2:$N$38,CHAR(160)," ")) &amp; "|" &amp;
      LEFT(SUBSTITUTE($O$2:$O$38,CHAR(160)," "),5) &amp; "|" &amp;
      TRIM(SUBSTITUTE($P$2:$P$38,CHAR(160)," ")),
      $Q$2:$Q$38
    )
  ),
"")</f>
        <v>400</v>
      </c>
      <c r="J148" s="300" cm="1">
        <f t="array" ref="J148">IFERROR(
  VALUE($H148) *
  VALUE(
    _xlfn.XLOOKUP(
      TRIM($F148) &amp; "|" &amp; LEFT(SUBSTITUTE($G148,CHAR(160)," "),5) &amp; "|Reduced Rate",
      TRIM(SUBSTITUTE($N$2:$N$38,CHAR(160)," ")) &amp; "|" &amp;
      LEFT(SUBSTITUTE($O$2:$O$38,CHAR(160)," "),5) &amp; "|" &amp;
      TRIM(SUBSTITUTE($P$2:$P$38,CHAR(160)," ")),
      $Q$2:$Q$38
    )
  ),
"")</f>
        <v>200</v>
      </c>
      <c r="K148" s="301" cm="1">
        <f t="array" ref="K148">IFERROR(
  VALUE($H148) *
  VALUE(
    _xlfn.XLOOKUP(
      TRIM($F148) &amp; "|" &amp; LEFT(SUBSTITUTE($G148,CHAR(160)," "),5) &amp; "|Ideas Rate",
      TRIM(SUBSTITUTE($N$2:$N$38,CHAR(160)," ")) &amp; "|" &amp;
      LEFT(SUBSTITUTE($O$2:$O$38,CHAR(160)," "),5) &amp; "|" &amp;
      TRIM(SUBSTITUTE($P$2:$P$38,CHAR(160)," ")),
      $Q$2:$Q$38
    )
  ),
"")</f>
        <v>120</v>
      </c>
      <c r="L148" s="32" t="str">
        <f>IFERROR( VALUE($H148) * INDEX(#REF!, MATCH(UPPER(TRIM($F148)),#REF!,0)), "" )</f>
        <v/>
      </c>
    </row>
    <row r="149" spans="1:12" x14ac:dyDescent="0.2">
      <c r="A149" s="303">
        <v>45910</v>
      </c>
      <c r="B149" s="295" t="s">
        <v>169</v>
      </c>
      <c r="C149" s="304" t="s">
        <v>66</v>
      </c>
      <c r="D149" s="296" t="s">
        <v>184</v>
      </c>
      <c r="E149" s="296" t="s">
        <v>358</v>
      </c>
      <c r="F149" s="296" t="s">
        <v>10</v>
      </c>
      <c r="G149" s="297" t="s">
        <v>367</v>
      </c>
      <c r="H149" s="298">
        <v>4</v>
      </c>
      <c r="I149" s="299" cm="1">
        <f t="array" ref="I149">IFERROR(
  VALUE($H149) *
  VALUE(
    _xlfn.XLOOKUP(
      TRIM($F149) &amp; "|" &amp; LEFT(SUBSTITUTE($G149,CHAR(160)," "),5) &amp; "|Full Rate",
      TRIM(SUBSTITUTE($N$2:$N$38,CHAR(160)," ")) &amp; "|" &amp;
      LEFT(SUBSTITUTE($O$2:$O$38,CHAR(160)," "),5) &amp; "|" &amp;
      TRIM(SUBSTITUTE($P$2:$P$38,CHAR(160)," ")),
      $Q$2:$Q$38
    )
  ),
"")</f>
        <v>2000</v>
      </c>
      <c r="J149" s="300" cm="1">
        <f t="array" ref="J149">IFERROR(
  VALUE($H149) *
  VALUE(
    _xlfn.XLOOKUP(
      TRIM($F149) &amp; "|" &amp; LEFT(SUBSTITUTE($G149,CHAR(160)," "),5) &amp; "|Reduced Rate",
      TRIM(SUBSTITUTE($N$2:$N$38,CHAR(160)," ")) &amp; "|" &amp;
      LEFT(SUBSTITUTE($O$2:$O$38,CHAR(160)," "),5) &amp; "|" &amp;
      TRIM(SUBSTITUTE($P$2:$P$38,CHAR(160)," ")),
      $Q$2:$Q$38
    )
  ),
"")</f>
        <v>1200</v>
      </c>
      <c r="K149" s="301" cm="1">
        <f t="array" ref="K149">IFERROR(
  VALUE($H149) *
  VALUE(
    _xlfn.XLOOKUP(
      TRIM($F149) &amp; "|" &amp; LEFT(SUBSTITUTE($G149,CHAR(160)," "),5) &amp; "|Ideas Rate",
      TRIM(SUBSTITUTE($N$2:$N$38,CHAR(160)," ")) &amp; "|" &amp;
      LEFT(SUBSTITUTE($O$2:$O$38,CHAR(160)," "),5) &amp; "|" &amp;
      TRIM(SUBSTITUTE($P$2:$P$38,CHAR(160)," ")),
      $Q$2:$Q$38
    )
  ),
"")</f>
        <v>600</v>
      </c>
      <c r="L149" s="32" t="str">
        <f>IFERROR( VALUE($H149) * INDEX(#REF!, MATCH(UPPER(TRIM($F149)),#REF!,0)), "" )</f>
        <v/>
      </c>
    </row>
    <row r="150" spans="1:12" x14ac:dyDescent="0.2">
      <c r="A150" s="303">
        <v>45910</v>
      </c>
      <c r="B150" s="295" t="s">
        <v>169</v>
      </c>
      <c r="C150" s="304" t="s">
        <v>66</v>
      </c>
      <c r="D150" s="296" t="s">
        <v>184</v>
      </c>
      <c r="E150" s="296" t="s">
        <v>359</v>
      </c>
      <c r="F150" s="296" t="s">
        <v>10</v>
      </c>
      <c r="G150" s="297" t="s">
        <v>380</v>
      </c>
      <c r="H150" s="298">
        <v>4</v>
      </c>
      <c r="I150" s="299" cm="1">
        <f t="array" ref="I150">IFERROR(
  VALUE($H150) *
  VALUE(
    _xlfn.XLOOKUP(
      TRIM($F150) &amp; "|" &amp; LEFT(SUBSTITUTE($G150,CHAR(160)," "),5) &amp; "|Full Rate",
      TRIM(SUBSTITUTE($N$2:$N$38,CHAR(160)," ")) &amp; "|" &amp;
      LEFT(SUBSTITUTE($O$2:$O$38,CHAR(160)," "),5) &amp; "|" &amp;
      TRIM(SUBSTITUTE($P$2:$P$38,CHAR(160)," ")),
      $Q$2:$Q$38
    )
  ),
"")</f>
        <v>1000</v>
      </c>
      <c r="J150" s="300" cm="1">
        <f t="array" ref="J150">IFERROR(
  VALUE($H150) *
  VALUE(
    _xlfn.XLOOKUP(
      TRIM($F150) &amp; "|" &amp; LEFT(SUBSTITUTE($G150,CHAR(160)," "),5) &amp; "|Reduced Rate",
      TRIM(SUBSTITUTE($N$2:$N$38,CHAR(160)," ")) &amp; "|" &amp;
      LEFT(SUBSTITUTE($O$2:$O$38,CHAR(160)," "),5) &amp; "|" &amp;
      TRIM(SUBSTITUTE($P$2:$P$38,CHAR(160)," ")),
      $Q$2:$Q$38
    )
  ),
"")</f>
        <v>600</v>
      </c>
      <c r="K150" s="301" cm="1">
        <f t="array" ref="K150">IFERROR(
  VALUE($H150) *
  VALUE(
    _xlfn.XLOOKUP(
      TRIM($F150) &amp; "|" &amp; LEFT(SUBSTITUTE($G150,CHAR(160)," "),5) &amp; "|Ideas Rate",
      TRIM(SUBSTITUTE($N$2:$N$38,CHAR(160)," ")) &amp; "|" &amp;
      LEFT(SUBSTITUTE($O$2:$O$38,CHAR(160)," "),5) &amp; "|" &amp;
      TRIM(SUBSTITUTE($P$2:$P$38,CHAR(160)," ")),
      $Q$2:$Q$38
    )
  ),
"")</f>
        <v>300</v>
      </c>
      <c r="L150" s="32" t="str">
        <f>IFERROR( VALUE($H150) * INDEX(#REF!, MATCH(UPPER(TRIM($F150)),#REF!,0)), "" )</f>
        <v/>
      </c>
    </row>
    <row r="151" spans="1:12" x14ac:dyDescent="0.2">
      <c r="A151" s="303">
        <v>45911</v>
      </c>
      <c r="B151" s="295" t="s">
        <v>169</v>
      </c>
      <c r="C151" s="304" t="s">
        <v>66</v>
      </c>
      <c r="D151" s="296" t="s">
        <v>184</v>
      </c>
      <c r="E151" s="296" t="s">
        <v>358</v>
      </c>
      <c r="F151" s="296" t="s">
        <v>10</v>
      </c>
      <c r="G151" s="297" t="s">
        <v>367</v>
      </c>
      <c r="H151" s="298">
        <v>4</v>
      </c>
      <c r="I151" s="299" cm="1">
        <f t="array" ref="I151">IFERROR(
  VALUE($H151) *
  VALUE(
    _xlfn.XLOOKUP(
      TRIM($F151) &amp; "|" &amp; LEFT(SUBSTITUTE($G151,CHAR(160)," "),5) &amp; "|Full Rate",
      TRIM(SUBSTITUTE($N$2:$N$38,CHAR(160)," ")) &amp; "|" &amp;
      LEFT(SUBSTITUTE($O$2:$O$38,CHAR(160)," "),5) &amp; "|" &amp;
      TRIM(SUBSTITUTE($P$2:$P$38,CHAR(160)," ")),
      $Q$2:$Q$38
    )
  ),
"")</f>
        <v>2000</v>
      </c>
      <c r="J151" s="300" cm="1">
        <f t="array" ref="J151">IFERROR(
  VALUE($H151) *
  VALUE(
    _xlfn.XLOOKUP(
      TRIM($F151) &amp; "|" &amp; LEFT(SUBSTITUTE($G151,CHAR(160)," "),5) &amp; "|Reduced Rate",
      TRIM(SUBSTITUTE($N$2:$N$38,CHAR(160)," ")) &amp; "|" &amp;
      LEFT(SUBSTITUTE($O$2:$O$38,CHAR(160)," "),5) &amp; "|" &amp;
      TRIM(SUBSTITUTE($P$2:$P$38,CHAR(160)," ")),
      $Q$2:$Q$38
    )
  ),
"")</f>
        <v>1200</v>
      </c>
      <c r="K151" s="301" cm="1">
        <f t="array" ref="K151">IFERROR(
  VALUE($H151) *
  VALUE(
    _xlfn.XLOOKUP(
      TRIM($F151) &amp; "|" &amp; LEFT(SUBSTITUTE($G151,CHAR(160)," "),5) &amp; "|Ideas Rate",
      TRIM(SUBSTITUTE($N$2:$N$38,CHAR(160)," ")) &amp; "|" &amp;
      LEFT(SUBSTITUTE($O$2:$O$38,CHAR(160)," "),5) &amp; "|" &amp;
      TRIM(SUBSTITUTE($P$2:$P$38,CHAR(160)," ")),
      $Q$2:$Q$38
    )
  ),
"")</f>
        <v>600</v>
      </c>
      <c r="L151" s="32" t="str">
        <f>IFERROR( VALUE($H151) * INDEX(#REF!, MATCH(UPPER(TRIM($F151)),#REF!,0)), "" )</f>
        <v/>
      </c>
    </row>
    <row r="152" spans="1:12" x14ac:dyDescent="0.2">
      <c r="A152" s="303">
        <v>45911</v>
      </c>
      <c r="B152" s="295" t="s">
        <v>169</v>
      </c>
      <c r="C152" s="304" t="s">
        <v>66</v>
      </c>
      <c r="D152" s="296" t="s">
        <v>184</v>
      </c>
      <c r="E152" s="296" t="s">
        <v>359</v>
      </c>
      <c r="F152" s="296" t="s">
        <v>10</v>
      </c>
      <c r="G152" s="297" t="s">
        <v>380</v>
      </c>
      <c r="H152" s="298">
        <v>4</v>
      </c>
      <c r="I152" s="299" cm="1">
        <f t="array" ref="I152">IFERROR(
  VALUE($H152) *
  VALUE(
    _xlfn.XLOOKUP(
      TRIM($F152) &amp; "|" &amp; LEFT(SUBSTITUTE($G152,CHAR(160)," "),5) &amp; "|Full Rate",
      TRIM(SUBSTITUTE($N$2:$N$38,CHAR(160)," ")) &amp; "|" &amp;
      LEFT(SUBSTITUTE($O$2:$O$38,CHAR(160)," "),5) &amp; "|" &amp;
      TRIM(SUBSTITUTE($P$2:$P$38,CHAR(160)," ")),
      $Q$2:$Q$38
    )
  ),
"")</f>
        <v>1000</v>
      </c>
      <c r="J152" s="300" cm="1">
        <f t="array" ref="J152">IFERROR(
  VALUE($H152) *
  VALUE(
    _xlfn.XLOOKUP(
      TRIM($F152) &amp; "|" &amp; LEFT(SUBSTITUTE($G152,CHAR(160)," "),5) &amp; "|Reduced Rate",
      TRIM(SUBSTITUTE($N$2:$N$38,CHAR(160)," ")) &amp; "|" &amp;
      LEFT(SUBSTITUTE($O$2:$O$38,CHAR(160)," "),5) &amp; "|" &amp;
      TRIM(SUBSTITUTE($P$2:$P$38,CHAR(160)," ")),
      $Q$2:$Q$38
    )
  ),
"")</f>
        <v>600</v>
      </c>
      <c r="K152" s="301" cm="1">
        <f t="array" ref="K152">IFERROR(
  VALUE($H152) *
  VALUE(
    _xlfn.XLOOKUP(
      TRIM($F152) &amp; "|" &amp; LEFT(SUBSTITUTE($G152,CHAR(160)," "),5) &amp; "|Ideas Rate",
      TRIM(SUBSTITUTE($N$2:$N$38,CHAR(160)," ")) &amp; "|" &amp;
      LEFT(SUBSTITUTE($O$2:$O$38,CHAR(160)," "),5) &amp; "|" &amp;
      TRIM(SUBSTITUTE($P$2:$P$38,CHAR(160)," ")),
      $Q$2:$Q$38
    )
  ),
"")</f>
        <v>300</v>
      </c>
      <c r="L152" s="32" t="str">
        <f>IFERROR( VALUE($H152) * INDEX(#REF!, MATCH(UPPER(TRIM($F152)),#REF!,0)), "" )</f>
        <v/>
      </c>
    </row>
    <row r="153" spans="1:12" x14ac:dyDescent="0.2">
      <c r="A153" s="303">
        <v>45912</v>
      </c>
      <c r="B153" s="295" t="s">
        <v>169</v>
      </c>
      <c r="C153" s="304" t="s">
        <v>66</v>
      </c>
      <c r="D153" s="296" t="s">
        <v>323</v>
      </c>
      <c r="E153" s="296" t="s">
        <v>247</v>
      </c>
      <c r="F153" s="296" t="s">
        <v>10</v>
      </c>
      <c r="G153" s="297" t="s">
        <v>368</v>
      </c>
      <c r="H153" s="298">
        <v>4</v>
      </c>
      <c r="I153" s="299" cm="1">
        <f t="array" ref="I153">IFERROR(
  VALUE($H153) *
  VALUE(
    _xlfn.XLOOKUP(
      TRIM($F153) &amp; "|" &amp; LEFT(SUBSTITUTE($G153,CHAR(160)," "),5) &amp; "|Full Rate",
      TRIM(SUBSTITUTE($N$2:$N$38,CHAR(160)," ")) &amp; "|" &amp;
      LEFT(SUBSTITUTE($O$2:$O$38,CHAR(160)," "),5) &amp; "|" &amp;
      TRIM(SUBSTITUTE($P$2:$P$38,CHAR(160)," ")),
      $Q$2:$Q$38
    )
  ),
"")</f>
        <v>400</v>
      </c>
      <c r="J153" s="300" cm="1">
        <f t="array" ref="J153">IFERROR(
  VALUE($H153) *
  VALUE(
    _xlfn.XLOOKUP(
      TRIM($F153) &amp; "|" &amp; LEFT(SUBSTITUTE($G153,CHAR(160)," "),5) &amp; "|Reduced Rate",
      TRIM(SUBSTITUTE($N$2:$N$38,CHAR(160)," ")) &amp; "|" &amp;
      LEFT(SUBSTITUTE($O$2:$O$38,CHAR(160)," "),5) &amp; "|" &amp;
      TRIM(SUBSTITUTE($P$2:$P$38,CHAR(160)," ")),
      $Q$2:$Q$38
    )
  ),
"")</f>
        <v>200</v>
      </c>
      <c r="K153" s="301" cm="1">
        <f t="array" ref="K153">IFERROR(
  VALUE($H153) *
  VALUE(
    _xlfn.XLOOKUP(
      TRIM($F153) &amp; "|" &amp; LEFT(SUBSTITUTE($G153,CHAR(160)," "),5) &amp; "|Ideas Rate",
      TRIM(SUBSTITUTE($N$2:$N$38,CHAR(160)," ")) &amp; "|" &amp;
      LEFT(SUBSTITUTE($O$2:$O$38,CHAR(160)," "),5) &amp; "|" &amp;
      TRIM(SUBSTITUTE($P$2:$P$38,CHAR(160)," ")),
      $Q$2:$Q$38
    )
  ),
"")</f>
        <v>120</v>
      </c>
      <c r="L153" s="32" t="str">
        <f>IFERROR( VALUE($H153) * INDEX(#REF!, MATCH(UPPER(TRIM($F153)),#REF!,0)), "" )</f>
        <v/>
      </c>
    </row>
    <row r="154" spans="1:12" x14ac:dyDescent="0.2">
      <c r="A154" s="303">
        <v>45912</v>
      </c>
      <c r="B154" s="295" t="s">
        <v>169</v>
      </c>
      <c r="C154" s="304" t="s">
        <v>66</v>
      </c>
      <c r="D154" s="296" t="s">
        <v>29</v>
      </c>
      <c r="E154" s="296" t="s">
        <v>248</v>
      </c>
      <c r="F154" s="296" t="s">
        <v>10</v>
      </c>
      <c r="G154" s="297" t="s">
        <v>380</v>
      </c>
      <c r="H154" s="298">
        <v>1</v>
      </c>
      <c r="I154" s="299" cm="1">
        <f t="array" ref="I154">IFERROR(
  VALUE($H154) *
  VALUE(
    _xlfn.XLOOKUP(
      TRIM($F154) &amp; "|" &amp; LEFT(SUBSTITUTE($G154,CHAR(160)," "),5) &amp; "|Full Rate",
      TRIM(SUBSTITUTE($N$2:$N$38,CHAR(160)," ")) &amp; "|" &amp;
      LEFT(SUBSTITUTE($O$2:$O$38,CHAR(160)," "),5) &amp; "|" &amp;
      TRIM(SUBSTITUTE($P$2:$P$38,CHAR(160)," ")),
      $Q$2:$Q$38
    )
  ),
"")</f>
        <v>250</v>
      </c>
      <c r="J154" s="300" cm="1">
        <f t="array" ref="J154">IFERROR(
  VALUE($H154) *
  VALUE(
    _xlfn.XLOOKUP(
      TRIM($F154) &amp; "|" &amp; LEFT(SUBSTITUTE($G154,CHAR(160)," "),5) &amp; "|Reduced Rate",
      TRIM(SUBSTITUTE($N$2:$N$38,CHAR(160)," ")) &amp; "|" &amp;
      LEFT(SUBSTITUTE($O$2:$O$38,CHAR(160)," "),5) &amp; "|" &amp;
      TRIM(SUBSTITUTE($P$2:$P$38,CHAR(160)," ")),
      $Q$2:$Q$38
    )
  ),
"")</f>
        <v>150</v>
      </c>
      <c r="K154" s="301" cm="1">
        <f t="array" ref="K154">IFERROR(
  VALUE($H154) *
  VALUE(
    _xlfn.XLOOKUP(
      TRIM($F154) &amp; "|" &amp; LEFT(SUBSTITUTE($G154,CHAR(160)," "),5) &amp; "|Ideas Rate",
      TRIM(SUBSTITUTE($N$2:$N$38,CHAR(160)," ")) &amp; "|" &amp;
      LEFT(SUBSTITUTE($O$2:$O$38,CHAR(160)," "),5) &amp; "|" &amp;
      TRIM(SUBSTITUTE($P$2:$P$38,CHAR(160)," ")),
      $Q$2:$Q$38
    )
  ),
"")</f>
        <v>75</v>
      </c>
      <c r="L154" s="32" t="str">
        <f>IFERROR( VALUE($H154) * INDEX(#REF!, MATCH(UPPER(TRIM($F154)),#REF!,0)), "" )</f>
        <v/>
      </c>
    </row>
    <row r="155" spans="1:12" x14ac:dyDescent="0.2">
      <c r="A155" s="303">
        <v>45915</v>
      </c>
      <c r="B155" s="295" t="s">
        <v>169</v>
      </c>
      <c r="C155" s="304" t="s">
        <v>66</v>
      </c>
      <c r="D155" s="296" t="s">
        <v>29</v>
      </c>
      <c r="E155" s="296" t="s">
        <v>249</v>
      </c>
      <c r="F155" s="296" t="s">
        <v>10</v>
      </c>
      <c r="G155" s="297" t="s">
        <v>380</v>
      </c>
      <c r="H155" s="298">
        <v>4</v>
      </c>
      <c r="I155" s="299" cm="1">
        <f t="array" ref="I155">IFERROR(
  VALUE($H155) *
  VALUE(
    _xlfn.XLOOKUP(
      TRIM($F155) &amp; "|" &amp; LEFT(SUBSTITUTE($G155,CHAR(160)," "),5) &amp; "|Full Rate",
      TRIM(SUBSTITUTE($N$2:$N$38,CHAR(160)," ")) &amp; "|" &amp;
      LEFT(SUBSTITUTE($O$2:$O$38,CHAR(160)," "),5) &amp; "|" &amp;
      TRIM(SUBSTITUTE($P$2:$P$38,CHAR(160)," ")),
      $Q$2:$Q$38
    )
  ),
"")</f>
        <v>1000</v>
      </c>
      <c r="J155" s="300" cm="1">
        <f t="array" ref="J155">IFERROR(
  VALUE($H155) *
  VALUE(
    _xlfn.XLOOKUP(
      TRIM($F155) &amp; "|" &amp; LEFT(SUBSTITUTE($G155,CHAR(160)," "),5) &amp; "|Reduced Rate",
      TRIM(SUBSTITUTE($N$2:$N$38,CHAR(160)," ")) &amp; "|" &amp;
      LEFT(SUBSTITUTE($O$2:$O$38,CHAR(160)," "),5) &amp; "|" &amp;
      TRIM(SUBSTITUTE($P$2:$P$38,CHAR(160)," ")),
      $Q$2:$Q$38
    )
  ),
"")</f>
        <v>600</v>
      </c>
      <c r="K155" s="301" cm="1">
        <f t="array" ref="K155">IFERROR(
  VALUE($H155) *
  VALUE(
    _xlfn.XLOOKUP(
      TRIM($F155) &amp; "|" &amp; LEFT(SUBSTITUTE($G155,CHAR(160)," "),5) &amp; "|Ideas Rate",
      TRIM(SUBSTITUTE($N$2:$N$38,CHAR(160)," ")) &amp; "|" &amp;
      LEFT(SUBSTITUTE($O$2:$O$38,CHAR(160)," "),5) &amp; "|" &amp;
      TRIM(SUBSTITUTE($P$2:$P$38,CHAR(160)," ")),
      $Q$2:$Q$38
    )
  ),
"")</f>
        <v>300</v>
      </c>
      <c r="L155" s="32" t="str">
        <f>IFERROR( VALUE($H155) * INDEX(#REF!, MATCH(UPPER(TRIM($F155)),#REF!,0)), "" )</f>
        <v/>
      </c>
    </row>
    <row r="156" spans="1:12" x14ac:dyDescent="0.2">
      <c r="A156" s="303">
        <v>45916</v>
      </c>
      <c r="B156" s="295" t="s">
        <v>169</v>
      </c>
      <c r="C156" s="304" t="s">
        <v>66</v>
      </c>
      <c r="D156" s="296" t="s">
        <v>191</v>
      </c>
      <c r="E156" s="296" t="s">
        <v>250</v>
      </c>
      <c r="F156" s="296" t="s">
        <v>10</v>
      </c>
      <c r="G156" s="297" t="s">
        <v>380</v>
      </c>
      <c r="H156" s="298">
        <v>18</v>
      </c>
      <c r="I156" s="299" cm="1">
        <f t="array" ref="I156">IFERROR(
  VALUE($H156) *
  VALUE(
    _xlfn.XLOOKUP(
      TRIM($F156) &amp; "|" &amp; LEFT(SUBSTITUTE($G156,CHAR(160)," "),5) &amp; "|Full Rate",
      TRIM(SUBSTITUTE($N$2:$N$38,CHAR(160)," ")) &amp; "|" &amp;
      LEFT(SUBSTITUTE($O$2:$O$38,CHAR(160)," "),5) &amp; "|" &amp;
      TRIM(SUBSTITUTE($P$2:$P$38,CHAR(160)," ")),
      $Q$2:$Q$38
    )
  ),
"")</f>
        <v>4500</v>
      </c>
      <c r="J156" s="300" cm="1">
        <f t="array" ref="J156">IFERROR(
  VALUE($H156) *
  VALUE(
    _xlfn.XLOOKUP(
      TRIM($F156) &amp; "|" &amp; LEFT(SUBSTITUTE($G156,CHAR(160)," "),5) &amp; "|Reduced Rate",
      TRIM(SUBSTITUTE($N$2:$N$38,CHAR(160)," ")) &amp; "|" &amp;
      LEFT(SUBSTITUTE($O$2:$O$38,CHAR(160)," "),5) &amp; "|" &amp;
      TRIM(SUBSTITUTE($P$2:$P$38,CHAR(160)," ")),
      $Q$2:$Q$38
    )
  ),
"")</f>
        <v>2700</v>
      </c>
      <c r="K156" s="301" cm="1">
        <f t="array" ref="K156">IFERROR(
  VALUE($H156) *
  VALUE(
    _xlfn.XLOOKUP(
      TRIM($F156) &amp; "|" &amp; LEFT(SUBSTITUTE($G156,CHAR(160)," "),5) &amp; "|Ideas Rate",
      TRIM(SUBSTITUTE($N$2:$N$38,CHAR(160)," ")) &amp; "|" &amp;
      LEFT(SUBSTITUTE($O$2:$O$38,CHAR(160)," "),5) &amp; "|" &amp;
      TRIM(SUBSTITUTE($P$2:$P$38,CHAR(160)," ")),
      $Q$2:$Q$38
    )
  ),
"")</f>
        <v>1350</v>
      </c>
      <c r="L156" s="32" t="str">
        <f>IFERROR( VALUE($H156) * INDEX(#REF!, MATCH(UPPER(TRIM($F156)),#REF!,0)), "" )</f>
        <v/>
      </c>
    </row>
    <row r="157" spans="1:12" x14ac:dyDescent="0.2">
      <c r="A157" s="21"/>
      <c r="B157" s="28"/>
      <c r="C157" s="23"/>
      <c r="E157" s="18" t="s">
        <v>353</v>
      </c>
      <c r="I157" s="60" t="str" cm="1">
        <f t="array" ref="I157">IFERROR(
  VALUE($H157) *
  VALUE(
    _xlfn.XLOOKUP(
      TRIM($F157) &amp; "|" &amp; LEFT(SUBSTITUTE($G157,CHAR(160)," "),5) &amp; "|Full Rate",
      TRIM(SUBSTITUTE($N$2:$N$38,CHAR(160)," ")) &amp; "|" &amp;
      LEFT(SUBSTITUTE($O$2:$O$38,CHAR(160)," "),5) &amp; "|" &amp;
      TRIM(SUBSTITUTE($P$2:$P$38,CHAR(160)," ")),
      $Q$2:$Q$38
    )
  ),
"")</f>
        <v/>
      </c>
      <c r="J157" s="52" t="str" cm="1">
        <f t="array" ref="J157">IFERROR(
  VALUE($H157) *
  VALUE(
    _xlfn.XLOOKUP(
      TRIM($F157) &amp; "|" &amp; LEFT(SUBSTITUTE($G157,CHAR(160)," "),5) &amp; "|Reduced Rate",
      TRIM(SUBSTITUTE($N$2:$N$38,CHAR(160)," ")) &amp; "|" &amp;
      LEFT(SUBSTITUTE($O$2:$O$38,CHAR(160)," "),5) &amp; "|" &amp;
      TRIM(SUBSTITUTE($P$2:$P$38,CHAR(160)," ")),
      $Q$2:$Q$38
    )
  ),
"")</f>
        <v/>
      </c>
      <c r="K157" s="32" t="str" cm="1">
        <f t="array" ref="K157">IFERROR(
  VALUE($H157) *
  VALUE(
    _xlfn.XLOOKUP(
      TRIM($F157) &amp; "|" &amp; LEFT(SUBSTITUTE($G157,CHAR(160)," "),5) &amp; "|Ideas Rate",
      TRIM(SUBSTITUTE($N$2:$N$38,CHAR(160)," ")) &amp; "|" &amp;
      LEFT(SUBSTITUTE($O$2:$O$38,CHAR(160)," "),5) &amp; "|" &amp;
      TRIM(SUBSTITUTE($P$2:$P$38,CHAR(160)," ")),
      $Q$2:$Q$38
    )
  ),
"")</f>
        <v/>
      </c>
      <c r="L157" s="32" t="str">
        <f>IFERROR( VALUE($H157) * INDEX(#REF!, MATCH(UPPER(TRIM($F157)),#REF!,0)), "" )</f>
        <v/>
      </c>
    </row>
    <row r="158" spans="1:12" x14ac:dyDescent="0.2">
      <c r="A158" s="303">
        <v>45916</v>
      </c>
      <c r="B158" s="295" t="s">
        <v>169</v>
      </c>
      <c r="C158" s="304" t="s">
        <v>66</v>
      </c>
      <c r="D158" s="296" t="s">
        <v>323</v>
      </c>
      <c r="E158" s="296" t="s">
        <v>251</v>
      </c>
      <c r="F158" s="296" t="s">
        <v>10</v>
      </c>
      <c r="G158" s="297" t="s">
        <v>368</v>
      </c>
      <c r="H158" s="298">
        <v>1.75</v>
      </c>
      <c r="I158" s="299" cm="1">
        <f t="array" ref="I158">IFERROR(
  VALUE($H158) *
  VALUE(
    _xlfn.XLOOKUP(
      TRIM($F158) &amp; "|" &amp; LEFT(SUBSTITUTE($G158,CHAR(160)," "),5) &amp; "|Full Rate",
      TRIM(SUBSTITUTE($N$2:$N$38,CHAR(160)," ")) &amp; "|" &amp;
      LEFT(SUBSTITUTE($O$2:$O$38,CHAR(160)," "),5) &amp; "|" &amp;
      TRIM(SUBSTITUTE($P$2:$P$38,CHAR(160)," ")),
      $Q$2:$Q$38
    )
  ),
"")</f>
        <v>175</v>
      </c>
      <c r="J158" s="300" cm="1">
        <f t="array" ref="J158">IFERROR(
  VALUE($H158) *
  VALUE(
    _xlfn.XLOOKUP(
      TRIM($F158) &amp; "|" &amp; LEFT(SUBSTITUTE($G158,CHAR(160)," "),5) &amp; "|Reduced Rate",
      TRIM(SUBSTITUTE($N$2:$N$38,CHAR(160)," ")) &amp; "|" &amp;
      LEFT(SUBSTITUTE($O$2:$O$38,CHAR(160)," "),5) &amp; "|" &amp;
      TRIM(SUBSTITUTE($P$2:$P$38,CHAR(160)," ")),
      $Q$2:$Q$38
    )
  ),
"")</f>
        <v>87.5</v>
      </c>
      <c r="K158" s="301" cm="1">
        <f t="array" ref="K158">IFERROR(
  VALUE($H158) *
  VALUE(
    _xlfn.XLOOKUP(
      TRIM($F158) &amp; "|" &amp; LEFT(SUBSTITUTE($G158,CHAR(160)," "),5) &amp; "|Ideas Rate",
      TRIM(SUBSTITUTE($N$2:$N$38,CHAR(160)," ")) &amp; "|" &amp;
      LEFT(SUBSTITUTE($O$2:$O$38,CHAR(160)," "),5) &amp; "|" &amp;
      TRIM(SUBSTITUTE($P$2:$P$38,CHAR(160)," ")),
      $Q$2:$Q$38
    )
  ),
"")</f>
        <v>52.5</v>
      </c>
      <c r="L158" s="32" t="str">
        <f>IFERROR( VALUE($H158) * INDEX(#REF!, MATCH(UPPER(TRIM($F158)),#REF!,0)), "" )</f>
        <v/>
      </c>
    </row>
    <row r="159" spans="1:12" x14ac:dyDescent="0.2">
      <c r="A159" s="303">
        <v>45917</v>
      </c>
      <c r="B159" s="295" t="s">
        <v>169</v>
      </c>
      <c r="C159" s="304" t="s">
        <v>66</v>
      </c>
      <c r="D159" s="296" t="s">
        <v>184</v>
      </c>
      <c r="E159" s="296" t="s">
        <v>242</v>
      </c>
      <c r="F159" s="296" t="s">
        <v>10</v>
      </c>
      <c r="G159" s="297" t="s">
        <v>367</v>
      </c>
      <c r="H159" s="298">
        <v>9.5</v>
      </c>
      <c r="I159" s="299" cm="1">
        <f t="array" ref="I159">IFERROR(
  VALUE($H159) *
  VALUE(
    _xlfn.XLOOKUP(
      TRIM($F159) &amp; "|" &amp; LEFT(SUBSTITUTE($G159,CHAR(160)," "),5) &amp; "|Full Rate",
      TRIM(SUBSTITUTE($N$2:$N$38,CHAR(160)," ")) &amp; "|" &amp;
      LEFT(SUBSTITUTE($O$2:$O$38,CHAR(160)," "),5) &amp; "|" &amp;
      TRIM(SUBSTITUTE($P$2:$P$38,CHAR(160)," ")),
      $Q$2:$Q$38
    )
  ),
"")</f>
        <v>4750</v>
      </c>
      <c r="J159" s="300" cm="1">
        <f t="array" ref="J159">IFERROR(
  VALUE($H159) *
  VALUE(
    _xlfn.XLOOKUP(
      TRIM($F159) &amp; "|" &amp; LEFT(SUBSTITUTE($G159,CHAR(160)," "),5) &amp; "|Reduced Rate",
      TRIM(SUBSTITUTE($N$2:$N$38,CHAR(160)," ")) &amp; "|" &amp;
      LEFT(SUBSTITUTE($O$2:$O$38,CHAR(160)," "),5) &amp; "|" &amp;
      TRIM(SUBSTITUTE($P$2:$P$38,CHAR(160)," ")),
      $Q$2:$Q$38
    )
  ),
"")</f>
        <v>2850</v>
      </c>
      <c r="K159" s="301" cm="1">
        <f t="array" ref="K159">IFERROR(
  VALUE($H159) *
  VALUE(
    _xlfn.XLOOKUP(
      TRIM($F159) &amp; "|" &amp; LEFT(SUBSTITUTE($G159,CHAR(160)," "),5) &amp; "|Ideas Rate",
      TRIM(SUBSTITUTE($N$2:$N$38,CHAR(160)," ")) &amp; "|" &amp;
      LEFT(SUBSTITUTE($O$2:$O$38,CHAR(160)," "),5) &amp; "|" &amp;
      TRIM(SUBSTITUTE($P$2:$P$38,CHAR(160)," ")),
      $Q$2:$Q$38
    )
  ),
"")</f>
        <v>1425</v>
      </c>
      <c r="L159" s="32" t="str">
        <f>IFERROR( VALUE($H159) * INDEX(#REF!, MATCH(UPPER(TRIM($F159)),#REF!,0)), "" )</f>
        <v/>
      </c>
    </row>
    <row r="160" spans="1:12" x14ac:dyDescent="0.2">
      <c r="A160" s="303">
        <v>45918</v>
      </c>
      <c r="B160" s="295" t="s">
        <v>169</v>
      </c>
      <c r="C160" s="304" t="s">
        <v>66</v>
      </c>
      <c r="D160" s="296" t="s">
        <v>184</v>
      </c>
      <c r="E160" s="296" t="s">
        <v>242</v>
      </c>
      <c r="F160" s="296" t="s">
        <v>10</v>
      </c>
      <c r="G160" s="297" t="s">
        <v>367</v>
      </c>
      <c r="H160" s="298">
        <v>6.5</v>
      </c>
      <c r="I160" s="299" cm="1">
        <f t="array" ref="I160">IFERROR(
  VALUE($H160) *
  VALUE(
    _xlfn.XLOOKUP(
      TRIM($F160) &amp; "|" &amp; LEFT(SUBSTITUTE($G160,CHAR(160)," "),5) &amp; "|Full Rate",
      TRIM(SUBSTITUTE($N$2:$N$38,CHAR(160)," ")) &amp; "|" &amp;
      LEFT(SUBSTITUTE($O$2:$O$38,CHAR(160)," "),5) &amp; "|" &amp;
      TRIM(SUBSTITUTE($P$2:$P$38,CHAR(160)," ")),
      $Q$2:$Q$38
    )
  ),
"")</f>
        <v>3250</v>
      </c>
      <c r="J160" s="300" cm="1">
        <f t="array" ref="J160">IFERROR(
  VALUE($H160) *
  VALUE(
    _xlfn.XLOOKUP(
      TRIM($F160) &amp; "|" &amp; LEFT(SUBSTITUTE($G160,CHAR(160)," "),5) &amp; "|Reduced Rate",
      TRIM(SUBSTITUTE($N$2:$N$38,CHAR(160)," ")) &amp; "|" &amp;
      LEFT(SUBSTITUTE($O$2:$O$38,CHAR(160)," "),5) &amp; "|" &amp;
      TRIM(SUBSTITUTE($P$2:$P$38,CHAR(160)," ")),
      $Q$2:$Q$38
    )
  ),
"")</f>
        <v>1950</v>
      </c>
      <c r="K160" s="301" cm="1">
        <f t="array" ref="K160">IFERROR(
  VALUE($H160) *
  VALUE(
    _xlfn.XLOOKUP(
      TRIM($F160) &amp; "|" &amp; LEFT(SUBSTITUTE($G160,CHAR(160)," "),5) &amp; "|Ideas Rate",
      TRIM(SUBSTITUTE($N$2:$N$38,CHAR(160)," ")) &amp; "|" &amp;
      LEFT(SUBSTITUTE($O$2:$O$38,CHAR(160)," "),5) &amp; "|" &amp;
      TRIM(SUBSTITUTE($P$2:$P$38,CHAR(160)," ")),
      $Q$2:$Q$38
    )
  ),
"")</f>
        <v>975</v>
      </c>
      <c r="L160" s="32" t="str">
        <f>IFERROR( VALUE($H160) * INDEX(#REF!, MATCH(UPPER(TRIM($F160)),#REF!,0)), "" )</f>
        <v/>
      </c>
    </row>
    <row r="161" spans="1:12" x14ac:dyDescent="0.2">
      <c r="A161" s="303">
        <v>45918</v>
      </c>
      <c r="B161" s="295" t="s">
        <v>169</v>
      </c>
      <c r="C161" s="304" t="s">
        <v>66</v>
      </c>
      <c r="D161" s="296" t="s">
        <v>323</v>
      </c>
      <c r="E161" s="296" t="s">
        <v>252</v>
      </c>
      <c r="F161" s="296" t="s">
        <v>10</v>
      </c>
      <c r="G161" s="297" t="s">
        <v>368</v>
      </c>
      <c r="H161" s="298">
        <v>1.75</v>
      </c>
      <c r="I161" s="299" cm="1">
        <f t="array" ref="I161">IFERROR(
  VALUE($H161) *
  VALUE(
    _xlfn.XLOOKUP(
      TRIM($F161) &amp; "|" &amp; LEFT(SUBSTITUTE($G161,CHAR(160)," "),5) &amp; "|Full Rate",
      TRIM(SUBSTITUTE($N$2:$N$38,CHAR(160)," ")) &amp; "|" &amp;
      LEFT(SUBSTITUTE($O$2:$O$38,CHAR(160)," "),5) &amp; "|" &amp;
      TRIM(SUBSTITUTE($P$2:$P$38,CHAR(160)," ")),
      $Q$2:$Q$38
    )
  ),
"")</f>
        <v>175</v>
      </c>
      <c r="J161" s="300" cm="1">
        <f t="array" ref="J161">IFERROR(
  VALUE($H161) *
  VALUE(
    _xlfn.XLOOKUP(
      TRIM($F161) &amp; "|" &amp; LEFT(SUBSTITUTE($G161,CHAR(160)," "),5) &amp; "|Reduced Rate",
      TRIM(SUBSTITUTE($N$2:$N$38,CHAR(160)," ")) &amp; "|" &amp;
      LEFT(SUBSTITUTE($O$2:$O$38,CHAR(160)," "),5) &amp; "|" &amp;
      TRIM(SUBSTITUTE($P$2:$P$38,CHAR(160)," ")),
      $Q$2:$Q$38
    )
  ),
"")</f>
        <v>87.5</v>
      </c>
      <c r="K161" s="301" cm="1">
        <f t="array" ref="K161">IFERROR(
  VALUE($H161) *
  VALUE(
    _xlfn.XLOOKUP(
      TRIM($F161) &amp; "|" &amp; LEFT(SUBSTITUTE($G161,CHAR(160)," "),5) &amp; "|Ideas Rate",
      TRIM(SUBSTITUTE($N$2:$N$38,CHAR(160)," ")) &amp; "|" &amp;
      LEFT(SUBSTITUTE($O$2:$O$38,CHAR(160)," "),5) &amp; "|" &amp;
      TRIM(SUBSTITUTE($P$2:$P$38,CHAR(160)," ")),
      $Q$2:$Q$38
    )
  ),
"")</f>
        <v>52.5</v>
      </c>
      <c r="L161" s="32" t="str">
        <f>IFERROR( VALUE($H161) * INDEX(#REF!, MATCH(UPPER(TRIM($F161)),#REF!,0)), "" )</f>
        <v/>
      </c>
    </row>
    <row r="162" spans="1:12" x14ac:dyDescent="0.2">
      <c r="A162" s="303">
        <v>45919</v>
      </c>
      <c r="B162" s="295" t="s">
        <v>169</v>
      </c>
      <c r="C162" s="304" t="s">
        <v>66</v>
      </c>
      <c r="D162" s="296" t="s">
        <v>187</v>
      </c>
      <c r="E162" s="296" t="s">
        <v>253</v>
      </c>
      <c r="F162" s="296" t="s">
        <v>10</v>
      </c>
      <c r="G162" s="297" t="s">
        <v>380</v>
      </c>
      <c r="H162" s="298">
        <v>1.5</v>
      </c>
      <c r="I162" s="299" cm="1">
        <f t="array" ref="I162">IFERROR(
  VALUE($H162) *
  VALUE(
    _xlfn.XLOOKUP(
      TRIM($F162) &amp; "|" &amp; LEFT(SUBSTITUTE($G162,CHAR(160)," "),5) &amp; "|Full Rate",
      TRIM(SUBSTITUTE($N$2:$N$38,CHAR(160)," ")) &amp; "|" &amp;
      LEFT(SUBSTITUTE($O$2:$O$38,CHAR(160)," "),5) &amp; "|" &amp;
      TRIM(SUBSTITUTE($P$2:$P$38,CHAR(160)," ")),
      $Q$2:$Q$38
    )
  ),
"")</f>
        <v>375</v>
      </c>
      <c r="J162" s="300" cm="1">
        <f t="array" ref="J162">IFERROR(
  VALUE($H162) *
  VALUE(
    _xlfn.XLOOKUP(
      TRIM($F162) &amp; "|" &amp; LEFT(SUBSTITUTE($G162,CHAR(160)," "),5) &amp; "|Reduced Rate",
      TRIM(SUBSTITUTE($N$2:$N$38,CHAR(160)," ")) &amp; "|" &amp;
      LEFT(SUBSTITUTE($O$2:$O$38,CHAR(160)," "),5) &amp; "|" &amp;
      TRIM(SUBSTITUTE($P$2:$P$38,CHAR(160)," ")),
      $Q$2:$Q$38
    )
  ),
"")</f>
        <v>225</v>
      </c>
      <c r="K162" s="301" cm="1">
        <f t="array" ref="K162">IFERROR(
  VALUE($H162) *
  VALUE(
    _xlfn.XLOOKUP(
      TRIM($F162) &amp; "|" &amp; LEFT(SUBSTITUTE($G162,CHAR(160)," "),5) &amp; "|Ideas Rate",
      TRIM(SUBSTITUTE($N$2:$N$38,CHAR(160)," ")) &amp; "|" &amp;
      LEFT(SUBSTITUTE($O$2:$O$38,CHAR(160)," "),5) &amp; "|" &amp;
      TRIM(SUBSTITUTE($P$2:$P$38,CHAR(160)," ")),
      $Q$2:$Q$38
    )
  ),
"")</f>
        <v>112.5</v>
      </c>
      <c r="L162" s="32" t="str">
        <f>IFERROR( VALUE($H162) * INDEX(#REF!, MATCH(UPPER(TRIM($F162)),#REF!,0)), "" )</f>
        <v/>
      </c>
    </row>
    <row r="163" spans="1:12" x14ac:dyDescent="0.2">
      <c r="A163" s="303">
        <v>45919</v>
      </c>
      <c r="B163" s="295" t="s">
        <v>169</v>
      </c>
      <c r="C163" s="304" t="s">
        <v>66</v>
      </c>
      <c r="D163" s="296" t="s">
        <v>187</v>
      </c>
      <c r="E163" s="296" t="s">
        <v>254</v>
      </c>
      <c r="F163" s="296" t="s">
        <v>10</v>
      </c>
      <c r="G163" s="297" t="s">
        <v>368</v>
      </c>
      <c r="H163" s="298">
        <v>0.5</v>
      </c>
      <c r="I163" s="299" cm="1">
        <f t="array" ref="I163">IFERROR(
  VALUE($H163) *
  VALUE(
    _xlfn.XLOOKUP(
      TRIM($F163) &amp; "|" &amp; LEFT(SUBSTITUTE($G163,CHAR(160)," "),5) &amp; "|Full Rate",
      TRIM(SUBSTITUTE($N$2:$N$38,CHAR(160)," ")) &amp; "|" &amp;
      LEFT(SUBSTITUTE($O$2:$O$38,CHAR(160)," "),5) &amp; "|" &amp;
      TRIM(SUBSTITUTE($P$2:$P$38,CHAR(160)," ")),
      $Q$2:$Q$38
    )
  ),
"")</f>
        <v>50</v>
      </c>
      <c r="J163" s="300" cm="1">
        <f t="array" ref="J163">IFERROR(
  VALUE($H163) *
  VALUE(
    _xlfn.XLOOKUP(
      TRIM($F163) &amp; "|" &amp; LEFT(SUBSTITUTE($G163,CHAR(160)," "),5) &amp; "|Reduced Rate",
      TRIM(SUBSTITUTE($N$2:$N$38,CHAR(160)," ")) &amp; "|" &amp;
      LEFT(SUBSTITUTE($O$2:$O$38,CHAR(160)," "),5) &amp; "|" &amp;
      TRIM(SUBSTITUTE($P$2:$P$38,CHAR(160)," ")),
      $Q$2:$Q$38
    )
  ),
"")</f>
        <v>25</v>
      </c>
      <c r="K163" s="301" cm="1">
        <f t="array" ref="K163">IFERROR(
  VALUE($H163) *
  VALUE(
    _xlfn.XLOOKUP(
      TRIM($F163) &amp; "|" &amp; LEFT(SUBSTITUTE($G163,CHAR(160)," "),5) &amp; "|Ideas Rate",
      TRIM(SUBSTITUTE($N$2:$N$38,CHAR(160)," ")) &amp; "|" &amp;
      LEFT(SUBSTITUTE($O$2:$O$38,CHAR(160)," "),5) &amp; "|" &amp;
      TRIM(SUBSTITUTE($P$2:$P$38,CHAR(160)," ")),
      $Q$2:$Q$38
    )
  ),
"")</f>
        <v>15</v>
      </c>
      <c r="L163" s="32" t="str">
        <f>IFERROR( VALUE($H163) * INDEX(#REF!, MATCH(UPPER(TRIM($F163)),#REF!,0)), "" )</f>
        <v/>
      </c>
    </row>
    <row r="164" spans="1:12" x14ac:dyDescent="0.2">
      <c r="A164" s="303">
        <v>45919</v>
      </c>
      <c r="B164" s="295" t="s">
        <v>169</v>
      </c>
      <c r="C164" s="304" t="s">
        <v>66</v>
      </c>
      <c r="D164" s="296" t="s">
        <v>190</v>
      </c>
      <c r="E164" s="296" t="s">
        <v>255</v>
      </c>
      <c r="F164" s="296" t="s">
        <v>10</v>
      </c>
      <c r="G164" s="297" t="s">
        <v>367</v>
      </c>
      <c r="H164" s="298">
        <v>0.25</v>
      </c>
      <c r="I164" s="299" cm="1">
        <f t="array" ref="I164">IFERROR(
  VALUE($H164) *
  VALUE(
    _xlfn.XLOOKUP(
      TRIM($F164) &amp; "|" &amp; LEFT(SUBSTITUTE($G164,CHAR(160)," "),5) &amp; "|Full Rate",
      TRIM(SUBSTITUTE($N$2:$N$38,CHAR(160)," ")) &amp; "|" &amp;
      LEFT(SUBSTITUTE($O$2:$O$38,CHAR(160)," "),5) &amp; "|" &amp;
      TRIM(SUBSTITUTE($P$2:$P$38,CHAR(160)," ")),
      $Q$2:$Q$38
    )
  ),
"")</f>
        <v>125</v>
      </c>
      <c r="J164" s="300" cm="1">
        <f t="array" ref="J164">IFERROR(
  VALUE($H164) *
  VALUE(
    _xlfn.XLOOKUP(
      TRIM($F164) &amp; "|" &amp; LEFT(SUBSTITUTE($G164,CHAR(160)," "),5) &amp; "|Reduced Rate",
      TRIM(SUBSTITUTE($N$2:$N$38,CHAR(160)," ")) &amp; "|" &amp;
      LEFT(SUBSTITUTE($O$2:$O$38,CHAR(160)," "),5) &amp; "|" &amp;
      TRIM(SUBSTITUTE($P$2:$P$38,CHAR(160)," ")),
      $Q$2:$Q$38
    )
  ),
"")</f>
        <v>75</v>
      </c>
      <c r="K164" s="301" cm="1">
        <f t="array" ref="K164">IFERROR(
  VALUE($H164) *
  VALUE(
    _xlfn.XLOOKUP(
      TRIM($F164) &amp; "|" &amp; LEFT(SUBSTITUTE($G164,CHAR(160)," "),5) &amp; "|Ideas Rate",
      TRIM(SUBSTITUTE($N$2:$N$38,CHAR(160)," ")) &amp; "|" &amp;
      LEFT(SUBSTITUTE($O$2:$O$38,CHAR(160)," "),5) &amp; "|" &amp;
      TRIM(SUBSTITUTE($P$2:$P$38,CHAR(160)," ")),
      $Q$2:$Q$38
    )
  ),
"")</f>
        <v>37.5</v>
      </c>
      <c r="L164" s="32" t="str">
        <f>IFERROR( VALUE($H164) * INDEX(#REF!, MATCH(UPPER(TRIM($F164)),#REF!,0)), "" )</f>
        <v/>
      </c>
    </row>
    <row r="165" spans="1:12" x14ac:dyDescent="0.2">
      <c r="A165" s="303">
        <v>45919</v>
      </c>
      <c r="B165" s="295" t="s">
        <v>169</v>
      </c>
      <c r="C165" s="304" t="s">
        <v>66</v>
      </c>
      <c r="D165" s="296" t="s">
        <v>187</v>
      </c>
      <c r="E165" s="296" t="s">
        <v>257</v>
      </c>
      <c r="F165" s="296" t="s">
        <v>156</v>
      </c>
      <c r="G165" s="297" t="s">
        <v>367</v>
      </c>
      <c r="H165" s="298">
        <v>3</v>
      </c>
      <c r="I165" s="299" cm="1">
        <f t="array" ref="I165">IFERROR(
  VALUE($H165) *
  VALUE(
    _xlfn.XLOOKUP(
      TRIM($F165) &amp; "|" &amp; LEFT(SUBSTITUTE($G165,CHAR(160)," "),5) &amp; "|Full Rate",
      TRIM(SUBSTITUTE($N$2:$N$38,CHAR(160)," ")) &amp; "|" &amp;
      LEFT(SUBSTITUTE($O$2:$O$38,CHAR(160)," "),5) &amp; "|" &amp;
      TRIM(SUBSTITUTE($P$2:$P$38,CHAR(160)," ")),
      $Q$2:$Q$38
    )
  ),
"")</f>
        <v>975</v>
      </c>
      <c r="J165" s="300" cm="1">
        <f t="array" ref="J165">IFERROR(
  VALUE($H165) *
  VALUE(
    _xlfn.XLOOKUP(
      TRIM($F165) &amp; "|" &amp; LEFT(SUBSTITUTE($G165,CHAR(160)," "),5) &amp; "|Reduced Rate",
      TRIM(SUBSTITUTE($N$2:$N$38,CHAR(160)," ")) &amp; "|" &amp;
      LEFT(SUBSTITUTE($O$2:$O$38,CHAR(160)," "),5) &amp; "|" &amp;
      TRIM(SUBSTITUTE($P$2:$P$38,CHAR(160)," ")),
      $Q$2:$Q$38
    )
  ),
"")</f>
        <v>525</v>
      </c>
      <c r="K165" s="301" cm="1">
        <f t="array" ref="K165">IFERROR(
  VALUE($H165) *
  VALUE(
    _xlfn.XLOOKUP(
      TRIM($F165) &amp; "|" &amp; LEFT(SUBSTITUTE($G165,CHAR(160)," "),5) &amp; "|Ideas Rate",
      TRIM(SUBSTITUTE($N$2:$N$38,CHAR(160)," ")) &amp; "|" &amp;
      LEFT(SUBSTITUTE($O$2:$O$38,CHAR(160)," "),5) &amp; "|" &amp;
      TRIM(SUBSTITUTE($P$2:$P$38,CHAR(160)," ")),
      $Q$2:$Q$38
    )
  ),
"")</f>
        <v>285</v>
      </c>
      <c r="L165" s="32" t="str">
        <f>IFERROR( VALUE($H165) * INDEX(#REF!, MATCH(UPPER(TRIM($F165)),#REF!,0)), "" )</f>
        <v/>
      </c>
    </row>
    <row r="166" spans="1:12" x14ac:dyDescent="0.2">
      <c r="A166" s="303">
        <v>45922</v>
      </c>
      <c r="B166" s="295" t="s">
        <v>169</v>
      </c>
      <c r="C166" s="304" t="s">
        <v>66</v>
      </c>
      <c r="D166" s="296" t="s">
        <v>187</v>
      </c>
      <c r="E166" s="296" t="s">
        <v>257</v>
      </c>
      <c r="F166" s="296" t="s">
        <v>156</v>
      </c>
      <c r="G166" s="297" t="s">
        <v>367</v>
      </c>
      <c r="H166" s="298">
        <v>2</v>
      </c>
      <c r="I166" s="299" cm="1">
        <f t="array" ref="I166">IFERROR(
  VALUE($H166) *
  VALUE(
    _xlfn.XLOOKUP(
      TRIM($F166) &amp; "|" &amp; LEFT(SUBSTITUTE($G166,CHAR(160)," "),5) &amp; "|Full Rate",
      TRIM(SUBSTITUTE($N$2:$N$38,CHAR(160)," ")) &amp; "|" &amp;
      LEFT(SUBSTITUTE($O$2:$O$38,CHAR(160)," "),5) &amp; "|" &amp;
      TRIM(SUBSTITUTE($P$2:$P$38,CHAR(160)," ")),
      $Q$2:$Q$38
    )
  ),
"")</f>
        <v>650</v>
      </c>
      <c r="J166" s="300" cm="1">
        <f t="array" ref="J166">IFERROR(
  VALUE($H166) *
  VALUE(
    _xlfn.XLOOKUP(
      TRIM($F166) &amp; "|" &amp; LEFT(SUBSTITUTE($G166,CHAR(160)," "),5) &amp; "|Reduced Rate",
      TRIM(SUBSTITUTE($N$2:$N$38,CHAR(160)," ")) &amp; "|" &amp;
      LEFT(SUBSTITUTE($O$2:$O$38,CHAR(160)," "),5) &amp; "|" &amp;
      TRIM(SUBSTITUTE($P$2:$P$38,CHAR(160)," ")),
      $Q$2:$Q$38
    )
  ),
"")</f>
        <v>350</v>
      </c>
      <c r="K166" s="301" cm="1">
        <f t="array" ref="K166">IFERROR(
  VALUE($H166) *
  VALUE(
    _xlfn.XLOOKUP(
      TRIM($F166) &amp; "|" &amp; LEFT(SUBSTITUTE($G166,CHAR(160)," "),5) &amp; "|Ideas Rate",
      TRIM(SUBSTITUTE($N$2:$N$38,CHAR(160)," ")) &amp; "|" &amp;
      LEFT(SUBSTITUTE($O$2:$O$38,CHAR(160)," "),5) &amp; "|" &amp;
      TRIM(SUBSTITUTE($P$2:$P$38,CHAR(160)," ")),
      $Q$2:$Q$38
    )
  ),
"")</f>
        <v>190</v>
      </c>
      <c r="L166" s="32" t="str">
        <f>IFERROR( VALUE($H166) * INDEX(#REF!, MATCH(UPPER(TRIM($F166)),#REF!,0)), "" )</f>
        <v/>
      </c>
    </row>
    <row r="167" spans="1:12" x14ac:dyDescent="0.2">
      <c r="A167" s="21">
        <v>45923</v>
      </c>
      <c r="B167" s="28" t="s">
        <v>169</v>
      </c>
      <c r="C167" s="23" t="s">
        <v>66</v>
      </c>
      <c r="D167" s="18" t="s">
        <v>187</v>
      </c>
      <c r="E167" s="18" t="s">
        <v>258</v>
      </c>
      <c r="F167" s="18" t="s">
        <v>156</v>
      </c>
      <c r="G167" s="22" t="s">
        <v>367</v>
      </c>
      <c r="H167" s="45">
        <v>0.5</v>
      </c>
      <c r="I167" s="60" cm="1">
        <f t="array" ref="I167">IFERROR(
  VALUE($H167) *
  VALUE(
    _xlfn.XLOOKUP(
      TRIM($F167) &amp; "|" &amp; LEFT(SUBSTITUTE($G167,CHAR(160)," "),5) &amp; "|Full Rate",
      TRIM(SUBSTITUTE($N$2:$N$38,CHAR(160)," ")) &amp; "|" &amp;
      LEFT(SUBSTITUTE($O$2:$O$38,CHAR(160)," "),5) &amp; "|" &amp;
      TRIM(SUBSTITUTE($P$2:$P$38,CHAR(160)," ")),
      $Q$2:$Q$38
    )
  ),
"")</f>
        <v>162.5</v>
      </c>
      <c r="J167" s="52" cm="1">
        <f t="array" ref="J167">IFERROR(
  VALUE($H167) *
  VALUE(
    _xlfn.XLOOKUP(
      TRIM($F167) &amp; "|" &amp; LEFT(SUBSTITUTE($G167,CHAR(160)," "),5) &amp; "|Reduced Rate",
      TRIM(SUBSTITUTE($N$2:$N$38,CHAR(160)," ")) &amp; "|" &amp;
      LEFT(SUBSTITUTE($O$2:$O$38,CHAR(160)," "),5) &amp; "|" &amp;
      TRIM(SUBSTITUTE($P$2:$P$38,CHAR(160)," ")),
      $Q$2:$Q$38
    )
  ),
"")</f>
        <v>87.5</v>
      </c>
      <c r="K167" s="32" cm="1">
        <f t="array" ref="K167">IFERROR(
  VALUE($H167) *
  VALUE(
    _xlfn.XLOOKUP(
      TRIM($F167) &amp; "|" &amp; LEFT(SUBSTITUTE($G167,CHAR(160)," "),5) &amp; "|Ideas Rate",
      TRIM(SUBSTITUTE($N$2:$N$38,CHAR(160)," ")) &amp; "|" &amp;
      LEFT(SUBSTITUTE($O$2:$O$38,CHAR(160)," "),5) &amp; "|" &amp;
      TRIM(SUBSTITUTE($P$2:$P$38,CHAR(160)," ")),
      $Q$2:$Q$38
    )
  ),
"")</f>
        <v>47.5</v>
      </c>
      <c r="L167" s="32" t="str">
        <f>IFERROR( VALUE($H167) * INDEX(#REF!, MATCH(UPPER(TRIM($F167)),#REF!,0)), "" )</f>
        <v/>
      </c>
    </row>
    <row r="168" spans="1:12" x14ac:dyDescent="0.2">
      <c r="A168" s="21">
        <v>45923</v>
      </c>
      <c r="B168" s="28" t="s">
        <v>169</v>
      </c>
      <c r="C168" s="23" t="s">
        <v>66</v>
      </c>
      <c r="D168" s="18" t="s">
        <v>187</v>
      </c>
      <c r="E168" s="18" t="s">
        <v>259</v>
      </c>
      <c r="F168" s="18" t="s">
        <v>10</v>
      </c>
      <c r="G168" s="22" t="s">
        <v>380</v>
      </c>
      <c r="H168" s="45">
        <v>0.5</v>
      </c>
      <c r="I168" s="60" cm="1">
        <f t="array" ref="I168">IFERROR(
  VALUE($H168) *
  VALUE(
    _xlfn.XLOOKUP(
      TRIM($F168) &amp; "|" &amp; LEFT(SUBSTITUTE($G168,CHAR(160)," "),5) &amp; "|Full Rate",
      TRIM(SUBSTITUTE($N$2:$N$38,CHAR(160)," ")) &amp; "|" &amp;
      LEFT(SUBSTITUTE($O$2:$O$38,CHAR(160)," "),5) &amp; "|" &amp;
      TRIM(SUBSTITUTE($P$2:$P$38,CHAR(160)," ")),
      $Q$2:$Q$38
    )
  ),
"")</f>
        <v>125</v>
      </c>
      <c r="J168" s="52" cm="1">
        <f t="array" ref="J168">IFERROR(
  VALUE($H168) *
  VALUE(
    _xlfn.XLOOKUP(
      TRIM($F168) &amp; "|" &amp; LEFT(SUBSTITUTE($G168,CHAR(160)," "),5) &amp; "|Reduced Rate",
      TRIM(SUBSTITUTE($N$2:$N$38,CHAR(160)," ")) &amp; "|" &amp;
      LEFT(SUBSTITUTE($O$2:$O$38,CHAR(160)," "),5) &amp; "|" &amp;
      TRIM(SUBSTITUTE($P$2:$P$38,CHAR(160)," ")),
      $Q$2:$Q$38
    )
  ),
"")</f>
        <v>75</v>
      </c>
      <c r="K168" s="32" cm="1">
        <f t="array" ref="K168">IFERROR(
  VALUE($H168) *
  VALUE(
    _xlfn.XLOOKUP(
      TRIM($F168) &amp; "|" &amp; LEFT(SUBSTITUTE($G168,CHAR(160)," "),5) &amp; "|Ideas Rate",
      TRIM(SUBSTITUTE($N$2:$N$38,CHAR(160)," ")) &amp; "|" &amp;
      LEFT(SUBSTITUTE($O$2:$O$38,CHAR(160)," "),5) &amp; "|" &amp;
      TRIM(SUBSTITUTE($P$2:$P$38,CHAR(160)," ")),
      $Q$2:$Q$38
    )
  ),
"")</f>
        <v>37.5</v>
      </c>
      <c r="L168" s="32" t="str">
        <f>IFERROR( VALUE($H168) * INDEX(#REF!, MATCH(UPPER(TRIM($F168)),#REF!,0)), "" )</f>
        <v/>
      </c>
    </row>
    <row r="169" spans="1:12" x14ac:dyDescent="0.2">
      <c r="A169" s="10">
        <v>45923</v>
      </c>
      <c r="B169" s="28" t="s">
        <v>169</v>
      </c>
      <c r="C169" s="20" t="s">
        <v>66</v>
      </c>
      <c r="D169" s="18" t="s">
        <v>178</v>
      </c>
      <c r="E169" s="18" t="s">
        <v>260</v>
      </c>
      <c r="F169" s="18" t="s">
        <v>10</v>
      </c>
      <c r="G169" s="22" t="s">
        <v>380</v>
      </c>
      <c r="H169" s="45">
        <v>1</v>
      </c>
      <c r="I169" s="60" cm="1">
        <f t="array" ref="I169">IFERROR(
  VALUE($H169) *
  VALUE(
    _xlfn.XLOOKUP(
      TRIM($F169) &amp; "|" &amp; LEFT(SUBSTITUTE($G169,CHAR(160)," "),5) &amp; "|Full Rate",
      TRIM(SUBSTITUTE($N$2:$N$38,CHAR(160)," ")) &amp; "|" &amp;
      LEFT(SUBSTITUTE($O$2:$O$38,CHAR(160)," "),5) &amp; "|" &amp;
      TRIM(SUBSTITUTE($P$2:$P$38,CHAR(160)," ")),
      $Q$2:$Q$38
    )
  ),
"")</f>
        <v>250</v>
      </c>
      <c r="J169" s="52" cm="1">
        <f t="array" ref="J169">IFERROR(
  VALUE($H169) *
  VALUE(
    _xlfn.XLOOKUP(
      TRIM($F169) &amp; "|" &amp; LEFT(SUBSTITUTE($G169,CHAR(160)," "),5) &amp; "|Reduced Rate",
      TRIM(SUBSTITUTE($N$2:$N$38,CHAR(160)," ")) &amp; "|" &amp;
      LEFT(SUBSTITUTE($O$2:$O$38,CHAR(160)," "),5) &amp; "|" &amp;
      TRIM(SUBSTITUTE($P$2:$P$38,CHAR(160)," ")),
      $Q$2:$Q$38
    )
  ),
"")</f>
        <v>150</v>
      </c>
      <c r="K169" s="32" cm="1">
        <f t="array" ref="K169">IFERROR(
  VALUE($H169) *
  VALUE(
    _xlfn.XLOOKUP(
      TRIM($F169) &amp; "|" &amp; LEFT(SUBSTITUTE($G169,CHAR(160)," "),5) &amp; "|Ideas Rate",
      TRIM(SUBSTITUTE($N$2:$N$38,CHAR(160)," ")) &amp; "|" &amp;
      LEFT(SUBSTITUTE($O$2:$O$38,CHAR(160)," "),5) &amp; "|" &amp;
      TRIM(SUBSTITUTE($P$2:$P$38,CHAR(160)," ")),
      $Q$2:$Q$38
    )
  ),
"")</f>
        <v>75</v>
      </c>
      <c r="L169" s="32" t="str">
        <f>IFERROR( VALUE($H169) * INDEX(#REF!, MATCH(UPPER(TRIM($F169)),#REF!,0)), "" )</f>
        <v/>
      </c>
    </row>
    <row r="170" spans="1:12" ht="15" customHeight="1" x14ac:dyDescent="0.2">
      <c r="A170" s="10">
        <v>45923</v>
      </c>
      <c r="B170" s="28" t="s">
        <v>169</v>
      </c>
      <c r="C170" s="20" t="s">
        <v>66</v>
      </c>
      <c r="D170" s="18" t="s">
        <v>187</v>
      </c>
      <c r="E170" s="18" t="s">
        <v>259</v>
      </c>
      <c r="F170" s="18" t="s">
        <v>10</v>
      </c>
      <c r="G170" s="22" t="s">
        <v>380</v>
      </c>
      <c r="H170" s="45">
        <v>0.5</v>
      </c>
      <c r="I170" s="60" cm="1">
        <f t="array" ref="I170">IFERROR(
  VALUE($H170) *
  VALUE(
    _xlfn.XLOOKUP(
      TRIM($F170) &amp; "|" &amp; LEFT(SUBSTITUTE($G170,CHAR(160)," "),5) &amp; "|Full Rate",
      TRIM(SUBSTITUTE($N$2:$N$38,CHAR(160)," ")) &amp; "|" &amp;
      LEFT(SUBSTITUTE($O$2:$O$38,CHAR(160)," "),5) &amp; "|" &amp;
      TRIM(SUBSTITUTE($P$2:$P$38,CHAR(160)," ")),
      $Q$2:$Q$38
    )
  ),
"")</f>
        <v>125</v>
      </c>
      <c r="J170" s="52" cm="1">
        <f t="array" ref="J170">IFERROR(
  VALUE($H170) *
  VALUE(
    _xlfn.XLOOKUP(
      TRIM($F170) &amp; "|" &amp; LEFT(SUBSTITUTE($G170,CHAR(160)," "),5) &amp; "|Reduced Rate",
      TRIM(SUBSTITUTE($N$2:$N$38,CHAR(160)," ")) &amp; "|" &amp;
      LEFT(SUBSTITUTE($O$2:$O$38,CHAR(160)," "),5) &amp; "|" &amp;
      TRIM(SUBSTITUTE($P$2:$P$38,CHAR(160)," ")),
      $Q$2:$Q$38
    )
  ),
"")</f>
        <v>75</v>
      </c>
      <c r="K170" s="32" cm="1">
        <f t="array" ref="K170">IFERROR(
  VALUE($H170) *
  VALUE(
    _xlfn.XLOOKUP(
      TRIM($F170) &amp; "|" &amp; LEFT(SUBSTITUTE($G170,CHAR(160)," "),5) &amp; "|Ideas Rate",
      TRIM(SUBSTITUTE($N$2:$N$38,CHAR(160)," ")) &amp; "|" &amp;
      LEFT(SUBSTITUTE($O$2:$O$38,CHAR(160)," "),5) &amp; "|" &amp;
      TRIM(SUBSTITUTE($P$2:$P$38,CHAR(160)," ")),
      $Q$2:$Q$38
    )
  ),
"")</f>
        <v>37.5</v>
      </c>
      <c r="L170" s="32" t="str">
        <f>IFERROR( VALUE($H170) * INDEX(#REF!, MATCH(UPPER(TRIM($F170)),#REF!,0)), "" )</f>
        <v/>
      </c>
    </row>
    <row r="171" spans="1:12" x14ac:dyDescent="0.2">
      <c r="A171" s="10">
        <v>45923</v>
      </c>
      <c r="B171" s="28" t="s">
        <v>169</v>
      </c>
      <c r="C171" s="20" t="s">
        <v>66</v>
      </c>
      <c r="D171" s="18" t="s">
        <v>178</v>
      </c>
      <c r="E171" s="18" t="s">
        <v>260</v>
      </c>
      <c r="F171" s="18" t="s">
        <v>10</v>
      </c>
      <c r="G171" s="22" t="s">
        <v>380</v>
      </c>
      <c r="H171" s="45">
        <v>1</v>
      </c>
      <c r="I171" s="60" cm="1">
        <f t="array" ref="I171">IFERROR(
  VALUE($H171) *
  VALUE(
    _xlfn.XLOOKUP(
      TRIM($F171) &amp; "|" &amp; LEFT(SUBSTITUTE($G171,CHAR(160)," "),5) &amp; "|Full Rate",
      TRIM(SUBSTITUTE($N$2:$N$38,CHAR(160)," ")) &amp; "|" &amp;
      LEFT(SUBSTITUTE($O$2:$O$38,CHAR(160)," "),5) &amp; "|" &amp;
      TRIM(SUBSTITUTE($P$2:$P$38,CHAR(160)," ")),
      $Q$2:$Q$38
    )
  ),
"")</f>
        <v>250</v>
      </c>
      <c r="J171" s="52" cm="1">
        <f t="array" ref="J171">IFERROR(
  VALUE($H171) *
  VALUE(
    _xlfn.XLOOKUP(
      TRIM($F171) &amp; "|" &amp; LEFT(SUBSTITUTE($G171,CHAR(160)," "),5) &amp; "|Reduced Rate",
      TRIM(SUBSTITUTE($N$2:$N$38,CHAR(160)," ")) &amp; "|" &amp;
      LEFT(SUBSTITUTE($O$2:$O$38,CHAR(160)," "),5) &amp; "|" &amp;
      TRIM(SUBSTITUTE($P$2:$P$38,CHAR(160)," ")),
      $Q$2:$Q$38
    )
  ),
"")</f>
        <v>150</v>
      </c>
      <c r="K171" s="32" cm="1">
        <f t="array" ref="K171">IFERROR(
  VALUE($H171) *
  VALUE(
    _xlfn.XLOOKUP(
      TRIM($F171) &amp; "|" &amp; LEFT(SUBSTITUTE($G171,CHAR(160)," "),5) &amp; "|Ideas Rate",
      TRIM(SUBSTITUTE($N$2:$N$38,CHAR(160)," ")) &amp; "|" &amp;
      LEFT(SUBSTITUTE($O$2:$O$38,CHAR(160)," "),5) &amp; "|" &amp;
      TRIM(SUBSTITUTE($P$2:$P$38,CHAR(160)," ")),
      $Q$2:$Q$38
    )
  ),
"")</f>
        <v>75</v>
      </c>
      <c r="L171" s="32" t="str">
        <f>IFERROR( VALUE($H171) * INDEX(#REF!, MATCH(UPPER(TRIM($F171)),#REF!,0)), "" )</f>
        <v/>
      </c>
    </row>
    <row r="172" spans="1:12" x14ac:dyDescent="0.2">
      <c r="A172" s="294">
        <v>45910</v>
      </c>
      <c r="B172" s="295" t="s">
        <v>169</v>
      </c>
      <c r="C172" s="77" t="s">
        <v>66</v>
      </c>
      <c r="D172" s="296" t="s">
        <v>29</v>
      </c>
      <c r="E172" s="296" t="s">
        <v>267</v>
      </c>
      <c r="F172" s="296" t="s">
        <v>9</v>
      </c>
      <c r="G172" s="297" t="s">
        <v>380</v>
      </c>
      <c r="H172" s="298">
        <v>1.25</v>
      </c>
      <c r="I172" s="299" cm="1">
        <f t="array" ref="I172">IFERROR(
  VALUE($H172) *
  VALUE(
    _xlfn.XLOOKUP(
      TRIM($F172) &amp; "|" &amp; LEFT(SUBSTITUTE($G172,CHAR(160)," "),5) &amp; "|Full Rate",
      TRIM(SUBSTITUTE($N$2:$N$38,CHAR(160)," ")) &amp; "|" &amp;
      LEFT(SUBSTITUTE($O$2:$O$38,CHAR(160)," "),5) &amp; "|" &amp;
      TRIM(SUBSTITUTE($P$2:$P$38,CHAR(160)," ")),
      $Q$2:$Q$38
    )
  ),
"")</f>
        <v>312.5</v>
      </c>
      <c r="J172" s="300" cm="1">
        <f t="array" ref="J172">IFERROR(
  VALUE($H172) *
  VALUE(
    _xlfn.XLOOKUP(
      TRIM($F172) &amp; "|" &amp; LEFT(SUBSTITUTE($G172,CHAR(160)," "),5) &amp; "|Reduced Rate",
      TRIM(SUBSTITUTE($N$2:$N$38,CHAR(160)," ")) &amp; "|" &amp;
      LEFT(SUBSTITUTE($O$2:$O$38,CHAR(160)," "),5) &amp; "|" &amp;
      TRIM(SUBSTITUTE($P$2:$P$38,CHAR(160)," ")),
      $Q$2:$Q$38
    )
  ),
"")</f>
        <v>187.5</v>
      </c>
      <c r="K172" s="301" cm="1">
        <f t="array" ref="K172">IFERROR(
  VALUE($H172) *
  VALUE(
    _xlfn.XLOOKUP(
      TRIM($F172) &amp; "|" &amp; LEFT(SUBSTITUTE($G172,CHAR(160)," "),5) &amp; "|Ideas Rate",
      TRIM(SUBSTITUTE($N$2:$N$38,CHAR(160)," ")) &amp; "|" &amp;
      LEFT(SUBSTITUTE($O$2:$O$38,CHAR(160)," "),5) &amp; "|" &amp;
      TRIM(SUBSTITUTE($P$2:$P$38,CHAR(160)," ")),
      $Q$2:$Q$38
    )
  ),
"")</f>
        <v>93.75</v>
      </c>
      <c r="L172" s="32" t="str">
        <f>IFERROR( VALUE($H172) * INDEX(#REF!, MATCH(UPPER(TRIM($F172)),#REF!,0)), "" )</f>
        <v/>
      </c>
    </row>
    <row r="173" spans="1:12" x14ac:dyDescent="0.2">
      <c r="A173" s="294">
        <v>45910</v>
      </c>
      <c r="B173" s="295" t="s">
        <v>169</v>
      </c>
      <c r="C173" s="77" t="s">
        <v>66</v>
      </c>
      <c r="D173" s="296" t="s">
        <v>29</v>
      </c>
      <c r="E173" s="296" t="s">
        <v>268</v>
      </c>
      <c r="F173" s="296" t="s">
        <v>9</v>
      </c>
      <c r="G173" s="297" t="s">
        <v>380</v>
      </c>
      <c r="H173" s="298">
        <v>1</v>
      </c>
      <c r="I173" s="299" cm="1">
        <f t="array" ref="I173">IFERROR(
  VALUE($H173) *
  VALUE(
    _xlfn.XLOOKUP(
      TRIM($F173) &amp; "|" &amp; LEFT(SUBSTITUTE($G173,CHAR(160)," "),5) &amp; "|Full Rate",
      TRIM(SUBSTITUTE($N$2:$N$38,CHAR(160)," ")) &amp; "|" &amp;
      LEFT(SUBSTITUTE($O$2:$O$38,CHAR(160)," "),5) &amp; "|" &amp;
      TRIM(SUBSTITUTE($P$2:$P$38,CHAR(160)," ")),
      $Q$2:$Q$38
    )
  ),
"")</f>
        <v>250</v>
      </c>
      <c r="J173" s="300" cm="1">
        <f t="array" ref="J173">IFERROR(
  VALUE($H173) *
  VALUE(
    _xlfn.XLOOKUP(
      TRIM($F173) &amp; "|" &amp; LEFT(SUBSTITUTE($G173,CHAR(160)," "),5) &amp; "|Reduced Rate",
      TRIM(SUBSTITUTE($N$2:$N$38,CHAR(160)," ")) &amp; "|" &amp;
      LEFT(SUBSTITUTE($O$2:$O$38,CHAR(160)," "),5) &amp; "|" &amp;
      TRIM(SUBSTITUTE($P$2:$P$38,CHAR(160)," ")),
      $Q$2:$Q$38
    )
  ),
"")</f>
        <v>150</v>
      </c>
      <c r="K173" s="301" cm="1">
        <f t="array" ref="K173">IFERROR(
  VALUE($H173) *
  VALUE(
    _xlfn.XLOOKUP(
      TRIM($F173) &amp; "|" &amp; LEFT(SUBSTITUTE($G173,CHAR(160)," "),5) &amp; "|Ideas Rate",
      TRIM(SUBSTITUTE($N$2:$N$38,CHAR(160)," ")) &amp; "|" &amp;
      LEFT(SUBSTITUTE($O$2:$O$38,CHAR(160)," "),5) &amp; "|" &amp;
      TRIM(SUBSTITUTE($P$2:$P$38,CHAR(160)," ")),
      $Q$2:$Q$38
    )
  ),
"")</f>
        <v>75</v>
      </c>
      <c r="L173" s="32" t="str">
        <f>IFERROR( VALUE($H173) * INDEX(#REF!, MATCH(UPPER(TRIM($F173)),#REF!,0)), "" )</f>
        <v/>
      </c>
    </row>
    <row r="174" spans="1:12" x14ac:dyDescent="0.2">
      <c r="A174" s="294">
        <v>45910</v>
      </c>
      <c r="B174" s="295" t="s">
        <v>169</v>
      </c>
      <c r="C174" s="77" t="s">
        <v>66</v>
      </c>
      <c r="D174" s="296" t="s">
        <v>29</v>
      </c>
      <c r="E174" s="296" t="s">
        <v>269</v>
      </c>
      <c r="F174" s="296" t="s">
        <v>9</v>
      </c>
      <c r="G174" s="297" t="s">
        <v>380</v>
      </c>
      <c r="H174" s="298">
        <v>0.5</v>
      </c>
      <c r="I174" s="299" cm="1">
        <f t="array" ref="I174">IFERROR(
  VALUE($H174) *
  VALUE(
    _xlfn.XLOOKUP(
      TRIM($F174) &amp; "|" &amp; LEFT(SUBSTITUTE($G174,CHAR(160)," "),5) &amp; "|Full Rate",
      TRIM(SUBSTITUTE($N$2:$N$38,CHAR(160)," ")) &amp; "|" &amp;
      LEFT(SUBSTITUTE($O$2:$O$38,CHAR(160)," "),5) &amp; "|" &amp;
      TRIM(SUBSTITUTE($P$2:$P$38,CHAR(160)," ")),
      $Q$2:$Q$38
    )
  ),
"")</f>
        <v>125</v>
      </c>
      <c r="J174" s="300" cm="1">
        <f t="array" ref="J174">IFERROR(
  VALUE($H174) *
  VALUE(
    _xlfn.XLOOKUP(
      TRIM($F174) &amp; "|" &amp; LEFT(SUBSTITUTE($G174,CHAR(160)," "),5) &amp; "|Reduced Rate",
      TRIM(SUBSTITUTE($N$2:$N$38,CHAR(160)," ")) &amp; "|" &amp;
      LEFT(SUBSTITUTE($O$2:$O$38,CHAR(160)," "),5) &amp; "|" &amp;
      TRIM(SUBSTITUTE($P$2:$P$38,CHAR(160)," ")),
      $Q$2:$Q$38
    )
  ),
"")</f>
        <v>75</v>
      </c>
      <c r="K174" s="301" cm="1">
        <f t="array" ref="K174">IFERROR(
  VALUE($H174) *
  VALUE(
    _xlfn.XLOOKUP(
      TRIM($F174) &amp; "|" &amp; LEFT(SUBSTITUTE($G174,CHAR(160)," "),5) &amp; "|Ideas Rate",
      TRIM(SUBSTITUTE($N$2:$N$38,CHAR(160)," ")) &amp; "|" &amp;
      LEFT(SUBSTITUTE($O$2:$O$38,CHAR(160)," "),5) &amp; "|" &amp;
      TRIM(SUBSTITUTE($P$2:$P$38,CHAR(160)," ")),
      $Q$2:$Q$38
    )
  ),
"")</f>
        <v>37.5</v>
      </c>
      <c r="L174" s="32" t="str">
        <f>IFERROR( VALUE($H174) * INDEX(#REF!, MATCH(UPPER(TRIM($F174)),#REF!,0)), "" )</f>
        <v/>
      </c>
    </row>
    <row r="175" spans="1:12" ht="32" x14ac:dyDescent="0.2">
      <c r="A175" s="294">
        <v>45910</v>
      </c>
      <c r="B175" s="295" t="s">
        <v>169</v>
      </c>
      <c r="C175" s="77" t="s">
        <v>66</v>
      </c>
      <c r="D175" s="296" t="s">
        <v>191</v>
      </c>
      <c r="E175" s="302" t="s">
        <v>270</v>
      </c>
      <c r="F175" s="296" t="s">
        <v>9</v>
      </c>
      <c r="G175" s="297" t="s">
        <v>380</v>
      </c>
      <c r="H175" s="298">
        <v>2.5</v>
      </c>
      <c r="I175" s="299" cm="1">
        <f t="array" ref="I175">IFERROR(
  VALUE($H175) *
  VALUE(
    _xlfn.XLOOKUP(
      TRIM($F175) &amp; "|" &amp; LEFT(SUBSTITUTE($G175,CHAR(160)," "),5) &amp; "|Full Rate",
      TRIM(SUBSTITUTE($N$2:$N$38,CHAR(160)," ")) &amp; "|" &amp;
      LEFT(SUBSTITUTE($O$2:$O$38,CHAR(160)," "),5) &amp; "|" &amp;
      TRIM(SUBSTITUTE($P$2:$P$38,CHAR(160)," ")),
      $Q$2:$Q$38
    )
  ),
"")</f>
        <v>625</v>
      </c>
      <c r="J175" s="300" cm="1">
        <f t="array" ref="J175">IFERROR(
  VALUE($H175) *
  VALUE(
    _xlfn.XLOOKUP(
      TRIM($F175) &amp; "|" &amp; LEFT(SUBSTITUTE($G175,CHAR(160)," "),5) &amp; "|Reduced Rate",
      TRIM(SUBSTITUTE($N$2:$N$38,CHAR(160)," ")) &amp; "|" &amp;
      LEFT(SUBSTITUTE($O$2:$O$38,CHAR(160)," "),5) &amp; "|" &amp;
      TRIM(SUBSTITUTE($P$2:$P$38,CHAR(160)," ")),
      $Q$2:$Q$38
    )
  ),
"")</f>
        <v>375</v>
      </c>
      <c r="K175" s="301" cm="1">
        <f t="array" ref="K175">IFERROR(
  VALUE($H175) *
  VALUE(
    _xlfn.XLOOKUP(
      TRIM($F175) &amp; "|" &amp; LEFT(SUBSTITUTE($G175,CHAR(160)," "),5) &amp; "|Ideas Rate",
      TRIM(SUBSTITUTE($N$2:$N$38,CHAR(160)," ")) &amp; "|" &amp;
      LEFT(SUBSTITUTE($O$2:$O$38,CHAR(160)," "),5) &amp; "|" &amp;
      TRIM(SUBSTITUTE($P$2:$P$38,CHAR(160)," ")),
      $Q$2:$Q$38
    )
  ),
"")</f>
        <v>187.5</v>
      </c>
      <c r="L175" s="32" t="str">
        <f>IFERROR( VALUE($H175) * INDEX(#REF!, MATCH(UPPER(TRIM($F175)),#REF!,0)), "" )</f>
        <v/>
      </c>
    </row>
    <row r="176" spans="1:12" x14ac:dyDescent="0.2">
      <c r="A176" s="294">
        <v>45911</v>
      </c>
      <c r="B176" s="295" t="s">
        <v>169</v>
      </c>
      <c r="C176" s="77" t="s">
        <v>66</v>
      </c>
      <c r="D176" s="296" t="s">
        <v>190</v>
      </c>
      <c r="E176" s="296" t="s">
        <v>271</v>
      </c>
      <c r="F176" s="296" t="s">
        <v>9</v>
      </c>
      <c r="G176" s="297" t="s">
        <v>380</v>
      </c>
      <c r="H176" s="298">
        <v>1</v>
      </c>
      <c r="I176" s="299" cm="1">
        <f t="array" ref="I176">IFERROR(
  VALUE($H176) *
  VALUE(
    _xlfn.XLOOKUP(
      TRIM($F176) &amp; "|" &amp; LEFT(SUBSTITUTE($G176,CHAR(160)," "),5) &amp; "|Full Rate",
      TRIM(SUBSTITUTE($N$2:$N$38,CHAR(160)," ")) &amp; "|" &amp;
      LEFT(SUBSTITUTE($O$2:$O$38,CHAR(160)," "),5) &amp; "|" &amp;
      TRIM(SUBSTITUTE($P$2:$P$38,CHAR(160)," ")),
      $Q$2:$Q$38
    )
  ),
"")</f>
        <v>250</v>
      </c>
      <c r="J176" s="300" cm="1">
        <f t="array" ref="J176">IFERROR(
  VALUE($H176) *
  VALUE(
    _xlfn.XLOOKUP(
      TRIM($F176) &amp; "|" &amp; LEFT(SUBSTITUTE($G176,CHAR(160)," "),5) &amp; "|Reduced Rate",
      TRIM(SUBSTITUTE($N$2:$N$38,CHAR(160)," ")) &amp; "|" &amp;
      LEFT(SUBSTITUTE($O$2:$O$38,CHAR(160)," "),5) &amp; "|" &amp;
      TRIM(SUBSTITUTE($P$2:$P$38,CHAR(160)," ")),
      $Q$2:$Q$38
    )
  ),
"")</f>
        <v>150</v>
      </c>
      <c r="K176" s="301" cm="1">
        <f t="array" ref="K176">IFERROR(
  VALUE($H176) *
  VALUE(
    _xlfn.XLOOKUP(
      TRIM($F176) &amp; "|" &amp; LEFT(SUBSTITUTE($G176,CHAR(160)," "),5) &amp; "|Ideas Rate",
      TRIM(SUBSTITUTE($N$2:$N$38,CHAR(160)," ")) &amp; "|" &amp;
      LEFT(SUBSTITUTE($O$2:$O$38,CHAR(160)," "),5) &amp; "|" &amp;
      TRIM(SUBSTITUTE($P$2:$P$38,CHAR(160)," ")),
      $Q$2:$Q$38
    )
  ),
"")</f>
        <v>75</v>
      </c>
      <c r="L176" s="32" t="str">
        <f>IFERROR( VALUE($H176) * INDEX(#REF!, MATCH(UPPER(TRIM($F176)),#REF!,0)), "" )</f>
        <v/>
      </c>
    </row>
    <row r="177" spans="1:12" x14ac:dyDescent="0.2">
      <c r="A177" s="294">
        <v>45912</v>
      </c>
      <c r="B177" s="295" t="s">
        <v>169</v>
      </c>
      <c r="C177" s="77" t="s">
        <v>66</v>
      </c>
      <c r="D177" s="296" t="s">
        <v>190</v>
      </c>
      <c r="E177" s="296" t="s">
        <v>269</v>
      </c>
      <c r="F177" s="296" t="s">
        <v>133</v>
      </c>
      <c r="G177" s="297" t="s">
        <v>380</v>
      </c>
      <c r="H177" s="298">
        <v>0.5</v>
      </c>
      <c r="I177" s="299" cm="1">
        <f t="array" ref="I177">IFERROR(
  VALUE($H177) *
  VALUE(
    _xlfn.XLOOKUP(
      TRIM($F177) &amp; "|" &amp; LEFT(SUBSTITUTE($G177,CHAR(160)," "),5) &amp; "|Full Rate",
      TRIM(SUBSTITUTE($N$2:$N$38,CHAR(160)," ")) &amp; "|" &amp;
      LEFT(SUBSTITUTE($O$2:$O$38,CHAR(160)," "),5) &amp; "|" &amp;
      TRIM(SUBSTITUTE($P$2:$P$38,CHAR(160)," ")),
      $Q$2:$Q$38
    )
  ),
"")</f>
        <v>125</v>
      </c>
      <c r="J177" s="300" cm="1">
        <f t="array" ref="J177">IFERROR(
  VALUE($H177) *
  VALUE(
    _xlfn.XLOOKUP(
      TRIM($F177) &amp; "|" &amp; LEFT(SUBSTITUTE($G177,CHAR(160)," "),5) &amp; "|Reduced Rate",
      TRIM(SUBSTITUTE($N$2:$N$38,CHAR(160)," ")) &amp; "|" &amp;
      LEFT(SUBSTITUTE($O$2:$O$38,CHAR(160)," "),5) &amp; "|" &amp;
      TRIM(SUBSTITUTE($P$2:$P$38,CHAR(160)," ")),
      $Q$2:$Q$38
    )
  ),
"")</f>
        <v>75</v>
      </c>
      <c r="K177" s="301" cm="1">
        <f t="array" ref="K177">IFERROR(
  VALUE($H177) *
  VALUE(
    _xlfn.XLOOKUP(
      TRIM($F177) &amp; "|" &amp; LEFT(SUBSTITUTE($G177,CHAR(160)," "),5) &amp; "|Ideas Rate",
      TRIM(SUBSTITUTE($N$2:$N$38,CHAR(160)," ")) &amp; "|" &amp;
      LEFT(SUBSTITUTE($O$2:$O$38,CHAR(160)," "),5) &amp; "|" &amp;
      TRIM(SUBSTITUTE($P$2:$P$38,CHAR(160)," ")),
      $Q$2:$Q$38
    )
  ),
"")</f>
        <v>37.5</v>
      </c>
      <c r="L177" s="32" t="str">
        <f>IFERROR( VALUE($H177) * INDEX(#REF!, MATCH(UPPER(TRIM($F177)),#REF!,0)), "" )</f>
        <v/>
      </c>
    </row>
    <row r="178" spans="1:12" x14ac:dyDescent="0.2">
      <c r="A178" s="294">
        <v>45913</v>
      </c>
      <c r="B178" s="295" t="s">
        <v>169</v>
      </c>
      <c r="C178" s="77" t="s">
        <v>66</v>
      </c>
      <c r="D178" s="296" t="s">
        <v>324</v>
      </c>
      <c r="E178" s="296" t="s">
        <v>273</v>
      </c>
      <c r="F178" s="296" t="s">
        <v>9</v>
      </c>
      <c r="G178" s="297" t="s">
        <v>367</v>
      </c>
      <c r="H178" s="298">
        <v>4.5</v>
      </c>
      <c r="I178" s="299" cm="1">
        <f t="array" ref="I178">IFERROR(
  VALUE($H178) *
  VALUE(
    _xlfn.XLOOKUP(
      TRIM($F178) &amp; "|" &amp; LEFT(SUBSTITUTE($G178,CHAR(160)," "),5) &amp; "|Full Rate",
      TRIM(SUBSTITUTE($N$2:$N$38,CHAR(160)," ")) &amp; "|" &amp;
      LEFT(SUBSTITUTE($O$2:$O$38,CHAR(160)," "),5) &amp; "|" &amp;
      TRIM(SUBSTITUTE($P$2:$P$38,CHAR(160)," ")),
      $Q$2:$Q$38
    )
  ),
"")</f>
        <v>2250</v>
      </c>
      <c r="J178" s="300" cm="1">
        <f t="array" ref="J178">IFERROR(
  VALUE($H178) *
  VALUE(
    _xlfn.XLOOKUP(
      TRIM($F178) &amp; "|" &amp; LEFT(SUBSTITUTE($G178,CHAR(160)," "),5) &amp; "|Reduced Rate",
      TRIM(SUBSTITUTE($N$2:$N$38,CHAR(160)," ")) &amp; "|" &amp;
      LEFT(SUBSTITUTE($O$2:$O$38,CHAR(160)," "),5) &amp; "|" &amp;
      TRIM(SUBSTITUTE($P$2:$P$38,CHAR(160)," ")),
      $Q$2:$Q$38
    )
  ),
"")</f>
        <v>1350</v>
      </c>
      <c r="K178" s="301" cm="1">
        <f t="array" ref="K178">IFERROR(
  VALUE($H178) *
  VALUE(
    _xlfn.XLOOKUP(
      TRIM($F178) &amp; "|" &amp; LEFT(SUBSTITUTE($G178,CHAR(160)," "),5) &amp; "|Ideas Rate",
      TRIM(SUBSTITUTE($N$2:$N$38,CHAR(160)," ")) &amp; "|" &amp;
      LEFT(SUBSTITUTE($O$2:$O$38,CHAR(160)," "),5) &amp; "|" &amp;
      TRIM(SUBSTITUTE($P$2:$P$38,CHAR(160)," ")),
      $Q$2:$Q$38
    )
  ),
"")</f>
        <v>675</v>
      </c>
      <c r="L178" s="32" t="str">
        <f>IFERROR( VALUE($H178) * INDEX(#REF!, MATCH(UPPER(TRIM($F178)),#REF!,0)), "" )</f>
        <v/>
      </c>
    </row>
    <row r="179" spans="1:12" x14ac:dyDescent="0.2">
      <c r="A179" s="294">
        <v>45914</v>
      </c>
      <c r="B179" s="295" t="s">
        <v>169</v>
      </c>
      <c r="C179" s="77" t="s">
        <v>66</v>
      </c>
      <c r="D179" s="296" t="s">
        <v>192</v>
      </c>
      <c r="E179" s="296" t="s">
        <v>274</v>
      </c>
      <c r="F179" s="296" t="s">
        <v>9</v>
      </c>
      <c r="G179" s="297" t="s">
        <v>380</v>
      </c>
      <c r="H179" s="298">
        <v>2</v>
      </c>
      <c r="I179" s="299" cm="1">
        <f t="array" ref="I179">IFERROR(
  VALUE($H179) *
  VALUE(
    _xlfn.XLOOKUP(
      TRIM($F179) &amp; "|" &amp; LEFT(SUBSTITUTE($G179,CHAR(160)," "),5) &amp; "|Full Rate",
      TRIM(SUBSTITUTE($N$2:$N$38,CHAR(160)," ")) &amp; "|" &amp;
      LEFT(SUBSTITUTE($O$2:$O$38,CHAR(160)," "),5) &amp; "|" &amp;
      TRIM(SUBSTITUTE($P$2:$P$38,CHAR(160)," ")),
      $Q$2:$Q$38
    )
  ),
"")</f>
        <v>500</v>
      </c>
      <c r="J179" s="300" cm="1">
        <f t="array" ref="J179">IFERROR(
  VALUE($H179) *
  VALUE(
    _xlfn.XLOOKUP(
      TRIM($F179) &amp; "|" &amp; LEFT(SUBSTITUTE($G179,CHAR(160)," "),5) &amp; "|Reduced Rate",
      TRIM(SUBSTITUTE($N$2:$N$38,CHAR(160)," ")) &amp; "|" &amp;
      LEFT(SUBSTITUTE($O$2:$O$38,CHAR(160)," "),5) &amp; "|" &amp;
      TRIM(SUBSTITUTE($P$2:$P$38,CHAR(160)," ")),
      $Q$2:$Q$38
    )
  ),
"")</f>
        <v>300</v>
      </c>
      <c r="K179" s="301" cm="1">
        <f t="array" ref="K179">IFERROR(
  VALUE($H179) *
  VALUE(
    _xlfn.XLOOKUP(
      TRIM($F179) &amp; "|" &amp; LEFT(SUBSTITUTE($G179,CHAR(160)," "),5) &amp; "|Ideas Rate",
      TRIM(SUBSTITUTE($N$2:$N$38,CHAR(160)," ")) &amp; "|" &amp;
      LEFT(SUBSTITUTE($O$2:$O$38,CHAR(160)," "),5) &amp; "|" &amp;
      TRIM(SUBSTITUTE($P$2:$P$38,CHAR(160)," ")),
      $Q$2:$Q$38
    )
  ),
"")</f>
        <v>150</v>
      </c>
      <c r="L179" s="32" t="str">
        <f>IFERROR( VALUE($H179) * INDEX(#REF!, MATCH(UPPER(TRIM($F179)),#REF!,0)), "" )</f>
        <v/>
      </c>
    </row>
    <row r="180" spans="1:12" x14ac:dyDescent="0.2">
      <c r="A180" s="294">
        <v>45914</v>
      </c>
      <c r="B180" s="295" t="s">
        <v>169</v>
      </c>
      <c r="C180" s="77" t="s">
        <v>66</v>
      </c>
      <c r="D180" s="296" t="s">
        <v>324</v>
      </c>
      <c r="E180" s="296" t="s">
        <v>275</v>
      </c>
      <c r="F180" s="296" t="s">
        <v>9</v>
      </c>
      <c r="G180" s="297" t="s">
        <v>367</v>
      </c>
      <c r="H180" s="298">
        <v>5.5</v>
      </c>
      <c r="I180" s="299" cm="1">
        <f t="array" ref="I180">IFERROR(
  VALUE($H180) *
  VALUE(
    _xlfn.XLOOKUP(
      TRIM($F180) &amp; "|" &amp; LEFT(SUBSTITUTE($G180,CHAR(160)," "),5) &amp; "|Full Rate",
      TRIM(SUBSTITUTE($N$2:$N$38,CHAR(160)," ")) &amp; "|" &amp;
      LEFT(SUBSTITUTE($O$2:$O$38,CHAR(160)," "),5) &amp; "|" &amp;
      TRIM(SUBSTITUTE($P$2:$P$38,CHAR(160)," ")),
      $Q$2:$Q$38
    )
  ),
"")</f>
        <v>2750</v>
      </c>
      <c r="J180" s="300" cm="1">
        <f t="array" ref="J180">IFERROR(
  VALUE($H180) *
  VALUE(
    _xlfn.XLOOKUP(
      TRIM($F180) &amp; "|" &amp; LEFT(SUBSTITUTE($G180,CHAR(160)," "),5) &amp; "|Reduced Rate",
      TRIM(SUBSTITUTE($N$2:$N$38,CHAR(160)," ")) &amp; "|" &amp;
      LEFT(SUBSTITUTE($O$2:$O$38,CHAR(160)," "),5) &amp; "|" &amp;
      TRIM(SUBSTITUTE($P$2:$P$38,CHAR(160)," ")),
      $Q$2:$Q$38
    )
  ),
"")</f>
        <v>1650</v>
      </c>
      <c r="K180" s="301" cm="1">
        <f t="array" ref="K180">IFERROR(
  VALUE($H180) *
  VALUE(
    _xlfn.XLOOKUP(
      TRIM($F180) &amp; "|" &amp; LEFT(SUBSTITUTE($G180,CHAR(160)," "),5) &amp; "|Ideas Rate",
      TRIM(SUBSTITUTE($N$2:$N$38,CHAR(160)," ")) &amp; "|" &amp;
      LEFT(SUBSTITUTE($O$2:$O$38,CHAR(160)," "),5) &amp; "|" &amp;
      TRIM(SUBSTITUTE($P$2:$P$38,CHAR(160)," ")),
      $Q$2:$Q$38
    )
  ),
"")</f>
        <v>825</v>
      </c>
      <c r="L180" s="32" t="str">
        <f>IFERROR( VALUE($H180) * INDEX(#REF!, MATCH(UPPER(TRIM($F180)),#REF!,0)), "" )</f>
        <v/>
      </c>
    </row>
    <row r="181" spans="1:12" x14ac:dyDescent="0.2">
      <c r="A181" s="294">
        <v>45915</v>
      </c>
      <c r="B181" s="295" t="s">
        <v>169</v>
      </c>
      <c r="C181" s="77" t="s">
        <v>66</v>
      </c>
      <c r="D181" s="296" t="s">
        <v>324</v>
      </c>
      <c r="E181" s="296" t="s">
        <v>276</v>
      </c>
      <c r="F181" s="296" t="s">
        <v>9</v>
      </c>
      <c r="G181" s="297" t="s">
        <v>367</v>
      </c>
      <c r="H181" s="298">
        <v>1.5</v>
      </c>
      <c r="I181" s="299" cm="1">
        <f t="array" ref="I181">IFERROR(
  VALUE($H181) *
  VALUE(
    _xlfn.XLOOKUP(
      TRIM($F181) &amp; "|" &amp; LEFT(SUBSTITUTE($G181,CHAR(160)," "),5) &amp; "|Full Rate",
      TRIM(SUBSTITUTE($N$2:$N$38,CHAR(160)," ")) &amp; "|" &amp;
      LEFT(SUBSTITUTE($O$2:$O$38,CHAR(160)," "),5) &amp; "|" &amp;
      TRIM(SUBSTITUTE($P$2:$P$38,CHAR(160)," ")),
      $Q$2:$Q$38
    )
  ),
"")</f>
        <v>750</v>
      </c>
      <c r="J181" s="300" cm="1">
        <f t="array" ref="J181">IFERROR(
  VALUE($H181) *
  VALUE(
    _xlfn.XLOOKUP(
      TRIM($F181) &amp; "|" &amp; LEFT(SUBSTITUTE($G181,CHAR(160)," "),5) &amp; "|Reduced Rate",
      TRIM(SUBSTITUTE($N$2:$N$38,CHAR(160)," ")) &amp; "|" &amp;
      LEFT(SUBSTITUTE($O$2:$O$38,CHAR(160)," "),5) &amp; "|" &amp;
      TRIM(SUBSTITUTE($P$2:$P$38,CHAR(160)," ")),
      $Q$2:$Q$38
    )
  ),
"")</f>
        <v>450</v>
      </c>
      <c r="K181" s="301" cm="1">
        <f t="array" ref="K181">IFERROR(
  VALUE($H181) *
  VALUE(
    _xlfn.XLOOKUP(
      TRIM($F181) &amp; "|" &amp; LEFT(SUBSTITUTE($G181,CHAR(160)," "),5) &amp; "|Ideas Rate",
      TRIM(SUBSTITUTE($N$2:$N$38,CHAR(160)," ")) &amp; "|" &amp;
      LEFT(SUBSTITUTE($O$2:$O$38,CHAR(160)," "),5) &amp; "|" &amp;
      TRIM(SUBSTITUTE($P$2:$P$38,CHAR(160)," ")),
      $Q$2:$Q$38
    )
  ),
"")</f>
        <v>225</v>
      </c>
      <c r="L181" s="32" t="str">
        <f>IFERROR( VALUE($H181) * INDEX(#REF!, MATCH(UPPER(TRIM($F181)),#REF!,0)), "" )</f>
        <v/>
      </c>
    </row>
    <row r="182" spans="1:12" x14ac:dyDescent="0.2">
      <c r="A182" s="294">
        <v>45915</v>
      </c>
      <c r="B182" s="295" t="s">
        <v>169</v>
      </c>
      <c r="C182" s="77" t="s">
        <v>66</v>
      </c>
      <c r="D182" s="296" t="s">
        <v>29</v>
      </c>
      <c r="E182" s="296" t="s">
        <v>277</v>
      </c>
      <c r="F182" s="296" t="s">
        <v>9</v>
      </c>
      <c r="G182" s="297" t="s">
        <v>380</v>
      </c>
      <c r="H182" s="298">
        <v>1.5</v>
      </c>
      <c r="I182" s="299" cm="1">
        <f t="array" ref="I182">IFERROR(
  VALUE($H182) *
  VALUE(
    _xlfn.XLOOKUP(
      TRIM($F182) &amp; "|" &amp; LEFT(SUBSTITUTE($G182,CHAR(160)," "),5) &amp; "|Full Rate",
      TRIM(SUBSTITUTE($N$2:$N$38,CHAR(160)," ")) &amp; "|" &amp;
      LEFT(SUBSTITUTE($O$2:$O$38,CHAR(160)," "),5) &amp; "|" &amp;
      TRIM(SUBSTITUTE($P$2:$P$38,CHAR(160)," ")),
      $Q$2:$Q$38
    )
  ),
"")</f>
        <v>375</v>
      </c>
      <c r="J182" s="300" cm="1">
        <f t="array" ref="J182">IFERROR(
  VALUE($H182) *
  VALUE(
    _xlfn.XLOOKUP(
      TRIM($F182) &amp; "|" &amp; LEFT(SUBSTITUTE($G182,CHAR(160)," "),5) &amp; "|Reduced Rate",
      TRIM(SUBSTITUTE($N$2:$N$38,CHAR(160)," ")) &amp; "|" &amp;
      LEFT(SUBSTITUTE($O$2:$O$38,CHAR(160)," "),5) &amp; "|" &amp;
      TRIM(SUBSTITUTE($P$2:$P$38,CHAR(160)," ")),
      $Q$2:$Q$38
    )
  ),
"")</f>
        <v>225</v>
      </c>
      <c r="K182" s="301" cm="1">
        <f t="array" ref="K182">IFERROR(
  VALUE($H182) *
  VALUE(
    _xlfn.XLOOKUP(
      TRIM($F182) &amp; "|" &amp; LEFT(SUBSTITUTE($G182,CHAR(160)," "),5) &amp; "|Ideas Rate",
      TRIM(SUBSTITUTE($N$2:$N$38,CHAR(160)," ")) &amp; "|" &amp;
      LEFT(SUBSTITUTE($O$2:$O$38,CHAR(160)," "),5) &amp; "|" &amp;
      TRIM(SUBSTITUTE($P$2:$P$38,CHAR(160)," ")),
      $Q$2:$Q$38
    )
  ),
"")</f>
        <v>112.5</v>
      </c>
      <c r="L182" s="32" t="str">
        <f>IFERROR( VALUE($H182) * INDEX(#REF!, MATCH(UPPER(TRIM($F182)),#REF!,0)), "" )</f>
        <v/>
      </c>
    </row>
    <row r="183" spans="1:12" x14ac:dyDescent="0.2">
      <c r="A183" s="294">
        <v>45915</v>
      </c>
      <c r="B183" s="295" t="s">
        <v>169</v>
      </c>
      <c r="C183" s="77" t="s">
        <v>66</v>
      </c>
      <c r="D183" s="296" t="s">
        <v>190</v>
      </c>
      <c r="E183" s="296" t="s">
        <v>269</v>
      </c>
      <c r="F183" s="296" t="s">
        <v>9</v>
      </c>
      <c r="G183" s="297" t="s">
        <v>380</v>
      </c>
      <c r="H183" s="298">
        <v>0.5</v>
      </c>
      <c r="I183" s="299" cm="1">
        <f t="array" ref="I183">IFERROR(
  VALUE($H183) *
  VALUE(
    _xlfn.XLOOKUP(
      TRIM($F183) &amp; "|" &amp; LEFT(SUBSTITUTE($G183,CHAR(160)," "),5) &amp; "|Full Rate",
      TRIM(SUBSTITUTE($N$2:$N$38,CHAR(160)," ")) &amp; "|" &amp;
      LEFT(SUBSTITUTE($O$2:$O$38,CHAR(160)," "),5) &amp; "|" &amp;
      TRIM(SUBSTITUTE($P$2:$P$38,CHAR(160)," ")),
      $Q$2:$Q$38
    )
  ),
"")</f>
        <v>125</v>
      </c>
      <c r="J183" s="300" cm="1">
        <f t="array" ref="J183">IFERROR(
  VALUE($H183) *
  VALUE(
    _xlfn.XLOOKUP(
      TRIM($F183) &amp; "|" &amp; LEFT(SUBSTITUTE($G183,CHAR(160)," "),5) &amp; "|Reduced Rate",
      TRIM(SUBSTITUTE($N$2:$N$38,CHAR(160)," ")) &amp; "|" &amp;
      LEFT(SUBSTITUTE($O$2:$O$38,CHAR(160)," "),5) &amp; "|" &amp;
      TRIM(SUBSTITUTE($P$2:$P$38,CHAR(160)," ")),
      $Q$2:$Q$38
    )
  ),
"")</f>
        <v>75</v>
      </c>
      <c r="K183" s="301" cm="1">
        <f t="array" ref="K183">IFERROR(
  VALUE($H183) *
  VALUE(
    _xlfn.XLOOKUP(
      TRIM($F183) &amp; "|" &amp; LEFT(SUBSTITUTE($G183,CHAR(160)," "),5) &amp; "|Ideas Rate",
      TRIM(SUBSTITUTE($N$2:$N$38,CHAR(160)," ")) &amp; "|" &amp;
      LEFT(SUBSTITUTE($O$2:$O$38,CHAR(160)," "),5) &amp; "|" &amp;
      TRIM(SUBSTITUTE($P$2:$P$38,CHAR(160)," ")),
      $Q$2:$Q$38
    )
  ),
"")</f>
        <v>37.5</v>
      </c>
      <c r="L183" s="32" t="str">
        <f>IFERROR( VALUE($H183) * INDEX(#REF!, MATCH(UPPER(TRIM($F183)),#REF!,0)), "" )</f>
        <v/>
      </c>
    </row>
    <row r="184" spans="1:12" x14ac:dyDescent="0.2">
      <c r="A184" s="294">
        <v>45915</v>
      </c>
      <c r="B184" s="295" t="s">
        <v>169</v>
      </c>
      <c r="C184" s="77" t="s">
        <v>66</v>
      </c>
      <c r="D184" s="296" t="s">
        <v>29</v>
      </c>
      <c r="E184" s="296" t="s">
        <v>278</v>
      </c>
      <c r="F184" s="296" t="s">
        <v>9</v>
      </c>
      <c r="G184" s="297" t="s">
        <v>380</v>
      </c>
      <c r="H184" s="298">
        <v>0.75</v>
      </c>
      <c r="I184" s="299" cm="1">
        <f t="array" ref="I184">IFERROR(
  VALUE($H184) *
  VALUE(
    _xlfn.XLOOKUP(
      TRIM($F184) &amp; "|" &amp; LEFT(SUBSTITUTE($G184,CHAR(160)," "),5) &amp; "|Full Rate",
      TRIM(SUBSTITUTE($N$2:$N$38,CHAR(160)," ")) &amp; "|" &amp;
      LEFT(SUBSTITUTE($O$2:$O$38,CHAR(160)," "),5) &amp; "|" &amp;
      TRIM(SUBSTITUTE($P$2:$P$38,CHAR(160)," ")),
      $Q$2:$Q$38
    )
  ),
"")</f>
        <v>187.5</v>
      </c>
      <c r="J184" s="300" cm="1">
        <f t="array" ref="J184">IFERROR(
  VALUE($H184) *
  VALUE(
    _xlfn.XLOOKUP(
      TRIM($F184) &amp; "|" &amp; LEFT(SUBSTITUTE($G184,CHAR(160)," "),5) &amp; "|Reduced Rate",
      TRIM(SUBSTITUTE($N$2:$N$38,CHAR(160)," ")) &amp; "|" &amp;
      LEFT(SUBSTITUTE($O$2:$O$38,CHAR(160)," "),5) &amp; "|" &amp;
      TRIM(SUBSTITUTE($P$2:$P$38,CHAR(160)," ")),
      $Q$2:$Q$38
    )
  ),
"")</f>
        <v>112.5</v>
      </c>
      <c r="K184" s="301" cm="1">
        <f t="array" ref="K184">IFERROR(
  VALUE($H184) *
  VALUE(
    _xlfn.XLOOKUP(
      TRIM($F184) &amp; "|" &amp; LEFT(SUBSTITUTE($G184,CHAR(160)," "),5) &amp; "|Ideas Rate",
      TRIM(SUBSTITUTE($N$2:$N$38,CHAR(160)," ")) &amp; "|" &amp;
      LEFT(SUBSTITUTE($O$2:$O$38,CHAR(160)," "),5) &amp; "|" &amp;
      TRIM(SUBSTITUTE($P$2:$P$38,CHAR(160)," ")),
      $Q$2:$Q$38
    )
  ),
"")</f>
        <v>56.25</v>
      </c>
      <c r="L184" s="32" t="str">
        <f>IFERROR( VALUE($H184) * INDEX(#REF!, MATCH(UPPER(TRIM($F184)),#REF!,0)), "" )</f>
        <v/>
      </c>
    </row>
    <row r="185" spans="1:12" x14ac:dyDescent="0.2">
      <c r="A185" s="294">
        <v>45915</v>
      </c>
      <c r="B185" s="295" t="s">
        <v>169</v>
      </c>
      <c r="C185" s="77" t="s">
        <v>66</v>
      </c>
      <c r="D185" s="296" t="s">
        <v>187</v>
      </c>
      <c r="E185" s="296" t="s">
        <v>279</v>
      </c>
      <c r="F185" s="296" t="s">
        <v>9</v>
      </c>
      <c r="G185" s="297" t="s">
        <v>367</v>
      </c>
      <c r="H185" s="298">
        <v>2.5</v>
      </c>
      <c r="I185" s="299" cm="1">
        <f t="array" ref="I185">IFERROR(
  VALUE($H185) *
  VALUE(
    _xlfn.XLOOKUP(
      TRIM($F185) &amp; "|" &amp; LEFT(SUBSTITUTE($G185,CHAR(160)," "),5) &amp; "|Full Rate",
      TRIM(SUBSTITUTE($N$2:$N$38,CHAR(160)," ")) &amp; "|" &amp;
      LEFT(SUBSTITUTE($O$2:$O$38,CHAR(160)," "),5) &amp; "|" &amp;
      TRIM(SUBSTITUTE($P$2:$P$38,CHAR(160)," ")),
      $Q$2:$Q$38
    )
  ),
"")</f>
        <v>1250</v>
      </c>
      <c r="J185" s="300" cm="1">
        <f t="array" ref="J185">IFERROR(
  VALUE($H185) *
  VALUE(
    _xlfn.XLOOKUP(
      TRIM($F185) &amp; "|" &amp; LEFT(SUBSTITUTE($G185,CHAR(160)," "),5) &amp; "|Reduced Rate",
      TRIM(SUBSTITUTE($N$2:$N$38,CHAR(160)," ")) &amp; "|" &amp;
      LEFT(SUBSTITUTE($O$2:$O$38,CHAR(160)," "),5) &amp; "|" &amp;
      TRIM(SUBSTITUTE($P$2:$P$38,CHAR(160)," ")),
      $Q$2:$Q$38
    )
  ),
"")</f>
        <v>750</v>
      </c>
      <c r="K185" s="301" cm="1">
        <f t="array" ref="K185">IFERROR(
  VALUE($H185) *
  VALUE(
    _xlfn.XLOOKUP(
      TRIM($F185) &amp; "|" &amp; LEFT(SUBSTITUTE($G185,CHAR(160)," "),5) &amp; "|Ideas Rate",
      TRIM(SUBSTITUTE($N$2:$N$38,CHAR(160)," ")) &amp; "|" &amp;
      LEFT(SUBSTITUTE($O$2:$O$38,CHAR(160)," "),5) &amp; "|" &amp;
      TRIM(SUBSTITUTE($P$2:$P$38,CHAR(160)," ")),
      $Q$2:$Q$38
    )
  ),
"")</f>
        <v>375</v>
      </c>
      <c r="L185" s="32" t="str">
        <f>IFERROR( VALUE($H185) * INDEX(#REF!, MATCH(UPPER(TRIM($F185)),#REF!,0)), "" )</f>
        <v/>
      </c>
    </row>
    <row r="186" spans="1:12" ht="48" x14ac:dyDescent="0.2">
      <c r="A186" s="294">
        <v>45916</v>
      </c>
      <c r="B186" s="295" t="s">
        <v>169</v>
      </c>
      <c r="C186" s="77" t="s">
        <v>66</v>
      </c>
      <c r="D186" s="296" t="s">
        <v>187</v>
      </c>
      <c r="E186" s="302" t="s">
        <v>354</v>
      </c>
      <c r="F186" s="296" t="s">
        <v>9</v>
      </c>
      <c r="G186" s="297" t="s">
        <v>367</v>
      </c>
      <c r="H186" s="298">
        <v>8.5</v>
      </c>
      <c r="I186" s="299" cm="1">
        <f t="array" ref="I186">IFERROR(
  VALUE($H186) *
  VALUE(
    _xlfn.XLOOKUP(
      TRIM($F186) &amp; "|" &amp; LEFT(SUBSTITUTE($G186,CHAR(160)," "),5) &amp; "|Full Rate",
      TRIM(SUBSTITUTE($N$2:$N$38,CHAR(160)," ")) &amp; "|" &amp;
      LEFT(SUBSTITUTE($O$2:$O$38,CHAR(160)," "),5) &amp; "|" &amp;
      TRIM(SUBSTITUTE($P$2:$P$38,CHAR(160)," ")),
      $Q$2:$Q$38
    )
  ),
"")</f>
        <v>4250</v>
      </c>
      <c r="J186" s="300" cm="1">
        <f t="array" ref="J186">IFERROR(
  VALUE($H186) *
  VALUE(
    _xlfn.XLOOKUP(
      TRIM($F186) &amp; "|" &amp; LEFT(SUBSTITUTE($G186,CHAR(160)," "),5) &amp; "|Reduced Rate",
      TRIM(SUBSTITUTE($N$2:$N$38,CHAR(160)," ")) &amp; "|" &amp;
      LEFT(SUBSTITUTE($O$2:$O$38,CHAR(160)," "),5) &amp; "|" &amp;
      TRIM(SUBSTITUTE($P$2:$P$38,CHAR(160)," ")),
      $Q$2:$Q$38
    )
  ),
"")</f>
        <v>2550</v>
      </c>
      <c r="K186" s="301" cm="1">
        <f t="array" ref="K186">IFERROR(
  VALUE($H186) *
  VALUE(
    _xlfn.XLOOKUP(
      TRIM($F186) &amp; "|" &amp; LEFT(SUBSTITUTE($G186,CHAR(160)," "),5) &amp; "|Ideas Rate",
      TRIM(SUBSTITUTE($N$2:$N$38,CHAR(160)," ")) &amp; "|" &amp;
      LEFT(SUBSTITUTE($O$2:$O$38,CHAR(160)," "),5) &amp; "|" &amp;
      TRIM(SUBSTITUTE($P$2:$P$38,CHAR(160)," ")),
      $Q$2:$Q$38
    )
  ),
"")</f>
        <v>1275</v>
      </c>
      <c r="L186" s="32" t="str">
        <f>IFERROR( VALUE($H186) * INDEX(#REF!, MATCH(UPPER(TRIM($F186)),#REF!,0)), "" )</f>
        <v/>
      </c>
    </row>
    <row r="187" spans="1:12" x14ac:dyDescent="0.2">
      <c r="A187" s="294">
        <v>45916</v>
      </c>
      <c r="B187" s="295" t="s">
        <v>169</v>
      </c>
      <c r="C187" s="77" t="s">
        <v>66</v>
      </c>
      <c r="D187" s="296" t="s">
        <v>190</v>
      </c>
      <c r="E187" s="296" t="s">
        <v>277</v>
      </c>
      <c r="F187" s="296" t="s">
        <v>9</v>
      </c>
      <c r="G187" s="297" t="s">
        <v>380</v>
      </c>
      <c r="H187" s="298">
        <v>0.75</v>
      </c>
      <c r="I187" s="299" cm="1">
        <f t="array" ref="I187">IFERROR(
  VALUE($H187) *
  VALUE(
    _xlfn.XLOOKUP(
      TRIM($F187) &amp; "|" &amp; LEFT(SUBSTITUTE($G187,CHAR(160)," "),5) &amp; "|Full Rate",
      TRIM(SUBSTITUTE($N$2:$N$38,CHAR(160)," ")) &amp; "|" &amp;
      LEFT(SUBSTITUTE($O$2:$O$38,CHAR(160)," "),5) &amp; "|" &amp;
      TRIM(SUBSTITUTE($P$2:$P$38,CHAR(160)," ")),
      $Q$2:$Q$38
    )
  ),
"")</f>
        <v>187.5</v>
      </c>
      <c r="J187" s="300" cm="1">
        <f t="array" ref="J187">IFERROR(
  VALUE($H187) *
  VALUE(
    _xlfn.XLOOKUP(
      TRIM($F187) &amp; "|" &amp; LEFT(SUBSTITUTE($G187,CHAR(160)," "),5) &amp; "|Reduced Rate",
      TRIM(SUBSTITUTE($N$2:$N$38,CHAR(160)," ")) &amp; "|" &amp;
      LEFT(SUBSTITUTE($O$2:$O$38,CHAR(160)," "),5) &amp; "|" &amp;
      TRIM(SUBSTITUTE($P$2:$P$38,CHAR(160)," ")),
      $Q$2:$Q$38
    )
  ),
"")</f>
        <v>112.5</v>
      </c>
      <c r="K187" s="301" cm="1">
        <f t="array" ref="K187">IFERROR(
  VALUE($H187) *
  VALUE(
    _xlfn.XLOOKUP(
      TRIM($F187) &amp; "|" &amp; LEFT(SUBSTITUTE($G187,CHAR(160)," "),5) &amp; "|Ideas Rate",
      TRIM(SUBSTITUTE($N$2:$N$38,CHAR(160)," ")) &amp; "|" &amp;
      LEFT(SUBSTITUTE($O$2:$O$38,CHAR(160)," "),5) &amp; "|" &amp;
      TRIM(SUBSTITUTE($P$2:$P$38,CHAR(160)," ")),
      $Q$2:$Q$38
    )
  ),
"")</f>
        <v>56.25</v>
      </c>
      <c r="L187" s="32" t="str">
        <f>IFERROR( VALUE($H187) * INDEX(#REF!, MATCH(UPPER(TRIM($F187)),#REF!,0)), "" )</f>
        <v/>
      </c>
    </row>
    <row r="188" spans="1:12" x14ac:dyDescent="0.2">
      <c r="A188" s="294">
        <v>45916</v>
      </c>
      <c r="B188" s="295" t="s">
        <v>169</v>
      </c>
      <c r="C188" s="77" t="s">
        <v>66</v>
      </c>
      <c r="D188" s="296" t="s">
        <v>190</v>
      </c>
      <c r="E188" s="296" t="s">
        <v>280</v>
      </c>
      <c r="F188" s="296" t="s">
        <v>9</v>
      </c>
      <c r="G188" s="297" t="s">
        <v>368</v>
      </c>
      <c r="H188" s="298">
        <v>0.5</v>
      </c>
      <c r="I188" s="299" cm="1">
        <f t="array" ref="I188">IFERROR(
  VALUE($H188) *
  VALUE(
    _xlfn.XLOOKUP(
      TRIM($F188) &amp; "|" &amp; LEFT(SUBSTITUTE($G188,CHAR(160)," "),5) &amp; "|Full Rate",
      TRIM(SUBSTITUTE($N$2:$N$38,CHAR(160)," ")) &amp; "|" &amp;
      LEFT(SUBSTITUTE($O$2:$O$38,CHAR(160)," "),5) &amp; "|" &amp;
      TRIM(SUBSTITUTE($P$2:$P$38,CHAR(160)," ")),
      $Q$2:$Q$38
    )
  ),
"")</f>
        <v>50</v>
      </c>
      <c r="J188" s="300" cm="1">
        <f t="array" ref="J188">IFERROR(
  VALUE($H188) *
  VALUE(
    _xlfn.XLOOKUP(
      TRIM($F188) &amp; "|" &amp; LEFT(SUBSTITUTE($G188,CHAR(160)," "),5) &amp; "|Reduced Rate",
      TRIM(SUBSTITUTE($N$2:$N$38,CHAR(160)," ")) &amp; "|" &amp;
      LEFT(SUBSTITUTE($O$2:$O$38,CHAR(160)," "),5) &amp; "|" &amp;
      TRIM(SUBSTITUTE($P$2:$P$38,CHAR(160)," ")),
      $Q$2:$Q$38
    )
  ),
"")</f>
        <v>25</v>
      </c>
      <c r="K188" s="301" cm="1">
        <f t="array" ref="K188">IFERROR(
  VALUE($H188) *
  VALUE(
    _xlfn.XLOOKUP(
      TRIM($F188) &amp; "|" &amp; LEFT(SUBSTITUTE($G188,CHAR(160)," "),5) &amp; "|Ideas Rate",
      TRIM(SUBSTITUTE($N$2:$N$38,CHAR(160)," ")) &amp; "|" &amp;
      LEFT(SUBSTITUTE($O$2:$O$38,CHAR(160)," "),5) &amp; "|" &amp;
      TRIM(SUBSTITUTE($P$2:$P$38,CHAR(160)," ")),
      $Q$2:$Q$38
    )
  ),
"")</f>
        <v>15</v>
      </c>
      <c r="L188" s="32" t="str">
        <f>IFERROR( VALUE($H188) * INDEX(#REF!, MATCH(UPPER(TRIM($F188)),#REF!,0)), "" )</f>
        <v/>
      </c>
    </row>
    <row r="189" spans="1:12" x14ac:dyDescent="0.2">
      <c r="A189" s="294">
        <v>45916</v>
      </c>
      <c r="B189" s="295" t="s">
        <v>169</v>
      </c>
      <c r="C189" s="77" t="s">
        <v>66</v>
      </c>
      <c r="D189" s="296" t="s">
        <v>187</v>
      </c>
      <c r="E189" s="296" t="s">
        <v>281</v>
      </c>
      <c r="F189" s="296" t="s">
        <v>9</v>
      </c>
      <c r="G189" s="297" t="s">
        <v>367</v>
      </c>
      <c r="H189" s="298">
        <v>2.5</v>
      </c>
      <c r="I189" s="299" cm="1">
        <f t="array" ref="I189">IFERROR(
  VALUE($H189) *
  VALUE(
    _xlfn.XLOOKUP(
      TRIM($F189) &amp; "|" &amp; LEFT(SUBSTITUTE($G189,CHAR(160)," "),5) &amp; "|Full Rate",
      TRIM(SUBSTITUTE($N$2:$N$38,CHAR(160)," ")) &amp; "|" &amp;
      LEFT(SUBSTITUTE($O$2:$O$38,CHAR(160)," "),5) &amp; "|" &amp;
      TRIM(SUBSTITUTE($P$2:$P$38,CHAR(160)," ")),
      $Q$2:$Q$38
    )
  ),
"")</f>
        <v>1250</v>
      </c>
      <c r="J189" s="300" cm="1">
        <f t="array" ref="J189">IFERROR(
  VALUE($H189) *
  VALUE(
    _xlfn.XLOOKUP(
      TRIM($F189) &amp; "|" &amp; LEFT(SUBSTITUTE($G189,CHAR(160)," "),5) &amp; "|Reduced Rate",
      TRIM(SUBSTITUTE($N$2:$N$38,CHAR(160)," ")) &amp; "|" &amp;
      LEFT(SUBSTITUTE($O$2:$O$38,CHAR(160)," "),5) &amp; "|" &amp;
      TRIM(SUBSTITUTE($P$2:$P$38,CHAR(160)," ")),
      $Q$2:$Q$38
    )
  ),
"")</f>
        <v>750</v>
      </c>
      <c r="K189" s="301" cm="1">
        <f t="array" ref="K189">IFERROR(
  VALUE($H189) *
  VALUE(
    _xlfn.XLOOKUP(
      TRIM($F189) &amp; "|" &amp; LEFT(SUBSTITUTE($G189,CHAR(160)," "),5) &amp; "|Ideas Rate",
      TRIM(SUBSTITUTE($N$2:$N$38,CHAR(160)," ")) &amp; "|" &amp;
      LEFT(SUBSTITUTE($O$2:$O$38,CHAR(160)," "),5) &amp; "|" &amp;
      TRIM(SUBSTITUTE($P$2:$P$38,CHAR(160)," ")),
      $Q$2:$Q$38
    )
  ),
"")</f>
        <v>375</v>
      </c>
      <c r="L189" s="32" t="str">
        <f>IFERROR( VALUE($H189) * INDEX(#REF!, MATCH(UPPER(TRIM($F189)),#REF!,0)), "" )</f>
        <v/>
      </c>
    </row>
    <row r="190" spans="1:12" x14ac:dyDescent="0.2">
      <c r="A190" s="294">
        <v>45916</v>
      </c>
      <c r="B190" s="295" t="s">
        <v>169</v>
      </c>
      <c r="C190" s="77" t="s">
        <v>66</v>
      </c>
      <c r="D190" s="296" t="s">
        <v>187</v>
      </c>
      <c r="E190" s="296" t="s">
        <v>282</v>
      </c>
      <c r="F190" s="296" t="s">
        <v>9</v>
      </c>
      <c r="G190" s="297" t="s">
        <v>380</v>
      </c>
      <c r="H190" s="298">
        <v>5.5</v>
      </c>
      <c r="I190" s="299" cm="1">
        <f t="array" ref="I190">IFERROR(
  VALUE($H190) *
  VALUE(
    _xlfn.XLOOKUP(
      TRIM($F190) &amp; "|" &amp; LEFT(SUBSTITUTE($G190,CHAR(160)," "),5) &amp; "|Full Rate",
      TRIM(SUBSTITUTE($N$2:$N$38,CHAR(160)," ")) &amp; "|" &amp;
      LEFT(SUBSTITUTE($O$2:$O$38,CHAR(160)," "),5) &amp; "|" &amp;
      TRIM(SUBSTITUTE($P$2:$P$38,CHAR(160)," ")),
      $Q$2:$Q$38
    )
  ),
"")</f>
        <v>1375</v>
      </c>
      <c r="J190" s="300" cm="1">
        <f t="array" ref="J190">IFERROR(
  VALUE($H190) *
  VALUE(
    _xlfn.XLOOKUP(
      TRIM($F190) &amp; "|" &amp; LEFT(SUBSTITUTE($G190,CHAR(160)," "),5) &amp; "|Reduced Rate",
      TRIM(SUBSTITUTE($N$2:$N$38,CHAR(160)," ")) &amp; "|" &amp;
      LEFT(SUBSTITUTE($O$2:$O$38,CHAR(160)," "),5) &amp; "|" &amp;
      TRIM(SUBSTITUTE($P$2:$P$38,CHAR(160)," ")),
      $Q$2:$Q$38
    )
  ),
"")</f>
        <v>825</v>
      </c>
      <c r="K190" s="301" cm="1">
        <f t="array" ref="K190">IFERROR(
  VALUE($H190) *
  VALUE(
    _xlfn.XLOOKUP(
      TRIM($F190) &amp; "|" &amp; LEFT(SUBSTITUTE($G190,CHAR(160)," "),5) &amp; "|Ideas Rate",
      TRIM(SUBSTITUTE($N$2:$N$38,CHAR(160)," ")) &amp; "|" &amp;
      LEFT(SUBSTITUTE($O$2:$O$38,CHAR(160)," "),5) &amp; "|" &amp;
      TRIM(SUBSTITUTE($P$2:$P$38,CHAR(160)," ")),
      $Q$2:$Q$38
    )
  ),
"")</f>
        <v>412.5</v>
      </c>
      <c r="L190" s="32" t="str">
        <f>IFERROR( VALUE($H190) * INDEX(#REF!, MATCH(UPPER(TRIM($F190)),#REF!,0)), "" )</f>
        <v/>
      </c>
    </row>
    <row r="191" spans="1:12" x14ac:dyDescent="0.2">
      <c r="A191" s="294">
        <v>45916</v>
      </c>
      <c r="B191" s="295" t="s">
        <v>169</v>
      </c>
      <c r="C191" s="77" t="s">
        <v>66</v>
      </c>
      <c r="D191" s="296" t="s">
        <v>187</v>
      </c>
      <c r="E191" s="296" t="s">
        <v>283</v>
      </c>
      <c r="F191" s="296" t="s">
        <v>9</v>
      </c>
      <c r="G191" s="297" t="s">
        <v>380</v>
      </c>
      <c r="H191" s="298">
        <v>4.5</v>
      </c>
      <c r="I191" s="299" cm="1">
        <f t="array" ref="I191">IFERROR(
  VALUE($H191) *
  VALUE(
    _xlfn.XLOOKUP(
      TRIM($F191) &amp; "|" &amp; LEFT(SUBSTITUTE($G191,CHAR(160)," "),5) &amp; "|Full Rate",
      TRIM(SUBSTITUTE($N$2:$N$38,CHAR(160)," ")) &amp; "|" &amp;
      LEFT(SUBSTITUTE($O$2:$O$38,CHAR(160)," "),5) &amp; "|" &amp;
      TRIM(SUBSTITUTE($P$2:$P$38,CHAR(160)," ")),
      $Q$2:$Q$38
    )
  ),
"")</f>
        <v>1125</v>
      </c>
      <c r="J191" s="300" cm="1">
        <f t="array" ref="J191">IFERROR(
  VALUE($H191) *
  VALUE(
    _xlfn.XLOOKUP(
      TRIM($F191) &amp; "|" &amp; LEFT(SUBSTITUTE($G191,CHAR(160)," "),5) &amp; "|Reduced Rate",
      TRIM(SUBSTITUTE($N$2:$N$38,CHAR(160)," ")) &amp; "|" &amp;
      LEFT(SUBSTITUTE($O$2:$O$38,CHAR(160)," "),5) &amp; "|" &amp;
      TRIM(SUBSTITUTE($P$2:$P$38,CHAR(160)," ")),
      $Q$2:$Q$38
    )
  ),
"")</f>
        <v>675</v>
      </c>
      <c r="K191" s="301" cm="1">
        <f t="array" ref="K191">IFERROR(
  VALUE($H191) *
  VALUE(
    _xlfn.XLOOKUP(
      TRIM($F191) &amp; "|" &amp; LEFT(SUBSTITUTE($G191,CHAR(160)," "),5) &amp; "|Ideas Rate",
      TRIM(SUBSTITUTE($N$2:$N$38,CHAR(160)," ")) &amp; "|" &amp;
      LEFT(SUBSTITUTE($O$2:$O$38,CHAR(160)," "),5) &amp; "|" &amp;
      TRIM(SUBSTITUTE($P$2:$P$38,CHAR(160)," ")),
      $Q$2:$Q$38
    )
  ),
"")</f>
        <v>337.5</v>
      </c>
      <c r="L191" s="32" t="str">
        <f>IFERROR( VALUE($H191) * INDEX(#REF!, MATCH(UPPER(TRIM($F191)),#REF!,0)), "" )</f>
        <v/>
      </c>
    </row>
    <row r="192" spans="1:12" x14ac:dyDescent="0.2">
      <c r="A192" s="294">
        <v>45916</v>
      </c>
      <c r="B192" s="295" t="s">
        <v>169</v>
      </c>
      <c r="C192" s="77" t="s">
        <v>66</v>
      </c>
      <c r="D192" s="296" t="s">
        <v>29</v>
      </c>
      <c r="E192" s="296" t="s">
        <v>284</v>
      </c>
      <c r="F192" s="296" t="s">
        <v>9</v>
      </c>
      <c r="G192" s="297" t="s">
        <v>368</v>
      </c>
      <c r="H192" s="298">
        <v>1</v>
      </c>
      <c r="I192" s="299" cm="1">
        <f t="array" ref="I192">IFERROR(
  VALUE($H192) *
  VALUE(
    _xlfn.XLOOKUP(
      TRIM($F192) &amp; "|" &amp; LEFT(SUBSTITUTE($G192,CHAR(160)," "),5) &amp; "|Full Rate",
      TRIM(SUBSTITUTE($N$2:$N$38,CHAR(160)," ")) &amp; "|" &amp;
      LEFT(SUBSTITUTE($O$2:$O$38,CHAR(160)," "),5) &amp; "|" &amp;
      TRIM(SUBSTITUTE($P$2:$P$38,CHAR(160)," ")),
      $Q$2:$Q$38
    )
  ),
"")</f>
        <v>100</v>
      </c>
      <c r="J192" s="300" cm="1">
        <f t="array" ref="J192">IFERROR(
  VALUE($H192) *
  VALUE(
    _xlfn.XLOOKUP(
      TRIM($F192) &amp; "|" &amp; LEFT(SUBSTITUTE($G192,CHAR(160)," "),5) &amp; "|Reduced Rate",
      TRIM(SUBSTITUTE($N$2:$N$38,CHAR(160)," ")) &amp; "|" &amp;
      LEFT(SUBSTITUTE($O$2:$O$38,CHAR(160)," "),5) &amp; "|" &amp;
      TRIM(SUBSTITUTE($P$2:$P$38,CHAR(160)," ")),
      $Q$2:$Q$38
    )
  ),
"")</f>
        <v>50</v>
      </c>
      <c r="K192" s="301" cm="1">
        <f t="array" ref="K192">IFERROR(
  VALUE($H192) *
  VALUE(
    _xlfn.XLOOKUP(
      TRIM($F192) &amp; "|" &amp; LEFT(SUBSTITUTE($G192,CHAR(160)," "),5) &amp; "|Ideas Rate",
      TRIM(SUBSTITUTE($N$2:$N$38,CHAR(160)," ")) &amp; "|" &amp;
      LEFT(SUBSTITUTE($O$2:$O$38,CHAR(160)," "),5) &amp; "|" &amp;
      TRIM(SUBSTITUTE($P$2:$P$38,CHAR(160)," ")),
      $Q$2:$Q$38
    )
  ),
"")</f>
        <v>30</v>
      </c>
      <c r="L192" s="32" t="str">
        <f>IFERROR( VALUE($H192) * INDEX(#REF!, MATCH(UPPER(TRIM($F192)),#REF!,0)), "" )</f>
        <v/>
      </c>
    </row>
    <row r="193" spans="1:12" x14ac:dyDescent="0.2">
      <c r="A193" s="294">
        <v>45917</v>
      </c>
      <c r="B193" s="295" t="s">
        <v>169</v>
      </c>
      <c r="C193" s="77" t="s">
        <v>66</v>
      </c>
      <c r="D193" s="296" t="s">
        <v>29</v>
      </c>
      <c r="E193" s="296" t="s">
        <v>285</v>
      </c>
      <c r="F193" s="296" t="s">
        <v>9</v>
      </c>
      <c r="G193" s="297" t="s">
        <v>380</v>
      </c>
      <c r="H193" s="298">
        <v>0.75</v>
      </c>
      <c r="I193" s="299" cm="1">
        <f t="array" ref="I193">IFERROR(
  VALUE($H193) *
  VALUE(
    _xlfn.XLOOKUP(
      TRIM($F193) &amp; "|" &amp; LEFT(SUBSTITUTE($G193,CHAR(160)," "),5) &amp; "|Full Rate",
      TRIM(SUBSTITUTE($N$2:$N$38,CHAR(160)," ")) &amp; "|" &amp;
      LEFT(SUBSTITUTE($O$2:$O$38,CHAR(160)," "),5) &amp; "|" &amp;
      TRIM(SUBSTITUTE($P$2:$P$38,CHAR(160)," ")),
      $Q$2:$Q$38
    )
  ),
"")</f>
        <v>187.5</v>
      </c>
      <c r="J193" s="300" cm="1">
        <f t="array" ref="J193">IFERROR(
  VALUE($H193) *
  VALUE(
    _xlfn.XLOOKUP(
      TRIM($F193) &amp; "|" &amp; LEFT(SUBSTITUTE($G193,CHAR(160)," "),5) &amp; "|Reduced Rate",
      TRIM(SUBSTITUTE($N$2:$N$38,CHAR(160)," ")) &amp; "|" &amp;
      LEFT(SUBSTITUTE($O$2:$O$38,CHAR(160)," "),5) &amp; "|" &amp;
      TRIM(SUBSTITUTE($P$2:$P$38,CHAR(160)," ")),
      $Q$2:$Q$38
    )
  ),
"")</f>
        <v>112.5</v>
      </c>
      <c r="K193" s="301" cm="1">
        <f t="array" ref="K193">IFERROR(
  VALUE($H193) *
  VALUE(
    _xlfn.XLOOKUP(
      TRIM($F193) &amp; "|" &amp; LEFT(SUBSTITUTE($G193,CHAR(160)," "),5) &amp; "|Ideas Rate",
      TRIM(SUBSTITUTE($N$2:$N$38,CHAR(160)," ")) &amp; "|" &amp;
      LEFT(SUBSTITUTE($O$2:$O$38,CHAR(160)," "),5) &amp; "|" &amp;
      TRIM(SUBSTITUTE($P$2:$P$38,CHAR(160)," ")),
      $Q$2:$Q$38
    )
  ),
"")</f>
        <v>56.25</v>
      </c>
      <c r="L193" s="32" t="str">
        <f>IFERROR( VALUE($H193) * INDEX(#REF!, MATCH(UPPER(TRIM($F193)),#REF!,0)), "" )</f>
        <v/>
      </c>
    </row>
    <row r="194" spans="1:12" x14ac:dyDescent="0.2">
      <c r="A194" s="294">
        <v>45917</v>
      </c>
      <c r="B194" s="295" t="s">
        <v>169</v>
      </c>
      <c r="C194" s="77" t="s">
        <v>66</v>
      </c>
      <c r="D194" s="296" t="s">
        <v>187</v>
      </c>
      <c r="E194" s="296" t="s">
        <v>286</v>
      </c>
      <c r="F194" s="296" t="s">
        <v>9</v>
      </c>
      <c r="G194" s="297" t="s">
        <v>380</v>
      </c>
      <c r="H194" s="298">
        <v>2.5</v>
      </c>
      <c r="I194" s="299" cm="1">
        <f t="array" ref="I194">IFERROR(
  VALUE($H194) *
  VALUE(
    _xlfn.XLOOKUP(
      TRIM($F194) &amp; "|" &amp; LEFT(SUBSTITUTE($G194,CHAR(160)," "),5) &amp; "|Full Rate",
      TRIM(SUBSTITUTE($N$2:$N$38,CHAR(160)," ")) &amp; "|" &amp;
      LEFT(SUBSTITUTE($O$2:$O$38,CHAR(160)," "),5) &amp; "|" &amp;
      TRIM(SUBSTITUTE($P$2:$P$38,CHAR(160)," ")),
      $Q$2:$Q$38
    )
  ),
"")</f>
        <v>625</v>
      </c>
      <c r="J194" s="300" cm="1">
        <f t="array" ref="J194">IFERROR(
  VALUE($H194) *
  VALUE(
    _xlfn.XLOOKUP(
      TRIM($F194) &amp; "|" &amp; LEFT(SUBSTITUTE($G194,CHAR(160)," "),5) &amp; "|Reduced Rate",
      TRIM(SUBSTITUTE($N$2:$N$38,CHAR(160)," ")) &amp; "|" &amp;
      LEFT(SUBSTITUTE($O$2:$O$38,CHAR(160)," "),5) &amp; "|" &amp;
      TRIM(SUBSTITUTE($P$2:$P$38,CHAR(160)," ")),
      $Q$2:$Q$38
    )
  ),
"")</f>
        <v>375</v>
      </c>
      <c r="K194" s="301" cm="1">
        <f t="array" ref="K194">IFERROR(
  VALUE($H194) *
  VALUE(
    _xlfn.XLOOKUP(
      TRIM($F194) &amp; "|" &amp; LEFT(SUBSTITUTE($G194,CHAR(160)," "),5) &amp; "|Ideas Rate",
      TRIM(SUBSTITUTE($N$2:$N$38,CHAR(160)," ")) &amp; "|" &amp;
      LEFT(SUBSTITUTE($O$2:$O$38,CHAR(160)," "),5) &amp; "|" &amp;
      TRIM(SUBSTITUTE($P$2:$P$38,CHAR(160)," ")),
      $Q$2:$Q$38
    )
  ),
"")</f>
        <v>187.5</v>
      </c>
      <c r="L194" s="32" t="str">
        <f>IFERROR( VALUE($H194) * INDEX(#REF!, MATCH(UPPER(TRIM($F194)),#REF!,0)), "" )</f>
        <v/>
      </c>
    </row>
    <row r="195" spans="1:12" x14ac:dyDescent="0.2">
      <c r="A195" s="294">
        <v>45917</v>
      </c>
      <c r="B195" s="295" t="s">
        <v>169</v>
      </c>
      <c r="C195" s="77" t="s">
        <v>66</v>
      </c>
      <c r="D195" s="296" t="s">
        <v>187</v>
      </c>
      <c r="E195" s="296" t="s">
        <v>287</v>
      </c>
      <c r="F195" s="296" t="s">
        <v>9</v>
      </c>
      <c r="G195" s="297" t="s">
        <v>380</v>
      </c>
      <c r="H195" s="298">
        <v>1.5</v>
      </c>
      <c r="I195" s="299" cm="1">
        <f t="array" ref="I195">IFERROR(
  VALUE($H195) *
  VALUE(
    _xlfn.XLOOKUP(
      TRIM($F195) &amp; "|" &amp; LEFT(SUBSTITUTE($G195,CHAR(160)," "),5) &amp; "|Full Rate",
      TRIM(SUBSTITUTE($N$2:$N$38,CHAR(160)," ")) &amp; "|" &amp;
      LEFT(SUBSTITUTE($O$2:$O$38,CHAR(160)," "),5) &amp; "|" &amp;
      TRIM(SUBSTITUTE($P$2:$P$38,CHAR(160)," ")),
      $Q$2:$Q$38
    )
  ),
"")</f>
        <v>375</v>
      </c>
      <c r="J195" s="300" cm="1">
        <f t="array" ref="J195">IFERROR(
  VALUE($H195) *
  VALUE(
    _xlfn.XLOOKUP(
      TRIM($F195) &amp; "|" &amp; LEFT(SUBSTITUTE($G195,CHAR(160)," "),5) &amp; "|Reduced Rate",
      TRIM(SUBSTITUTE($N$2:$N$38,CHAR(160)," ")) &amp; "|" &amp;
      LEFT(SUBSTITUTE($O$2:$O$38,CHAR(160)," "),5) &amp; "|" &amp;
      TRIM(SUBSTITUTE($P$2:$P$38,CHAR(160)," ")),
      $Q$2:$Q$38
    )
  ),
"")</f>
        <v>225</v>
      </c>
      <c r="K195" s="301" cm="1">
        <f t="array" ref="K195">IFERROR(
  VALUE($H195) *
  VALUE(
    _xlfn.XLOOKUP(
      TRIM($F195) &amp; "|" &amp; LEFT(SUBSTITUTE($G195,CHAR(160)," "),5) &amp; "|Ideas Rate",
      TRIM(SUBSTITUTE($N$2:$N$38,CHAR(160)," ")) &amp; "|" &amp;
      LEFT(SUBSTITUTE($O$2:$O$38,CHAR(160)," "),5) &amp; "|" &amp;
      TRIM(SUBSTITUTE($P$2:$P$38,CHAR(160)," ")),
      $Q$2:$Q$38
    )
  ),
"")</f>
        <v>112.5</v>
      </c>
      <c r="L195" s="32" t="str">
        <f>IFERROR( VALUE($H195) * INDEX(#REF!, MATCH(UPPER(TRIM($F195)),#REF!,0)), "" )</f>
        <v/>
      </c>
    </row>
    <row r="196" spans="1:12" x14ac:dyDescent="0.2">
      <c r="A196" s="294">
        <v>45917</v>
      </c>
      <c r="B196" s="295" t="s">
        <v>169</v>
      </c>
      <c r="C196" s="77" t="s">
        <v>66</v>
      </c>
      <c r="D196" s="296" t="s">
        <v>187</v>
      </c>
      <c r="E196" s="296" t="s">
        <v>288</v>
      </c>
      <c r="F196" s="296" t="s">
        <v>9</v>
      </c>
      <c r="G196" s="297" t="s">
        <v>367</v>
      </c>
      <c r="H196" s="298">
        <v>2.5</v>
      </c>
      <c r="I196" s="299" cm="1">
        <f t="array" ref="I196">IFERROR(
  VALUE($H196) *
  VALUE(
    _xlfn.XLOOKUP(
      TRIM($F196) &amp; "|" &amp; LEFT(SUBSTITUTE($G196,CHAR(160)," "),5) &amp; "|Full Rate",
      TRIM(SUBSTITUTE($N$2:$N$38,CHAR(160)," ")) &amp; "|" &amp;
      LEFT(SUBSTITUTE($O$2:$O$38,CHAR(160)," "),5) &amp; "|" &amp;
      TRIM(SUBSTITUTE($P$2:$P$38,CHAR(160)," ")),
      $Q$2:$Q$38
    )
  ),
"")</f>
        <v>1250</v>
      </c>
      <c r="J196" s="300" cm="1">
        <f t="array" ref="J196">IFERROR(
  VALUE($H196) *
  VALUE(
    _xlfn.XLOOKUP(
      TRIM($F196) &amp; "|" &amp; LEFT(SUBSTITUTE($G196,CHAR(160)," "),5) &amp; "|Reduced Rate",
      TRIM(SUBSTITUTE($N$2:$N$38,CHAR(160)," ")) &amp; "|" &amp;
      LEFT(SUBSTITUTE($O$2:$O$38,CHAR(160)," "),5) &amp; "|" &amp;
      TRIM(SUBSTITUTE($P$2:$P$38,CHAR(160)," ")),
      $Q$2:$Q$38
    )
  ),
"")</f>
        <v>750</v>
      </c>
      <c r="K196" s="301" cm="1">
        <f t="array" ref="K196">IFERROR(
  VALUE($H196) *
  VALUE(
    _xlfn.XLOOKUP(
      TRIM($F196) &amp; "|" &amp; LEFT(SUBSTITUTE($G196,CHAR(160)," "),5) &amp; "|Ideas Rate",
      TRIM(SUBSTITUTE($N$2:$N$38,CHAR(160)," ")) &amp; "|" &amp;
      LEFT(SUBSTITUTE($O$2:$O$38,CHAR(160)," "),5) &amp; "|" &amp;
      TRIM(SUBSTITUTE($P$2:$P$38,CHAR(160)," ")),
      $Q$2:$Q$38
    )
  ),
"")</f>
        <v>375</v>
      </c>
      <c r="L196" s="32" t="str">
        <f>IFERROR( VALUE($H196) * INDEX(#REF!, MATCH(UPPER(TRIM($F196)),#REF!,0)), "" )</f>
        <v/>
      </c>
    </row>
    <row r="197" spans="1:12" x14ac:dyDescent="0.2">
      <c r="A197" s="294">
        <v>45917</v>
      </c>
      <c r="B197" s="295" t="s">
        <v>169</v>
      </c>
      <c r="C197" s="77" t="s">
        <v>66</v>
      </c>
      <c r="D197" s="296" t="s">
        <v>190</v>
      </c>
      <c r="E197" s="296" t="s">
        <v>289</v>
      </c>
      <c r="F197" s="296" t="s">
        <v>9</v>
      </c>
      <c r="G197" s="297" t="s">
        <v>368</v>
      </c>
      <c r="H197" s="298">
        <v>0.25</v>
      </c>
      <c r="I197" s="299" cm="1">
        <f t="array" ref="I197">IFERROR(
  VALUE($H197) *
  VALUE(
    _xlfn.XLOOKUP(
      TRIM($F197) &amp; "|" &amp; LEFT(SUBSTITUTE($G197,CHAR(160)," "),5) &amp; "|Full Rate",
      TRIM(SUBSTITUTE($N$2:$N$38,CHAR(160)," ")) &amp; "|" &amp;
      LEFT(SUBSTITUTE($O$2:$O$38,CHAR(160)," "),5) &amp; "|" &amp;
      TRIM(SUBSTITUTE($P$2:$P$38,CHAR(160)," ")),
      $Q$2:$Q$38
    )
  ),
"")</f>
        <v>25</v>
      </c>
      <c r="J197" s="300" cm="1">
        <f t="array" ref="J197">IFERROR(
  VALUE($H197) *
  VALUE(
    _xlfn.XLOOKUP(
      TRIM($F197) &amp; "|" &amp; LEFT(SUBSTITUTE($G197,CHAR(160)," "),5) &amp; "|Reduced Rate",
      TRIM(SUBSTITUTE($N$2:$N$38,CHAR(160)," ")) &amp; "|" &amp;
      LEFT(SUBSTITUTE($O$2:$O$38,CHAR(160)," "),5) &amp; "|" &amp;
      TRIM(SUBSTITUTE($P$2:$P$38,CHAR(160)," ")),
      $Q$2:$Q$38
    )
  ),
"")</f>
        <v>12.5</v>
      </c>
      <c r="K197" s="301" cm="1">
        <f t="array" ref="K197">IFERROR(
  VALUE($H197) *
  VALUE(
    _xlfn.XLOOKUP(
      TRIM($F197) &amp; "|" &amp; LEFT(SUBSTITUTE($G197,CHAR(160)," "),5) &amp; "|Ideas Rate",
      TRIM(SUBSTITUTE($N$2:$N$38,CHAR(160)," ")) &amp; "|" &amp;
      LEFT(SUBSTITUTE($O$2:$O$38,CHAR(160)," "),5) &amp; "|" &amp;
      TRIM(SUBSTITUTE($P$2:$P$38,CHAR(160)," ")),
      $Q$2:$Q$38
    )
  ),
"")</f>
        <v>7.5</v>
      </c>
      <c r="L197" s="32" t="str">
        <f>IFERROR( VALUE($H197) * INDEX(#REF!, MATCH(UPPER(TRIM($F197)),#REF!,0)), "" )</f>
        <v/>
      </c>
    </row>
    <row r="198" spans="1:12" x14ac:dyDescent="0.2">
      <c r="A198" s="10">
        <v>45923</v>
      </c>
      <c r="B198" s="28" t="s">
        <v>169</v>
      </c>
      <c r="C198" s="20" t="s">
        <v>66</v>
      </c>
      <c r="D198" s="18" t="s">
        <v>178</v>
      </c>
      <c r="E198" s="18" t="s">
        <v>290</v>
      </c>
      <c r="F198" s="18" t="s">
        <v>155</v>
      </c>
      <c r="G198" s="22" t="s">
        <v>380</v>
      </c>
      <c r="H198" s="45">
        <v>0.5</v>
      </c>
      <c r="I198" s="60" cm="1">
        <f t="array" ref="I198">IFERROR(
  VALUE($H198) *
  VALUE(
    _xlfn.XLOOKUP(
      TRIM($F198) &amp; "|" &amp; LEFT(SUBSTITUTE($G198,CHAR(160)," "),5) &amp; "|Full Rate",
      TRIM(SUBSTITUTE($N$2:$N$38,CHAR(160)," ")) &amp; "|" &amp;
      LEFT(SUBSTITUTE($O$2:$O$38,CHAR(160)," "),5) &amp; "|" &amp;
      TRIM(SUBSTITUTE($P$2:$P$38,CHAR(160)," ")),
      $Q$2:$Q$38
    )
  ),
"")</f>
        <v>130</v>
      </c>
      <c r="J198" s="52" cm="1">
        <f t="array" ref="J198">IFERROR(
  VALUE($H198) *
  VALUE(
    _xlfn.XLOOKUP(
      TRIM($F198) &amp; "|" &amp; LEFT(SUBSTITUTE($G198,CHAR(160)," "),5) &amp; "|Reduced Rate",
      TRIM(SUBSTITUTE($N$2:$N$38,CHAR(160)," ")) &amp; "|" &amp;
      LEFT(SUBSTITUTE($O$2:$O$38,CHAR(160)," "),5) &amp; "|" &amp;
      TRIM(SUBSTITUTE($P$2:$P$38,CHAR(160)," ")),
      $Q$2:$Q$38
    )
  ),
"")</f>
        <v>60</v>
      </c>
      <c r="K198" s="32" cm="1">
        <f t="array" ref="K198">IFERROR(
  VALUE($H198) *
  VALUE(
    _xlfn.XLOOKUP(
      TRIM($F198) &amp; "|" &amp; LEFT(SUBSTITUTE($G198,CHAR(160)," "),5) &amp; "|Ideas Rate",
      TRIM(SUBSTITUTE($N$2:$N$38,CHAR(160)," ")) &amp; "|" &amp;
      LEFT(SUBSTITUTE($O$2:$O$38,CHAR(160)," "),5) &amp; "|" &amp;
      TRIM(SUBSTITUTE($P$2:$P$38,CHAR(160)," ")),
      $Q$2:$Q$38
    )
  ),
"")</f>
        <v>45</v>
      </c>
      <c r="L198" s="32" t="str">
        <f>IFERROR( VALUE($H198) * INDEX(#REF!, MATCH(UPPER(TRIM($F198)),#REF!,0)), "" )</f>
        <v/>
      </c>
    </row>
    <row r="199" spans="1:12" s="76" customFormat="1" x14ac:dyDescent="0.2">
      <c r="A199" s="294">
        <v>45923</v>
      </c>
      <c r="B199" s="295" t="s">
        <v>169</v>
      </c>
      <c r="C199" s="77" t="s">
        <v>66</v>
      </c>
      <c r="D199" s="296" t="s">
        <v>182</v>
      </c>
      <c r="E199" s="296" t="s">
        <v>291</v>
      </c>
      <c r="F199" s="296" t="s">
        <v>155</v>
      </c>
      <c r="G199" s="297" t="s">
        <v>367</v>
      </c>
      <c r="H199" s="298">
        <v>5</v>
      </c>
      <c r="I199" s="299" cm="1">
        <f t="array" ref="I199">IFERROR(
  VALUE($H199) *
  VALUE(
    _xlfn.XLOOKUP(
      TRIM($F199) &amp; "|" &amp; LEFT(SUBSTITUTE($G199,CHAR(160)," "),5) &amp; "|Full Rate",
      TRIM(SUBSTITUTE($N$2:$N$38,CHAR(160)," ")) &amp; "|" &amp;
      LEFT(SUBSTITUTE($O$2:$O$38,CHAR(160)," "),5) &amp; "|" &amp;
      TRIM(SUBSTITUTE($P$2:$P$38,CHAR(160)," ")),
      $Q$2:$Q$38
    )
  ),
"")</f>
        <v>2000</v>
      </c>
      <c r="J199" s="300" cm="1">
        <f t="array" ref="J199">IFERROR(
  VALUE($H199) *
  VALUE(
    _xlfn.XLOOKUP(
      TRIM($F199) &amp; "|" &amp; LEFT(SUBSTITUTE($G199,CHAR(160)," "),5) &amp; "|Reduced Rate",
      TRIM(SUBSTITUTE($N$2:$N$38,CHAR(160)," ")) &amp; "|" &amp;
      LEFT(SUBSTITUTE($O$2:$O$38,CHAR(160)," "),5) &amp; "|" &amp;
      TRIM(SUBSTITUTE($P$2:$P$38,CHAR(160)," ")),
      $Q$2:$Q$38
    )
  ),
"")</f>
        <v>1000</v>
      </c>
      <c r="K199" s="301" cm="1">
        <f t="array" ref="K199">IFERROR(
  VALUE($H199) *
  VALUE(
    _xlfn.XLOOKUP(
      TRIM($F199) &amp; "|" &amp; LEFT(SUBSTITUTE($G199,CHAR(160)," "),5) &amp; "|Ideas Rate",
      TRIM(SUBSTITUTE($N$2:$N$38,CHAR(160)," ")) &amp; "|" &amp;
      LEFT(SUBSTITUTE($O$2:$O$38,CHAR(160)," "),5) &amp; "|" &amp;
      TRIM(SUBSTITUTE($P$2:$P$38,CHAR(160)," ")),
      $Q$2:$Q$38
    )
  ),
"")</f>
        <v>600</v>
      </c>
      <c r="L199" s="301" t="str">
        <f>IFERROR( VALUE($H199) * INDEX(#REF!, MATCH(UPPER(TRIM($F199)),#REF!,0)), "" )</f>
        <v/>
      </c>
    </row>
    <row r="200" spans="1:12" s="76" customFormat="1" x14ac:dyDescent="0.2">
      <c r="A200" s="294">
        <v>45923</v>
      </c>
      <c r="B200" s="295" t="s">
        <v>169</v>
      </c>
      <c r="C200" s="77" t="s">
        <v>66</v>
      </c>
      <c r="D200" s="296" t="s">
        <v>182</v>
      </c>
      <c r="E200" s="296" t="s">
        <v>292</v>
      </c>
      <c r="F200" s="296" t="s">
        <v>155</v>
      </c>
      <c r="G200" s="297" t="s">
        <v>368</v>
      </c>
      <c r="H200" s="298">
        <v>0.5</v>
      </c>
      <c r="I200" s="299" cm="1">
        <f t="array" ref="I200">IFERROR(
  VALUE($H200) *
  VALUE(
    _xlfn.XLOOKUP(
      TRIM($F200) &amp; "|" &amp; LEFT(SUBSTITUTE($G200,CHAR(160)," "),5) &amp; "|Full Rate",
      TRIM(SUBSTITUTE($N$2:$N$38,CHAR(160)," ")) &amp; "|" &amp;
      LEFT(SUBSTITUTE($O$2:$O$38,CHAR(160)," "),5) &amp; "|" &amp;
      TRIM(SUBSTITUTE($P$2:$P$38,CHAR(160)," ")),
      $Q$2:$Q$38
    )
  ),
"")</f>
        <v>50</v>
      </c>
      <c r="J200" s="300" cm="1">
        <f t="array" ref="J200">IFERROR(
  VALUE($H200) *
  VALUE(
    _xlfn.XLOOKUP(
      TRIM($F200) &amp; "|" &amp; LEFT(SUBSTITUTE($G200,CHAR(160)," "),5) &amp; "|Reduced Rate",
      TRIM(SUBSTITUTE($N$2:$N$38,CHAR(160)," ")) &amp; "|" &amp;
      LEFT(SUBSTITUTE($O$2:$O$38,CHAR(160)," "),5) &amp; "|" &amp;
      TRIM(SUBSTITUTE($P$2:$P$38,CHAR(160)," ")),
      $Q$2:$Q$38
    )
  ),
"")</f>
        <v>25</v>
      </c>
      <c r="K200" s="301" cm="1">
        <f t="array" ref="K200">IFERROR(
  VALUE($H200) *
  VALUE(
    _xlfn.XLOOKUP(
      TRIM($F200) &amp; "|" &amp; LEFT(SUBSTITUTE($G200,CHAR(160)," "),5) &amp; "|Ideas Rate",
      TRIM(SUBSTITUTE($N$2:$N$38,CHAR(160)," ")) &amp; "|" &amp;
      LEFT(SUBSTITUTE($O$2:$O$38,CHAR(160)," "),5) &amp; "|" &amp;
      TRIM(SUBSTITUTE($P$2:$P$38,CHAR(160)," ")),
      $Q$2:$Q$38
    )
  ),
"")</f>
        <v>15</v>
      </c>
      <c r="L200" s="301" t="str">
        <f>IFERROR( VALUE($H200) * INDEX(#REF!, MATCH(UPPER(TRIM($F200)),#REF!,0)), "" )</f>
        <v/>
      </c>
    </row>
    <row r="201" spans="1:12" s="76" customFormat="1" x14ac:dyDescent="0.2">
      <c r="A201" s="294">
        <v>45924</v>
      </c>
      <c r="B201" s="295" t="s">
        <v>169</v>
      </c>
      <c r="C201" s="77" t="s">
        <v>66</v>
      </c>
      <c r="D201" s="296" t="s">
        <v>191</v>
      </c>
      <c r="E201" s="296" t="s">
        <v>293</v>
      </c>
      <c r="F201" s="296" t="s">
        <v>294</v>
      </c>
      <c r="G201" s="297" t="s">
        <v>367</v>
      </c>
      <c r="H201" s="298">
        <v>2</v>
      </c>
      <c r="I201" s="299" cm="1">
        <f t="array" ref="I201">IFERROR(
  VALUE($H201) *
  VALUE(
    _xlfn.XLOOKUP(
      TRIM($F201) &amp; "|" &amp; LEFT(SUBSTITUTE($G201,CHAR(160)," "),5) &amp; "|Full Rate",
      TRIM(SUBSTITUTE($N$2:$N$38,CHAR(160)," ")) &amp; "|" &amp;
      LEFT(SUBSTITUTE($O$2:$O$38,CHAR(160)," "),5) &amp; "|" &amp;
      TRIM(SUBSTITUTE($P$2:$P$38,CHAR(160)," ")),
      $Q$2:$Q$38
    )
  ),
"")</f>
        <v>800</v>
      </c>
      <c r="J201" s="300" cm="1">
        <f t="array" ref="J201">IFERROR(
  VALUE($H201) *
  VALUE(
    _xlfn.XLOOKUP(
      TRIM($F201) &amp; "|" &amp; LEFT(SUBSTITUTE($G201,CHAR(160)," "),5) &amp; "|Reduced Rate",
      TRIM(SUBSTITUTE($N$2:$N$38,CHAR(160)," ")) &amp; "|" &amp;
      LEFT(SUBSTITUTE($O$2:$O$38,CHAR(160)," "),5) &amp; "|" &amp;
      TRIM(SUBSTITUTE($P$2:$P$38,CHAR(160)," ")),
      $Q$2:$Q$38
    )
  ),
"")</f>
        <v>400</v>
      </c>
      <c r="K201" s="301" cm="1">
        <f t="array" ref="K201">IFERROR(
  VALUE($H201) *
  VALUE(
    _xlfn.XLOOKUP(
      TRIM($F201) &amp; "|" &amp; LEFT(SUBSTITUTE($G201,CHAR(160)," "),5) &amp; "|Ideas Rate",
      TRIM(SUBSTITUTE($N$2:$N$38,CHAR(160)," ")) &amp; "|" &amp;
      LEFT(SUBSTITUTE($O$2:$O$38,CHAR(160)," "),5) &amp; "|" &amp;
      TRIM(SUBSTITUTE($P$2:$P$38,CHAR(160)," ")),
      $Q$2:$Q$38
    )
  ),
"")</f>
        <v>240</v>
      </c>
      <c r="L201" s="301" t="str">
        <f>IFERROR( VALUE($H201) * INDEX(#REF!, MATCH(UPPER(TRIM($F201)),#REF!,0)), "" )</f>
        <v/>
      </c>
    </row>
    <row r="202" spans="1:12" x14ac:dyDescent="0.2">
      <c r="A202" s="10">
        <v>45924</v>
      </c>
      <c r="B202" s="28" t="s">
        <v>169</v>
      </c>
      <c r="C202" s="20" t="s">
        <v>66</v>
      </c>
      <c r="D202" s="18" t="s">
        <v>190</v>
      </c>
      <c r="E202" s="18" t="s">
        <v>297</v>
      </c>
      <c r="F202" s="18" t="s">
        <v>298</v>
      </c>
      <c r="G202" s="22" t="s">
        <v>380</v>
      </c>
      <c r="H202" s="45">
        <v>0.5</v>
      </c>
      <c r="I202" s="60" cm="1">
        <f t="array" ref="I202">IFERROR(
  VALUE($H202) *
  VALUE(
    _xlfn.XLOOKUP(
      TRIM($F202) &amp; "|" &amp; LEFT(SUBSTITUTE($G202,CHAR(160)," "),5) &amp; "|Full Rate",
      TRIM(SUBSTITUTE($N$2:$N$38,CHAR(160)," ")) &amp; "|" &amp;
      LEFT(SUBSTITUTE($O$2:$O$38,CHAR(160)," "),5) &amp; "|" &amp;
      TRIM(SUBSTITUTE($P$2:$P$38,CHAR(160)," ")),
      $Q$2:$Q$38
    )
  ),
"")</f>
        <v>125</v>
      </c>
      <c r="J202" s="52" cm="1">
        <f t="array" ref="J202">IFERROR(
  VALUE($H202) *
  VALUE(
    _xlfn.XLOOKUP(
      TRIM($F202) &amp; "|" &amp; LEFT(SUBSTITUTE($G202,CHAR(160)," "),5) &amp; "|Reduced Rate",
      TRIM(SUBSTITUTE($N$2:$N$38,CHAR(160)," ")) &amp; "|" &amp;
      LEFT(SUBSTITUTE($O$2:$O$38,CHAR(160)," "),5) &amp; "|" &amp;
      TRIM(SUBSTITUTE($P$2:$P$38,CHAR(160)," ")),
      $Q$2:$Q$38
    )
  ),
"")</f>
        <v>75</v>
      </c>
      <c r="K202" s="32" cm="1">
        <f t="array" ref="K202">IFERROR(
  VALUE($H202) *
  VALUE(
    _xlfn.XLOOKUP(
      TRIM($F202) &amp; "|" &amp; LEFT(SUBSTITUTE($G202,CHAR(160)," "),5) &amp; "|Ideas Rate",
      TRIM(SUBSTITUTE($N$2:$N$38,CHAR(160)," ")) &amp; "|" &amp;
      LEFT(SUBSTITUTE($O$2:$O$38,CHAR(160)," "),5) &amp; "|" &amp;
      TRIM(SUBSTITUTE($P$2:$P$38,CHAR(160)," ")),
      $Q$2:$Q$38
    )
  ),
"")</f>
        <v>37.5</v>
      </c>
      <c r="L202" s="32" t="str">
        <f>IFERROR( VALUE($H202) * INDEX(#REF!, MATCH(UPPER(TRIM($F202)),#REF!,0)), "" )</f>
        <v/>
      </c>
    </row>
    <row r="203" spans="1:12" s="76" customFormat="1" x14ac:dyDescent="0.2">
      <c r="A203" s="294">
        <v>45925</v>
      </c>
      <c r="B203" s="295" t="s">
        <v>169</v>
      </c>
      <c r="C203" s="77" t="s">
        <v>66</v>
      </c>
      <c r="D203" s="296" t="s">
        <v>191</v>
      </c>
      <c r="E203" s="296" t="s">
        <v>293</v>
      </c>
      <c r="F203" s="296" t="s">
        <v>294</v>
      </c>
      <c r="G203" s="297" t="s">
        <v>367</v>
      </c>
      <c r="H203" s="298">
        <v>9</v>
      </c>
      <c r="I203" s="299" cm="1">
        <f t="array" ref="I203">IFERROR(
  VALUE($H203) *
  VALUE(
    _xlfn.XLOOKUP(
      TRIM($F203) &amp; "|" &amp; LEFT(SUBSTITUTE($G203,CHAR(160)," "),5) &amp; "|Full Rate",
      TRIM(SUBSTITUTE($N$2:$N$38,CHAR(160)," ")) &amp; "|" &amp;
      LEFT(SUBSTITUTE($O$2:$O$38,CHAR(160)," "),5) &amp; "|" &amp;
      TRIM(SUBSTITUTE($P$2:$P$38,CHAR(160)," ")),
      $Q$2:$Q$38
    )
  ),
"")</f>
        <v>3600</v>
      </c>
      <c r="J203" s="300" cm="1">
        <f t="array" ref="J203">IFERROR(
  VALUE($H203) *
  VALUE(
    _xlfn.XLOOKUP(
      TRIM($F203) &amp; "|" &amp; LEFT(SUBSTITUTE($G203,CHAR(160)," "),5) &amp; "|Reduced Rate",
      TRIM(SUBSTITUTE($N$2:$N$38,CHAR(160)," ")) &amp; "|" &amp;
      LEFT(SUBSTITUTE($O$2:$O$38,CHAR(160)," "),5) &amp; "|" &amp;
      TRIM(SUBSTITUTE($P$2:$P$38,CHAR(160)," ")),
      $Q$2:$Q$38
    )
  ),
"")</f>
        <v>1800</v>
      </c>
      <c r="K203" s="301" cm="1">
        <f t="array" ref="K203">IFERROR(
  VALUE($H203) *
  VALUE(
    _xlfn.XLOOKUP(
      TRIM($F203) &amp; "|" &amp; LEFT(SUBSTITUTE($G203,CHAR(160)," "),5) &amp; "|Ideas Rate",
      TRIM(SUBSTITUTE($N$2:$N$38,CHAR(160)," ")) &amp; "|" &amp;
      LEFT(SUBSTITUTE($O$2:$O$38,CHAR(160)," "),5) &amp; "|" &amp;
      TRIM(SUBSTITUTE($P$2:$P$38,CHAR(160)," ")),
      $Q$2:$Q$38
    )
  ),
"")</f>
        <v>1080</v>
      </c>
      <c r="L203" s="301" t="str">
        <f>IFERROR( VALUE($H203) * INDEX(#REF!, MATCH(UPPER(TRIM($F203)),#REF!,0)), "" )</f>
        <v/>
      </c>
    </row>
    <row r="204" spans="1:12" x14ac:dyDescent="0.2">
      <c r="A204" s="10">
        <v>45923</v>
      </c>
      <c r="B204" s="28" t="s">
        <v>169</v>
      </c>
      <c r="C204" s="20" t="s">
        <v>66</v>
      </c>
      <c r="D204" s="18" t="s">
        <v>178</v>
      </c>
      <c r="E204" s="18" t="s">
        <v>299</v>
      </c>
      <c r="F204" s="18" t="s">
        <v>9</v>
      </c>
      <c r="G204" s="22" t="s">
        <v>367</v>
      </c>
      <c r="H204" s="45">
        <v>1</v>
      </c>
      <c r="I204" s="60" cm="1">
        <f t="array" ref="I204">IFERROR(
  VALUE($H204) *
  VALUE(
    _xlfn.XLOOKUP(
      TRIM($F204) &amp; "|" &amp; LEFT(SUBSTITUTE($G204,CHAR(160)," "),5) &amp; "|Full Rate",
      TRIM(SUBSTITUTE($N$2:$N$38,CHAR(160)," ")) &amp; "|" &amp;
      LEFT(SUBSTITUTE($O$2:$O$38,CHAR(160)," "),5) &amp; "|" &amp;
      TRIM(SUBSTITUTE($P$2:$P$38,CHAR(160)," ")),
      $Q$2:$Q$38
    )
  ),
"")</f>
        <v>500</v>
      </c>
      <c r="J204" s="52" cm="1">
        <f t="array" ref="J204">IFERROR(
  VALUE($H204) *
  VALUE(
    _xlfn.XLOOKUP(
      TRIM($F204) &amp; "|" &amp; LEFT(SUBSTITUTE($G204,CHAR(160)," "),5) &amp; "|Reduced Rate",
      TRIM(SUBSTITUTE($N$2:$N$38,CHAR(160)," ")) &amp; "|" &amp;
      LEFT(SUBSTITUTE($O$2:$O$38,CHAR(160)," "),5) &amp; "|" &amp;
      TRIM(SUBSTITUTE($P$2:$P$38,CHAR(160)," ")),
      $Q$2:$Q$38
    )
  ),
"")</f>
        <v>300</v>
      </c>
      <c r="K204" s="32" cm="1">
        <f t="array" ref="K204">IFERROR(
  VALUE($H204) *
  VALUE(
    _xlfn.XLOOKUP(
      TRIM($F204) &amp; "|" &amp; LEFT(SUBSTITUTE($G204,CHAR(160)," "),5) &amp; "|Ideas Rate",
      TRIM(SUBSTITUTE($N$2:$N$38,CHAR(160)," ")) &amp; "|" &amp;
      LEFT(SUBSTITUTE($O$2:$O$38,CHAR(160)," "),5) &amp; "|" &amp;
      TRIM(SUBSTITUTE($P$2:$P$38,CHAR(160)," ")),
      $Q$2:$Q$38
    )
  ),
"")</f>
        <v>150</v>
      </c>
      <c r="L204" s="32" t="str">
        <f>IFERROR( VALUE($H204) * INDEX(#REF!, MATCH(UPPER(TRIM($F204)),#REF!,0)), "" )</f>
        <v/>
      </c>
    </row>
    <row r="205" spans="1:12" x14ac:dyDescent="0.2">
      <c r="A205" s="10">
        <v>45923</v>
      </c>
      <c r="B205" s="28" t="s">
        <v>169</v>
      </c>
      <c r="C205" s="20" t="s">
        <v>66</v>
      </c>
      <c r="D205" s="18" t="s">
        <v>191</v>
      </c>
      <c r="E205" s="18" t="s">
        <v>300</v>
      </c>
      <c r="F205" s="18" t="s">
        <v>9</v>
      </c>
      <c r="G205" s="22" t="s">
        <v>367</v>
      </c>
      <c r="H205" s="45">
        <v>7</v>
      </c>
      <c r="I205" s="60" cm="1">
        <f t="array" ref="I205">IFERROR(
  VALUE($H205) *
  VALUE(
    _xlfn.XLOOKUP(
      TRIM($F205) &amp; "|" &amp; LEFT(SUBSTITUTE($G205,CHAR(160)," "),5) &amp; "|Full Rate",
      TRIM(SUBSTITUTE($N$2:$N$38,CHAR(160)," ")) &amp; "|" &amp;
      LEFT(SUBSTITUTE($O$2:$O$38,CHAR(160)," "),5) &amp; "|" &amp;
      TRIM(SUBSTITUTE($P$2:$P$38,CHAR(160)," ")),
      $Q$2:$Q$38
    )
  ),
"")</f>
        <v>3500</v>
      </c>
      <c r="J205" s="52" cm="1">
        <f t="array" ref="J205">IFERROR(
  VALUE($H205) *
  VALUE(
    _xlfn.XLOOKUP(
      TRIM($F205) &amp; "|" &amp; LEFT(SUBSTITUTE($G205,CHAR(160)," "),5) &amp; "|Reduced Rate",
      TRIM(SUBSTITUTE($N$2:$N$38,CHAR(160)," ")) &amp; "|" &amp;
      LEFT(SUBSTITUTE($O$2:$O$38,CHAR(160)," "),5) &amp; "|" &amp;
      TRIM(SUBSTITUTE($P$2:$P$38,CHAR(160)," ")),
      $Q$2:$Q$38
    )
  ),
"")</f>
        <v>2100</v>
      </c>
      <c r="K205" s="32" cm="1">
        <f t="array" ref="K205">IFERROR(
  VALUE($H205) *
  VALUE(
    _xlfn.XLOOKUP(
      TRIM($F205) &amp; "|" &amp; LEFT(SUBSTITUTE($G205,CHAR(160)," "),5) &amp; "|Ideas Rate",
      TRIM(SUBSTITUTE($N$2:$N$38,CHAR(160)," ")) &amp; "|" &amp;
      LEFT(SUBSTITUTE($O$2:$O$38,CHAR(160)," "),5) &amp; "|" &amp;
      TRIM(SUBSTITUTE($P$2:$P$38,CHAR(160)," ")),
      $Q$2:$Q$38
    )
  ),
"")</f>
        <v>1050</v>
      </c>
      <c r="L205" s="32" t="str">
        <f>IFERROR( VALUE($H205) * INDEX(#REF!, MATCH(UPPER(TRIM($F205)),#REF!,0)), "" )</f>
        <v/>
      </c>
    </row>
    <row r="206" spans="1:12" x14ac:dyDescent="0.2">
      <c r="A206" s="10">
        <v>45923</v>
      </c>
      <c r="B206" s="28" t="s">
        <v>169</v>
      </c>
      <c r="C206" s="20" t="s">
        <v>66</v>
      </c>
      <c r="D206" s="18" t="s">
        <v>190</v>
      </c>
      <c r="E206" s="18" t="s">
        <v>301</v>
      </c>
      <c r="F206" s="18" t="s">
        <v>9</v>
      </c>
      <c r="G206" s="22" t="s">
        <v>368</v>
      </c>
      <c r="H206" s="45">
        <v>1</v>
      </c>
      <c r="I206" s="60" cm="1">
        <f t="array" ref="I206">IFERROR(
  VALUE($H206) *
  VALUE(
    _xlfn.XLOOKUP(
      TRIM($F206) &amp; "|" &amp; LEFT(SUBSTITUTE($G206,CHAR(160)," "),5) &amp; "|Full Rate",
      TRIM(SUBSTITUTE($N$2:$N$38,CHAR(160)," ")) &amp; "|" &amp;
      LEFT(SUBSTITUTE($O$2:$O$38,CHAR(160)," "),5) &amp; "|" &amp;
      TRIM(SUBSTITUTE($P$2:$P$38,CHAR(160)," ")),
      $Q$2:$Q$38
    )
  ),
"")</f>
        <v>100</v>
      </c>
      <c r="J206" s="52" cm="1">
        <f t="array" ref="J206">IFERROR(
  VALUE($H206) *
  VALUE(
    _xlfn.XLOOKUP(
      TRIM($F206) &amp; "|" &amp; LEFT(SUBSTITUTE($G206,CHAR(160)," "),5) &amp; "|Reduced Rate",
      TRIM(SUBSTITUTE($N$2:$N$38,CHAR(160)," ")) &amp; "|" &amp;
      LEFT(SUBSTITUTE($O$2:$O$38,CHAR(160)," "),5) &amp; "|" &amp;
      TRIM(SUBSTITUTE($P$2:$P$38,CHAR(160)," ")),
      $Q$2:$Q$38
    )
  ),
"")</f>
        <v>50</v>
      </c>
      <c r="K206" s="32" cm="1">
        <f t="array" ref="K206">IFERROR(
  VALUE($H206) *
  VALUE(
    _xlfn.XLOOKUP(
      TRIM($F206) &amp; "|" &amp; LEFT(SUBSTITUTE($G206,CHAR(160)," "),5) &amp; "|Ideas Rate",
      TRIM(SUBSTITUTE($N$2:$N$38,CHAR(160)," ")) &amp; "|" &amp;
      LEFT(SUBSTITUTE($O$2:$O$38,CHAR(160)," "),5) &amp; "|" &amp;
      TRIM(SUBSTITUTE($P$2:$P$38,CHAR(160)," ")),
      $Q$2:$Q$38
    )
  ),
"")</f>
        <v>30</v>
      </c>
      <c r="L206" s="32" t="str">
        <f>IFERROR( VALUE($H206) * INDEX(#REF!, MATCH(UPPER(TRIM($F206)),#REF!,0)), "" )</f>
        <v/>
      </c>
    </row>
    <row r="207" spans="1:12" s="8" customFormat="1" x14ac:dyDescent="0.2">
      <c r="A207" s="309">
        <v>45925</v>
      </c>
      <c r="B207" s="310" t="s">
        <v>169</v>
      </c>
      <c r="C207" s="135" t="s">
        <v>66</v>
      </c>
      <c r="D207" s="311" t="s">
        <v>323</v>
      </c>
      <c r="E207" s="311" t="s">
        <v>302</v>
      </c>
      <c r="F207" s="311" t="s">
        <v>10</v>
      </c>
      <c r="G207" s="312" t="s">
        <v>368</v>
      </c>
      <c r="H207" s="313">
        <v>3</v>
      </c>
      <c r="I207" s="314" cm="1">
        <f t="array" ref="I207">IFERROR(
  VALUE($H207) *
  VALUE(
    _xlfn.XLOOKUP(
      TRIM($F207) &amp; "|" &amp; LEFT(SUBSTITUTE($G207,CHAR(160)," "),5) &amp; "|Full Rate",
      TRIM(SUBSTITUTE($N$2:$N$38,CHAR(160)," ")) &amp; "|" &amp;
      LEFT(SUBSTITUTE($O$2:$O$38,CHAR(160)," "),5) &amp; "|" &amp;
      TRIM(SUBSTITUTE($P$2:$P$38,CHAR(160)," ")),
      $Q$2:$Q$38
    )
  ),
"")</f>
        <v>300</v>
      </c>
      <c r="J207" s="315" cm="1">
        <f t="array" ref="J207">IFERROR(
  VALUE($H207) *
  VALUE(
    _xlfn.XLOOKUP(
      TRIM($F207) &amp; "|" &amp; LEFT(SUBSTITUTE($G207,CHAR(160)," "),5) &amp; "|Reduced Rate",
      TRIM(SUBSTITUTE($N$2:$N$38,CHAR(160)," ")) &amp; "|" &amp;
      LEFT(SUBSTITUTE($O$2:$O$38,CHAR(160)," "),5) &amp; "|" &amp;
      TRIM(SUBSTITUTE($P$2:$P$38,CHAR(160)," ")),
      $Q$2:$Q$38
    )
  ),
"")</f>
        <v>150</v>
      </c>
      <c r="K207" s="260" cm="1">
        <f t="array" ref="K207">IFERROR(
  VALUE($H207) *
  VALUE(
    _xlfn.XLOOKUP(
      TRIM($F207) &amp; "|" &amp; LEFT(SUBSTITUTE($G207,CHAR(160)," "),5) &amp; "|Ideas Rate",
      TRIM(SUBSTITUTE($N$2:$N$38,CHAR(160)," ")) &amp; "|" &amp;
      LEFT(SUBSTITUTE($O$2:$O$38,CHAR(160)," "),5) &amp; "|" &amp;
      TRIM(SUBSTITUTE($P$2:$P$38,CHAR(160)," ")),
      $Q$2:$Q$38
    )
  ),
"")</f>
        <v>90</v>
      </c>
      <c r="L207" s="260" t="str">
        <f>IFERROR( VALUE($H207) * INDEX(#REF!, MATCH(UPPER(TRIM($F207)),#REF!,0)), "" )</f>
        <v/>
      </c>
    </row>
    <row r="208" spans="1:12" s="8" customFormat="1" x14ac:dyDescent="0.2">
      <c r="A208" s="309">
        <v>45925</v>
      </c>
      <c r="B208" s="310" t="s">
        <v>169</v>
      </c>
      <c r="C208" s="135" t="s">
        <v>66</v>
      </c>
      <c r="D208" s="311" t="s">
        <v>323</v>
      </c>
      <c r="E208" s="311" t="s">
        <v>303</v>
      </c>
      <c r="F208" s="311" t="s">
        <v>10</v>
      </c>
      <c r="G208" s="312" t="s">
        <v>368</v>
      </c>
      <c r="H208" s="313">
        <v>3</v>
      </c>
      <c r="I208" s="314" cm="1">
        <f t="array" ref="I208">IFERROR(
  VALUE($H208) *
  VALUE(
    _xlfn.XLOOKUP(
      TRIM($F208) &amp; "|" &amp; LEFT(SUBSTITUTE($G208,CHAR(160)," "),5) &amp; "|Full Rate",
      TRIM(SUBSTITUTE($N$2:$N$38,CHAR(160)," ")) &amp; "|" &amp;
      LEFT(SUBSTITUTE($O$2:$O$38,CHAR(160)," "),5) &amp; "|" &amp;
      TRIM(SUBSTITUTE($P$2:$P$38,CHAR(160)," ")),
      $Q$2:$Q$38
    )
  ),
"")</f>
        <v>300</v>
      </c>
      <c r="J208" s="315" cm="1">
        <f t="array" ref="J208">IFERROR(
  VALUE($H208) *
  VALUE(
    _xlfn.XLOOKUP(
      TRIM($F208) &amp; "|" &amp; LEFT(SUBSTITUTE($G208,CHAR(160)," "),5) &amp; "|Reduced Rate",
      TRIM(SUBSTITUTE($N$2:$N$38,CHAR(160)," ")) &amp; "|" &amp;
      LEFT(SUBSTITUTE($O$2:$O$38,CHAR(160)," "),5) &amp; "|" &amp;
      TRIM(SUBSTITUTE($P$2:$P$38,CHAR(160)," ")),
      $Q$2:$Q$38
    )
  ),
"")</f>
        <v>150</v>
      </c>
      <c r="K208" s="260" cm="1">
        <f t="array" ref="K208">IFERROR(
  VALUE($H208) *
  VALUE(
    _xlfn.XLOOKUP(
      TRIM($F208) &amp; "|" &amp; LEFT(SUBSTITUTE($G208,CHAR(160)," "),5) &amp; "|Ideas Rate",
      TRIM(SUBSTITUTE($N$2:$N$38,CHAR(160)," ")) &amp; "|" &amp;
      LEFT(SUBSTITUTE($O$2:$O$38,CHAR(160)," "),5) &amp; "|" &amp;
      TRIM(SUBSTITUTE($P$2:$P$38,CHAR(160)," ")),
      $Q$2:$Q$38
    )
  ),
"")</f>
        <v>90</v>
      </c>
      <c r="L208" s="260" t="str">
        <f>IFERROR( VALUE($H208) * INDEX(#REF!, MATCH(UPPER(TRIM($F208)),#REF!,0)), "" )</f>
        <v/>
      </c>
    </row>
    <row r="209" spans="1:12" s="8" customFormat="1" x14ac:dyDescent="0.2">
      <c r="A209" s="309">
        <v>45925</v>
      </c>
      <c r="B209" s="310" t="s">
        <v>169</v>
      </c>
      <c r="C209" s="135" t="s">
        <v>66</v>
      </c>
      <c r="D209" s="311" t="s">
        <v>184</v>
      </c>
      <c r="E209" s="311" t="s">
        <v>304</v>
      </c>
      <c r="F209" s="311" t="s">
        <v>10</v>
      </c>
      <c r="G209" s="312" t="s">
        <v>367</v>
      </c>
      <c r="H209" s="313">
        <v>5</v>
      </c>
      <c r="I209" s="314" cm="1">
        <f t="array" ref="I209">IFERROR(
  VALUE($H209) *
  VALUE(
    _xlfn.XLOOKUP(
      TRIM($F209) &amp; "|" &amp; LEFT(SUBSTITUTE($G209,CHAR(160)," "),5) &amp; "|Full Rate",
      TRIM(SUBSTITUTE($N$2:$N$38,CHAR(160)," ")) &amp; "|" &amp;
      LEFT(SUBSTITUTE($O$2:$O$38,CHAR(160)," "),5) &amp; "|" &amp;
      TRIM(SUBSTITUTE($P$2:$P$38,CHAR(160)," ")),
      $Q$2:$Q$38
    )
  ),
"")</f>
        <v>2500</v>
      </c>
      <c r="J209" s="315" cm="1">
        <f t="array" ref="J209">IFERROR(
  VALUE($H209) *
  VALUE(
    _xlfn.XLOOKUP(
      TRIM($F209) &amp; "|" &amp; LEFT(SUBSTITUTE($G209,CHAR(160)," "),5) &amp; "|Reduced Rate",
      TRIM(SUBSTITUTE($N$2:$N$38,CHAR(160)," ")) &amp; "|" &amp;
      LEFT(SUBSTITUTE($O$2:$O$38,CHAR(160)," "),5) &amp; "|" &amp;
      TRIM(SUBSTITUTE($P$2:$P$38,CHAR(160)," ")),
      $Q$2:$Q$38
    )
  ),
"")</f>
        <v>1500</v>
      </c>
      <c r="K209" s="260" cm="1">
        <f t="array" ref="K209">IFERROR(
  VALUE($H209) *
  VALUE(
    _xlfn.XLOOKUP(
      TRIM($F209) &amp; "|" &amp; LEFT(SUBSTITUTE($G209,CHAR(160)," "),5) &amp; "|Ideas Rate",
      TRIM(SUBSTITUTE($N$2:$N$38,CHAR(160)," ")) &amp; "|" &amp;
      LEFT(SUBSTITUTE($O$2:$O$38,CHAR(160)," "),5) &amp; "|" &amp;
      TRIM(SUBSTITUTE($P$2:$P$38,CHAR(160)," ")),
      $Q$2:$Q$38
    )
  ),
"")</f>
        <v>750</v>
      </c>
      <c r="L209" s="260" t="str">
        <f>IFERROR( VALUE($H209) * INDEX(#REF!, MATCH(UPPER(TRIM($F209)),#REF!,0)), "" )</f>
        <v/>
      </c>
    </row>
    <row r="210" spans="1:12" s="8" customFormat="1" x14ac:dyDescent="0.2">
      <c r="A210" s="309">
        <v>45926</v>
      </c>
      <c r="B210" s="310" t="s">
        <v>169</v>
      </c>
      <c r="C210" s="135" t="s">
        <v>66</v>
      </c>
      <c r="D210" s="311" t="s">
        <v>191</v>
      </c>
      <c r="E210" s="311" t="s">
        <v>305</v>
      </c>
      <c r="F210" s="311" t="s">
        <v>10</v>
      </c>
      <c r="G210" s="312" t="s">
        <v>367</v>
      </c>
      <c r="H210" s="313">
        <v>1.5</v>
      </c>
      <c r="I210" s="314" cm="1">
        <f t="array" ref="I210">IFERROR(
  VALUE($H210) *
  VALUE(
    _xlfn.XLOOKUP(
      TRIM($F210) &amp; "|" &amp; LEFT(SUBSTITUTE($G210,CHAR(160)," "),5) &amp; "|Full Rate",
      TRIM(SUBSTITUTE($N$2:$N$38,CHAR(160)," ")) &amp; "|" &amp;
      LEFT(SUBSTITUTE($O$2:$O$38,CHAR(160)," "),5) &amp; "|" &amp;
      TRIM(SUBSTITUTE($P$2:$P$38,CHAR(160)," ")),
      $Q$2:$Q$38
    )
  ),
"")</f>
        <v>750</v>
      </c>
      <c r="J210" s="315" cm="1">
        <f t="array" ref="J210">IFERROR(
  VALUE($H210) *
  VALUE(
    _xlfn.XLOOKUP(
      TRIM($F210) &amp; "|" &amp; LEFT(SUBSTITUTE($G210,CHAR(160)," "),5) &amp; "|Reduced Rate",
      TRIM(SUBSTITUTE($N$2:$N$38,CHAR(160)," ")) &amp; "|" &amp;
      LEFT(SUBSTITUTE($O$2:$O$38,CHAR(160)," "),5) &amp; "|" &amp;
      TRIM(SUBSTITUTE($P$2:$P$38,CHAR(160)," ")),
      $Q$2:$Q$38
    )
  ),
"")</f>
        <v>450</v>
      </c>
      <c r="K210" s="260" cm="1">
        <f t="array" ref="K210">IFERROR(
  VALUE($H210) *
  VALUE(
    _xlfn.XLOOKUP(
      TRIM($F210) &amp; "|" &amp; LEFT(SUBSTITUTE($G210,CHAR(160)," "),5) &amp; "|Ideas Rate",
      TRIM(SUBSTITUTE($N$2:$N$38,CHAR(160)," ")) &amp; "|" &amp;
      LEFT(SUBSTITUTE($O$2:$O$38,CHAR(160)," "),5) &amp; "|" &amp;
      TRIM(SUBSTITUTE($P$2:$P$38,CHAR(160)," ")),
      $Q$2:$Q$38
    )
  ),
"")</f>
        <v>225</v>
      </c>
      <c r="L210" s="260" t="str">
        <f>IFERROR( VALUE($H210) * INDEX(#REF!, MATCH(UPPER(TRIM($F210)),#REF!,0)), "" )</f>
        <v/>
      </c>
    </row>
    <row r="211" spans="1:12" s="76" customFormat="1" x14ac:dyDescent="0.2">
      <c r="A211" s="294">
        <v>45925</v>
      </c>
      <c r="B211" s="295" t="s">
        <v>169</v>
      </c>
      <c r="C211" s="77" t="s">
        <v>66</v>
      </c>
      <c r="D211" s="296" t="s">
        <v>187</v>
      </c>
      <c r="E211" s="296" t="s">
        <v>312</v>
      </c>
      <c r="F211" s="296" t="s">
        <v>156</v>
      </c>
      <c r="G211" s="297" t="s">
        <v>367</v>
      </c>
      <c r="H211" s="298">
        <v>1</v>
      </c>
      <c r="I211" s="299" cm="1">
        <f t="array" ref="I211">IFERROR(
  VALUE($H211) *
  VALUE(
    _xlfn.XLOOKUP(
      TRIM($F211) &amp; "|" &amp; LEFT(SUBSTITUTE($G211,CHAR(160)," "),5) &amp; "|Full Rate",
      TRIM(SUBSTITUTE($N$2:$N$38,CHAR(160)," ")) &amp; "|" &amp;
      LEFT(SUBSTITUTE($O$2:$O$38,CHAR(160)," "),5) &amp; "|" &amp;
      TRIM(SUBSTITUTE($P$2:$P$38,CHAR(160)," ")),
      $Q$2:$Q$38
    )
  ),
"")</f>
        <v>325</v>
      </c>
      <c r="J211" s="300" cm="1">
        <f t="array" ref="J211">IFERROR(
  VALUE($H211) *
  VALUE(
    _xlfn.XLOOKUP(
      TRIM($F211) &amp; "|" &amp; LEFT(SUBSTITUTE($G211,CHAR(160)," "),5) &amp; "|Reduced Rate",
      TRIM(SUBSTITUTE($N$2:$N$38,CHAR(160)," ")) &amp; "|" &amp;
      LEFT(SUBSTITUTE($O$2:$O$38,CHAR(160)," "),5) &amp; "|" &amp;
      TRIM(SUBSTITUTE($P$2:$P$38,CHAR(160)," ")),
      $Q$2:$Q$38
    )
  ),
"")</f>
        <v>175</v>
      </c>
      <c r="K211" s="301" cm="1">
        <f t="array" ref="K211">IFERROR(
  VALUE($H211) *
  VALUE(
    _xlfn.XLOOKUP(
      TRIM($F211) &amp; "|" &amp; LEFT(SUBSTITUTE($G211,CHAR(160)," "),5) &amp; "|Ideas Rate",
      TRIM(SUBSTITUTE($N$2:$N$38,CHAR(160)," ")) &amp; "|" &amp;
      LEFT(SUBSTITUTE($O$2:$O$38,CHAR(160)," "),5) &amp; "|" &amp;
      TRIM(SUBSTITUTE($P$2:$P$38,CHAR(160)," ")),
      $Q$2:$Q$38
    )
  ),
"")</f>
        <v>95</v>
      </c>
      <c r="L211" s="301" t="str">
        <f>IFERROR( VALUE($H211) * INDEX(#REF!, MATCH(UPPER(TRIM($F211)),#REF!,0)), "" )</f>
        <v/>
      </c>
    </row>
    <row r="212" spans="1:12" s="8" customFormat="1" x14ac:dyDescent="0.2">
      <c r="A212" s="309">
        <v>45926</v>
      </c>
      <c r="B212" s="310" t="s">
        <v>169</v>
      </c>
      <c r="C212" s="135" t="s">
        <v>66</v>
      </c>
      <c r="D212" s="311" t="s">
        <v>187</v>
      </c>
      <c r="E212" s="311" t="s">
        <v>313</v>
      </c>
      <c r="F212" s="311" t="s">
        <v>156</v>
      </c>
      <c r="G212" s="312" t="s">
        <v>367</v>
      </c>
      <c r="H212" s="313">
        <v>2</v>
      </c>
      <c r="I212" s="314" cm="1">
        <f t="array" ref="I212">IFERROR(
  VALUE($H212) *
  VALUE(
    _xlfn.XLOOKUP(
      TRIM($F212) &amp; "|" &amp; LEFT(SUBSTITUTE($G212,CHAR(160)," "),5) &amp; "|Full Rate",
      TRIM(SUBSTITUTE($N$2:$N$38,CHAR(160)," ")) &amp; "|" &amp;
      LEFT(SUBSTITUTE($O$2:$O$38,CHAR(160)," "),5) &amp; "|" &amp;
      TRIM(SUBSTITUTE($P$2:$P$38,CHAR(160)," ")),
      $Q$2:$Q$38
    )
  ),
"")</f>
        <v>650</v>
      </c>
      <c r="J212" s="315" cm="1">
        <f t="array" ref="J212">IFERROR(
  VALUE($H212) *
  VALUE(
    _xlfn.XLOOKUP(
      TRIM($F212) &amp; "|" &amp; LEFT(SUBSTITUTE($G212,CHAR(160)," "),5) &amp; "|Reduced Rate",
      TRIM(SUBSTITUTE($N$2:$N$38,CHAR(160)," ")) &amp; "|" &amp;
      LEFT(SUBSTITUTE($O$2:$O$38,CHAR(160)," "),5) &amp; "|" &amp;
      TRIM(SUBSTITUTE($P$2:$P$38,CHAR(160)," ")),
      $Q$2:$Q$38
    )
  ),
"")</f>
        <v>350</v>
      </c>
      <c r="K212" s="260" cm="1">
        <f t="array" ref="K212">IFERROR(
  VALUE($H212) *
  VALUE(
    _xlfn.XLOOKUP(
      TRIM($F212) &amp; "|" &amp; LEFT(SUBSTITUTE($G212,CHAR(160)," "),5) &amp; "|Ideas Rate",
      TRIM(SUBSTITUTE($N$2:$N$38,CHAR(160)," ")) &amp; "|" &amp;
      LEFT(SUBSTITUTE($O$2:$O$38,CHAR(160)," "),5) &amp; "|" &amp;
      TRIM(SUBSTITUTE($P$2:$P$38,CHAR(160)," ")),
      $Q$2:$Q$38
    )
  ),
"")</f>
        <v>190</v>
      </c>
      <c r="L212" s="260" t="str">
        <f>IFERROR( VALUE($H212) * INDEX(#REF!, MATCH(UPPER(TRIM($F212)),#REF!,0)), "" )</f>
        <v/>
      </c>
    </row>
    <row r="213" spans="1:12" s="76" customFormat="1" x14ac:dyDescent="0.2">
      <c r="A213" s="294">
        <v>45926</v>
      </c>
      <c r="B213" s="295" t="s">
        <v>169</v>
      </c>
      <c r="C213" s="77" t="s">
        <v>66</v>
      </c>
      <c r="D213" s="296" t="s">
        <v>191</v>
      </c>
      <c r="E213" s="296" t="s">
        <v>314</v>
      </c>
      <c r="F213" s="296" t="s">
        <v>155</v>
      </c>
      <c r="G213" s="297" t="s">
        <v>367</v>
      </c>
      <c r="H213" s="298">
        <v>6</v>
      </c>
      <c r="I213" s="299" cm="1">
        <f t="array" ref="I213">IFERROR(
  VALUE($H213) *
  VALUE(
    _xlfn.XLOOKUP(
      TRIM($F213) &amp; "|" &amp; LEFT(SUBSTITUTE($G213,CHAR(160)," "),5) &amp; "|Full Rate",
      TRIM(SUBSTITUTE($N$2:$N$38,CHAR(160)," ")) &amp; "|" &amp;
      LEFT(SUBSTITUTE($O$2:$O$38,CHAR(160)," "),5) &amp; "|" &amp;
      TRIM(SUBSTITUTE($P$2:$P$38,CHAR(160)," ")),
      $Q$2:$Q$38
    )
  ),
"")</f>
        <v>2400</v>
      </c>
      <c r="J213" s="300" cm="1">
        <f t="array" ref="J213">IFERROR(
  VALUE($H213) *
  VALUE(
    _xlfn.XLOOKUP(
      TRIM($F213) &amp; "|" &amp; LEFT(SUBSTITUTE($G213,CHAR(160)," "),5) &amp; "|Reduced Rate",
      TRIM(SUBSTITUTE($N$2:$N$38,CHAR(160)," ")) &amp; "|" &amp;
      LEFT(SUBSTITUTE($O$2:$O$38,CHAR(160)," "),5) &amp; "|" &amp;
      TRIM(SUBSTITUTE($P$2:$P$38,CHAR(160)," ")),
      $Q$2:$Q$38
    )
  ),
"")</f>
        <v>1200</v>
      </c>
      <c r="K213" s="301" cm="1">
        <f t="array" ref="K213">IFERROR(
  VALUE($H213) *
  VALUE(
    _xlfn.XLOOKUP(
      TRIM($F213) &amp; "|" &amp; LEFT(SUBSTITUTE($G213,CHAR(160)," "),5) &amp; "|Ideas Rate",
      TRIM(SUBSTITUTE($N$2:$N$38,CHAR(160)," ")) &amp; "|" &amp;
      LEFT(SUBSTITUTE($O$2:$O$38,CHAR(160)," "),5) &amp; "|" &amp;
      TRIM(SUBSTITUTE($P$2:$P$38,CHAR(160)," ")),
      $Q$2:$Q$38
    )
  ),
"")</f>
        <v>720</v>
      </c>
      <c r="L213" s="301" t="str">
        <f>IFERROR( VALUE($H213) * INDEX(#REF!, MATCH(UPPER(TRIM($F213)),#REF!,0)), "" )</f>
        <v/>
      </c>
    </row>
    <row r="214" spans="1:12" s="8" customFormat="1" x14ac:dyDescent="0.2">
      <c r="A214" s="309">
        <v>45928</v>
      </c>
      <c r="B214" s="310" t="s">
        <v>169</v>
      </c>
      <c r="C214" s="135" t="s">
        <v>66</v>
      </c>
      <c r="D214" s="311" t="s">
        <v>187</v>
      </c>
      <c r="E214" s="311" t="s">
        <v>315</v>
      </c>
      <c r="F214" s="311" t="s">
        <v>156</v>
      </c>
      <c r="G214" s="312" t="s">
        <v>367</v>
      </c>
      <c r="H214" s="313">
        <v>2</v>
      </c>
      <c r="I214" s="314" cm="1">
        <f t="array" ref="I214">IFERROR(
  VALUE($H214) *
  VALUE(
    _xlfn.XLOOKUP(
      TRIM($F214) &amp; "|" &amp; LEFT(SUBSTITUTE($G214,CHAR(160)," "),5) &amp; "|Full Rate",
      TRIM(SUBSTITUTE($N$2:$N$38,CHAR(160)," ")) &amp; "|" &amp;
      LEFT(SUBSTITUTE($O$2:$O$38,CHAR(160)," "),5) &amp; "|" &amp;
      TRIM(SUBSTITUTE($P$2:$P$38,CHAR(160)," ")),
      $Q$2:$Q$38
    )
  ),
"")</f>
        <v>650</v>
      </c>
      <c r="J214" s="315" cm="1">
        <f t="array" ref="J214">IFERROR(
  VALUE($H214) *
  VALUE(
    _xlfn.XLOOKUP(
      TRIM($F214) &amp; "|" &amp; LEFT(SUBSTITUTE($G214,CHAR(160)," "),5) &amp; "|Reduced Rate",
      TRIM(SUBSTITUTE($N$2:$N$38,CHAR(160)," ")) &amp; "|" &amp;
      LEFT(SUBSTITUTE($O$2:$O$38,CHAR(160)," "),5) &amp; "|" &amp;
      TRIM(SUBSTITUTE($P$2:$P$38,CHAR(160)," ")),
      $Q$2:$Q$38
    )
  ),
"")</f>
        <v>350</v>
      </c>
      <c r="K214" s="260" cm="1">
        <f t="array" ref="K214">IFERROR(
  VALUE($H214) *
  VALUE(
    _xlfn.XLOOKUP(
      TRIM($F214) &amp; "|" &amp; LEFT(SUBSTITUTE($G214,CHAR(160)," "),5) &amp; "|Ideas Rate",
      TRIM(SUBSTITUTE($N$2:$N$38,CHAR(160)," ")) &amp; "|" &amp;
      LEFT(SUBSTITUTE($O$2:$O$38,CHAR(160)," "),5) &amp; "|" &amp;
      TRIM(SUBSTITUTE($P$2:$P$38,CHAR(160)," ")),
      $Q$2:$Q$38
    )
  ),
"")</f>
        <v>190</v>
      </c>
      <c r="L214" s="260" t="str">
        <f>IFERROR( VALUE($H214) * INDEX(#REF!, MATCH(UPPER(TRIM($F214)),#REF!,0)), "" )</f>
        <v/>
      </c>
    </row>
    <row r="215" spans="1:12" s="8" customFormat="1" x14ac:dyDescent="0.2">
      <c r="A215" s="309">
        <v>45929</v>
      </c>
      <c r="B215" s="310" t="s">
        <v>169</v>
      </c>
      <c r="C215" s="135" t="s">
        <v>66</v>
      </c>
      <c r="D215" s="311" t="s">
        <v>187</v>
      </c>
      <c r="E215" s="311" t="s">
        <v>316</v>
      </c>
      <c r="F215" s="311" t="s">
        <v>156</v>
      </c>
      <c r="G215" s="312" t="s">
        <v>367</v>
      </c>
      <c r="H215" s="313">
        <v>6</v>
      </c>
      <c r="I215" s="314" cm="1">
        <f t="array" ref="I215">IFERROR(
  VALUE($H215) *
  VALUE(
    _xlfn.XLOOKUP(
      TRIM($F215) &amp; "|" &amp; LEFT(SUBSTITUTE($G215,CHAR(160)," "),5) &amp; "|Full Rate",
      TRIM(SUBSTITUTE($N$2:$N$38,CHAR(160)," ")) &amp; "|" &amp;
      LEFT(SUBSTITUTE($O$2:$O$38,CHAR(160)," "),5) &amp; "|" &amp;
      TRIM(SUBSTITUTE($P$2:$P$38,CHAR(160)," ")),
      $Q$2:$Q$38
    )
  ),
"")</f>
        <v>1950</v>
      </c>
      <c r="J215" s="315" cm="1">
        <f t="array" ref="J215">IFERROR(
  VALUE($H215) *
  VALUE(
    _xlfn.XLOOKUP(
      TRIM($F215) &amp; "|" &amp; LEFT(SUBSTITUTE($G215,CHAR(160)," "),5) &amp; "|Reduced Rate",
      TRIM(SUBSTITUTE($N$2:$N$38,CHAR(160)," ")) &amp; "|" &amp;
      LEFT(SUBSTITUTE($O$2:$O$38,CHAR(160)," "),5) &amp; "|" &amp;
      TRIM(SUBSTITUTE($P$2:$P$38,CHAR(160)," ")),
      $Q$2:$Q$38
    )
  ),
"")</f>
        <v>1050</v>
      </c>
      <c r="K215" s="260" cm="1">
        <f t="array" ref="K215">IFERROR(
  VALUE($H215) *
  VALUE(
    _xlfn.XLOOKUP(
      TRIM($F215) &amp; "|" &amp; LEFT(SUBSTITUTE($G215,CHAR(160)," "),5) &amp; "|Ideas Rate",
      TRIM(SUBSTITUTE($N$2:$N$38,CHAR(160)," ")) &amp; "|" &amp;
      LEFT(SUBSTITUTE($O$2:$O$38,CHAR(160)," "),5) &amp; "|" &amp;
      TRIM(SUBSTITUTE($P$2:$P$38,CHAR(160)," ")),
      $Q$2:$Q$38
    )
  ),
"")</f>
        <v>570</v>
      </c>
      <c r="L215" s="260" t="str">
        <f>IFERROR( VALUE($H215) * INDEX(#REF!, MATCH(UPPER(TRIM($F215)),#REF!,0)), "" )</f>
        <v/>
      </c>
    </row>
    <row r="216" spans="1:12" s="8" customFormat="1" x14ac:dyDescent="0.2">
      <c r="A216" s="309">
        <v>45930</v>
      </c>
      <c r="B216" s="310" t="s">
        <v>169</v>
      </c>
      <c r="C216" s="135" t="s">
        <v>66</v>
      </c>
      <c r="D216" s="311" t="s">
        <v>187</v>
      </c>
      <c r="E216" s="311" t="s">
        <v>315</v>
      </c>
      <c r="F216" s="311" t="s">
        <v>156</v>
      </c>
      <c r="G216" s="312" t="s">
        <v>367</v>
      </c>
      <c r="H216" s="313">
        <v>6.5</v>
      </c>
      <c r="I216" s="314" cm="1">
        <f t="array" ref="I216">IFERROR(
  VALUE($H216) *
  VALUE(
    _xlfn.XLOOKUP(
      TRIM($F216) &amp; "|" &amp; LEFT(SUBSTITUTE($G216,CHAR(160)," "),5) &amp; "|Full Rate",
      TRIM(SUBSTITUTE($N$2:$N$38,CHAR(160)," ")) &amp; "|" &amp;
      LEFT(SUBSTITUTE($O$2:$O$38,CHAR(160)," "),5) &amp; "|" &amp;
      TRIM(SUBSTITUTE($P$2:$P$38,CHAR(160)," ")),
      $Q$2:$Q$38
    )
  ),
"")</f>
        <v>2112.5</v>
      </c>
      <c r="J216" s="315" cm="1">
        <f t="array" ref="J216">IFERROR(
  VALUE($H216) *
  VALUE(
    _xlfn.XLOOKUP(
      TRIM($F216) &amp; "|" &amp; LEFT(SUBSTITUTE($G216,CHAR(160)," "),5) &amp; "|Reduced Rate",
      TRIM(SUBSTITUTE($N$2:$N$38,CHAR(160)," ")) &amp; "|" &amp;
      LEFT(SUBSTITUTE($O$2:$O$38,CHAR(160)," "),5) &amp; "|" &amp;
      TRIM(SUBSTITUTE($P$2:$P$38,CHAR(160)," ")),
      $Q$2:$Q$38
    )
  ),
"")</f>
        <v>1137.5</v>
      </c>
      <c r="K216" s="260" cm="1">
        <f t="array" ref="K216">IFERROR(
  VALUE($H216) *
  VALUE(
    _xlfn.XLOOKUP(
      TRIM($F216) &amp; "|" &amp; LEFT(SUBSTITUTE($G216,CHAR(160)," "),5) &amp; "|Ideas Rate",
      TRIM(SUBSTITUTE($N$2:$N$38,CHAR(160)," ")) &amp; "|" &amp;
      LEFT(SUBSTITUTE($O$2:$O$38,CHAR(160)," "),5) &amp; "|" &amp;
      TRIM(SUBSTITUTE($P$2:$P$38,CHAR(160)," ")),
      $Q$2:$Q$38
    )
  ),
"")</f>
        <v>617.5</v>
      </c>
      <c r="L216" s="260" t="str">
        <f>IFERROR( VALUE($H216) * INDEX(#REF!, MATCH(UPPER(TRIM($F216)),#REF!,0)), "" )</f>
        <v/>
      </c>
    </row>
    <row r="217" spans="1:12" s="8" customFormat="1" x14ac:dyDescent="0.2">
      <c r="A217" s="309">
        <v>45930</v>
      </c>
      <c r="B217" s="310" t="s">
        <v>169</v>
      </c>
      <c r="C217" s="135" t="s">
        <v>66</v>
      </c>
      <c r="D217" s="311" t="s">
        <v>29</v>
      </c>
      <c r="E217" s="311" t="s">
        <v>317</v>
      </c>
      <c r="F217" s="311" t="s">
        <v>9</v>
      </c>
      <c r="G217" s="312" t="s">
        <v>367</v>
      </c>
      <c r="H217" s="313">
        <v>0.75</v>
      </c>
      <c r="I217" s="314" cm="1">
        <f t="array" ref="I217">IFERROR(
  VALUE($H217) *
  VALUE(
    _xlfn.XLOOKUP(
      TRIM($F217) &amp; "|" &amp; LEFT(SUBSTITUTE($G217,CHAR(160)," "),5) &amp; "|Full Rate",
      TRIM(SUBSTITUTE($N$2:$N$38,CHAR(160)," ")) &amp; "|" &amp;
      LEFT(SUBSTITUTE($O$2:$O$38,CHAR(160)," "),5) &amp; "|" &amp;
      TRIM(SUBSTITUTE($P$2:$P$38,CHAR(160)," ")),
      $Q$2:$Q$38
    )
  ),
"")</f>
        <v>375</v>
      </c>
      <c r="J217" s="315" cm="1">
        <f t="array" ref="J217">IFERROR(
  VALUE($H217) *
  VALUE(
    _xlfn.XLOOKUP(
      TRIM($F217) &amp; "|" &amp; LEFT(SUBSTITUTE($G217,CHAR(160)," "),5) &amp; "|Reduced Rate",
      TRIM(SUBSTITUTE($N$2:$N$38,CHAR(160)," ")) &amp; "|" &amp;
      LEFT(SUBSTITUTE($O$2:$O$38,CHAR(160)," "),5) &amp; "|" &amp;
      TRIM(SUBSTITUTE($P$2:$P$38,CHAR(160)," ")),
      $Q$2:$Q$38
    )
  ),
"")</f>
        <v>225</v>
      </c>
      <c r="K217" s="260" cm="1">
        <f t="array" ref="K217">IFERROR(
  VALUE($H217) *
  VALUE(
    _xlfn.XLOOKUP(
      TRIM($F217) &amp; "|" &amp; LEFT(SUBSTITUTE($G217,CHAR(160)," "),5) &amp; "|Ideas Rate",
      TRIM(SUBSTITUTE($N$2:$N$38,CHAR(160)," ")) &amp; "|" &amp;
      LEFT(SUBSTITUTE($O$2:$O$38,CHAR(160)," "),5) &amp; "|" &amp;
      TRIM(SUBSTITUTE($P$2:$P$38,CHAR(160)," ")),
      $Q$2:$Q$38
    )
  ),
"")</f>
        <v>112.5</v>
      </c>
      <c r="L217" s="260" t="str">
        <f>IFERROR( VALUE($H217) * INDEX(#REF!, MATCH(UPPER(TRIM($F217)),#REF!,0)), "" )</f>
        <v/>
      </c>
    </row>
    <row r="218" spans="1:12" s="8" customFormat="1" x14ac:dyDescent="0.2">
      <c r="A218" s="309">
        <v>45930</v>
      </c>
      <c r="B218" s="310" t="s">
        <v>169</v>
      </c>
      <c r="C218" s="135" t="s">
        <v>66</v>
      </c>
      <c r="D218" s="311" t="s">
        <v>29</v>
      </c>
      <c r="E218" s="311" t="s">
        <v>318</v>
      </c>
      <c r="F218" s="311" t="s">
        <v>9</v>
      </c>
      <c r="G218" s="312" t="s">
        <v>367</v>
      </c>
      <c r="H218" s="313">
        <v>1</v>
      </c>
      <c r="I218" s="314" cm="1">
        <f t="array" ref="I218">IFERROR(
  VALUE($H218) *
  VALUE(
    _xlfn.XLOOKUP(
      TRIM($F218) &amp; "|" &amp; LEFT(SUBSTITUTE($G218,CHAR(160)," "),5) &amp; "|Full Rate",
      TRIM(SUBSTITUTE($N$2:$N$38,CHAR(160)," ")) &amp; "|" &amp;
      LEFT(SUBSTITUTE($O$2:$O$38,CHAR(160)," "),5) &amp; "|" &amp;
      TRIM(SUBSTITUTE($P$2:$P$38,CHAR(160)," ")),
      $Q$2:$Q$38
    )
  ),
"")</f>
        <v>500</v>
      </c>
      <c r="J218" s="315" cm="1">
        <f t="array" ref="J218">IFERROR(
  VALUE($H218) *
  VALUE(
    _xlfn.XLOOKUP(
      TRIM($F218) &amp; "|" &amp; LEFT(SUBSTITUTE($G218,CHAR(160)," "),5) &amp; "|Reduced Rate",
      TRIM(SUBSTITUTE($N$2:$N$38,CHAR(160)," ")) &amp; "|" &amp;
      LEFT(SUBSTITUTE($O$2:$O$38,CHAR(160)," "),5) &amp; "|" &amp;
      TRIM(SUBSTITUTE($P$2:$P$38,CHAR(160)," ")),
      $Q$2:$Q$38
    )
  ),
"")</f>
        <v>300</v>
      </c>
      <c r="K218" s="260" cm="1">
        <f t="array" ref="K218">IFERROR(
  VALUE($H218) *
  VALUE(
    _xlfn.XLOOKUP(
      TRIM($F218) &amp; "|" &amp; LEFT(SUBSTITUTE($G218,CHAR(160)," "),5) &amp; "|Ideas Rate",
      TRIM(SUBSTITUTE($N$2:$N$38,CHAR(160)," ")) &amp; "|" &amp;
      LEFT(SUBSTITUTE($O$2:$O$38,CHAR(160)," "),5) &amp; "|" &amp;
      TRIM(SUBSTITUTE($P$2:$P$38,CHAR(160)," ")),
      $Q$2:$Q$38
    )
  ),
"")</f>
        <v>150</v>
      </c>
      <c r="L218" s="260" t="str">
        <f>IFERROR( VALUE($H218) * INDEX(#REF!, MATCH(UPPER(TRIM($F218)),#REF!,0)), "" )</f>
        <v/>
      </c>
    </row>
    <row r="219" spans="1:12" s="8" customFormat="1" x14ac:dyDescent="0.2">
      <c r="A219" s="309">
        <v>45930</v>
      </c>
      <c r="B219" s="310" t="s">
        <v>169</v>
      </c>
      <c r="C219" s="135" t="s">
        <v>66</v>
      </c>
      <c r="D219" s="311" t="s">
        <v>191</v>
      </c>
      <c r="E219" s="311" t="s">
        <v>319</v>
      </c>
      <c r="F219" s="311" t="s">
        <v>9</v>
      </c>
      <c r="G219" s="312" t="s">
        <v>367</v>
      </c>
      <c r="H219" s="313">
        <v>5.5</v>
      </c>
      <c r="I219" s="314" cm="1">
        <f t="array" ref="I219">IFERROR(
  VALUE($H219) *
  VALUE(
    _xlfn.XLOOKUP(
      TRIM($F219) &amp; "|" &amp; LEFT(SUBSTITUTE($G219,CHAR(160)," "),5) &amp; "|Full Rate",
      TRIM(SUBSTITUTE($N$2:$N$38,CHAR(160)," ")) &amp; "|" &amp;
      LEFT(SUBSTITUTE($O$2:$O$38,CHAR(160)," "),5) &amp; "|" &amp;
      TRIM(SUBSTITUTE($P$2:$P$38,CHAR(160)," ")),
      $Q$2:$Q$38
    )
  ),
"")</f>
        <v>2750</v>
      </c>
      <c r="J219" s="315" cm="1">
        <f t="array" ref="J219">IFERROR(
  VALUE($H219) *
  VALUE(
    _xlfn.XLOOKUP(
      TRIM($F219) &amp; "|" &amp; LEFT(SUBSTITUTE($G219,CHAR(160)," "),5) &amp; "|Reduced Rate",
      TRIM(SUBSTITUTE($N$2:$N$38,CHAR(160)," ")) &amp; "|" &amp;
      LEFT(SUBSTITUTE($O$2:$O$38,CHAR(160)," "),5) &amp; "|" &amp;
      TRIM(SUBSTITUTE($P$2:$P$38,CHAR(160)," ")),
      $Q$2:$Q$38
    )
  ),
"")</f>
        <v>1650</v>
      </c>
      <c r="K219" s="260" cm="1">
        <f t="array" ref="K219">IFERROR(
  VALUE($H219) *
  VALUE(
    _xlfn.XLOOKUP(
      TRIM($F219) &amp; "|" &amp; LEFT(SUBSTITUTE($G219,CHAR(160)," "),5) &amp; "|Ideas Rate",
      TRIM(SUBSTITUTE($N$2:$N$38,CHAR(160)," ")) &amp; "|" &amp;
      LEFT(SUBSTITUTE($O$2:$O$38,CHAR(160)," "),5) &amp; "|" &amp;
      TRIM(SUBSTITUTE($P$2:$P$38,CHAR(160)," ")),
      $Q$2:$Q$38
    )
  ),
"")</f>
        <v>825</v>
      </c>
      <c r="L219" s="260" t="str">
        <f>IFERROR( VALUE($H219) * INDEX(#REF!, MATCH(UPPER(TRIM($F219)),#REF!,0)), "" )</f>
        <v/>
      </c>
    </row>
    <row r="220" spans="1:12" s="76" customFormat="1" x14ac:dyDescent="0.2">
      <c r="A220" s="294">
        <v>45929</v>
      </c>
      <c r="B220" s="295" t="s">
        <v>169</v>
      </c>
      <c r="C220" s="77" t="s">
        <v>66</v>
      </c>
      <c r="D220" s="296" t="s">
        <v>182</v>
      </c>
      <c r="E220" s="296" t="s">
        <v>320</v>
      </c>
      <c r="F220" s="296" t="s">
        <v>155</v>
      </c>
      <c r="G220" s="297" t="s">
        <v>367</v>
      </c>
      <c r="H220" s="298">
        <v>0.5</v>
      </c>
      <c r="I220" s="299" cm="1">
        <f t="array" ref="I220">IFERROR(
  VALUE($H220) *
  VALUE(
    _xlfn.XLOOKUP(
      TRIM($F220) &amp; "|" &amp; LEFT(SUBSTITUTE($G220,CHAR(160)," "),5) &amp; "|Full Rate",
      TRIM(SUBSTITUTE($N$2:$N$38,CHAR(160)," ")) &amp; "|" &amp;
      LEFT(SUBSTITUTE($O$2:$O$38,CHAR(160)," "),5) &amp; "|" &amp;
      TRIM(SUBSTITUTE($P$2:$P$38,CHAR(160)," ")),
      $Q$2:$Q$38
    )
  ),
"")</f>
        <v>200</v>
      </c>
      <c r="J220" s="300" cm="1">
        <f t="array" ref="J220">IFERROR(
  VALUE($H220) *
  VALUE(
    _xlfn.XLOOKUP(
      TRIM($F220) &amp; "|" &amp; LEFT(SUBSTITUTE($G220,CHAR(160)," "),5) &amp; "|Reduced Rate",
      TRIM(SUBSTITUTE($N$2:$N$38,CHAR(160)," ")) &amp; "|" &amp;
      LEFT(SUBSTITUTE($O$2:$O$38,CHAR(160)," "),5) &amp; "|" &amp;
      TRIM(SUBSTITUTE($P$2:$P$38,CHAR(160)," ")),
      $Q$2:$Q$38
    )
  ),
"")</f>
        <v>100</v>
      </c>
      <c r="K220" s="301" cm="1">
        <f t="array" ref="K220">IFERROR(
  VALUE($H220) *
  VALUE(
    _xlfn.XLOOKUP(
      TRIM($F220) &amp; "|" &amp; LEFT(SUBSTITUTE($G220,CHAR(160)," "),5) &amp; "|Ideas Rate",
      TRIM(SUBSTITUTE($N$2:$N$38,CHAR(160)," ")) &amp; "|" &amp;
      LEFT(SUBSTITUTE($O$2:$O$38,CHAR(160)," "),5) &amp; "|" &amp;
      TRIM(SUBSTITUTE($P$2:$P$38,CHAR(160)," ")),
      $Q$2:$Q$38
    )
  ),
"")</f>
        <v>60</v>
      </c>
      <c r="L220" s="301" t="str">
        <f>IFERROR( VALUE($H220) * INDEX(#REF!, MATCH(UPPER(TRIM($F220)),#REF!,0)), "" )</f>
        <v/>
      </c>
    </row>
    <row r="221" spans="1:12" s="76" customFormat="1" x14ac:dyDescent="0.2">
      <c r="A221" s="294">
        <v>45933</v>
      </c>
      <c r="B221" s="295" t="s">
        <v>325</v>
      </c>
      <c r="C221" s="77" t="s">
        <v>66</v>
      </c>
      <c r="D221" s="296" t="s">
        <v>190</v>
      </c>
      <c r="E221" s="296" t="s">
        <v>327</v>
      </c>
      <c r="F221" s="296" t="s">
        <v>9</v>
      </c>
      <c r="G221" s="297" t="s">
        <v>368</v>
      </c>
      <c r="H221" s="298">
        <v>1</v>
      </c>
      <c r="I221" s="299" cm="1">
        <f t="array" ref="I221">IFERROR(
  VALUE($H221) *
  VALUE(
    _xlfn.XLOOKUP(
      TRIM($F221) &amp; "|" &amp; LEFT(SUBSTITUTE($G221,CHAR(160)," "),5) &amp; "|Full Rate",
      TRIM(SUBSTITUTE($N$2:$N$38,CHAR(160)," ")) &amp; "|" &amp;
      LEFT(SUBSTITUTE($O$2:$O$38,CHAR(160)," "),5) &amp; "|" &amp;
      TRIM(SUBSTITUTE($P$2:$P$38,CHAR(160)," ")),
      $Q$2:$Q$38
    )
  ),
"")</f>
        <v>100</v>
      </c>
      <c r="J221" s="300" cm="1">
        <f t="array" ref="J221">IFERROR(
  VALUE($H221) *
  VALUE(
    _xlfn.XLOOKUP(
      TRIM($F221) &amp; "|" &amp; LEFT(SUBSTITUTE($G221,CHAR(160)," "),5) &amp; "|Reduced Rate",
      TRIM(SUBSTITUTE($N$2:$N$38,CHAR(160)," ")) &amp; "|" &amp;
      LEFT(SUBSTITUTE($O$2:$O$38,CHAR(160)," "),5) &amp; "|" &amp;
      TRIM(SUBSTITUTE($P$2:$P$38,CHAR(160)," ")),
      $Q$2:$Q$38
    )
  ),
"")</f>
        <v>50</v>
      </c>
      <c r="K221" s="301" cm="1">
        <f t="array" ref="K221">IFERROR(
  VALUE($H221) *
  VALUE(
    _xlfn.XLOOKUP(
      TRIM($F221) &amp; "|" &amp; LEFT(SUBSTITUTE($G221,CHAR(160)," "),5) &amp; "|Ideas Rate",
      TRIM(SUBSTITUTE($N$2:$N$38,CHAR(160)," ")) &amp; "|" &amp;
      LEFT(SUBSTITUTE($O$2:$O$38,CHAR(160)," "),5) &amp; "|" &amp;
      TRIM(SUBSTITUTE($P$2:$P$38,CHAR(160)," ")),
      $Q$2:$Q$38
    )
  ),
"")</f>
        <v>30</v>
      </c>
      <c r="L221" s="301" t="str">
        <f>IFERROR( VALUE($H221) * INDEX(#REF!, MATCH(UPPER(TRIM($F221)),#REF!,0)), "" )</f>
        <v/>
      </c>
    </row>
    <row r="222" spans="1:12" s="76" customFormat="1" x14ac:dyDescent="0.2">
      <c r="A222" s="294">
        <v>45933</v>
      </c>
      <c r="B222" s="295" t="s">
        <v>325</v>
      </c>
      <c r="C222" s="77" t="s">
        <v>66</v>
      </c>
      <c r="D222" s="296" t="s">
        <v>190</v>
      </c>
      <c r="E222" s="296" t="s">
        <v>328</v>
      </c>
      <c r="F222" s="296" t="s">
        <v>9</v>
      </c>
      <c r="G222" s="297" t="s">
        <v>368</v>
      </c>
      <c r="H222" s="298">
        <v>0.5</v>
      </c>
      <c r="I222" s="299" cm="1">
        <f t="array" ref="I222">IFERROR(
  VALUE($H222) *
  VALUE(
    _xlfn.XLOOKUP(
      TRIM($F222) &amp; "|" &amp; LEFT(SUBSTITUTE($G222,CHAR(160)," "),5) &amp; "|Full Rate",
      TRIM(SUBSTITUTE($N$2:$N$38,CHAR(160)," ")) &amp; "|" &amp;
      LEFT(SUBSTITUTE($O$2:$O$38,CHAR(160)," "),5) &amp; "|" &amp;
      TRIM(SUBSTITUTE($P$2:$P$38,CHAR(160)," ")),
      $Q$2:$Q$38
    )
  ),
"")</f>
        <v>50</v>
      </c>
      <c r="J222" s="300" cm="1">
        <f t="array" ref="J222">IFERROR(
  VALUE($H222) *
  VALUE(
    _xlfn.XLOOKUP(
      TRIM($F222) &amp; "|" &amp; LEFT(SUBSTITUTE($G222,CHAR(160)," "),5) &amp; "|Reduced Rate",
      TRIM(SUBSTITUTE($N$2:$N$38,CHAR(160)," ")) &amp; "|" &amp;
      LEFT(SUBSTITUTE($O$2:$O$38,CHAR(160)," "),5) &amp; "|" &amp;
      TRIM(SUBSTITUTE($P$2:$P$38,CHAR(160)," ")),
      $Q$2:$Q$38
    )
  ),
"")</f>
        <v>25</v>
      </c>
      <c r="K222" s="301" cm="1">
        <f t="array" ref="K222">IFERROR(
  VALUE($H222) *
  VALUE(
    _xlfn.XLOOKUP(
      TRIM($F222) &amp; "|" &amp; LEFT(SUBSTITUTE($G222,CHAR(160)," "),5) &amp; "|Ideas Rate",
      TRIM(SUBSTITUTE($N$2:$N$38,CHAR(160)," ")) &amp; "|" &amp;
      LEFT(SUBSTITUTE($O$2:$O$38,CHAR(160)," "),5) &amp; "|" &amp;
      TRIM(SUBSTITUTE($P$2:$P$38,CHAR(160)," ")),
      $Q$2:$Q$38
    )
  ),
"")</f>
        <v>15</v>
      </c>
      <c r="L222" s="301" t="str">
        <f>IFERROR( VALUE($H222) * INDEX(#REF!, MATCH(UPPER(TRIM($F222)),#REF!,0)), "" )</f>
        <v/>
      </c>
    </row>
    <row r="223" spans="1:12" x14ac:dyDescent="0.2">
      <c r="A223" s="10">
        <v>45939</v>
      </c>
      <c r="B223" s="28" t="s">
        <v>325</v>
      </c>
      <c r="C223" s="20" t="s">
        <v>66</v>
      </c>
      <c r="D223" s="18" t="s">
        <v>190</v>
      </c>
      <c r="E223" s="18" t="s">
        <v>338</v>
      </c>
      <c r="F223" s="18" t="s">
        <v>155</v>
      </c>
      <c r="G223" s="22" t="s">
        <v>368</v>
      </c>
      <c r="H223" s="45">
        <v>0.5</v>
      </c>
      <c r="I223" s="60" cm="1">
        <f t="array" ref="I223">IFERROR(
  VALUE($H223) *
  VALUE(
    _xlfn.XLOOKUP(
      TRIM($F223) &amp; "|" &amp; LEFT(SUBSTITUTE($G223,CHAR(160)," "),5) &amp; "|Full Rate",
      TRIM(SUBSTITUTE($N$2:$N$38,CHAR(160)," ")) &amp; "|" &amp;
      LEFT(SUBSTITUTE($O$2:$O$38,CHAR(160)," "),5) &amp; "|" &amp;
      TRIM(SUBSTITUTE($P$2:$P$38,CHAR(160)," ")),
      $Q$2:$Q$38
    )
  ),
"")</f>
        <v>50</v>
      </c>
      <c r="J223" s="52" cm="1">
        <f t="array" ref="J223">IFERROR(
  VALUE($H223) *
  VALUE(
    _xlfn.XLOOKUP(
      TRIM($F223) &amp; "|" &amp; LEFT(SUBSTITUTE($G223,CHAR(160)," "),5) &amp; "|Reduced Rate",
      TRIM(SUBSTITUTE($N$2:$N$38,CHAR(160)," ")) &amp; "|" &amp;
      LEFT(SUBSTITUTE($O$2:$O$38,CHAR(160)," "),5) &amp; "|" &amp;
      TRIM(SUBSTITUTE($P$2:$P$38,CHAR(160)," ")),
      $Q$2:$Q$38
    )
  ),
"")</f>
        <v>25</v>
      </c>
      <c r="K223" s="32" cm="1">
        <f t="array" ref="K223">IFERROR(
  VALUE($H223) *
  VALUE(
    _xlfn.XLOOKUP(
      TRIM($F223) &amp; "|" &amp; LEFT(SUBSTITUTE($G223,CHAR(160)," "),5) &amp; "|Ideas Rate",
      TRIM(SUBSTITUTE($N$2:$N$38,CHAR(160)," ")) &amp; "|" &amp;
      LEFT(SUBSTITUTE($O$2:$O$38,CHAR(160)," "),5) &amp; "|" &amp;
      TRIM(SUBSTITUTE($P$2:$P$38,CHAR(160)," ")),
      $Q$2:$Q$38
    )
  ),
"")</f>
        <v>15</v>
      </c>
      <c r="L223" s="32" t="str">
        <f>IFERROR( VALUE($H223) * INDEX(#REF!, MATCH(UPPER(TRIM($F223)),#REF!,0)), "" )</f>
        <v/>
      </c>
    </row>
    <row r="224" spans="1:12" x14ac:dyDescent="0.2">
      <c r="A224" s="10">
        <v>45940</v>
      </c>
      <c r="B224" s="28" t="s">
        <v>325</v>
      </c>
      <c r="C224" s="20" t="s">
        <v>66</v>
      </c>
      <c r="D224" s="18" t="s">
        <v>190</v>
      </c>
      <c r="E224" s="18" t="s">
        <v>350</v>
      </c>
      <c r="F224" s="18" t="s">
        <v>155</v>
      </c>
      <c r="G224" s="22" t="s">
        <v>368</v>
      </c>
      <c r="H224" s="45">
        <v>4</v>
      </c>
      <c r="I224" s="60" cm="1">
        <f t="array" ref="I224">IFERROR(
  VALUE($H224) *
  VALUE(
    _xlfn.XLOOKUP(
      TRIM($F224) &amp; "|" &amp; LEFT(SUBSTITUTE($G224,CHAR(160)," "),5) &amp; "|Full Rate",
      TRIM(SUBSTITUTE($N$2:$N$38,CHAR(160)," ")) &amp; "|" &amp;
      LEFT(SUBSTITUTE($O$2:$O$38,CHAR(160)," "),5) &amp; "|" &amp;
      TRIM(SUBSTITUTE($P$2:$P$38,CHAR(160)," ")),
      $Q$2:$Q$38
    )
  ),
"")</f>
        <v>400</v>
      </c>
      <c r="J224" s="52" cm="1">
        <f t="array" ref="J224">IFERROR(
  VALUE($H224) *
  VALUE(
    _xlfn.XLOOKUP(
      TRIM($F224) &amp; "|" &amp; LEFT(SUBSTITUTE($G224,CHAR(160)," "),5) &amp; "|Reduced Rate",
      TRIM(SUBSTITUTE($N$2:$N$38,CHAR(160)," ")) &amp; "|" &amp;
      LEFT(SUBSTITUTE($O$2:$O$38,CHAR(160)," "),5) &amp; "|" &amp;
      TRIM(SUBSTITUTE($P$2:$P$38,CHAR(160)," ")),
      $Q$2:$Q$38
    )
  ),
"")</f>
        <v>200</v>
      </c>
      <c r="K224" s="32" cm="1">
        <f t="array" ref="K224">IFERROR(
  VALUE($H224) *
  VALUE(
    _xlfn.XLOOKUP(
      TRIM($F224) &amp; "|" &amp; LEFT(SUBSTITUTE($G224,CHAR(160)," "),5) &amp; "|Ideas Rate",
      TRIM(SUBSTITUTE($N$2:$N$38,CHAR(160)," ")) &amp; "|" &amp;
      LEFT(SUBSTITUTE($O$2:$O$38,CHAR(160)," "),5) &amp; "|" &amp;
      TRIM(SUBSTITUTE($P$2:$P$38,CHAR(160)," ")),
      $Q$2:$Q$38
    )
  ),
"")</f>
        <v>120</v>
      </c>
      <c r="L224" s="32" t="str">
        <f>IFERROR( VALUE($H224) * INDEX(#REF!, MATCH(UPPER(TRIM($F224)),#REF!,0)), "" )</f>
        <v/>
      </c>
    </row>
    <row r="225" spans="1:12" x14ac:dyDescent="0.2">
      <c r="A225" s="10">
        <v>45943</v>
      </c>
      <c r="B225" s="28" t="s">
        <v>325</v>
      </c>
      <c r="C225" s="20" t="s">
        <v>66</v>
      </c>
      <c r="D225" s="18" t="s">
        <v>190</v>
      </c>
      <c r="E225" s="18" t="s">
        <v>364</v>
      </c>
      <c r="F225" s="18" t="s">
        <v>155</v>
      </c>
      <c r="G225" s="22" t="s">
        <v>368</v>
      </c>
      <c r="H225" s="45">
        <v>0.5</v>
      </c>
      <c r="I225" s="60" cm="1">
        <f t="array" ref="I225">IFERROR(
  VALUE($H225) *
  VALUE(
    _xlfn.XLOOKUP(
      TRIM($F225) &amp; "|" &amp; LEFT(SUBSTITUTE($G225,CHAR(160)," "),5) &amp; "|Full Rate",
      TRIM(SUBSTITUTE($N$2:$N$38,CHAR(160)," ")) &amp; "|" &amp;
      LEFT(SUBSTITUTE($O$2:$O$38,CHAR(160)," "),5) &amp; "|" &amp;
      TRIM(SUBSTITUTE($P$2:$P$38,CHAR(160)," ")),
      $Q$2:$Q$38
    )
  ),
"")</f>
        <v>50</v>
      </c>
      <c r="J225" s="52" cm="1">
        <f t="array" ref="J225">IFERROR(
  VALUE($H225) *
  VALUE(
    _xlfn.XLOOKUP(
      TRIM($F225) &amp; "|" &amp; LEFT(SUBSTITUTE($G225,CHAR(160)," "),5) &amp; "|Reduced Rate",
      TRIM(SUBSTITUTE($N$2:$N$38,CHAR(160)," ")) &amp; "|" &amp;
      LEFT(SUBSTITUTE($O$2:$O$38,CHAR(160)," "),5) &amp; "|" &amp;
      TRIM(SUBSTITUTE($P$2:$P$38,CHAR(160)," ")),
      $Q$2:$Q$38
    )
  ),
"")</f>
        <v>25</v>
      </c>
      <c r="K225" s="32" cm="1">
        <f t="array" ref="K225">IFERROR(
  VALUE($H225) *
  VALUE(
    _xlfn.XLOOKUP(
      TRIM($F225) &amp; "|" &amp; LEFT(SUBSTITUTE($G225,CHAR(160)," "),5) &amp; "|Ideas Rate",
      TRIM(SUBSTITUTE($N$2:$N$38,CHAR(160)," ")) &amp; "|" &amp;
      LEFT(SUBSTITUTE($O$2:$O$38,CHAR(160)," "),5) &amp; "|" &amp;
      TRIM(SUBSTITUTE($P$2:$P$38,CHAR(160)," ")),
      $Q$2:$Q$38
    )
  ),
"")</f>
        <v>15</v>
      </c>
      <c r="L225" s="32" t="str">
        <f>IFERROR( VALUE($H225) * INDEX(#REF!, MATCH(UPPER(TRIM($F225)),#REF!,0)), "" )</f>
        <v/>
      </c>
    </row>
    <row r="226" spans="1:12" x14ac:dyDescent="0.2">
      <c r="A226" s="10">
        <v>45943</v>
      </c>
      <c r="B226" s="28" t="s">
        <v>325</v>
      </c>
      <c r="C226" s="20" t="s">
        <v>66</v>
      </c>
      <c r="D226" s="18" t="s">
        <v>192</v>
      </c>
      <c r="E226" s="18" t="s">
        <v>365</v>
      </c>
      <c r="F226" s="18" t="s">
        <v>155</v>
      </c>
      <c r="G226" s="22" t="s">
        <v>368</v>
      </c>
      <c r="H226" s="45">
        <v>1</v>
      </c>
      <c r="I226" s="60" cm="1">
        <f t="array" ref="I226">IFERROR(
  VALUE($H226) *
  VALUE(
    _xlfn.XLOOKUP(
      TRIM($F226) &amp; "|" &amp; LEFT(SUBSTITUTE($G226,CHAR(160)," "),5) &amp; "|Full Rate",
      TRIM(SUBSTITUTE($N$2:$N$38,CHAR(160)," ")) &amp; "|" &amp;
      LEFT(SUBSTITUTE($O$2:$O$38,CHAR(160)," "),5) &amp; "|" &amp;
      TRIM(SUBSTITUTE($P$2:$P$38,CHAR(160)," ")),
      $Q$2:$Q$38
    )
  ),
"")</f>
        <v>100</v>
      </c>
      <c r="J226" s="52" cm="1">
        <f t="array" ref="J226">IFERROR(
  VALUE($H226) *
  VALUE(
    _xlfn.XLOOKUP(
      TRIM($F226) &amp; "|" &amp; LEFT(SUBSTITUTE($G226,CHAR(160)," "),5) &amp; "|Reduced Rate",
      TRIM(SUBSTITUTE($N$2:$N$38,CHAR(160)," ")) &amp; "|" &amp;
      LEFT(SUBSTITUTE($O$2:$O$38,CHAR(160)," "),5) &amp; "|" &amp;
      TRIM(SUBSTITUTE($P$2:$P$38,CHAR(160)," ")),
      $Q$2:$Q$38
    )
  ),
"")</f>
        <v>50</v>
      </c>
      <c r="K226" s="32" cm="1">
        <f t="array" ref="K226">IFERROR(
  VALUE($H226) *
  VALUE(
    _xlfn.XLOOKUP(
      TRIM($F226) &amp; "|" &amp; LEFT(SUBSTITUTE($G226,CHAR(160)," "),5) &amp; "|Ideas Rate",
      TRIM(SUBSTITUTE($N$2:$N$38,CHAR(160)," ")) &amp; "|" &amp;
      LEFT(SUBSTITUTE($O$2:$O$38,CHAR(160)," "),5) &amp; "|" &amp;
      TRIM(SUBSTITUTE($P$2:$P$38,CHAR(160)," ")),
      $Q$2:$Q$38
    )
  ),
"")</f>
        <v>30</v>
      </c>
      <c r="L226" s="32" t="str">
        <f>IFERROR( VALUE($H226) * INDEX(#REF!, MATCH(UPPER(TRIM($F226)),#REF!,0)), "" )</f>
        <v/>
      </c>
    </row>
    <row r="227" spans="1:12" ht="16" customHeight="1" x14ac:dyDescent="0.2">
      <c r="A227" s="10">
        <v>45943</v>
      </c>
      <c r="B227" s="28" t="s">
        <v>325</v>
      </c>
      <c r="C227" s="20" t="s">
        <v>66</v>
      </c>
      <c r="D227" s="18" t="s">
        <v>29</v>
      </c>
      <c r="E227" s="18" t="s">
        <v>366</v>
      </c>
      <c r="F227" s="18" t="s">
        <v>155</v>
      </c>
      <c r="G227" s="22" t="s">
        <v>368</v>
      </c>
      <c r="H227" s="45">
        <v>1</v>
      </c>
      <c r="I227" s="60" cm="1">
        <f t="array" ref="I227">IFERROR(
  VALUE($H227) *
  VALUE(
    _xlfn.XLOOKUP(
      TRIM($F227) &amp; "|" &amp; LEFT(SUBSTITUTE($G227,CHAR(160)," "),5) &amp; "|Full Rate",
      TRIM(SUBSTITUTE($N$2:$N$38,CHAR(160)," ")) &amp; "|" &amp;
      LEFT(SUBSTITUTE($O$2:$O$38,CHAR(160)," "),5) &amp; "|" &amp;
      TRIM(SUBSTITUTE($P$2:$P$38,CHAR(160)," ")),
      $Q$2:$Q$38
    )
  ),
"")</f>
        <v>100</v>
      </c>
      <c r="J227" s="52" cm="1">
        <f t="array" ref="J227">IFERROR(
  VALUE($H227) *
  VALUE(
    _xlfn.XLOOKUP(
      TRIM($F227) &amp; "|" &amp; LEFT(SUBSTITUTE($G227,CHAR(160)," "),5) &amp; "|Reduced Rate",
      TRIM(SUBSTITUTE($N$2:$N$38,CHAR(160)," ")) &amp; "|" &amp;
      LEFT(SUBSTITUTE($O$2:$O$38,CHAR(160)," "),5) &amp; "|" &amp;
      TRIM(SUBSTITUTE($P$2:$P$38,CHAR(160)," ")),
      $Q$2:$Q$38
    )
  ),
"")</f>
        <v>50</v>
      </c>
      <c r="K227" s="32" cm="1">
        <f t="array" ref="K227">IFERROR(
  VALUE($H227) *
  VALUE(
    _xlfn.XLOOKUP(
      TRIM($F227) &amp; "|" &amp; LEFT(SUBSTITUTE($G227,CHAR(160)," "),5) &amp; "|Ideas Rate",
      TRIM(SUBSTITUTE($N$2:$N$38,CHAR(160)," ")) &amp; "|" &amp;
      LEFT(SUBSTITUTE($O$2:$O$38,CHAR(160)," "),5) &amp; "|" &amp;
      TRIM(SUBSTITUTE($P$2:$P$38,CHAR(160)," ")),
      $Q$2:$Q$38
    )
  ),
"")</f>
        <v>30</v>
      </c>
      <c r="L227" s="32" t="str">
        <f>IFERROR( VALUE($H227) * INDEX(#REF!, MATCH(UPPER(TRIM($F227)),#REF!,0)), "" )</f>
        <v/>
      </c>
    </row>
    <row r="228" spans="1:12" x14ac:dyDescent="0.2">
      <c r="A228" s="10">
        <v>45944</v>
      </c>
      <c r="B228" s="28" t="s">
        <v>325</v>
      </c>
      <c r="C228" s="20" t="s">
        <v>66</v>
      </c>
      <c r="D228" s="18" t="s">
        <v>178</v>
      </c>
      <c r="E228" s="18" t="s">
        <v>369</v>
      </c>
      <c r="F228" s="18" t="s">
        <v>155</v>
      </c>
      <c r="G228" s="22" t="s">
        <v>380</v>
      </c>
      <c r="H228" s="45">
        <v>0.75</v>
      </c>
      <c r="I228" s="60" cm="1">
        <f t="array" ref="I228">IFERROR(
  VALUE($H228) *
  VALUE(
    _xlfn.XLOOKUP(
      TRIM($F228) &amp; "|" &amp; LEFT(SUBSTITUTE($G228,CHAR(160)," "),5) &amp; "|Full Rate",
      TRIM(SUBSTITUTE($N$2:$N$38,CHAR(160)," ")) &amp; "|" &amp;
      LEFT(SUBSTITUTE($O$2:$O$38,CHAR(160)," "),5) &amp; "|" &amp;
      TRIM(SUBSTITUTE($P$2:$P$38,CHAR(160)," ")),
      $Q$2:$Q$38
    )
  ),
"")</f>
        <v>195</v>
      </c>
      <c r="J228" s="52" cm="1">
        <f t="array" ref="J228">IFERROR(
  VALUE($H228) *
  VALUE(
    _xlfn.XLOOKUP(
      TRIM($F228) &amp; "|" &amp; LEFT(SUBSTITUTE($G228,CHAR(160)," "),5) &amp; "|Reduced Rate",
      TRIM(SUBSTITUTE($N$2:$N$38,CHAR(160)," ")) &amp; "|" &amp;
      LEFT(SUBSTITUTE($O$2:$O$38,CHAR(160)," "),5) &amp; "|" &amp;
      TRIM(SUBSTITUTE($P$2:$P$38,CHAR(160)," ")),
      $Q$2:$Q$38
    )
  ),
"")</f>
        <v>90</v>
      </c>
      <c r="K228" s="32" cm="1">
        <f t="array" ref="K228">IFERROR(
  VALUE($H228) *
  VALUE(
    _xlfn.XLOOKUP(
      TRIM($F228) &amp; "|" &amp; LEFT(SUBSTITUTE($G228,CHAR(160)," "),5) &amp; "|Ideas Rate",
      TRIM(SUBSTITUTE($N$2:$N$38,CHAR(160)," ")) &amp; "|" &amp;
      LEFT(SUBSTITUTE($O$2:$O$38,CHAR(160)," "),5) &amp; "|" &amp;
      TRIM(SUBSTITUTE($P$2:$P$38,CHAR(160)," ")),
      $Q$2:$Q$38
    )
  ),
"")</f>
        <v>67.5</v>
      </c>
      <c r="L228" s="32" t="str">
        <f>IFERROR( VALUE($H228) * INDEX(#REF!, MATCH(UPPER(TRIM($F228)),#REF!,0)), "" )</f>
        <v/>
      </c>
    </row>
    <row r="229" spans="1:12" s="76" customFormat="1" x14ac:dyDescent="0.2">
      <c r="A229" s="294">
        <v>45958</v>
      </c>
      <c r="B229" s="295" t="s">
        <v>325</v>
      </c>
      <c r="C229" s="77" t="s">
        <v>66</v>
      </c>
      <c r="D229" s="296" t="s">
        <v>178</v>
      </c>
      <c r="E229" s="296" t="s">
        <v>412</v>
      </c>
      <c r="F229" s="296" t="s">
        <v>155</v>
      </c>
      <c r="G229" s="297" t="s">
        <v>367</v>
      </c>
      <c r="H229" s="298">
        <v>0.5</v>
      </c>
      <c r="I229" s="299" cm="1">
        <f t="array" ref="I229">IFERROR(
  VALUE($H229) *
  VALUE(
    _xlfn.XLOOKUP(
      TRIM($F229) &amp; "|" &amp; LEFT(SUBSTITUTE($G229,CHAR(160)," "),5) &amp; "|Full Rate",
      TRIM(SUBSTITUTE($N$2:$N$38,CHAR(160)," ")) &amp; "|" &amp;
      LEFT(SUBSTITUTE($O$2:$O$38,CHAR(160)," "),5) &amp; "|" &amp;
      TRIM(SUBSTITUTE($P$2:$P$38,CHAR(160)," ")),
      $Q$2:$Q$38
    )
  ),
"")</f>
        <v>200</v>
      </c>
      <c r="J229" s="300" cm="1">
        <f t="array" ref="J229">IFERROR(
  VALUE($H229) *
  VALUE(
    _xlfn.XLOOKUP(
      TRIM($F229) &amp; "|" &amp; LEFT(SUBSTITUTE($G229,CHAR(160)," "),5) &amp; "|Reduced Rate",
      TRIM(SUBSTITUTE($N$2:$N$38,CHAR(160)," ")) &amp; "|" &amp;
      LEFT(SUBSTITUTE($O$2:$O$38,CHAR(160)," "),5) &amp; "|" &amp;
      TRIM(SUBSTITUTE($P$2:$P$38,CHAR(160)," ")),
      $Q$2:$Q$38
    )
  ),
"")</f>
        <v>100</v>
      </c>
      <c r="K229" s="301" cm="1">
        <f t="array" ref="K229">IFERROR(
  VALUE($H229) *
  VALUE(
    _xlfn.XLOOKUP(
      TRIM($F229) &amp; "|" &amp; LEFT(SUBSTITUTE($G229,CHAR(160)," "),5) &amp; "|Ideas Rate",
      TRIM(SUBSTITUTE($N$2:$N$38,CHAR(160)," ")) &amp; "|" &amp;
      LEFT(SUBSTITUTE($O$2:$O$38,CHAR(160)," "),5) &amp; "|" &amp;
      TRIM(SUBSTITUTE($P$2:$P$38,CHAR(160)," ")),
      $Q$2:$Q$38
    )
  ),
"")</f>
        <v>60</v>
      </c>
      <c r="L229" s="301" t="str">
        <f>IFERROR( VALUE($H229) * INDEX(#REF!, MATCH(UPPER(TRIM($F229)),#REF!,0)), "" )</f>
        <v/>
      </c>
    </row>
    <row r="230" spans="1:12" s="76" customFormat="1" x14ac:dyDescent="0.2">
      <c r="A230" s="294">
        <v>45958</v>
      </c>
      <c r="B230" s="295" t="s">
        <v>325</v>
      </c>
      <c r="C230" s="77" t="s">
        <v>66</v>
      </c>
      <c r="D230" s="296" t="s">
        <v>81</v>
      </c>
      <c r="E230" s="296" t="s">
        <v>413</v>
      </c>
      <c r="F230" s="296" t="s">
        <v>155</v>
      </c>
      <c r="G230" s="297" t="s">
        <v>367</v>
      </c>
      <c r="H230" s="298">
        <v>1</v>
      </c>
      <c r="I230" s="299" cm="1">
        <f t="array" ref="I230">IFERROR(
  VALUE($H230) *
  VALUE(
    _xlfn.XLOOKUP(
      TRIM($F230) &amp; "|" &amp; LEFT(SUBSTITUTE($G230,CHAR(160)," "),5) &amp; "|Full Rate",
      TRIM(SUBSTITUTE($N$2:$N$38,CHAR(160)," ")) &amp; "|" &amp;
      LEFT(SUBSTITUTE($O$2:$O$38,CHAR(160)," "),5) &amp; "|" &amp;
      TRIM(SUBSTITUTE($P$2:$P$38,CHAR(160)," ")),
      $Q$2:$Q$38
    )
  ),
"")</f>
        <v>400</v>
      </c>
      <c r="J230" s="301" cm="1">
        <f t="array" ref="J230">IFERROR(
  VALUE($H230) *
  VALUE(
    _xlfn.XLOOKUP(
      TRIM($F230) &amp; "|" &amp; LEFT(SUBSTITUTE($G230,CHAR(160)," "),5) &amp; "|Reduced Rate",
      TRIM(SUBSTITUTE($N$2:$N$38,CHAR(160)," ")) &amp; "|" &amp;
      LEFT(SUBSTITUTE($O$2:$O$38,CHAR(160)," "),5) &amp; "|" &amp;
      TRIM(SUBSTITUTE($P$2:$P$38,CHAR(160)," ")),
      $Q$2:$Q$38
    )
  ),
"")</f>
        <v>200</v>
      </c>
      <c r="K230" s="301" cm="1">
        <f t="array" ref="K230">IFERROR(
  VALUE($H230) *
  VALUE(
    _xlfn.XLOOKUP(
      TRIM($F230) &amp; "|" &amp; LEFT(SUBSTITUTE($G230,CHAR(160)," "),5) &amp; "|Ideas Rate",
      TRIM(SUBSTITUTE($N$2:$N$38,CHAR(160)," ")) &amp; "|" &amp;
      LEFT(SUBSTITUTE($O$2:$O$38,CHAR(160)," "),5) &amp; "|" &amp;
      TRIM(SUBSTITUTE($P$2:$P$38,CHAR(160)," ")),
      $Q$2:$Q$38
    )
  ),
"")</f>
        <v>120</v>
      </c>
      <c r="L230" s="301" t="str">
        <f>IFERROR( VALUE($H340) * INDEX(#REF!, MATCH(UPPER(TRIM($F340)),#REF!,0)), "" )</f>
        <v/>
      </c>
    </row>
    <row r="231" spans="1:12" s="76" customFormat="1" x14ac:dyDescent="0.2">
      <c r="A231" s="303">
        <v>45958</v>
      </c>
      <c r="B231" s="295" t="s">
        <v>325</v>
      </c>
      <c r="C231" s="77" t="s">
        <v>66</v>
      </c>
      <c r="D231" s="296" t="s">
        <v>81</v>
      </c>
      <c r="E231" s="296" t="s">
        <v>415</v>
      </c>
      <c r="F231" s="296" t="s">
        <v>155</v>
      </c>
      <c r="G231" s="297" t="s">
        <v>367</v>
      </c>
      <c r="H231" s="298">
        <v>1.75</v>
      </c>
      <c r="I231" s="299" cm="1">
        <f t="array" ref="I231">IFERROR(
  VALUE($H231) *
  VALUE(
    _xlfn.XLOOKUP(
      TRIM($F231) &amp; "|" &amp; LEFT(SUBSTITUTE($G231,CHAR(160)," "),5) &amp; "|Full Rate",
      TRIM(SUBSTITUTE($N$2:$N$38,CHAR(160)," ")) &amp; "|" &amp;
      LEFT(SUBSTITUTE($O$2:$O$38,CHAR(160)," "),5) &amp; "|" &amp;
      TRIM(SUBSTITUTE($P$2:$P$38,CHAR(160)," ")),
      $Q$2:$Q$38
    )
  ),
"")</f>
        <v>700</v>
      </c>
      <c r="J231" s="301" cm="1">
        <f t="array" ref="J231">IFERROR(
  VALUE($H231) *
  VALUE(
    _xlfn.XLOOKUP(
      TRIM($F231) &amp; "|" &amp; LEFT(SUBSTITUTE($G231,CHAR(160)," "),5) &amp; "|Reduced Rate",
      TRIM(SUBSTITUTE($N$2:$N$38,CHAR(160)," ")) &amp; "|" &amp;
      LEFT(SUBSTITUTE($O$2:$O$38,CHAR(160)," "),5) &amp; "|" &amp;
      TRIM(SUBSTITUTE($P$2:$P$38,CHAR(160)," ")),
      $Q$2:$Q$38
    )
  ),
"")</f>
        <v>350</v>
      </c>
      <c r="K231" s="301" cm="1">
        <f t="array" ref="K231">IFERROR(
  VALUE($H231) *
  VALUE(
    _xlfn.XLOOKUP(
      TRIM($F231) &amp; "|" &amp; LEFT(SUBSTITUTE($G231,CHAR(160)," "),5) &amp; "|Ideas Rate",
      TRIM(SUBSTITUTE($N$2:$N$38,CHAR(160)," ")) &amp; "|" &amp;
      LEFT(SUBSTITUTE($O$2:$O$38,CHAR(160)," "),5) &amp; "|" &amp;
      TRIM(SUBSTITUTE($P$2:$P$38,CHAR(160)," ")),
      $Q$2:$Q$38
    )
  ),
"")</f>
        <v>210</v>
      </c>
      <c r="L231" s="301"/>
    </row>
    <row r="232" spans="1:12" s="76" customFormat="1" x14ac:dyDescent="0.2">
      <c r="A232" s="303">
        <v>45960</v>
      </c>
      <c r="B232" s="295" t="s">
        <v>325</v>
      </c>
      <c r="C232" s="77" t="s">
        <v>66</v>
      </c>
      <c r="D232" s="296" t="s">
        <v>81</v>
      </c>
      <c r="E232" s="296" t="s">
        <v>418</v>
      </c>
      <c r="F232" s="296" t="s">
        <v>155</v>
      </c>
      <c r="G232" s="297" t="s">
        <v>367</v>
      </c>
      <c r="H232" s="298">
        <v>4</v>
      </c>
      <c r="I232" s="299" cm="1">
        <f t="array" ref="I232">IFERROR(
  VALUE($H232) *
  VALUE(
    _xlfn.XLOOKUP(
      TRIM($F232) &amp; "|" &amp; LEFT(SUBSTITUTE($G232,CHAR(160)," "),5) &amp; "|Full Rate",
      TRIM(SUBSTITUTE($N$2:$N$38,CHAR(160)," ")) &amp; "|" &amp;
      LEFT(SUBSTITUTE($O$2:$O$38,CHAR(160)," "),5) &amp; "|" &amp;
      TRIM(SUBSTITUTE($P$2:$P$38,CHAR(160)," ")),
      $Q$2:$Q$38
    )
  ),
"")</f>
        <v>1600</v>
      </c>
      <c r="J232" s="301" cm="1">
        <f t="array" ref="J232">IFERROR(
  VALUE($H232) *
  VALUE(
    _xlfn.XLOOKUP(
      TRIM($F232) &amp; "|" &amp; LEFT(SUBSTITUTE($G232,CHAR(160)," "),5) &amp; "|Reduced Rate",
      TRIM(SUBSTITUTE($N$2:$N$38,CHAR(160)," ")) &amp; "|" &amp;
      LEFT(SUBSTITUTE($O$2:$O$38,CHAR(160)," "),5) &amp; "|" &amp;
      TRIM(SUBSTITUTE($P$2:$P$38,CHAR(160)," ")),
      $Q$2:$Q$38
    )
  ),
"")</f>
        <v>800</v>
      </c>
      <c r="K232" s="301" cm="1">
        <f t="array" ref="K232">IFERROR(
  VALUE($H232) *
  VALUE(
    _xlfn.XLOOKUP(
      TRIM($F232) &amp; "|" &amp; LEFT(SUBSTITUTE($G232,CHAR(160)," "),5) &amp; "|Ideas Rate",
      TRIM(SUBSTITUTE($N$2:$N$38,CHAR(160)," ")) &amp; "|" &amp;
      LEFT(SUBSTITUTE($O$2:$O$38,CHAR(160)," "),5) &amp; "|" &amp;
      TRIM(SUBSTITUTE($P$2:$P$38,CHAR(160)," ")),
      $Q$2:$Q$38
    )
  ),
"")</f>
        <v>480</v>
      </c>
      <c r="L232" s="301" t="str">
        <f>IFERROR( VALUE($H342) * INDEX(#REF!, MATCH(UPPER(TRIM($F342)),#REF!,0)), "" )</f>
        <v/>
      </c>
    </row>
    <row r="233" spans="1:12" x14ac:dyDescent="0.2">
      <c r="A233" s="267">
        <v>46028</v>
      </c>
      <c r="B233" s="268" t="s">
        <v>508</v>
      </c>
      <c r="C233" s="269" t="s">
        <v>66</v>
      </c>
      <c r="D233" s="270" t="s">
        <v>182</v>
      </c>
      <c r="E233" s="270" t="s">
        <v>514</v>
      </c>
      <c r="F233" s="270" t="s">
        <v>155</v>
      </c>
      <c r="G233" s="271" t="s">
        <v>380</v>
      </c>
      <c r="H233" s="272">
        <v>1</v>
      </c>
      <c r="I233" s="273" cm="1">
        <f t="array" ref="I233">IFERROR(
  VALUE($H233) *
  VALUE(
    _xlfn.XLOOKUP(
      TRIM($F233) &amp; "|" &amp; LEFT(SUBSTITUTE($G233,CHAR(160)," "),5) &amp; "|Full Rate",
      TRIM(SUBSTITUTE($N$2:$N$38,CHAR(160)," ")) &amp; "|" &amp;
      LEFT(SUBSTITUTE($O$2:$O$38,CHAR(160)," "),5) &amp; "|" &amp;
      TRIM(SUBSTITUTE($P$2:$P$38,CHAR(160)," ")),
      $Q$2:$Q$38
    )
  ),
"")</f>
        <v>260</v>
      </c>
      <c r="J233" s="274" cm="1">
        <f t="array" ref="J233">IFERROR(
  VALUE($H233) *
  VALUE(
    _xlfn.XLOOKUP(
      TRIM($F233) &amp; "|" &amp; LEFT(SUBSTITUTE($G233,CHAR(160)," "),5) &amp; "|Reduced Rate",
      TRIM(SUBSTITUTE($N$2:$N$38,CHAR(160)," ")) &amp; "|" &amp;
      LEFT(SUBSTITUTE($O$2:$O$38,CHAR(160)," "),5) &amp; "|" &amp;
      TRIM(SUBSTITUTE($P$2:$P$38,CHAR(160)," ")),
      $Q$2:$Q$38
    )
  ),
"")</f>
        <v>120</v>
      </c>
      <c r="K233" s="274" cm="1">
        <f t="array" ref="K233">IFERROR(
  VALUE($H233) *
  VALUE(
    _xlfn.XLOOKUP(
      TRIM($F233) &amp; "|" &amp; LEFT(SUBSTITUTE($G233,CHAR(160)," "),5) &amp; "|Ideas Rate",
      TRIM(SUBSTITUTE($N$2:$N$38,CHAR(160)," ")) &amp; "|" &amp;
      LEFT(SUBSTITUTE($O$2:$O$38,CHAR(160)," "),5) &amp; "|" &amp;
      TRIM(SUBSTITUTE($P$2:$P$38,CHAR(160)," ")),
      $Q$2:$Q$38
    )
  ),
"")</f>
        <v>90</v>
      </c>
      <c r="L233" s="32" t="str">
        <f>IFERROR( VALUE($H343) * INDEX(#REF!, MATCH(UPPER(TRIM($F343)),#REF!,0)), "" )</f>
        <v/>
      </c>
    </row>
    <row r="234" spans="1:12" x14ac:dyDescent="0.2">
      <c r="A234" s="267">
        <v>46029</v>
      </c>
      <c r="B234" s="268" t="s">
        <v>508</v>
      </c>
      <c r="C234" s="269" t="s">
        <v>66</v>
      </c>
      <c r="D234" s="270" t="s">
        <v>178</v>
      </c>
      <c r="E234" s="270" t="s">
        <v>525</v>
      </c>
      <c r="F234" s="270" t="s">
        <v>155</v>
      </c>
      <c r="G234" s="271" t="s">
        <v>380</v>
      </c>
      <c r="H234" s="272">
        <v>0.5</v>
      </c>
      <c r="I234" s="273" cm="1">
        <f t="array" ref="I234">IFERROR(
  VALUE($H234) *
  VALUE(
    _xlfn.XLOOKUP(
      TRIM($F234) &amp; "|" &amp; LEFT(SUBSTITUTE($G234,CHAR(160)," "),5) &amp; "|Full Rate",
      TRIM(SUBSTITUTE($N$2:$N$38,CHAR(160)," ")) &amp; "|" &amp;
      LEFT(SUBSTITUTE($O$2:$O$38,CHAR(160)," "),5) &amp; "|" &amp;
      TRIM(SUBSTITUTE($P$2:$P$38,CHAR(160)," ")),
      $Q$2:$Q$38
    )
  ),
"")</f>
        <v>130</v>
      </c>
      <c r="J234" s="274" cm="1">
        <f t="array" ref="J234">IFERROR(
  VALUE($H234) *
  VALUE(
    _xlfn.XLOOKUP(
      TRIM($F234) &amp; "|" &amp; LEFT(SUBSTITUTE($G234,CHAR(160)," "),5) &amp; "|Reduced Rate",
      TRIM(SUBSTITUTE($N$2:$N$38,CHAR(160)," ")) &amp; "|" &amp;
      LEFT(SUBSTITUTE($O$2:$O$38,CHAR(160)," "),5) &amp; "|" &amp;
      TRIM(SUBSTITUTE($P$2:$P$38,CHAR(160)," ")),
      $Q$2:$Q$38
    )
  ),
"")</f>
        <v>60</v>
      </c>
      <c r="K234" s="274" cm="1">
        <f t="array" ref="K234">IFERROR(
  VALUE($H234) *
  VALUE(
    _xlfn.XLOOKUP(
      TRIM($F234) &amp; "|" &amp; LEFT(SUBSTITUTE($G234,CHAR(160)," "),5) &amp; "|Ideas Rate",
      TRIM(SUBSTITUTE($N$2:$N$38,CHAR(160)," ")) &amp; "|" &amp;
      LEFT(SUBSTITUTE($O$2:$O$38,CHAR(160)," "),5) &amp; "|" &amp;
      TRIM(SUBSTITUTE($P$2:$P$38,CHAR(160)," ")),
      $Q$2:$Q$38
    )
  ),
"")</f>
        <v>45</v>
      </c>
      <c r="L234" s="32" t="str">
        <f>IFERROR( VALUE($H344) * INDEX(#REF!, MATCH(UPPER(TRIM($F344)),#REF!,0)), "" )</f>
        <v/>
      </c>
    </row>
    <row r="235" spans="1:12" x14ac:dyDescent="0.2">
      <c r="A235" s="267">
        <v>46029</v>
      </c>
      <c r="B235" s="268" t="s">
        <v>508</v>
      </c>
      <c r="C235" s="269" t="s">
        <v>66</v>
      </c>
      <c r="D235" s="270" t="s">
        <v>182</v>
      </c>
      <c r="E235" s="270" t="s">
        <v>526</v>
      </c>
      <c r="F235" s="270" t="s">
        <v>155</v>
      </c>
      <c r="G235" s="271" t="s">
        <v>367</v>
      </c>
      <c r="H235" s="272">
        <v>4</v>
      </c>
      <c r="I235" s="273" cm="1">
        <f t="array" ref="I235">IFERROR(
  VALUE($H235) *
  VALUE(
    _xlfn.XLOOKUP(
      TRIM($F235) &amp; "|" &amp; LEFT(SUBSTITUTE($G235,CHAR(160)," "),5) &amp; "|Full Rate",
      TRIM(SUBSTITUTE($N$2:$N$38,CHAR(160)," ")) &amp; "|" &amp;
      LEFT(SUBSTITUTE($O$2:$O$38,CHAR(160)," "),5) &amp; "|" &amp;
      TRIM(SUBSTITUTE($P$2:$P$38,CHAR(160)," ")),
      $Q$2:$Q$38
    )
  ),
"")</f>
        <v>1600</v>
      </c>
      <c r="J235" s="274" cm="1">
        <f t="array" ref="J235">IFERROR(
  VALUE($H235) *
  VALUE(
    _xlfn.XLOOKUP(
      TRIM($F235) &amp; "|" &amp; LEFT(SUBSTITUTE($G235,CHAR(160)," "),5) &amp; "|Reduced Rate",
      TRIM(SUBSTITUTE($N$2:$N$38,CHAR(160)," ")) &amp; "|" &amp;
      LEFT(SUBSTITUTE($O$2:$O$38,CHAR(160)," "),5) &amp; "|" &amp;
      TRIM(SUBSTITUTE($P$2:$P$38,CHAR(160)," ")),
      $Q$2:$Q$38
    )
  ),
"")</f>
        <v>800</v>
      </c>
      <c r="K235" s="274" cm="1">
        <f t="array" ref="K235">IFERROR(
  VALUE($H235) *
  VALUE(
    _xlfn.XLOOKUP(
      TRIM($F235) &amp; "|" &amp; LEFT(SUBSTITUTE($G235,CHAR(160)," "),5) &amp; "|Ideas Rate",
      TRIM(SUBSTITUTE($N$2:$N$38,CHAR(160)," ")) &amp; "|" &amp;
      LEFT(SUBSTITUTE($O$2:$O$38,CHAR(160)," "),5) &amp; "|" &amp;
      TRIM(SUBSTITUTE($P$2:$P$38,CHAR(160)," ")),
      $Q$2:$Q$38
    )
  ),
"")</f>
        <v>480</v>
      </c>
      <c r="L235" s="32" t="str">
        <f>IFERROR( VALUE($H345) * INDEX(#REF!, MATCH(UPPER(TRIM($F345)),#REF!,0)), "" )</f>
        <v/>
      </c>
    </row>
    <row r="236" spans="1:12" x14ac:dyDescent="0.2">
      <c r="A236" s="267">
        <v>46029</v>
      </c>
      <c r="B236" s="268" t="s">
        <v>508</v>
      </c>
      <c r="C236" s="269" t="s">
        <v>66</v>
      </c>
      <c r="D236" s="270" t="s">
        <v>29</v>
      </c>
      <c r="E236" s="270" t="s">
        <v>527</v>
      </c>
      <c r="F236" s="270" t="s">
        <v>10</v>
      </c>
      <c r="G236" s="271" t="s">
        <v>367</v>
      </c>
      <c r="H236" s="272">
        <v>2</v>
      </c>
      <c r="I236" s="273" cm="1">
        <f t="array" ref="I236">IFERROR(
  VALUE($H236) *
  VALUE(
    _xlfn.XLOOKUP(
      TRIM($F236) &amp; "|" &amp; LEFT(SUBSTITUTE($G236,CHAR(160)," "),5) &amp; "|Full Rate",
      TRIM(SUBSTITUTE($N$2:$N$38,CHAR(160)," ")) &amp; "|" &amp;
      LEFT(SUBSTITUTE($O$2:$O$38,CHAR(160)," "),5) &amp; "|" &amp;
      TRIM(SUBSTITUTE($P$2:$P$38,CHAR(160)," ")),
      $Q$2:$Q$38
    )
  ),
"")</f>
        <v>1000</v>
      </c>
      <c r="J236" s="274" cm="1">
        <f t="array" ref="J236">IFERROR(
  VALUE($H236) *
  VALUE(
    _xlfn.XLOOKUP(
      TRIM($F236) &amp; "|" &amp; LEFT(SUBSTITUTE($G236,CHAR(160)," "),5) &amp; "|Reduced Rate",
      TRIM(SUBSTITUTE($N$2:$N$38,CHAR(160)," ")) &amp; "|" &amp;
      LEFT(SUBSTITUTE($O$2:$O$38,CHAR(160)," "),5) &amp; "|" &amp;
      TRIM(SUBSTITUTE($P$2:$P$38,CHAR(160)," ")),
      $Q$2:$Q$38
    )
  ),
"")</f>
        <v>600</v>
      </c>
      <c r="K236" s="274" cm="1">
        <f t="array" ref="K236">IFERROR(
  VALUE($H236) *
  VALUE(
    _xlfn.XLOOKUP(
      TRIM($F236) &amp; "|" &amp; LEFT(SUBSTITUTE($G236,CHAR(160)," "),5) &amp; "|Ideas Rate",
      TRIM(SUBSTITUTE($N$2:$N$38,CHAR(160)," ")) &amp; "|" &amp;
      LEFT(SUBSTITUTE($O$2:$O$38,CHAR(160)," "),5) &amp; "|" &amp;
      TRIM(SUBSTITUTE($P$2:$P$38,CHAR(160)," ")),
      $Q$2:$Q$38
    )
  ),
"")</f>
        <v>300</v>
      </c>
      <c r="L236" s="32" t="str">
        <f>IFERROR( VALUE($H346) * INDEX(#REF!, MATCH(UPPER(TRIM($F346)),#REF!,0)), "" )</f>
        <v/>
      </c>
    </row>
    <row r="237" spans="1:12" x14ac:dyDescent="0.2">
      <c r="A237" s="267">
        <v>46030</v>
      </c>
      <c r="B237" s="268" t="s">
        <v>508</v>
      </c>
      <c r="C237" s="269" t="s">
        <v>66</v>
      </c>
      <c r="D237" s="270" t="s">
        <v>182</v>
      </c>
      <c r="E237" s="270" t="s">
        <v>530</v>
      </c>
      <c r="F237" s="270" t="s">
        <v>155</v>
      </c>
      <c r="G237" s="271" t="s">
        <v>367</v>
      </c>
      <c r="H237" s="272">
        <v>4.5</v>
      </c>
      <c r="I237" s="273" cm="1">
        <f t="array" ref="I237">IFERROR(
  VALUE($H237) *
  VALUE(
    _xlfn.XLOOKUP(
      TRIM($F237) &amp; "|" &amp; LEFT(SUBSTITUTE($G237,CHAR(160)," "),5) &amp; "|Full Rate",
      TRIM(SUBSTITUTE($N$2:$N$38,CHAR(160)," ")) &amp; "|" &amp;
      LEFT(SUBSTITUTE($O$2:$O$38,CHAR(160)," "),5) &amp; "|" &amp;
      TRIM(SUBSTITUTE($P$2:$P$38,CHAR(160)," ")),
      $Q$2:$Q$38
    )
  ),
"")</f>
        <v>1800</v>
      </c>
      <c r="J237" s="274" cm="1">
        <f t="array" ref="J237">IFERROR(
  VALUE($H237) *
  VALUE(
    _xlfn.XLOOKUP(
      TRIM($F237) &amp; "|" &amp; LEFT(SUBSTITUTE($G237,CHAR(160)," "),5) &amp; "|Reduced Rate",
      TRIM(SUBSTITUTE($N$2:$N$38,CHAR(160)," ")) &amp; "|" &amp;
      LEFT(SUBSTITUTE($O$2:$O$38,CHAR(160)," "),5) &amp; "|" &amp;
      TRIM(SUBSTITUTE($P$2:$P$38,CHAR(160)," ")),
      $Q$2:$Q$38
    )
  ),
"")</f>
        <v>900</v>
      </c>
      <c r="K237" s="274" cm="1">
        <f t="array" ref="K237">IFERROR(
  VALUE($H237) *
  VALUE(
    _xlfn.XLOOKUP(
      TRIM($F237) &amp; "|" &amp; LEFT(SUBSTITUTE($G237,CHAR(160)," "),5) &amp; "|Ideas Rate",
      TRIM(SUBSTITUTE($N$2:$N$38,CHAR(160)," ")) &amp; "|" &amp;
      LEFT(SUBSTITUTE($O$2:$O$38,CHAR(160)," "),5) &amp; "|" &amp;
      TRIM(SUBSTITUTE($P$2:$P$38,CHAR(160)," ")),
      $Q$2:$Q$38
    )
  ),
"")</f>
        <v>540</v>
      </c>
      <c r="L237" s="32" t="str">
        <f>IFERROR( VALUE($H347) * INDEX(#REF!, MATCH(UPPER(TRIM($F347)),#REF!,0)), "" )</f>
        <v/>
      </c>
    </row>
    <row r="238" spans="1:12" x14ac:dyDescent="0.2">
      <c r="A238" s="267">
        <v>46033</v>
      </c>
      <c r="B238" s="268" t="s">
        <v>508</v>
      </c>
      <c r="C238" s="269" t="s">
        <v>66</v>
      </c>
      <c r="D238" s="270" t="s">
        <v>182</v>
      </c>
      <c r="E238" s="270" t="s">
        <v>530</v>
      </c>
      <c r="F238" s="270" t="s">
        <v>155</v>
      </c>
      <c r="G238" s="271" t="s">
        <v>367</v>
      </c>
      <c r="H238" s="272">
        <v>2</v>
      </c>
      <c r="I238" s="273" cm="1">
        <f t="array" ref="I238">IFERROR(
  VALUE($H238) *
  VALUE(
    _xlfn.XLOOKUP(
      TRIM($F238) &amp; "|" &amp; LEFT(SUBSTITUTE($G238,CHAR(160)," "),5) &amp; "|Full Rate",
      TRIM(SUBSTITUTE($N$2:$N$38,CHAR(160)," ")) &amp; "|" &amp;
      LEFT(SUBSTITUTE($O$2:$O$38,CHAR(160)," "),5) &amp; "|" &amp;
      TRIM(SUBSTITUTE($P$2:$P$38,CHAR(160)," ")),
      $Q$2:$Q$38
    )
  ),
"")</f>
        <v>800</v>
      </c>
      <c r="J238" s="274" cm="1">
        <f t="array" ref="J238">IFERROR(
  VALUE($H238) *
  VALUE(
    _xlfn.XLOOKUP(
      TRIM($F238) &amp; "|" &amp; LEFT(SUBSTITUTE($G238,CHAR(160)," "),5) &amp; "|Reduced Rate",
      TRIM(SUBSTITUTE($N$2:$N$38,CHAR(160)," ")) &amp; "|" &amp;
      LEFT(SUBSTITUTE($O$2:$O$38,CHAR(160)," "),5) &amp; "|" &amp;
      TRIM(SUBSTITUTE($P$2:$P$38,CHAR(160)," ")),
      $Q$2:$Q$38
    )
  ),
"")</f>
        <v>400</v>
      </c>
      <c r="K238" s="274" cm="1">
        <f t="array" ref="K238">IFERROR(
  VALUE($H238) *
  VALUE(
    _xlfn.XLOOKUP(
      TRIM($F238) &amp; "|" &amp; LEFT(SUBSTITUTE($G238,CHAR(160)," "),5) &amp; "|Ideas Rate",
      TRIM(SUBSTITUTE($N$2:$N$38,CHAR(160)," ")) &amp; "|" &amp;
      LEFT(SUBSTITUTE($O$2:$O$38,CHAR(160)," "),5) &amp; "|" &amp;
      TRIM(SUBSTITUTE($P$2:$P$38,CHAR(160)," ")),
      $Q$2:$Q$38
    )
  ),
"")</f>
        <v>240</v>
      </c>
      <c r="L238" s="32" t="str">
        <f>IFERROR( VALUE($H348) * INDEX(#REF!, MATCH(UPPER(TRIM($F348)),#REF!,0)), "" )</f>
        <v/>
      </c>
    </row>
    <row r="239" spans="1:12" x14ac:dyDescent="0.2">
      <c r="A239" s="267">
        <v>46034</v>
      </c>
      <c r="B239" s="268" t="s">
        <v>508</v>
      </c>
      <c r="C239" s="269" t="s">
        <v>66</v>
      </c>
      <c r="D239" s="270" t="s">
        <v>182</v>
      </c>
      <c r="E239" s="270" t="s">
        <v>530</v>
      </c>
      <c r="F239" s="270" t="s">
        <v>155</v>
      </c>
      <c r="G239" s="271" t="s">
        <v>367</v>
      </c>
      <c r="H239" s="272">
        <v>4</v>
      </c>
      <c r="I239" s="273" cm="1">
        <f t="array" ref="I239">IFERROR(
  VALUE($H239) *
  VALUE(
    _xlfn.XLOOKUP(
      TRIM($F239) &amp; "|" &amp; LEFT(SUBSTITUTE($G239,CHAR(160)," "),5) &amp; "|Full Rate",
      TRIM(SUBSTITUTE($N$2:$N$38,CHAR(160)," ")) &amp; "|" &amp;
      LEFT(SUBSTITUTE($O$2:$O$38,CHAR(160)," "),5) &amp; "|" &amp;
      TRIM(SUBSTITUTE($P$2:$P$38,CHAR(160)," ")),
      $Q$2:$Q$38
    )
  ),
"")</f>
        <v>1600</v>
      </c>
      <c r="J239" s="274" cm="1">
        <f t="array" ref="J239">IFERROR(
  VALUE($H239) *
  VALUE(
    _xlfn.XLOOKUP(
      TRIM($F239) &amp; "|" &amp; LEFT(SUBSTITUTE($G239,CHAR(160)," "),5) &amp; "|Reduced Rate",
      TRIM(SUBSTITUTE($N$2:$N$38,CHAR(160)," ")) &amp; "|" &amp;
      LEFT(SUBSTITUTE($O$2:$O$38,CHAR(160)," "),5) &amp; "|" &amp;
      TRIM(SUBSTITUTE($P$2:$P$38,CHAR(160)," ")),
      $Q$2:$Q$38
    )
  ),
"")</f>
        <v>800</v>
      </c>
      <c r="K239" s="274" cm="1">
        <f t="array" ref="K239">IFERROR(
  VALUE($H239) *
  VALUE(
    _xlfn.XLOOKUP(
      TRIM($F239) &amp; "|" &amp; LEFT(SUBSTITUTE($G239,CHAR(160)," "),5) &amp; "|Ideas Rate",
      TRIM(SUBSTITUTE($N$2:$N$38,CHAR(160)," ")) &amp; "|" &amp;
      LEFT(SUBSTITUTE($O$2:$O$38,CHAR(160)," "),5) &amp; "|" &amp;
      TRIM(SUBSTITUTE($P$2:$P$38,CHAR(160)," ")),
      $Q$2:$Q$38
    )
  ),
"")</f>
        <v>480</v>
      </c>
      <c r="L239" s="32" t="str">
        <f>IFERROR( VALUE($H349) * INDEX(#REF!, MATCH(UPPER(TRIM($F349)),#REF!,0)), "" )</f>
        <v/>
      </c>
    </row>
    <row r="240" spans="1:12" s="76" customFormat="1" x14ac:dyDescent="0.2">
      <c r="A240" s="303">
        <v>46035</v>
      </c>
      <c r="B240" s="295" t="s">
        <v>508</v>
      </c>
      <c r="C240" s="77" t="s">
        <v>66</v>
      </c>
      <c r="D240" s="296" t="s">
        <v>81</v>
      </c>
      <c r="E240" s="296" t="s">
        <v>549</v>
      </c>
      <c r="F240" s="296" t="s">
        <v>155</v>
      </c>
      <c r="G240" s="297" t="s">
        <v>367</v>
      </c>
      <c r="H240" s="298">
        <v>0.5</v>
      </c>
      <c r="I240" s="299" cm="1">
        <f t="array" ref="I240">IFERROR(
  VALUE($H240) *
  VALUE(
    _xlfn.XLOOKUP(
      TRIM($F240) &amp; "|" &amp; LEFT(SUBSTITUTE($G240,CHAR(160)," "),5) &amp; "|Full Rate",
      TRIM(SUBSTITUTE($N$2:$N$38,CHAR(160)," ")) &amp; "|" &amp;
      LEFT(SUBSTITUTE($O$2:$O$38,CHAR(160)," "),5) &amp; "|" &amp;
      TRIM(SUBSTITUTE($P$2:$P$38,CHAR(160)," ")),
      $Q$2:$Q$38
    )
  ),
"")</f>
        <v>200</v>
      </c>
      <c r="J240" s="301" cm="1">
        <f t="array" ref="J240">IFERROR(
  VALUE($H240) *
  VALUE(
    _xlfn.XLOOKUP(
      TRIM($F240) &amp; "|" &amp; LEFT(SUBSTITUTE($G240,CHAR(160)," "),5) &amp; "|Reduced Rate",
      TRIM(SUBSTITUTE($N$2:$N$38,CHAR(160)," ")) &amp; "|" &amp;
      LEFT(SUBSTITUTE($O$2:$O$38,CHAR(160)," "),5) &amp; "|" &amp;
      TRIM(SUBSTITUTE($P$2:$P$38,CHAR(160)," ")),
      $Q$2:$Q$38
    )
  ),
"")</f>
        <v>100</v>
      </c>
      <c r="K240" s="301" cm="1">
        <f t="array" ref="K240">IFERROR(
  VALUE($H240) *
  VALUE(
    _xlfn.XLOOKUP(
      TRIM($F240) &amp; "|" &amp; LEFT(SUBSTITUTE($G240,CHAR(160)," "),5) &amp; "|Ideas Rate",
      TRIM(SUBSTITUTE($N$2:$N$38,CHAR(160)," ")) &amp; "|" &amp;
      LEFT(SUBSTITUTE($O$2:$O$38,CHAR(160)," "),5) &amp; "|" &amp;
      TRIM(SUBSTITUTE($P$2:$P$38,CHAR(160)," ")),
      $Q$2:$Q$38
    )
  ),
"")</f>
        <v>60</v>
      </c>
      <c r="L240" s="301" t="str">
        <f>IFERROR( VALUE($H350) * INDEX(#REF!, MATCH(UPPER(TRIM($F350)),#REF!,0)), "" )</f>
        <v/>
      </c>
    </row>
    <row r="241" spans="1:12" x14ac:dyDescent="0.2">
      <c r="A241" s="267">
        <v>46036</v>
      </c>
      <c r="B241" s="268" t="s">
        <v>508</v>
      </c>
      <c r="C241" s="269" t="s">
        <v>66</v>
      </c>
      <c r="D241" s="270" t="s">
        <v>182</v>
      </c>
      <c r="E241" s="270" t="s">
        <v>526</v>
      </c>
      <c r="F241" s="270" t="s">
        <v>155</v>
      </c>
      <c r="G241" s="271" t="s">
        <v>367</v>
      </c>
      <c r="H241" s="272">
        <v>0.25</v>
      </c>
      <c r="I241" s="273" cm="1">
        <f t="array" ref="I241">IFERROR(
  VALUE($H241) *
  VALUE(
    _xlfn.XLOOKUP(
      TRIM($F241) &amp; "|" &amp; LEFT(SUBSTITUTE($G241,CHAR(160)," "),5) &amp; "|Full Rate",
      TRIM(SUBSTITUTE($N$2:$N$38,CHAR(160)," ")) &amp; "|" &amp;
      LEFT(SUBSTITUTE($O$2:$O$38,CHAR(160)," "),5) &amp; "|" &amp;
      TRIM(SUBSTITUTE($P$2:$P$38,CHAR(160)," ")),
      $Q$2:$Q$38
    )
  ),
"")</f>
        <v>100</v>
      </c>
      <c r="J241" s="274" cm="1">
        <f t="array" ref="J241">IFERROR(
  VALUE($H241) *
  VALUE(
    _xlfn.XLOOKUP(
      TRIM($F241) &amp; "|" &amp; LEFT(SUBSTITUTE($G241,CHAR(160)," "),5) &amp; "|Reduced Rate",
      TRIM(SUBSTITUTE($N$2:$N$38,CHAR(160)," ")) &amp; "|" &amp;
      LEFT(SUBSTITUTE($O$2:$O$38,CHAR(160)," "),5) &amp; "|" &amp;
      TRIM(SUBSTITUTE($P$2:$P$38,CHAR(160)," ")),
      $Q$2:$Q$38
    )
  ),
"")</f>
        <v>50</v>
      </c>
      <c r="K241" s="274" cm="1">
        <f t="array" ref="K241">IFERROR(
  VALUE($H241) *
  VALUE(
    _xlfn.XLOOKUP(
      TRIM($F241) &amp; "|" &amp; LEFT(SUBSTITUTE($G241,CHAR(160)," "),5) &amp; "|Ideas Rate",
      TRIM(SUBSTITUTE($N$2:$N$38,CHAR(160)," ")) &amp; "|" &amp;
      LEFT(SUBSTITUTE($O$2:$O$38,CHAR(160)," "),5) &amp; "|" &amp;
      TRIM(SUBSTITUTE($P$2:$P$38,CHAR(160)," ")),
      $Q$2:$Q$38
    )
  ),
"")</f>
        <v>30</v>
      </c>
      <c r="L241" s="32" t="str">
        <f>IFERROR( VALUE($H351) * INDEX(#REF!, MATCH(UPPER(TRIM($F351)),#REF!,0)), "" )</f>
        <v/>
      </c>
    </row>
    <row r="242" spans="1:12" x14ac:dyDescent="0.2">
      <c r="A242" s="21"/>
      <c r="B242" s="28" t="s">
        <v>508</v>
      </c>
      <c r="L242" s="32" t="str">
        <f>IFERROR( VALUE($H352) * INDEX(#REF!, MATCH(UPPER(TRIM($F352)),#REF!,0)), "" )</f>
        <v/>
      </c>
    </row>
    <row r="243" spans="1:12" s="174" customFormat="1" x14ac:dyDescent="0.2">
      <c r="A243" s="178">
        <v>46013</v>
      </c>
      <c r="B243" s="179" t="s">
        <v>502</v>
      </c>
      <c r="C243" s="180" t="s">
        <v>152</v>
      </c>
      <c r="D243" s="181"/>
      <c r="E243" s="186" t="s">
        <v>605</v>
      </c>
      <c r="F243" s="181" t="s">
        <v>10</v>
      </c>
      <c r="G243" s="182" t="s">
        <v>367</v>
      </c>
      <c r="H243" s="183">
        <v>0.75</v>
      </c>
      <c r="I243" s="184" cm="1">
        <f t="array" ref="I243">IFERROR(
  VALUE($H243) *
  VALUE(
    _xlfn.XLOOKUP(
      TRIM($F243) &amp; "|" &amp; LEFT(SUBSTITUTE($G243,CHAR(160)," "),5) &amp; "|Full Rate",
      TRIM(SUBSTITUTE($N$2:$N$38,CHAR(160)," ")) &amp; "|" &amp;
      LEFT(SUBSTITUTE($O$2:$O$38,CHAR(160)," "),5) &amp; "|" &amp;
      TRIM(SUBSTITUTE($P$2:$P$38,CHAR(160)," ")),
      $Q$2:$Q$38
    )
  ),
"")</f>
        <v>375</v>
      </c>
      <c r="J243" s="185" cm="1">
        <f t="array" ref="J243">IFERROR(
  VALUE($H243) *
  VALUE(
    _xlfn.XLOOKUP(
      TRIM($F243) &amp; "|" &amp; LEFT(SUBSTITUTE($G243,CHAR(160)," "),5) &amp; "|Reduced Rate",
      TRIM(SUBSTITUTE($N$2:$N$38,CHAR(160)," ")) &amp; "|" &amp;
      LEFT(SUBSTITUTE($O$2:$O$38,CHAR(160)," "),5) &amp; "|" &amp;
      TRIM(SUBSTITUTE($P$2:$P$38,CHAR(160)," ")),
      $Q$2:$Q$38
    )
  ),
"")</f>
        <v>225</v>
      </c>
      <c r="K243" s="185" cm="1">
        <f t="array" ref="K243">IFERROR(
  VALUE($H243) *
  VALUE(
    _xlfn.XLOOKUP(
      TRIM($F243) &amp; "|" &amp; LEFT(SUBSTITUTE($G243,CHAR(160)," "),5) &amp; "|Ideas Rate",
      TRIM(SUBSTITUTE($N$2:$N$38,CHAR(160)," ")) &amp; "|" &amp;
      LEFT(SUBSTITUTE($O$2:$O$38,CHAR(160)," "),5) &amp; "|" &amp;
      TRIM(SUBSTITUTE($P$2:$P$38,CHAR(160)," ")),
      $Q$2:$Q$38
    )
  ),
"")</f>
        <v>112.5</v>
      </c>
      <c r="L243" s="177" t="str">
        <f>IFERROR( VALUE($H243) * INDEX(#REF!, MATCH(UPPER(TRIM($F243)),#REF!,0)), "" )</f>
        <v/>
      </c>
    </row>
    <row r="244" spans="1:12" s="174" customFormat="1" x14ac:dyDescent="0.2">
      <c r="A244" s="178">
        <v>46013</v>
      </c>
      <c r="B244" s="179" t="s">
        <v>502</v>
      </c>
      <c r="C244" s="180" t="s">
        <v>152</v>
      </c>
      <c r="D244" s="181"/>
      <c r="E244" s="186" t="s">
        <v>605</v>
      </c>
      <c r="F244" s="181" t="s">
        <v>155</v>
      </c>
      <c r="G244" s="182" t="s">
        <v>367</v>
      </c>
      <c r="H244" s="183">
        <v>0.75</v>
      </c>
      <c r="I244" s="184" cm="1">
        <f t="array" ref="I244">IFERROR(
  VALUE($H244) *
  VALUE(
    _xlfn.XLOOKUP(
      TRIM($F244) &amp; "|" &amp; LEFT(SUBSTITUTE($G244,CHAR(160)," "),5) &amp; "|Full Rate",
      TRIM(SUBSTITUTE($N$2:$N$38,CHAR(160)," ")) &amp; "|" &amp;
      LEFT(SUBSTITUTE($O$2:$O$38,CHAR(160)," "),5) &amp; "|" &amp;
      TRIM(SUBSTITUTE($P$2:$P$38,CHAR(160)," ")),
      $Q$2:$Q$38
    )
  ),
"")</f>
        <v>300</v>
      </c>
      <c r="J244" s="185" cm="1">
        <f t="array" ref="J244">IFERROR(
  VALUE($H244) *
  VALUE(
    _xlfn.XLOOKUP(
      TRIM($F244) &amp; "|" &amp; LEFT(SUBSTITUTE($G244,CHAR(160)," "),5) &amp; "|Reduced Rate",
      TRIM(SUBSTITUTE($N$2:$N$38,CHAR(160)," ")) &amp; "|" &amp;
      LEFT(SUBSTITUTE($O$2:$O$38,CHAR(160)," "),5) &amp; "|" &amp;
      TRIM(SUBSTITUTE($P$2:$P$38,CHAR(160)," ")),
      $Q$2:$Q$38
    )
  ),
"")</f>
        <v>150</v>
      </c>
      <c r="K244" s="185" cm="1">
        <f t="array" ref="K244">IFERROR(
  VALUE($H244) *
  VALUE(
    _xlfn.XLOOKUP(
      TRIM($F244) &amp; "|" &amp; LEFT(SUBSTITUTE($G244,CHAR(160)," "),5) &amp; "|Ideas Rate",
      TRIM(SUBSTITUTE($N$2:$N$38,CHAR(160)," ")) &amp; "|" &amp;
      LEFT(SUBSTITUTE($O$2:$O$38,CHAR(160)," "),5) &amp; "|" &amp;
      TRIM(SUBSTITUTE($P$2:$P$38,CHAR(160)," ")),
      $Q$2:$Q$38
    )
  ),
"")</f>
        <v>90</v>
      </c>
      <c r="L244" s="177" t="str">
        <f>IFERROR( VALUE($H244) * INDEX(#REF!, MATCH(UPPER(TRIM($F244)),#REF!,0)), "" )</f>
        <v/>
      </c>
    </row>
    <row r="245" spans="1:12" s="174" customFormat="1" x14ac:dyDescent="0.2">
      <c r="A245" s="178">
        <v>45663</v>
      </c>
      <c r="B245" s="179" t="s">
        <v>508</v>
      </c>
      <c r="C245" s="180" t="s">
        <v>152</v>
      </c>
      <c r="D245" s="181"/>
      <c r="E245" s="181" t="s">
        <v>583</v>
      </c>
      <c r="F245" s="181" t="s">
        <v>10</v>
      </c>
      <c r="G245" s="182" t="s">
        <v>367</v>
      </c>
      <c r="H245" s="183">
        <v>3</v>
      </c>
      <c r="I245" s="184" cm="1">
        <f t="array" ref="I245">IFERROR(
  VALUE($H245) *
  VALUE(
    _xlfn.XLOOKUP(
      TRIM($F245) &amp; "|" &amp; LEFT(SUBSTITUTE($G245,CHAR(160)," "),5) &amp; "|Full Rate",
      TRIM(SUBSTITUTE($N$2:$N$38,CHAR(160)," ")) &amp; "|" &amp;
      LEFT(SUBSTITUTE($O$2:$O$38,CHAR(160)," "),5) &amp; "|" &amp;
      TRIM(SUBSTITUTE($P$2:$P$38,CHAR(160)," ")),
      $Q$2:$Q$38
    )
  ),
"")</f>
        <v>1500</v>
      </c>
      <c r="J245" s="185" cm="1">
        <f t="array" ref="J245">IFERROR(
  VALUE($H245) *
  VALUE(
    _xlfn.XLOOKUP(
      TRIM($F245) &amp; "|" &amp; LEFT(SUBSTITUTE($G245,CHAR(160)," "),5) &amp; "|Reduced Rate",
      TRIM(SUBSTITUTE($N$2:$N$38,CHAR(160)," ")) &amp; "|" &amp;
      LEFT(SUBSTITUTE($O$2:$O$38,CHAR(160)," "),5) &amp; "|" &amp;
      TRIM(SUBSTITUTE($P$2:$P$38,CHAR(160)," ")),
      $Q$2:$Q$38
    )
  ),
"")</f>
        <v>900</v>
      </c>
      <c r="K245" s="185" cm="1">
        <f t="array" ref="K245">IFERROR(
  VALUE($H245) *
  VALUE(
    _xlfn.XLOOKUP(
      TRIM($F245) &amp; "|" &amp; LEFT(SUBSTITUTE($G245,CHAR(160)," "),5) &amp; "|Ideas Rate",
      TRIM(SUBSTITUTE($N$2:$N$38,CHAR(160)," ")) &amp; "|" &amp;
      LEFT(SUBSTITUTE($O$2:$O$38,CHAR(160)," "),5) &amp; "|" &amp;
      TRIM(SUBSTITUTE($P$2:$P$38,CHAR(160)," ")),
      $Q$2:$Q$38
    )
  ),
"")</f>
        <v>450</v>
      </c>
      <c r="L245" s="177" t="str">
        <f>IFERROR( VALUE($H245) * INDEX(#REF!, MATCH(UPPER(TRIM($F245)),#REF!,0)), "" )</f>
        <v/>
      </c>
    </row>
    <row r="246" spans="1:12" s="174" customFormat="1" x14ac:dyDescent="0.2">
      <c r="A246" s="178">
        <v>45663</v>
      </c>
      <c r="B246" s="179" t="s">
        <v>508</v>
      </c>
      <c r="C246" s="180" t="s">
        <v>152</v>
      </c>
      <c r="D246" s="181"/>
      <c r="E246" s="181" t="s">
        <v>584</v>
      </c>
      <c r="F246" s="181" t="s">
        <v>9</v>
      </c>
      <c r="G246" s="182" t="s">
        <v>367</v>
      </c>
      <c r="H246" s="183">
        <v>5</v>
      </c>
      <c r="I246" s="184" cm="1">
        <f t="array" ref="I246">IFERROR(
  VALUE($H246) *
  VALUE(
    _xlfn.XLOOKUP(
      TRIM($F246) &amp; "|" &amp; LEFT(SUBSTITUTE($G246,CHAR(160)," "),5) &amp; "|Full Rate",
      TRIM(SUBSTITUTE($N$2:$N$38,CHAR(160)," ")) &amp; "|" &amp;
      LEFT(SUBSTITUTE($O$2:$O$38,CHAR(160)," "),5) &amp; "|" &amp;
      TRIM(SUBSTITUTE($P$2:$P$38,CHAR(160)," ")),
      $Q$2:$Q$38
    )
  ),
"")</f>
        <v>2500</v>
      </c>
      <c r="J246" s="185" cm="1">
        <f t="array" ref="J246">IFERROR(
  VALUE($H246) *
  VALUE(
    _xlfn.XLOOKUP(
      TRIM($F246) &amp; "|" &amp; LEFT(SUBSTITUTE($G246,CHAR(160)," "),5) &amp; "|Reduced Rate",
      TRIM(SUBSTITUTE($N$2:$N$38,CHAR(160)," ")) &amp; "|" &amp;
      LEFT(SUBSTITUTE($O$2:$O$38,CHAR(160)," "),5) &amp; "|" &amp;
      TRIM(SUBSTITUTE($P$2:$P$38,CHAR(160)," ")),
      $Q$2:$Q$38
    )
  ),
"")</f>
        <v>1500</v>
      </c>
      <c r="K246" s="185" cm="1">
        <f t="array" ref="K246">IFERROR(
  VALUE($H246) *
  VALUE(
    _xlfn.XLOOKUP(
      TRIM($F246) &amp; "|" &amp; LEFT(SUBSTITUTE($G246,CHAR(160)," "),5) &amp; "|Ideas Rate",
      TRIM(SUBSTITUTE($N$2:$N$38,CHAR(160)," ")) &amp; "|" &amp;
      LEFT(SUBSTITUTE($O$2:$O$38,CHAR(160)," "),5) &amp; "|" &amp;
      TRIM(SUBSTITUTE($P$2:$P$38,CHAR(160)," ")),
      $Q$2:$Q$38
    )
  ),
"")</f>
        <v>750</v>
      </c>
      <c r="L246" s="177" t="str">
        <f>IFERROR( VALUE($H246) * INDEX(#REF!, MATCH(UPPER(TRIM($F246)),#REF!,0)), "" )</f>
        <v/>
      </c>
    </row>
    <row r="247" spans="1:12" s="174" customFormat="1" x14ac:dyDescent="0.2">
      <c r="A247" s="178">
        <v>45663</v>
      </c>
      <c r="B247" s="179" t="s">
        <v>508</v>
      </c>
      <c r="C247" s="180" t="s">
        <v>152</v>
      </c>
      <c r="D247" s="181" t="s">
        <v>178</v>
      </c>
      <c r="E247" s="181" t="s">
        <v>585</v>
      </c>
      <c r="F247" s="181" t="s">
        <v>9</v>
      </c>
      <c r="G247" s="182" t="s">
        <v>380</v>
      </c>
      <c r="H247" s="183">
        <v>3</v>
      </c>
      <c r="I247" s="184" cm="1">
        <f t="array" ref="I247">IFERROR(
  VALUE($H247) *
  VALUE(
    _xlfn.XLOOKUP(
      TRIM($F247) &amp; "|" &amp; LEFT(SUBSTITUTE($G247,CHAR(160)," "),5) &amp; "|Full Rate",
      TRIM(SUBSTITUTE($N$2:$N$38,CHAR(160)," ")) &amp; "|" &amp;
      LEFT(SUBSTITUTE($O$2:$O$38,CHAR(160)," "),5) &amp; "|" &amp;
      TRIM(SUBSTITUTE($P$2:$P$38,CHAR(160)," ")),
      $Q$2:$Q$38
    )
  ),
"")</f>
        <v>750</v>
      </c>
      <c r="J247" s="185" cm="1">
        <f t="array" ref="J247">IFERROR(
  VALUE($H247) *
  VALUE(
    _xlfn.XLOOKUP(
      TRIM($F247) &amp; "|" &amp; LEFT(SUBSTITUTE($G247,CHAR(160)," "),5) &amp; "|Reduced Rate",
      TRIM(SUBSTITUTE($N$2:$N$38,CHAR(160)," ")) &amp; "|" &amp;
      LEFT(SUBSTITUTE($O$2:$O$38,CHAR(160)," "),5) &amp; "|" &amp;
      TRIM(SUBSTITUTE($P$2:$P$38,CHAR(160)," ")),
      $Q$2:$Q$38
    )
  ),
"")</f>
        <v>450</v>
      </c>
      <c r="K247" s="185" cm="1">
        <f t="array" ref="K247">IFERROR(
  VALUE($H247) *
  VALUE(
    _xlfn.XLOOKUP(
      TRIM($F247) &amp; "|" &amp; LEFT(SUBSTITUTE($G247,CHAR(160)," "),5) &amp; "|Ideas Rate",
      TRIM(SUBSTITUTE($N$2:$N$38,CHAR(160)," ")) &amp; "|" &amp;
      LEFT(SUBSTITUTE($O$2:$O$38,CHAR(160)," "),5) &amp; "|" &amp;
      TRIM(SUBSTITUTE($P$2:$P$38,CHAR(160)," ")),
      $Q$2:$Q$38
    )
  ),
"")</f>
        <v>225</v>
      </c>
      <c r="L247" s="177" t="str">
        <f>IFERROR( VALUE($H247) * INDEX(#REF!, MATCH(UPPER(TRIM($F247)),#REF!,0)), "" )</f>
        <v/>
      </c>
    </row>
    <row r="248" spans="1:12" s="174" customFormat="1" x14ac:dyDescent="0.2">
      <c r="A248" s="178">
        <v>46028</v>
      </c>
      <c r="B248" s="179" t="s">
        <v>508</v>
      </c>
      <c r="C248" s="180" t="s">
        <v>152</v>
      </c>
      <c r="D248" s="181"/>
      <c r="E248" s="181" t="s">
        <v>586</v>
      </c>
      <c r="F248" s="181" t="s">
        <v>9</v>
      </c>
      <c r="G248" s="182" t="s">
        <v>380</v>
      </c>
      <c r="H248" s="183">
        <v>3.5</v>
      </c>
      <c r="I248" s="184" cm="1">
        <f t="array" ref="I248">IFERROR(
  VALUE($H248) *
  VALUE(
    _xlfn.XLOOKUP(
      TRIM($F248) &amp; "|" &amp; LEFT(SUBSTITUTE($G248,CHAR(160)," "),5) &amp; "|Full Rate",
      TRIM(SUBSTITUTE($N$2:$N$38,CHAR(160)," ")) &amp; "|" &amp;
      LEFT(SUBSTITUTE($O$2:$O$38,CHAR(160)," "),5) &amp; "|" &amp;
      TRIM(SUBSTITUTE($P$2:$P$38,CHAR(160)," ")),
      $Q$2:$Q$38
    )
  ),
"")</f>
        <v>875</v>
      </c>
      <c r="J248" s="185" cm="1">
        <f t="array" ref="J248">IFERROR(
  VALUE($H248) *
  VALUE(
    _xlfn.XLOOKUP(
      TRIM($F248) &amp; "|" &amp; LEFT(SUBSTITUTE($G248,CHAR(160)," "),5) &amp; "|Reduced Rate",
      TRIM(SUBSTITUTE($N$2:$N$38,CHAR(160)," ")) &amp; "|" &amp;
      LEFT(SUBSTITUTE($O$2:$O$38,CHAR(160)," "),5) &amp; "|" &amp;
      TRIM(SUBSTITUTE($P$2:$P$38,CHAR(160)," ")),
      $Q$2:$Q$38
    )
  ),
"")</f>
        <v>525</v>
      </c>
      <c r="K248" s="185" cm="1">
        <f t="array" ref="K248">IFERROR(
  VALUE($H248) *
  VALUE(
    _xlfn.XLOOKUP(
      TRIM($F248) &amp; "|" &amp; LEFT(SUBSTITUTE($G248,CHAR(160)," "),5) &amp; "|Ideas Rate",
      TRIM(SUBSTITUTE($N$2:$N$38,CHAR(160)," ")) &amp; "|" &amp;
      LEFT(SUBSTITUTE($O$2:$O$38,CHAR(160)," "),5) &amp; "|" &amp;
      TRIM(SUBSTITUTE($P$2:$P$38,CHAR(160)," ")),
      $Q$2:$Q$38
    )
  ),
"")</f>
        <v>262.5</v>
      </c>
      <c r="L248" s="177" t="str">
        <f>IFERROR( VALUE($H248) * INDEX(#REF!, MATCH(UPPER(TRIM($F248)),#REF!,0)), "" )</f>
        <v/>
      </c>
    </row>
    <row r="249" spans="1:12" x14ac:dyDescent="0.2">
      <c r="A249" s="21"/>
      <c r="B249" s="28" t="s">
        <v>508</v>
      </c>
      <c r="L249" s="32" t="str">
        <f>IFERROR( VALUE($H353) * INDEX(#REF!, MATCH(UPPER(TRIM($F353)),#REF!,0)), "" )</f>
        <v/>
      </c>
    </row>
    <row r="250" spans="1:12" x14ac:dyDescent="0.2">
      <c r="A250" s="21"/>
      <c r="B250" s="28" t="s">
        <v>508</v>
      </c>
      <c r="L250" s="32" t="str">
        <f>IFERROR( VALUE($H354) * INDEX(#REF!, MATCH(UPPER(TRIM($F354)),#REF!,0)), "" )</f>
        <v/>
      </c>
    </row>
    <row r="251" spans="1:12" x14ac:dyDescent="0.2">
      <c r="A251" s="21"/>
      <c r="B251" s="28" t="s">
        <v>508</v>
      </c>
      <c r="L251" s="32" t="str">
        <f>IFERROR( VALUE($H355) * INDEX(#REF!, MATCH(UPPER(TRIM($F355)),#REF!,0)), "" )</f>
        <v/>
      </c>
    </row>
    <row r="252" spans="1:12" x14ac:dyDescent="0.2">
      <c r="A252" s="21"/>
      <c r="B252" s="28" t="s">
        <v>508</v>
      </c>
      <c r="L252" s="32" t="str">
        <f>IFERROR( VALUE($H356) * INDEX(#REF!, MATCH(UPPER(TRIM($F356)),#REF!,0)), "" )</f>
        <v/>
      </c>
    </row>
    <row r="253" spans="1:12" x14ac:dyDescent="0.2">
      <c r="A253" s="21"/>
      <c r="B253" s="28" t="s">
        <v>508</v>
      </c>
      <c r="L253" s="32" t="str">
        <f>IFERROR( VALUE($H357) * INDEX(#REF!, MATCH(UPPER(TRIM($F357)),#REF!,0)), "" )</f>
        <v/>
      </c>
    </row>
    <row r="254" spans="1:12" x14ac:dyDescent="0.2">
      <c r="A254" s="21"/>
      <c r="B254" s="28" t="s">
        <v>508</v>
      </c>
      <c r="L254" s="32" t="str">
        <f>IFERROR( VALUE($H358) * INDEX(#REF!, MATCH(UPPER(TRIM($F358)),#REF!,0)), "" )</f>
        <v/>
      </c>
    </row>
    <row r="255" spans="1:12" x14ac:dyDescent="0.2">
      <c r="A255" s="21"/>
      <c r="B255" s="28" t="s">
        <v>508</v>
      </c>
      <c r="L255" s="32" t="str">
        <f>IFERROR( VALUE($H359) * INDEX(#REF!, MATCH(UPPER(TRIM($F359)),#REF!,0)), "" )</f>
        <v/>
      </c>
    </row>
    <row r="256" spans="1:12" x14ac:dyDescent="0.2">
      <c r="A256" s="21"/>
      <c r="B256" s="28" t="s">
        <v>508</v>
      </c>
      <c r="L256" s="32" t="str">
        <f>IFERROR( VALUE($H360) * INDEX(#REF!, MATCH(UPPER(TRIM($F360)),#REF!,0)), "" )</f>
        <v/>
      </c>
    </row>
    <row r="257" spans="1:12" x14ac:dyDescent="0.2">
      <c r="A257" s="21"/>
      <c r="B257" s="28" t="s">
        <v>508</v>
      </c>
      <c r="L257" s="32" t="str">
        <f>IFERROR( VALUE($H361) * INDEX(#REF!, MATCH(UPPER(TRIM($F361)),#REF!,0)), "" )</f>
        <v/>
      </c>
    </row>
    <row r="258" spans="1:12" x14ac:dyDescent="0.2">
      <c r="A258" s="21"/>
      <c r="B258" s="28" t="s">
        <v>508</v>
      </c>
      <c r="L258" s="32" t="str">
        <f>IFERROR( VALUE($H362) * INDEX(#REF!, MATCH(UPPER(TRIM($F362)),#REF!,0)), "" )</f>
        <v/>
      </c>
    </row>
    <row r="259" spans="1:12" x14ac:dyDescent="0.2">
      <c r="A259" s="21"/>
      <c r="B259" s="28" t="s">
        <v>508</v>
      </c>
      <c r="L259" s="32" t="str">
        <f>IFERROR( VALUE($H363) * INDEX(#REF!, MATCH(UPPER(TRIM($F363)),#REF!,0)), "" )</f>
        <v/>
      </c>
    </row>
    <row r="260" spans="1:12" x14ac:dyDescent="0.2">
      <c r="A260" s="21"/>
      <c r="B260" s="28" t="s">
        <v>508</v>
      </c>
      <c r="L260" s="32" t="str">
        <f>IFERROR( VALUE($H364) * INDEX(#REF!, MATCH(UPPER(TRIM($F364)),#REF!,0)), "" )</f>
        <v/>
      </c>
    </row>
    <row r="261" spans="1:12" x14ac:dyDescent="0.2">
      <c r="L261" s="32" t="str">
        <f>IFERROR( VALUE($H365) * INDEX(#REF!, MATCH(UPPER(TRIM($F365)),#REF!,0)), "" )</f>
        <v/>
      </c>
    </row>
    <row r="262" spans="1:12" x14ac:dyDescent="0.2">
      <c r="L262" s="32" t="str">
        <f>IFERROR( VALUE($H366) * INDEX(#REF!, MATCH(UPPER(TRIM($F366)),#REF!,0)), "" )</f>
        <v/>
      </c>
    </row>
    <row r="263" spans="1:12" x14ac:dyDescent="0.2">
      <c r="L263" s="32" t="str">
        <f>IFERROR( VALUE($H367) * INDEX(#REF!, MATCH(UPPER(TRIM($F367)),#REF!,0)), "" )</f>
        <v/>
      </c>
    </row>
    <row r="264" spans="1:12" x14ac:dyDescent="0.2">
      <c r="L264" s="32" t="str">
        <f>IFERROR( VALUE(#REF!) * INDEX(#REF!, MATCH(UPPER(TRIM(#REF!)),#REF!,0)), "" )</f>
        <v/>
      </c>
    </row>
    <row r="265" spans="1:12" x14ac:dyDescent="0.2">
      <c r="L265" s="32" t="str">
        <f>IFERROR( VALUE($H369) * INDEX(#REF!, MATCH(UPPER(TRIM($F369)),#REF!,0)), "" )</f>
        <v/>
      </c>
    </row>
    <row r="266" spans="1:12" x14ac:dyDescent="0.2">
      <c r="L266" s="32" t="str">
        <f>IFERROR( VALUE($H370) * INDEX(#REF!, MATCH(UPPER(TRIM($F370)),#REF!,0)), "" )</f>
        <v/>
      </c>
    </row>
    <row r="267" spans="1:12" x14ac:dyDescent="0.2">
      <c r="L267" s="32" t="str">
        <f>IFERROR( VALUE($H371) * INDEX(#REF!, MATCH(UPPER(TRIM($F371)),#REF!,0)), "" )</f>
        <v/>
      </c>
    </row>
    <row r="268" spans="1:12" x14ac:dyDescent="0.2">
      <c r="L268" s="32" t="str">
        <f>IFERROR( VALUE($H372) * INDEX(#REF!, MATCH(UPPER(TRIM($F372)),#REF!,0)), "" )</f>
        <v/>
      </c>
    </row>
    <row r="269" spans="1:12" x14ac:dyDescent="0.2">
      <c r="L269" s="32" t="str">
        <f>IFERROR( VALUE($H373) * INDEX(#REF!, MATCH(UPPER(TRIM($F373)),#REF!,0)), "" )</f>
        <v/>
      </c>
    </row>
    <row r="270" spans="1:12" x14ac:dyDescent="0.2">
      <c r="L270" s="32" t="str">
        <f>IFERROR( VALUE($H374) * INDEX(#REF!, MATCH(UPPER(TRIM($F374)),#REF!,0)), "" )</f>
        <v/>
      </c>
    </row>
    <row r="271" spans="1:12" x14ac:dyDescent="0.2">
      <c r="L271" s="32" t="str">
        <f>IFERROR( VALUE($H375) * INDEX(#REF!, MATCH(UPPER(TRIM($F375)),#REF!,0)), "" )</f>
        <v/>
      </c>
    </row>
    <row r="272" spans="1:12" x14ac:dyDescent="0.2">
      <c r="L272" s="32" t="str">
        <f>IFERROR( VALUE($H376) * INDEX(#REF!, MATCH(UPPER(TRIM($F376)),#REF!,0)), "" )</f>
        <v/>
      </c>
    </row>
    <row r="273" spans="1:12" x14ac:dyDescent="0.2">
      <c r="L273" s="32" t="str">
        <f>IFERROR( VALUE($H377) * INDEX(#REF!, MATCH(UPPER(TRIM($F377)),#REF!,0)), "" )</f>
        <v/>
      </c>
    </row>
    <row r="274" spans="1:12" x14ac:dyDescent="0.2">
      <c r="L274" s="32" t="str">
        <f>IFERROR( VALUE($H378) * INDEX(#REF!, MATCH(UPPER(TRIM($F378)),#REF!,0)), "" )</f>
        <v/>
      </c>
    </row>
    <row r="275" spans="1:12" x14ac:dyDescent="0.2">
      <c r="L275" s="32" t="str">
        <f>IFERROR( VALUE($H379) * INDEX(#REF!, MATCH(UPPER(TRIM($F379)),#REF!,0)), "" )</f>
        <v/>
      </c>
    </row>
    <row r="276" spans="1:12" x14ac:dyDescent="0.2">
      <c r="L276" s="32" t="str">
        <f>IFERROR( VALUE($H380) * INDEX(#REF!, MATCH(UPPER(TRIM($F380)),#REF!,0)), "" )</f>
        <v/>
      </c>
    </row>
    <row r="277" spans="1:12" x14ac:dyDescent="0.2">
      <c r="L277" s="32" t="str">
        <f>IFERROR( VALUE($H381) * INDEX(#REF!, MATCH(UPPER(TRIM($F381)),#REF!,0)), "" )</f>
        <v/>
      </c>
    </row>
    <row r="278" spans="1:12" x14ac:dyDescent="0.2">
      <c r="L278" s="32" t="str">
        <f>IFERROR( VALUE($H382) * INDEX(#REF!, MATCH(UPPER(TRIM($F382)),#REF!,0)), "" )</f>
        <v/>
      </c>
    </row>
    <row r="279" spans="1:12" x14ac:dyDescent="0.2">
      <c r="A279" s="21"/>
      <c r="B279" s="28"/>
      <c r="I279" s="60" t="str" cm="1">
        <f t="array" ref="I279">IFERROR(
  INDEX($Q$2:$Q$38,
    MATCH(1,
      ($N$2:$N$38=$F279)*
      (LEFT($O$2:$O$38,5)=LEFT($G279,5))*
      ($P$2:$P$38=#REF!),
    0)
  ),
"")</f>
        <v/>
      </c>
      <c r="J279" s="52" t="str">
        <f>IFERROR( VALUE($H279) * INDEX(#REF!, MATCH(UPPER(TRIM($F279)),#REF!,0)), "" )</f>
        <v/>
      </c>
      <c r="K279" s="32" t="str" cm="1">
        <f t="array" ref="K279">IFERROR(
  VALUE($H279) *
  VALUE(
    _xlfn.XLOOKUP(
      TRIM($F279) &amp; "|" &amp; LEFT(SUBSTITUTE($G279,CHAR(160)," "),5) &amp; "|Ideas Rate",
      TRIM(SUBSTITUTE($N$2:$N$38,CHAR(160)," ")) &amp; "|" &amp;
      LEFT(SUBSTITUTE($O$2:$O$38,CHAR(160)," "),5) &amp; "|" &amp;
      TRIM(SUBSTITUTE($P$2:$P$38,CHAR(160)," ")),
      $Q$2:$Q$38
    )
  ),
"")</f>
        <v/>
      </c>
      <c r="L279" s="32" t="str">
        <f>IFERROR( VALUE($H279) * INDEX(#REF!, MATCH(UPPER(TRIM($F279)),#REF!,0)), "" )</f>
        <v/>
      </c>
    </row>
    <row r="280" spans="1:12" x14ac:dyDescent="0.2">
      <c r="A280" s="21"/>
      <c r="B280" s="28"/>
      <c r="I280" s="60" t="str" cm="1">
        <f t="array" ref="I280">IFERROR(
  INDEX($Q$2:$Q$38,
    MATCH(1,
      ($N$2:$N$38=$F280)*
      (LEFT($O$2:$O$38,5)=LEFT($G280,5))*
      ($P$2:$P$38=#REF!),
    0)
  ),
"")</f>
        <v/>
      </c>
      <c r="J280" s="52" t="str">
        <f>IFERROR( VALUE($H280) * INDEX(#REF!, MATCH(UPPER(TRIM($F280)),#REF!,0)), "" )</f>
        <v/>
      </c>
      <c r="K280" s="32" t="str" cm="1">
        <f t="array" ref="K280">IFERROR(
  VALUE($H280) *
  VALUE(
    _xlfn.XLOOKUP(
      TRIM($F280) &amp; "|" &amp; LEFT(SUBSTITUTE($G280,CHAR(160)," "),5) &amp; "|Ideas Rate",
      TRIM(SUBSTITUTE($N$2:$N$38,CHAR(160)," ")) &amp; "|" &amp;
      LEFT(SUBSTITUTE($O$2:$O$38,CHAR(160)," "),5) &amp; "|" &amp;
      TRIM(SUBSTITUTE($P$2:$P$38,CHAR(160)," ")),
      $Q$2:$Q$38
    )
  ),
"")</f>
        <v/>
      </c>
      <c r="L280" s="32" t="str">
        <f>IFERROR( VALUE($H280) * INDEX(#REF!, MATCH(UPPER(TRIM($F280)),#REF!,0)), "" )</f>
        <v/>
      </c>
    </row>
    <row r="281" spans="1:12" x14ac:dyDescent="0.2">
      <c r="A281" s="21"/>
      <c r="B281" s="28"/>
      <c r="I281" s="60" t="str" cm="1">
        <f t="array" ref="I281">IFERROR(
  INDEX($Q$2:$Q$38,
    MATCH(1,
      ($N$2:$N$38=$F281)*
      (LEFT($O$2:$O$38,5)=LEFT($G281,5))*
      ($P$2:$P$38=#REF!),
    0)
  ),
"")</f>
        <v/>
      </c>
      <c r="J281" s="52" t="str">
        <f>IFERROR( VALUE($H281) * INDEX(#REF!, MATCH(UPPER(TRIM($F281)),#REF!,0)), "" )</f>
        <v/>
      </c>
      <c r="K281" s="32" t="str" cm="1">
        <f t="array" ref="K281">IFERROR(
  VALUE($H281) *
  VALUE(
    _xlfn.XLOOKUP(
      TRIM($F281) &amp; "|" &amp; LEFT(SUBSTITUTE($G281,CHAR(160)," "),5) &amp; "|Ideas Rate",
      TRIM(SUBSTITUTE($N$2:$N$38,CHAR(160)," ")) &amp; "|" &amp;
      LEFT(SUBSTITUTE($O$2:$O$38,CHAR(160)," "),5) &amp; "|" &amp;
      TRIM(SUBSTITUTE($P$2:$P$38,CHAR(160)," ")),
      $Q$2:$Q$38
    )
  ),
"")</f>
        <v/>
      </c>
      <c r="L281" s="32" t="str">
        <f>IFERROR( VALUE($H281) * INDEX(#REF!, MATCH(UPPER(TRIM($F281)),#REF!,0)), "" )</f>
        <v/>
      </c>
    </row>
    <row r="282" spans="1:12" x14ac:dyDescent="0.2">
      <c r="A282" s="21"/>
      <c r="B282" s="28"/>
      <c r="I282" s="60" t="str" cm="1">
        <f t="array" ref="I282">IFERROR(
  INDEX($Q$2:$Q$38,
    MATCH(1,
      ($N$2:$N$38=$F282)*
      (LEFT($O$2:$O$38,5)=LEFT($G282,5))*
      ($P$2:$P$38=#REF!),
    0)
  ),
"")</f>
        <v/>
      </c>
      <c r="J282" s="52" t="str">
        <f>IFERROR( VALUE($H282) * INDEX(#REF!, MATCH(UPPER(TRIM($F282)),#REF!,0)), "" )</f>
        <v/>
      </c>
      <c r="K282" s="32" t="str" cm="1">
        <f t="array" ref="K282">IFERROR(
  VALUE($H282) *
  VALUE(
    _xlfn.XLOOKUP(
      TRIM($F282) &amp; "|" &amp; LEFT(SUBSTITUTE($G282,CHAR(160)," "),5) &amp; "|Ideas Rate",
      TRIM(SUBSTITUTE($N$2:$N$38,CHAR(160)," ")) &amp; "|" &amp;
      LEFT(SUBSTITUTE($O$2:$O$38,CHAR(160)," "),5) &amp; "|" &amp;
      TRIM(SUBSTITUTE($P$2:$P$38,CHAR(160)," ")),
      $Q$2:$Q$38
    )
  ),
"")</f>
        <v/>
      </c>
      <c r="L282" s="32" t="str">
        <f>IFERROR( VALUE($H282) * INDEX(#REF!, MATCH(UPPER(TRIM($F282)),#REF!,0)), "" )</f>
        <v/>
      </c>
    </row>
    <row r="283" spans="1:12" x14ac:dyDescent="0.2">
      <c r="A283" s="21"/>
      <c r="B283" s="28"/>
      <c r="I283" s="60" t="str" cm="1">
        <f t="array" ref="I283">IFERROR(
  INDEX($Q$2:$Q$38,
    MATCH(1,
      ($N$2:$N$38=$F283)*
      (LEFT($O$2:$O$38,5)=LEFT($G283,5))*
      ($P$2:$P$38=#REF!),
    0)
  ),
"")</f>
        <v/>
      </c>
      <c r="J283" s="52" t="str">
        <f>IFERROR( VALUE($H283) * INDEX(#REF!, MATCH(UPPER(TRIM($F283)),#REF!,0)), "" )</f>
        <v/>
      </c>
      <c r="K283" s="32" t="str" cm="1">
        <f t="array" ref="K283">IFERROR(
  VALUE($H283) *
  VALUE(
    _xlfn.XLOOKUP(
      TRIM($F283) &amp; "|" &amp; LEFT(SUBSTITUTE($G283,CHAR(160)," "),5) &amp; "|Ideas Rate",
      TRIM(SUBSTITUTE($N$2:$N$38,CHAR(160)," ")) &amp; "|" &amp;
      LEFT(SUBSTITUTE($O$2:$O$38,CHAR(160)," "),5) &amp; "|" &amp;
      TRIM(SUBSTITUTE($P$2:$P$38,CHAR(160)," ")),
      $Q$2:$Q$38
    )
  ),
"")</f>
        <v/>
      </c>
      <c r="L283" s="32" t="str">
        <f>IFERROR( VALUE($H283) * INDEX(#REF!, MATCH(UPPER(TRIM($F283)),#REF!,0)), "" )</f>
        <v/>
      </c>
    </row>
    <row r="284" spans="1:12" x14ac:dyDescent="0.2">
      <c r="A284" s="21"/>
      <c r="B284" s="28"/>
      <c r="I284" s="60" t="str" cm="1">
        <f t="array" ref="I284">IFERROR(
  INDEX($Q$2:$Q$38,
    MATCH(1,
      ($N$2:$N$38=$F284)*
      (LEFT($O$2:$O$38,5)=LEFT($G284,5))*
      ($P$2:$P$38=#REF!),
    0)
  ),
"")</f>
        <v/>
      </c>
      <c r="J284" s="52" t="str">
        <f>IFERROR( VALUE($H284) * INDEX(#REF!, MATCH(UPPER(TRIM($F284)),#REF!,0)), "" )</f>
        <v/>
      </c>
      <c r="K284" s="32" t="str" cm="1">
        <f t="array" ref="K284">IFERROR(
  VALUE($H284) *
  VALUE(
    _xlfn.XLOOKUP(
      TRIM($F284) &amp; "|" &amp; LEFT(SUBSTITUTE($G284,CHAR(160)," "),5) &amp; "|Ideas Rate",
      TRIM(SUBSTITUTE($N$2:$N$38,CHAR(160)," ")) &amp; "|" &amp;
      LEFT(SUBSTITUTE($O$2:$O$38,CHAR(160)," "),5) &amp; "|" &amp;
      TRIM(SUBSTITUTE($P$2:$P$38,CHAR(160)," ")),
      $Q$2:$Q$38
    )
  ),
"")</f>
        <v/>
      </c>
      <c r="L284" s="32" t="str">
        <f>IFERROR( VALUE($H284) * INDEX(#REF!, MATCH(UPPER(TRIM($F284)),#REF!,0)), "" )</f>
        <v/>
      </c>
    </row>
    <row r="285" spans="1:12" x14ac:dyDescent="0.2">
      <c r="A285" s="21"/>
      <c r="B285" s="28"/>
      <c r="I285" s="60" t="str" cm="1">
        <f t="array" ref="I285">IFERROR(
  INDEX($Q$2:$Q$38,
    MATCH(1,
      ($N$2:$N$38=$F285)*
      (LEFT($O$2:$O$38,5)=LEFT($G285,5))*
      ($P$2:$P$38=#REF!),
    0)
  ),
"")</f>
        <v/>
      </c>
      <c r="J285" s="52" t="str">
        <f>IFERROR( VALUE($H285) * INDEX(#REF!, MATCH(UPPER(TRIM($F285)),#REF!,0)), "" )</f>
        <v/>
      </c>
      <c r="K285" s="32" t="str" cm="1">
        <f t="array" ref="K285">IFERROR(
  VALUE($H285) *
  VALUE(
    _xlfn.XLOOKUP(
      TRIM($F285) &amp; "|" &amp; LEFT(SUBSTITUTE($G285,CHAR(160)," "),5) &amp; "|Ideas Rate",
      TRIM(SUBSTITUTE($N$2:$N$38,CHAR(160)," ")) &amp; "|" &amp;
      LEFT(SUBSTITUTE($O$2:$O$38,CHAR(160)," "),5) &amp; "|" &amp;
      TRIM(SUBSTITUTE($P$2:$P$38,CHAR(160)," ")),
      $Q$2:$Q$38
    )
  ),
"")</f>
        <v/>
      </c>
      <c r="L285" s="32" t="str">
        <f>IFERROR( VALUE($H285) * INDEX(#REF!, MATCH(UPPER(TRIM($F285)),#REF!,0)), "" )</f>
        <v/>
      </c>
    </row>
    <row r="286" spans="1:12" x14ac:dyDescent="0.2">
      <c r="A286" s="21"/>
      <c r="B286" s="28"/>
      <c r="I286" s="60" t="str" cm="1">
        <f t="array" ref="I286">IFERROR(
  INDEX($Q$2:$Q$38,
    MATCH(1,
      ($N$2:$N$38=$F286)*
      (LEFT($O$2:$O$38,5)=LEFT($G286,5))*
      ($P$2:$P$38=#REF!),
    0)
  ),
"")</f>
        <v/>
      </c>
      <c r="J286" s="52" t="str">
        <f>IFERROR( VALUE($H286) * INDEX(#REF!, MATCH(UPPER(TRIM($F286)),#REF!,0)), "" )</f>
        <v/>
      </c>
      <c r="K286" s="32" t="str" cm="1">
        <f t="array" ref="K286">IFERROR(
  VALUE($H286) *
  VALUE(
    _xlfn.XLOOKUP(
      TRIM($F286) &amp; "|" &amp; LEFT(SUBSTITUTE($G286,CHAR(160)," "),5) &amp; "|Ideas Rate",
      TRIM(SUBSTITUTE($N$2:$N$38,CHAR(160)," ")) &amp; "|" &amp;
      LEFT(SUBSTITUTE($O$2:$O$38,CHAR(160)," "),5) &amp; "|" &amp;
      TRIM(SUBSTITUTE($P$2:$P$38,CHAR(160)," ")),
      $Q$2:$Q$38
    )
  ),
"")</f>
        <v/>
      </c>
      <c r="L286" s="32" t="str">
        <f>IFERROR( VALUE($H286) * INDEX(#REF!, MATCH(UPPER(TRIM($F286)),#REF!,0)), "" )</f>
        <v/>
      </c>
    </row>
    <row r="287" spans="1:12" x14ac:dyDescent="0.2">
      <c r="A287" s="21"/>
      <c r="B287" s="28"/>
      <c r="I287" s="60" t="str" cm="1">
        <f t="array" ref="I287">IFERROR(
  INDEX($Q$2:$Q$38,
    MATCH(1,
      ($N$2:$N$38=$F287)*
      (LEFT($O$2:$O$38,5)=LEFT($G287,5))*
      ($P$2:$P$38=#REF!),
    0)
  ),
"")</f>
        <v/>
      </c>
      <c r="J287" s="52" t="str">
        <f>IFERROR( VALUE($H287) * INDEX(#REF!, MATCH(UPPER(TRIM($F287)),#REF!,0)), "" )</f>
        <v/>
      </c>
      <c r="K287" s="32" t="str" cm="1">
        <f t="array" ref="K287">IFERROR(
  VALUE($H287) *
  VALUE(
    _xlfn.XLOOKUP(
      TRIM($F287) &amp; "|" &amp; LEFT(SUBSTITUTE($G287,CHAR(160)," "),5) &amp; "|Ideas Rate",
      TRIM(SUBSTITUTE($N$2:$N$38,CHAR(160)," ")) &amp; "|" &amp;
      LEFT(SUBSTITUTE($O$2:$O$38,CHAR(160)," "),5) &amp; "|" &amp;
      TRIM(SUBSTITUTE($P$2:$P$38,CHAR(160)," ")),
      $Q$2:$Q$38
    )
  ),
"")</f>
        <v/>
      </c>
      <c r="L287" s="32" t="str">
        <f>IFERROR( VALUE($H287) * INDEX(#REF!, MATCH(UPPER(TRIM($F287)),#REF!,0)), "" )</f>
        <v/>
      </c>
    </row>
    <row r="288" spans="1:12" x14ac:dyDescent="0.2">
      <c r="A288" s="21"/>
      <c r="B288" s="28"/>
      <c r="I288" s="60" t="str" cm="1">
        <f t="array" ref="I288">IFERROR(
  INDEX($Q$2:$Q$38,
    MATCH(1,
      ($N$2:$N$38=$F288)*
      (LEFT($O$2:$O$38,5)=LEFT($G288,5))*
      ($P$2:$P$38=#REF!),
    0)
  ),
"")</f>
        <v/>
      </c>
      <c r="J288" s="52" t="str">
        <f>IFERROR( VALUE($H288) * INDEX(#REF!, MATCH(UPPER(TRIM($F288)),#REF!,0)), "" )</f>
        <v/>
      </c>
      <c r="K288" s="32" t="str" cm="1">
        <f t="array" ref="K288">IFERROR(
  VALUE($H288) *
  VALUE(
    _xlfn.XLOOKUP(
      TRIM($F288) &amp; "|" &amp; LEFT(SUBSTITUTE($G288,CHAR(160)," "),5) &amp; "|Ideas Rate",
      TRIM(SUBSTITUTE($N$2:$N$38,CHAR(160)," ")) &amp; "|" &amp;
      LEFT(SUBSTITUTE($O$2:$O$38,CHAR(160)," "),5) &amp; "|" &amp;
      TRIM(SUBSTITUTE($P$2:$P$38,CHAR(160)," ")),
      $Q$2:$Q$38
    )
  ),
"")</f>
        <v/>
      </c>
      <c r="L288" s="32" t="str">
        <f>IFERROR( VALUE($H288) * INDEX(#REF!, MATCH(UPPER(TRIM($F288)),#REF!,0)), "" )</f>
        <v/>
      </c>
    </row>
    <row r="289" spans="1:12" x14ac:dyDescent="0.2">
      <c r="A289" s="21"/>
      <c r="B289" s="28"/>
      <c r="I289" s="60" t="str" cm="1">
        <f t="array" ref="I289">IFERROR(
  INDEX($Q$2:$Q$38,
    MATCH(1,
      ($N$2:$N$38=$F289)*
      (LEFT($O$2:$O$38,5)=LEFT($G289,5))*
      ($P$2:$P$38=#REF!),
    0)
  ),
"")</f>
        <v/>
      </c>
      <c r="J289" s="52" t="str">
        <f>IFERROR( VALUE($H289) * INDEX(#REF!, MATCH(UPPER(TRIM($F289)),#REF!,0)), "" )</f>
        <v/>
      </c>
      <c r="K289" s="32" t="str" cm="1">
        <f t="array" ref="K289">IFERROR(
  VALUE($H289) *
  VALUE(
    _xlfn.XLOOKUP(
      TRIM($F289) &amp; "|" &amp; LEFT(SUBSTITUTE($G289,CHAR(160)," "),5) &amp; "|Ideas Rate",
      TRIM(SUBSTITUTE($N$2:$N$38,CHAR(160)," ")) &amp; "|" &amp;
      LEFT(SUBSTITUTE($O$2:$O$38,CHAR(160)," "),5) &amp; "|" &amp;
      TRIM(SUBSTITUTE($P$2:$P$38,CHAR(160)," ")),
      $Q$2:$Q$38
    )
  ),
"")</f>
        <v/>
      </c>
      <c r="L289" s="32" t="str">
        <f>IFERROR( VALUE($H289) * INDEX(#REF!, MATCH(UPPER(TRIM($F289)),#REF!,0)), "" )</f>
        <v/>
      </c>
    </row>
    <row r="290" spans="1:12" x14ac:dyDescent="0.2">
      <c r="A290" s="21"/>
      <c r="B290" s="28"/>
      <c r="I290" s="60" t="str" cm="1">
        <f t="array" ref="I290">IFERROR(
  INDEX($Q$2:$Q$38,
    MATCH(1,
      ($N$2:$N$38=$F290)*
      (LEFT($O$2:$O$38,5)=LEFT($G290,5))*
      ($P$2:$P$38=#REF!),
    0)
  ),
"")</f>
        <v/>
      </c>
      <c r="J290" s="52" t="str">
        <f>IFERROR( VALUE($H290) * INDEX(#REF!, MATCH(UPPER(TRIM($F290)),#REF!,0)), "" )</f>
        <v/>
      </c>
      <c r="K290" s="32" t="str" cm="1">
        <f t="array" ref="K290">IFERROR(
  VALUE($H290) *
  VALUE(
    _xlfn.XLOOKUP(
      TRIM($F290) &amp; "|" &amp; LEFT(SUBSTITUTE($G290,CHAR(160)," "),5) &amp; "|Ideas Rate",
      TRIM(SUBSTITUTE($N$2:$N$38,CHAR(160)," ")) &amp; "|" &amp;
      LEFT(SUBSTITUTE($O$2:$O$38,CHAR(160)," "),5) &amp; "|" &amp;
      TRIM(SUBSTITUTE($P$2:$P$38,CHAR(160)," ")),
      $Q$2:$Q$38
    )
  ),
"")</f>
        <v/>
      </c>
      <c r="L290" s="32" t="str">
        <f>IFERROR( VALUE($H290) * INDEX(#REF!, MATCH(UPPER(TRIM($F290)),#REF!,0)), "" )</f>
        <v/>
      </c>
    </row>
    <row r="291" spans="1:12" x14ac:dyDescent="0.2">
      <c r="A291" s="21"/>
      <c r="B291" s="28"/>
      <c r="I291" s="60" t="str" cm="1">
        <f t="array" ref="I291">IFERROR(
  INDEX($Q$2:$Q$38,
    MATCH(1,
      ($N$2:$N$38=$F291)*
      (LEFT($O$2:$O$38,5)=LEFT($G291,5))*
      ($P$2:$P$38=#REF!),
    0)
  ),
"")</f>
        <v/>
      </c>
      <c r="J291" s="52" t="str">
        <f>IFERROR( VALUE($H291) * INDEX(#REF!, MATCH(UPPER(TRIM($F291)),#REF!,0)), "" )</f>
        <v/>
      </c>
      <c r="K291" s="32" t="str" cm="1">
        <f t="array" ref="K291">IFERROR(
  VALUE($H291) *
  VALUE(
    _xlfn.XLOOKUP(
      TRIM($F291) &amp; "|" &amp; LEFT(SUBSTITUTE($G291,CHAR(160)," "),5) &amp; "|Ideas Rate",
      TRIM(SUBSTITUTE($N$2:$N$38,CHAR(160)," ")) &amp; "|" &amp;
      LEFT(SUBSTITUTE($O$2:$O$38,CHAR(160)," "),5) &amp; "|" &amp;
      TRIM(SUBSTITUTE($P$2:$P$38,CHAR(160)," ")),
      $Q$2:$Q$38
    )
  ),
"")</f>
        <v/>
      </c>
      <c r="L291" s="32" t="str">
        <f>IFERROR( VALUE($H291) * INDEX(#REF!, MATCH(UPPER(TRIM($F291)),#REF!,0)), "" )</f>
        <v/>
      </c>
    </row>
    <row r="292" spans="1:12" x14ac:dyDescent="0.2">
      <c r="A292" s="21"/>
      <c r="B292" s="28"/>
      <c r="I292" s="60" t="str" cm="1">
        <f t="array" ref="I292">IFERROR(
  INDEX($Q$2:$Q$38,
    MATCH(1,
      ($N$2:$N$38=$F292)*
      (LEFT($O$2:$O$38,5)=LEFT($G292,5))*
      ($P$2:$P$38=#REF!),
    0)
  ),
"")</f>
        <v/>
      </c>
      <c r="J292" s="52" t="str">
        <f>IFERROR( VALUE($H292) * INDEX(#REF!, MATCH(UPPER(TRIM($F292)),#REF!,0)), "" )</f>
        <v/>
      </c>
      <c r="K292" s="32" t="str" cm="1">
        <f t="array" ref="K292">IFERROR(
  VALUE($H292) *
  VALUE(
    _xlfn.XLOOKUP(
      TRIM($F292) &amp; "|" &amp; LEFT(SUBSTITUTE($G292,CHAR(160)," "),5) &amp; "|Ideas Rate",
      TRIM(SUBSTITUTE($N$2:$N$38,CHAR(160)," ")) &amp; "|" &amp;
      LEFT(SUBSTITUTE($O$2:$O$38,CHAR(160)," "),5) &amp; "|" &amp;
      TRIM(SUBSTITUTE($P$2:$P$38,CHAR(160)," ")),
      $Q$2:$Q$38
    )
  ),
"")</f>
        <v/>
      </c>
      <c r="L292" s="32" t="str">
        <f>IFERROR( VALUE($H292) * INDEX(#REF!, MATCH(UPPER(TRIM($F292)),#REF!,0)), "" )</f>
        <v/>
      </c>
    </row>
    <row r="293" spans="1:12" x14ac:dyDescent="0.2">
      <c r="A293" s="21"/>
      <c r="B293" s="28"/>
      <c r="I293" s="60" t="str" cm="1">
        <f t="array" ref="I293">IFERROR(
  INDEX($Q$2:$Q$38,
    MATCH(1,
      ($N$2:$N$38=$F293)*
      (LEFT($O$2:$O$38,5)=LEFT($G293,5))*
      ($P$2:$P$38=#REF!),
    0)
  ),
"")</f>
        <v/>
      </c>
      <c r="J293" s="52" t="str">
        <f>IFERROR( VALUE($H293) * INDEX(#REF!, MATCH(UPPER(TRIM($F293)),#REF!,0)), "" )</f>
        <v/>
      </c>
      <c r="K293" s="32" t="str" cm="1">
        <f t="array" ref="K293">IFERROR(
  VALUE($H293) *
  VALUE(
    _xlfn.XLOOKUP(
      TRIM($F293) &amp; "|" &amp; LEFT(SUBSTITUTE($G293,CHAR(160)," "),5) &amp; "|Ideas Rate",
      TRIM(SUBSTITUTE($N$2:$N$38,CHAR(160)," ")) &amp; "|" &amp;
      LEFT(SUBSTITUTE($O$2:$O$38,CHAR(160)," "),5) &amp; "|" &amp;
      TRIM(SUBSTITUTE($P$2:$P$38,CHAR(160)," ")),
      $Q$2:$Q$38
    )
  ),
"")</f>
        <v/>
      </c>
      <c r="L293" s="32" t="str">
        <f>IFERROR( VALUE($H293) * INDEX(#REF!, MATCH(UPPER(TRIM($F293)),#REF!,0)), "" )</f>
        <v/>
      </c>
    </row>
    <row r="294" spans="1:12" x14ac:dyDescent="0.2">
      <c r="A294" s="21"/>
      <c r="B294" s="28"/>
      <c r="I294" s="60" t="str" cm="1">
        <f t="array" ref="I294">IFERROR(
  INDEX($Q$2:$Q$38,
    MATCH(1,
      ($N$2:$N$38=$F294)*
      (LEFT($O$2:$O$38,5)=LEFT($G294,5))*
      ($P$2:$P$38=#REF!),
    0)
  ),
"")</f>
        <v/>
      </c>
      <c r="J294" s="52" t="str">
        <f>IFERROR( VALUE($H294) * INDEX(#REF!, MATCH(UPPER(TRIM($F294)),#REF!,0)), "" )</f>
        <v/>
      </c>
      <c r="K294" s="32" t="str" cm="1">
        <f t="array" ref="K294">IFERROR(
  VALUE($H294) *
  VALUE(
    _xlfn.XLOOKUP(
      TRIM($F294) &amp; "|" &amp; LEFT(SUBSTITUTE($G294,CHAR(160)," "),5) &amp; "|Ideas Rate",
      TRIM(SUBSTITUTE($N$2:$N$38,CHAR(160)," ")) &amp; "|" &amp;
      LEFT(SUBSTITUTE($O$2:$O$38,CHAR(160)," "),5) &amp; "|" &amp;
      TRIM(SUBSTITUTE($P$2:$P$38,CHAR(160)," ")),
      $Q$2:$Q$38
    )
  ),
"")</f>
        <v/>
      </c>
      <c r="L294" s="32" t="str">
        <f>IFERROR( VALUE($H294) * INDEX(#REF!, MATCH(UPPER(TRIM($F294)),#REF!,0)), "" )</f>
        <v/>
      </c>
    </row>
    <row r="295" spans="1:12" x14ac:dyDescent="0.2">
      <c r="A295" s="21"/>
      <c r="B295" s="28"/>
      <c r="I295" s="60" t="str" cm="1">
        <f t="array" ref="I295">IFERROR(
  INDEX($Q$2:$Q$38,
    MATCH(1,
      ($N$2:$N$38=$F295)*
      (LEFT($O$2:$O$38,5)=LEFT($G295,5))*
      ($P$2:$P$38=#REF!),
    0)
  ),
"")</f>
        <v/>
      </c>
      <c r="J295" s="52" t="str">
        <f>IFERROR( VALUE($H295) * INDEX(#REF!, MATCH(UPPER(TRIM($F295)),#REF!,0)), "" )</f>
        <v/>
      </c>
      <c r="K295" s="32" t="str" cm="1">
        <f t="array" ref="K295">IFERROR(
  VALUE($H295) *
  VALUE(
    _xlfn.XLOOKUP(
      TRIM($F295) &amp; "|" &amp; LEFT(SUBSTITUTE($G295,CHAR(160)," "),5) &amp; "|Ideas Rate",
      TRIM(SUBSTITUTE($N$2:$N$38,CHAR(160)," ")) &amp; "|" &amp;
      LEFT(SUBSTITUTE($O$2:$O$38,CHAR(160)," "),5) &amp; "|" &amp;
      TRIM(SUBSTITUTE($P$2:$P$38,CHAR(160)," ")),
      $Q$2:$Q$38
    )
  ),
"")</f>
        <v/>
      </c>
      <c r="L295" s="32" t="str">
        <f>IFERROR( VALUE($H295) * INDEX(#REF!, MATCH(UPPER(TRIM($F295)),#REF!,0)), "" )</f>
        <v/>
      </c>
    </row>
    <row r="296" spans="1:12" x14ac:dyDescent="0.2">
      <c r="A296" s="21"/>
      <c r="B296" s="28"/>
      <c r="I296" s="60" t="str" cm="1">
        <f t="array" ref="I296">IFERROR(
  INDEX($Q$2:$Q$38,
    MATCH(1,
      ($N$2:$N$38=$F296)*
      (LEFT($O$2:$O$38,5)=LEFT($G296,5))*
      ($P$2:$P$38=#REF!),
    0)
  ),
"")</f>
        <v/>
      </c>
      <c r="J296" s="52" t="str">
        <f>IFERROR( VALUE($H296) * INDEX(#REF!, MATCH(UPPER(TRIM($F296)),#REF!,0)), "" )</f>
        <v/>
      </c>
      <c r="K296" s="32" t="str" cm="1">
        <f t="array" ref="K296">IFERROR(
  VALUE($H296) *
  VALUE(
    _xlfn.XLOOKUP(
      TRIM($F296) &amp; "|" &amp; LEFT(SUBSTITUTE($G296,CHAR(160)," "),5) &amp; "|Ideas Rate",
      TRIM(SUBSTITUTE($N$2:$N$38,CHAR(160)," ")) &amp; "|" &amp;
      LEFT(SUBSTITUTE($O$2:$O$38,CHAR(160)," "),5) &amp; "|" &amp;
      TRIM(SUBSTITUTE($P$2:$P$38,CHAR(160)," ")),
      $Q$2:$Q$38
    )
  ),
"")</f>
        <v/>
      </c>
      <c r="L296" s="32" t="str">
        <f>IFERROR( VALUE($H296) * INDEX(#REF!, MATCH(UPPER(TRIM($F296)),#REF!,0)), "" )</f>
        <v/>
      </c>
    </row>
    <row r="297" spans="1:12" x14ac:dyDescent="0.2">
      <c r="A297" s="21"/>
      <c r="B297" s="28"/>
      <c r="I297" s="60" t="str" cm="1">
        <f t="array" ref="I297">IFERROR(
  INDEX($Q$2:$Q$38,
    MATCH(1,
      ($N$2:$N$38=$F297)*
      (LEFT($O$2:$O$38,5)=LEFT($G297,5))*
      ($P$2:$P$38=#REF!),
    0)
  ),
"")</f>
        <v/>
      </c>
      <c r="J297" s="52" t="str">
        <f>IFERROR( VALUE($H297) * INDEX(#REF!, MATCH(UPPER(TRIM($F297)),#REF!,0)), "" )</f>
        <v/>
      </c>
      <c r="K297" s="32" t="str" cm="1">
        <f t="array" ref="K297">IFERROR(
  VALUE($H297) *
  VALUE(
    _xlfn.XLOOKUP(
      TRIM($F297) &amp; "|" &amp; LEFT(SUBSTITUTE($G297,CHAR(160)," "),5) &amp; "|Ideas Rate",
      TRIM(SUBSTITUTE($N$2:$N$38,CHAR(160)," ")) &amp; "|" &amp;
      LEFT(SUBSTITUTE($O$2:$O$38,CHAR(160)," "),5) &amp; "|" &amp;
      TRIM(SUBSTITUTE($P$2:$P$38,CHAR(160)," ")),
      $Q$2:$Q$38
    )
  ),
"")</f>
        <v/>
      </c>
      <c r="L297" s="32" t="str">
        <f>IFERROR( VALUE($H297) * INDEX(#REF!, MATCH(UPPER(TRIM($F297)),#REF!,0)), "" )</f>
        <v/>
      </c>
    </row>
    <row r="298" spans="1:12" x14ac:dyDescent="0.2">
      <c r="A298" s="21"/>
      <c r="B298" s="28"/>
      <c r="I298" s="60" t="str" cm="1">
        <f t="array" ref="I298">IFERROR(
  INDEX($Q$2:$Q$38,
    MATCH(1,
      ($N$2:$N$38=$F298)*
      (LEFT($O$2:$O$38,5)=LEFT($G298,5))*
      ($P$2:$P$38=#REF!),
    0)
  ),
"")</f>
        <v/>
      </c>
      <c r="J298" s="52" t="str">
        <f>IFERROR( VALUE($H298) * INDEX(#REF!, MATCH(UPPER(TRIM($F298)),#REF!,0)), "" )</f>
        <v/>
      </c>
      <c r="K298" s="32" t="str" cm="1">
        <f t="array" ref="K298">IFERROR(
  VALUE($H298) *
  VALUE(
    _xlfn.XLOOKUP(
      TRIM($F298) &amp; "|" &amp; LEFT(SUBSTITUTE($G298,CHAR(160)," "),5) &amp; "|Ideas Rate",
      TRIM(SUBSTITUTE($N$2:$N$38,CHAR(160)," ")) &amp; "|" &amp;
      LEFT(SUBSTITUTE($O$2:$O$38,CHAR(160)," "),5) &amp; "|" &amp;
      TRIM(SUBSTITUTE($P$2:$P$38,CHAR(160)," ")),
      $Q$2:$Q$38
    )
  ),
"")</f>
        <v/>
      </c>
      <c r="L298" s="32" t="str">
        <f>IFERROR( VALUE($H298) * INDEX(#REF!, MATCH(UPPER(TRIM($F298)),#REF!,0)), "" )</f>
        <v/>
      </c>
    </row>
    <row r="299" spans="1:12" x14ac:dyDescent="0.2">
      <c r="A299" s="21"/>
      <c r="B299" s="28"/>
      <c r="I299" s="60" t="str" cm="1">
        <f t="array" ref="I299">IFERROR(
  INDEX($Q$2:$Q$38,
    MATCH(1,
      ($N$2:$N$38=$F299)*
      (LEFT($O$2:$O$38,5)=LEFT($G299,5))*
      ($P$2:$P$38=#REF!),
    0)
  ),
"")</f>
        <v/>
      </c>
      <c r="J299" s="52" t="str">
        <f>IFERROR( VALUE($H299) * INDEX(#REF!, MATCH(UPPER(TRIM($F299)),#REF!,0)), "" )</f>
        <v/>
      </c>
      <c r="K299" s="32" t="str" cm="1">
        <f t="array" ref="K299">IFERROR(
  VALUE($H299) *
  VALUE(
    _xlfn.XLOOKUP(
      TRIM($F299) &amp; "|" &amp; LEFT(SUBSTITUTE($G299,CHAR(160)," "),5) &amp; "|Ideas Rate",
      TRIM(SUBSTITUTE($N$2:$N$38,CHAR(160)," ")) &amp; "|" &amp;
      LEFT(SUBSTITUTE($O$2:$O$38,CHAR(160)," "),5) &amp; "|" &amp;
      TRIM(SUBSTITUTE($P$2:$P$38,CHAR(160)," ")),
      $Q$2:$Q$38
    )
  ),
"")</f>
        <v/>
      </c>
      <c r="L299" s="32" t="str">
        <f>IFERROR( VALUE($H299) * INDEX(#REF!, MATCH(UPPER(TRIM($F299)),#REF!,0)), "" )</f>
        <v/>
      </c>
    </row>
    <row r="300" spans="1:12" x14ac:dyDescent="0.2">
      <c r="A300" s="21"/>
      <c r="B300" s="28"/>
      <c r="I300" s="60" t="str" cm="1">
        <f t="array" ref="I300">IFERROR(
  INDEX($Q$2:$Q$38,
    MATCH(1,
      ($N$2:$N$38=$F300)*
      (LEFT($O$2:$O$38,5)=LEFT($G300,5))*
      ($P$2:$P$38=#REF!),
    0)
  ),
"")</f>
        <v/>
      </c>
      <c r="J300" s="52" t="str">
        <f>IFERROR( VALUE($H300) * INDEX(#REF!, MATCH(UPPER(TRIM($F300)),#REF!,0)), "" )</f>
        <v/>
      </c>
      <c r="K300" s="32" t="str" cm="1">
        <f t="array" ref="K300">IFERROR(
  VALUE($H300) *
  VALUE(
    _xlfn.XLOOKUP(
      TRIM($F300) &amp; "|" &amp; LEFT(SUBSTITUTE($G300,CHAR(160)," "),5) &amp; "|Ideas Rate",
      TRIM(SUBSTITUTE($N$2:$N$38,CHAR(160)," ")) &amp; "|" &amp;
      LEFT(SUBSTITUTE($O$2:$O$38,CHAR(160)," "),5) &amp; "|" &amp;
      TRIM(SUBSTITUTE($P$2:$P$38,CHAR(160)," ")),
      $Q$2:$Q$38
    )
  ),
"")</f>
        <v/>
      </c>
      <c r="L300" s="32" t="str">
        <f>IFERROR( VALUE($H300) * INDEX(#REF!, MATCH(UPPER(TRIM($F300)),#REF!,0)), "" )</f>
        <v/>
      </c>
    </row>
    <row r="301" spans="1:12" x14ac:dyDescent="0.2">
      <c r="A301" s="21"/>
      <c r="B301" s="28"/>
      <c r="I301" s="60" t="str" cm="1">
        <f t="array" ref="I301">IFERROR(
  INDEX($Q$2:$Q$38,
    MATCH(1,
      ($N$2:$N$38=$F301)*
      (LEFT($O$2:$O$38,5)=LEFT($G301,5))*
      ($P$2:$P$38=#REF!),
    0)
  ),
"")</f>
        <v/>
      </c>
      <c r="J301" s="52" t="str">
        <f>IFERROR( VALUE($H301) * INDEX(#REF!, MATCH(UPPER(TRIM($F301)),#REF!,0)), "" )</f>
        <v/>
      </c>
      <c r="K301" s="32" t="str" cm="1">
        <f t="array" ref="K301">IFERROR(
  VALUE($H301) *
  VALUE(
    _xlfn.XLOOKUP(
      TRIM($F301) &amp; "|" &amp; LEFT(SUBSTITUTE($G301,CHAR(160)," "),5) &amp; "|Ideas Rate",
      TRIM(SUBSTITUTE($N$2:$N$38,CHAR(160)," ")) &amp; "|" &amp;
      LEFT(SUBSTITUTE($O$2:$O$38,CHAR(160)," "),5) &amp; "|" &amp;
      TRIM(SUBSTITUTE($P$2:$P$38,CHAR(160)," ")),
      $Q$2:$Q$38
    )
  ),
"")</f>
        <v/>
      </c>
      <c r="L301" s="32" t="str">
        <f>IFERROR( VALUE($H301) * INDEX(#REF!, MATCH(UPPER(TRIM($F301)),#REF!,0)), "" )</f>
        <v/>
      </c>
    </row>
    <row r="302" spans="1:12" x14ac:dyDescent="0.2">
      <c r="A302" s="21"/>
      <c r="B302" s="28"/>
      <c r="I302" s="60" t="str" cm="1">
        <f t="array" ref="I302">IFERROR(
  INDEX($Q$2:$Q$38,
    MATCH(1,
      ($N$2:$N$38=$F302)*
      (LEFT($O$2:$O$38,5)=LEFT($G302,5))*
      ($P$2:$P$38=#REF!),
    0)
  ),
"")</f>
        <v/>
      </c>
      <c r="J302" s="52" t="str">
        <f>IFERROR( VALUE($H302) * INDEX(#REF!, MATCH(UPPER(TRIM($F302)),#REF!,0)), "" )</f>
        <v/>
      </c>
      <c r="K302" s="32" t="str" cm="1">
        <f t="array" ref="K302">IFERROR(
  VALUE($H302) *
  VALUE(
    _xlfn.XLOOKUP(
      TRIM($F302) &amp; "|" &amp; LEFT(SUBSTITUTE($G302,CHAR(160)," "),5) &amp; "|Ideas Rate",
      TRIM(SUBSTITUTE($N$2:$N$38,CHAR(160)," ")) &amp; "|" &amp;
      LEFT(SUBSTITUTE($O$2:$O$38,CHAR(160)," "),5) &amp; "|" &amp;
      TRIM(SUBSTITUTE($P$2:$P$38,CHAR(160)," ")),
      $Q$2:$Q$38
    )
  ),
"")</f>
        <v/>
      </c>
      <c r="L302" s="32" t="str">
        <f>IFERROR( VALUE($H302) * INDEX(#REF!, MATCH(UPPER(TRIM($F302)),#REF!,0)), "" )</f>
        <v/>
      </c>
    </row>
    <row r="303" spans="1:12" x14ac:dyDescent="0.2">
      <c r="A303" s="21"/>
      <c r="B303" s="28"/>
      <c r="I303" s="60" t="str" cm="1">
        <f t="array" ref="I303">IFERROR(
  INDEX($Q$2:$Q$38,
    MATCH(1,
      ($N$2:$N$38=$F303)*
      (LEFT($O$2:$O$38,5)=LEFT($G303,5))*
      ($P$2:$P$38=#REF!),
    0)
  ),
"")</f>
        <v/>
      </c>
      <c r="J303" s="52" t="str">
        <f>IFERROR( VALUE($H303) * INDEX(#REF!, MATCH(UPPER(TRIM($F303)),#REF!,0)), "" )</f>
        <v/>
      </c>
      <c r="K303" s="32" t="str" cm="1">
        <f t="array" ref="K303">IFERROR(
  VALUE($H303) *
  VALUE(
    _xlfn.XLOOKUP(
      TRIM($F303) &amp; "|" &amp; LEFT(SUBSTITUTE($G303,CHAR(160)," "),5) &amp; "|Ideas Rate",
      TRIM(SUBSTITUTE($N$2:$N$38,CHAR(160)," ")) &amp; "|" &amp;
      LEFT(SUBSTITUTE($O$2:$O$38,CHAR(160)," "),5) &amp; "|" &amp;
      TRIM(SUBSTITUTE($P$2:$P$38,CHAR(160)," ")),
      $Q$2:$Q$38
    )
  ),
"")</f>
        <v/>
      </c>
      <c r="L303" s="32" t="str">
        <f>IFERROR( VALUE($H303) * INDEX(#REF!, MATCH(UPPER(TRIM($F303)),#REF!,0)), "" )</f>
        <v/>
      </c>
    </row>
    <row r="304" spans="1:12" x14ac:dyDescent="0.2">
      <c r="A304" s="21"/>
      <c r="B304" s="28"/>
      <c r="I304" s="60" t="str" cm="1">
        <f t="array" ref="I304">IFERROR(
  INDEX($Q$2:$Q$38,
    MATCH(1,
      ($N$2:$N$38=$F304)*
      (LEFT($O$2:$O$38,5)=LEFT($G304,5))*
      ($P$2:$P$38=#REF!),
    0)
  ),
"")</f>
        <v/>
      </c>
      <c r="J304" s="52" t="str">
        <f>IFERROR( VALUE($H304) * INDEX(#REF!, MATCH(UPPER(TRIM($F304)),#REF!,0)), "" )</f>
        <v/>
      </c>
      <c r="K304" s="32" t="str" cm="1">
        <f t="array" ref="K304">IFERROR(
  VALUE($H304) *
  VALUE(
    _xlfn.XLOOKUP(
      TRIM($F304) &amp; "|" &amp; LEFT(SUBSTITUTE($G304,CHAR(160)," "),5) &amp; "|Ideas Rate",
      TRIM(SUBSTITUTE($N$2:$N$38,CHAR(160)," ")) &amp; "|" &amp;
      LEFT(SUBSTITUTE($O$2:$O$38,CHAR(160)," "),5) &amp; "|" &amp;
      TRIM(SUBSTITUTE($P$2:$P$38,CHAR(160)," ")),
      $Q$2:$Q$38
    )
  ),
"")</f>
        <v/>
      </c>
      <c r="L304" s="32" t="str">
        <f>IFERROR( VALUE($H304) * INDEX(#REF!, MATCH(UPPER(TRIM($F304)),#REF!,0)), "" )</f>
        <v/>
      </c>
    </row>
    <row r="305" spans="1:12" x14ac:dyDescent="0.2">
      <c r="A305" s="21"/>
      <c r="B305" s="28"/>
      <c r="I305" s="60" t="str" cm="1">
        <f t="array" ref="I305">IFERROR(
  INDEX($Q$2:$Q$38,
    MATCH(1,
      ($N$2:$N$38=$F305)*
      (LEFT($O$2:$O$38,5)=LEFT($G305,5))*
      ($P$2:$P$38=#REF!),
    0)
  ),
"")</f>
        <v/>
      </c>
      <c r="J305" s="52" t="str">
        <f>IFERROR( VALUE($H305) * INDEX(#REF!, MATCH(UPPER(TRIM($F305)),#REF!,0)), "" )</f>
        <v/>
      </c>
      <c r="K305" s="32" t="str" cm="1">
        <f t="array" ref="K305">IFERROR(
  VALUE($H305) *
  VALUE(
    _xlfn.XLOOKUP(
      TRIM($F305) &amp; "|" &amp; LEFT(SUBSTITUTE($G305,CHAR(160)," "),5) &amp; "|Ideas Rate",
      TRIM(SUBSTITUTE($N$2:$N$38,CHAR(160)," ")) &amp; "|" &amp;
      LEFT(SUBSTITUTE($O$2:$O$38,CHAR(160)," "),5) &amp; "|" &amp;
      TRIM(SUBSTITUTE($P$2:$P$38,CHAR(160)," ")),
      $Q$2:$Q$38
    )
  ),
"")</f>
        <v/>
      </c>
      <c r="L305" s="32" t="str">
        <f>IFERROR( VALUE($H305) * INDEX(#REF!, MATCH(UPPER(TRIM($F305)),#REF!,0)), "" )</f>
        <v/>
      </c>
    </row>
    <row r="306" spans="1:12" x14ac:dyDescent="0.2">
      <c r="A306" s="21"/>
      <c r="B306" s="28"/>
      <c r="I306" s="60" t="str" cm="1">
        <f t="array" ref="I306">IFERROR(
  INDEX($Q$2:$Q$38,
    MATCH(1,
      ($N$2:$N$38=$F306)*
      (LEFT($O$2:$O$38,5)=LEFT($G306,5))*
      ($P$2:$P$38=#REF!),
    0)
  ),
"")</f>
        <v/>
      </c>
      <c r="J306" s="52" t="str">
        <f>IFERROR( VALUE($H306) * INDEX(#REF!, MATCH(UPPER(TRIM($F306)),#REF!,0)), "" )</f>
        <v/>
      </c>
      <c r="K306" s="32" t="str" cm="1">
        <f t="array" ref="K306">IFERROR(
  VALUE($H306) *
  VALUE(
    _xlfn.XLOOKUP(
      TRIM($F306) &amp; "|" &amp; LEFT(SUBSTITUTE($G306,CHAR(160)," "),5) &amp; "|Ideas Rate",
      TRIM(SUBSTITUTE($N$2:$N$38,CHAR(160)," ")) &amp; "|" &amp;
      LEFT(SUBSTITUTE($O$2:$O$38,CHAR(160)," "),5) &amp; "|" &amp;
      TRIM(SUBSTITUTE($P$2:$P$38,CHAR(160)," ")),
      $Q$2:$Q$38
    )
  ),
"")</f>
        <v/>
      </c>
      <c r="L306" s="32" t="str">
        <f>IFERROR( VALUE($H306) * INDEX(#REF!, MATCH(UPPER(TRIM($F306)),#REF!,0)), "" )</f>
        <v/>
      </c>
    </row>
    <row r="307" spans="1:12" x14ac:dyDescent="0.2">
      <c r="A307" s="21"/>
      <c r="B307" s="28"/>
      <c r="I307" s="60" t="str" cm="1">
        <f t="array" ref="I307">IFERROR(
  INDEX($Q$2:$Q$38,
    MATCH(1,
      ($N$2:$N$38=$F307)*
      (LEFT($O$2:$O$38,5)=LEFT($G307,5))*
      ($P$2:$P$38=#REF!),
    0)
  ),
"")</f>
        <v/>
      </c>
      <c r="J307" s="52" t="str">
        <f>IFERROR( VALUE($H307) * INDEX(#REF!, MATCH(UPPER(TRIM($F307)),#REF!,0)), "" )</f>
        <v/>
      </c>
      <c r="K307" s="32" t="str" cm="1">
        <f t="array" ref="K307">IFERROR(
  VALUE($H307) *
  VALUE(
    _xlfn.XLOOKUP(
      TRIM($F307) &amp; "|" &amp; LEFT(SUBSTITUTE($G307,CHAR(160)," "),5) &amp; "|Ideas Rate",
      TRIM(SUBSTITUTE($N$2:$N$38,CHAR(160)," ")) &amp; "|" &amp;
      LEFT(SUBSTITUTE($O$2:$O$38,CHAR(160)," "),5) &amp; "|" &amp;
      TRIM(SUBSTITUTE($P$2:$P$38,CHAR(160)," ")),
      $Q$2:$Q$38
    )
  ),
"")</f>
        <v/>
      </c>
      <c r="L307" s="32" t="str">
        <f>IFERROR( VALUE($H307) * INDEX(#REF!, MATCH(UPPER(TRIM($F307)),#REF!,0)), "" )</f>
        <v/>
      </c>
    </row>
    <row r="308" spans="1:12" x14ac:dyDescent="0.2">
      <c r="A308" s="21"/>
      <c r="B308" s="28"/>
      <c r="I308" s="60" t="str" cm="1">
        <f t="array" ref="I308">IFERROR(
  INDEX($Q$2:$Q$38,
    MATCH(1,
      ($N$2:$N$38=$F308)*
      (LEFT($O$2:$O$38,5)=LEFT($G308,5))*
      ($P$2:$P$38=#REF!),
    0)
  ),
"")</f>
        <v/>
      </c>
      <c r="J308" s="52" t="str">
        <f>IFERROR( VALUE($H308) * INDEX(#REF!, MATCH(UPPER(TRIM($F308)),#REF!,0)), "" )</f>
        <v/>
      </c>
      <c r="K308" s="32" t="str" cm="1">
        <f t="array" ref="K308">IFERROR(
  VALUE($H308) *
  VALUE(
    _xlfn.XLOOKUP(
      TRIM($F308) &amp; "|" &amp; LEFT(SUBSTITUTE($G308,CHAR(160)," "),5) &amp; "|Ideas Rate",
      TRIM(SUBSTITUTE($N$2:$N$38,CHAR(160)," ")) &amp; "|" &amp;
      LEFT(SUBSTITUTE($O$2:$O$38,CHAR(160)," "),5) &amp; "|" &amp;
      TRIM(SUBSTITUTE($P$2:$P$38,CHAR(160)," ")),
      $Q$2:$Q$38
    )
  ),
"")</f>
        <v/>
      </c>
      <c r="L308" s="32" t="str">
        <f>IFERROR( VALUE($H308) * INDEX(#REF!, MATCH(UPPER(TRIM($F308)),#REF!,0)), "" )</f>
        <v/>
      </c>
    </row>
    <row r="309" spans="1:12" x14ac:dyDescent="0.2">
      <c r="A309" s="21"/>
      <c r="B309" s="28"/>
      <c r="I309" s="60" t="str" cm="1">
        <f t="array" ref="I309">IFERROR(
  INDEX($Q$2:$Q$38,
    MATCH(1,
      ($N$2:$N$38=$F309)*
      (LEFT($O$2:$O$38,5)=LEFT($G309,5))*
      ($P$2:$P$38=#REF!),
    0)
  ),
"")</f>
        <v/>
      </c>
      <c r="J309" s="52" t="str">
        <f>IFERROR( VALUE($H309) * INDEX(#REF!, MATCH(UPPER(TRIM($F309)),#REF!,0)), "" )</f>
        <v/>
      </c>
      <c r="K309" s="32" t="str" cm="1">
        <f t="array" ref="K309">IFERROR(
  VALUE($H309) *
  VALUE(
    _xlfn.XLOOKUP(
      TRIM($F309) &amp; "|" &amp; LEFT(SUBSTITUTE($G309,CHAR(160)," "),5) &amp; "|Ideas Rate",
      TRIM(SUBSTITUTE($N$2:$N$38,CHAR(160)," ")) &amp; "|" &amp;
      LEFT(SUBSTITUTE($O$2:$O$38,CHAR(160)," "),5) &amp; "|" &amp;
      TRIM(SUBSTITUTE($P$2:$P$38,CHAR(160)," ")),
      $Q$2:$Q$38
    )
  ),
"")</f>
        <v/>
      </c>
      <c r="L309" s="32" t="str">
        <f>IFERROR( VALUE($H309) * INDEX(#REF!, MATCH(UPPER(TRIM($F309)),#REF!,0)), "" )</f>
        <v/>
      </c>
    </row>
    <row r="310" spans="1:12" x14ac:dyDescent="0.2">
      <c r="A310" s="21"/>
      <c r="B310" s="28"/>
      <c r="I310" s="60" t="str" cm="1">
        <f t="array" ref="I310">IFERROR(
  INDEX($Q$2:$Q$38,
    MATCH(1,
      ($N$2:$N$38=$F310)*
      (LEFT($O$2:$O$38,5)=LEFT($G310,5))*
      ($P$2:$P$38=#REF!),
    0)
  ),
"")</f>
        <v/>
      </c>
      <c r="J310" s="52" t="str">
        <f>IFERROR( VALUE($H310) * INDEX(#REF!, MATCH(UPPER(TRIM($F310)),#REF!,0)), "" )</f>
        <v/>
      </c>
      <c r="K310" s="32" t="str" cm="1">
        <f t="array" ref="K310">IFERROR(
  VALUE($H310) *
  VALUE(
    _xlfn.XLOOKUP(
      TRIM($F310) &amp; "|" &amp; LEFT(SUBSTITUTE($G310,CHAR(160)," "),5) &amp; "|Ideas Rate",
      TRIM(SUBSTITUTE($N$2:$N$38,CHAR(160)," ")) &amp; "|" &amp;
      LEFT(SUBSTITUTE($O$2:$O$38,CHAR(160)," "),5) &amp; "|" &amp;
      TRIM(SUBSTITUTE($P$2:$P$38,CHAR(160)," ")),
      $Q$2:$Q$38
    )
  ),
"")</f>
        <v/>
      </c>
      <c r="L310" s="32" t="str">
        <f>IFERROR( VALUE($H310) * INDEX(#REF!, MATCH(UPPER(TRIM($F310)),#REF!,0)), "" )</f>
        <v/>
      </c>
    </row>
    <row r="311" spans="1:12" x14ac:dyDescent="0.2">
      <c r="A311" s="21"/>
      <c r="B311" s="28"/>
      <c r="I311" s="60" t="str" cm="1">
        <f t="array" ref="I311">IFERROR(
  INDEX($Q$2:$Q$38,
    MATCH(1,
      ($N$2:$N$38=$F311)*
      (LEFT($O$2:$O$38,5)=LEFT($G311,5))*
      ($P$2:$P$38=#REF!),
    0)
  ),
"")</f>
        <v/>
      </c>
      <c r="J311" s="52" t="str">
        <f>IFERROR( VALUE($H311) * INDEX(#REF!, MATCH(UPPER(TRIM($F311)),#REF!,0)), "" )</f>
        <v/>
      </c>
      <c r="K311" s="32" t="str" cm="1">
        <f t="array" ref="K311">IFERROR(
  VALUE($H311) *
  VALUE(
    _xlfn.XLOOKUP(
      TRIM($F311) &amp; "|" &amp; LEFT(SUBSTITUTE($G311,CHAR(160)," "),5) &amp; "|Ideas Rate",
      TRIM(SUBSTITUTE($N$2:$N$38,CHAR(160)," ")) &amp; "|" &amp;
      LEFT(SUBSTITUTE($O$2:$O$38,CHAR(160)," "),5) &amp; "|" &amp;
      TRIM(SUBSTITUTE($P$2:$P$38,CHAR(160)," ")),
      $Q$2:$Q$38
    )
  ),
"")</f>
        <v/>
      </c>
      <c r="L311" s="32" t="str">
        <f>IFERROR( VALUE($H311) * INDEX(#REF!, MATCH(UPPER(TRIM($F311)),#REF!,0)), "" )</f>
        <v/>
      </c>
    </row>
    <row r="312" spans="1:12" x14ac:dyDescent="0.2">
      <c r="A312" s="21"/>
      <c r="B312" s="28"/>
      <c r="I312" s="60" t="str" cm="1">
        <f t="array" ref="I312">IFERROR(
  INDEX($Q$2:$Q$38,
    MATCH(1,
      ($N$2:$N$38=$F312)*
      (LEFT($O$2:$O$38,5)=LEFT($G312,5))*
      ($P$2:$P$38=#REF!),
    0)
  ),
"")</f>
        <v/>
      </c>
      <c r="J312" s="52" t="str">
        <f>IFERROR( VALUE($H312) * INDEX(#REF!, MATCH(UPPER(TRIM($F312)),#REF!,0)), "" )</f>
        <v/>
      </c>
      <c r="K312" s="32" t="str" cm="1">
        <f t="array" ref="K312">IFERROR(
  VALUE($H312) *
  VALUE(
    _xlfn.XLOOKUP(
      TRIM($F312) &amp; "|" &amp; LEFT(SUBSTITUTE($G312,CHAR(160)," "),5) &amp; "|Ideas Rate",
      TRIM(SUBSTITUTE($N$2:$N$38,CHAR(160)," ")) &amp; "|" &amp;
      LEFT(SUBSTITUTE($O$2:$O$38,CHAR(160)," "),5) &amp; "|" &amp;
      TRIM(SUBSTITUTE($P$2:$P$38,CHAR(160)," ")),
      $Q$2:$Q$38
    )
  ),
"")</f>
        <v/>
      </c>
      <c r="L312" s="32" t="str">
        <f>IFERROR( VALUE($H312) * INDEX(#REF!, MATCH(UPPER(TRIM($F312)),#REF!,0)), "" )</f>
        <v/>
      </c>
    </row>
    <row r="313" spans="1:12" x14ac:dyDescent="0.2">
      <c r="A313" s="21"/>
      <c r="B313" s="28"/>
      <c r="I313" s="60" t="str" cm="1">
        <f t="array" ref="I313">IFERROR(
  INDEX($Q$2:$Q$38,
    MATCH(1,
      ($N$2:$N$38=$F313)*
      (LEFT($O$2:$O$38,5)=LEFT($G313,5))*
      ($P$2:$P$38=#REF!),
    0)
  ),
"")</f>
        <v/>
      </c>
      <c r="J313" s="52" t="str">
        <f>IFERROR( VALUE($H313) * INDEX(#REF!, MATCH(UPPER(TRIM($F313)),#REF!,0)), "" )</f>
        <v/>
      </c>
      <c r="K313" s="32" t="str" cm="1">
        <f t="array" ref="K313">IFERROR(
  VALUE($H313) *
  VALUE(
    _xlfn.XLOOKUP(
      TRIM($F313) &amp; "|" &amp; LEFT(SUBSTITUTE($G313,CHAR(160)," "),5) &amp; "|Ideas Rate",
      TRIM(SUBSTITUTE($N$2:$N$38,CHAR(160)," ")) &amp; "|" &amp;
      LEFT(SUBSTITUTE($O$2:$O$38,CHAR(160)," "),5) &amp; "|" &amp;
      TRIM(SUBSTITUTE($P$2:$P$38,CHAR(160)," ")),
      $Q$2:$Q$38
    )
  ),
"")</f>
        <v/>
      </c>
      <c r="L313" s="32" t="str">
        <f>IFERROR( VALUE($H313) * INDEX(#REF!, MATCH(UPPER(TRIM($F313)),#REF!,0)), "" )</f>
        <v/>
      </c>
    </row>
    <row r="314" spans="1:12" x14ac:dyDescent="0.2">
      <c r="A314" s="21"/>
      <c r="B314" s="28"/>
      <c r="I314" s="60" t="str" cm="1">
        <f t="array" ref="I314">IFERROR(
  INDEX($Q$2:$Q$38,
    MATCH(1,
      ($N$2:$N$38=$F314)*
      (LEFT($O$2:$O$38,5)=LEFT($G314,5))*
      ($P$2:$P$38=#REF!),
    0)
  ),
"")</f>
        <v/>
      </c>
      <c r="J314" s="52" t="str">
        <f>IFERROR( VALUE($H314) * INDEX(#REF!, MATCH(UPPER(TRIM($F314)),#REF!,0)), "" )</f>
        <v/>
      </c>
      <c r="K314" s="32" t="str" cm="1">
        <f t="array" ref="K314">IFERROR(
  VALUE($H314) *
  VALUE(
    _xlfn.XLOOKUP(
      TRIM($F314) &amp; "|" &amp; LEFT(SUBSTITUTE($G314,CHAR(160)," "),5) &amp; "|Ideas Rate",
      TRIM(SUBSTITUTE($N$2:$N$38,CHAR(160)," ")) &amp; "|" &amp;
      LEFT(SUBSTITUTE($O$2:$O$38,CHAR(160)," "),5) &amp; "|" &amp;
      TRIM(SUBSTITUTE($P$2:$P$38,CHAR(160)," ")),
      $Q$2:$Q$38
    )
  ),
"")</f>
        <v/>
      </c>
      <c r="L314" s="32" t="str">
        <f>IFERROR( VALUE($H314) * INDEX(#REF!, MATCH(UPPER(TRIM($F314)),#REF!,0)), "" )</f>
        <v/>
      </c>
    </row>
    <row r="315" spans="1:12" x14ac:dyDescent="0.2">
      <c r="A315" s="21"/>
      <c r="B315" s="28"/>
      <c r="I315" s="60" t="str" cm="1">
        <f t="array" ref="I315">IFERROR(
  INDEX($Q$2:$Q$38,
    MATCH(1,
      ($N$2:$N$38=$F315)*
      (LEFT($O$2:$O$38,5)=LEFT($G315,5))*
      ($P$2:$P$38=#REF!),
    0)
  ),
"")</f>
        <v/>
      </c>
      <c r="J315" s="52" t="str">
        <f>IFERROR( VALUE($H315) * INDEX(#REF!, MATCH(UPPER(TRIM($F315)),#REF!,0)), "" )</f>
        <v/>
      </c>
      <c r="K315" s="32" t="str" cm="1">
        <f t="array" ref="K315">IFERROR(
  VALUE($H315) *
  VALUE(
    _xlfn.XLOOKUP(
      TRIM($F315) &amp; "|" &amp; LEFT(SUBSTITUTE($G315,CHAR(160)," "),5) &amp; "|Ideas Rate",
      TRIM(SUBSTITUTE($N$2:$N$38,CHAR(160)," ")) &amp; "|" &amp;
      LEFT(SUBSTITUTE($O$2:$O$38,CHAR(160)," "),5) &amp; "|" &amp;
      TRIM(SUBSTITUTE($P$2:$P$38,CHAR(160)," ")),
      $Q$2:$Q$38
    )
  ),
"")</f>
        <v/>
      </c>
      <c r="L315" s="32" t="str">
        <f>IFERROR( VALUE($H315) * INDEX(#REF!, MATCH(UPPER(TRIM($F315)),#REF!,0)), "" )</f>
        <v/>
      </c>
    </row>
    <row r="316" spans="1:12" x14ac:dyDescent="0.2">
      <c r="A316" s="21"/>
      <c r="B316" s="28"/>
      <c r="I316" s="60" t="str" cm="1">
        <f t="array" ref="I316">IFERROR(
  INDEX($Q$2:$Q$38,
    MATCH(1,
      ($N$2:$N$38=$F316)*
      (LEFT($O$2:$O$38,5)=LEFT($G316,5))*
      ($P$2:$P$38=#REF!),
    0)
  ),
"")</f>
        <v/>
      </c>
      <c r="J316" s="52" t="str">
        <f>IFERROR( VALUE($H316) * INDEX(#REF!, MATCH(UPPER(TRIM($F316)),#REF!,0)), "" )</f>
        <v/>
      </c>
      <c r="K316" s="32" t="str" cm="1">
        <f t="array" ref="K316">IFERROR(
  VALUE($H316) *
  VALUE(
    _xlfn.XLOOKUP(
      TRIM($F316) &amp; "|" &amp; LEFT(SUBSTITUTE($G316,CHAR(160)," "),5) &amp; "|Ideas Rate",
      TRIM(SUBSTITUTE($N$2:$N$38,CHAR(160)," ")) &amp; "|" &amp;
      LEFT(SUBSTITUTE($O$2:$O$38,CHAR(160)," "),5) &amp; "|" &amp;
      TRIM(SUBSTITUTE($P$2:$P$38,CHAR(160)," ")),
      $Q$2:$Q$38
    )
  ),
"")</f>
        <v/>
      </c>
      <c r="L316" s="32" t="str">
        <f>IFERROR( VALUE($H316) * INDEX(#REF!, MATCH(UPPER(TRIM($F316)),#REF!,0)), "" )</f>
        <v/>
      </c>
    </row>
    <row r="317" spans="1:12" x14ac:dyDescent="0.2">
      <c r="A317" s="21"/>
      <c r="B317" s="28"/>
      <c r="I317" s="60" t="str" cm="1">
        <f t="array" ref="I317">IFERROR(
  INDEX($Q$2:$Q$38,
    MATCH(1,
      ($N$2:$N$38=$F317)*
      (LEFT($O$2:$O$38,5)=LEFT($G317,5))*
      ($P$2:$P$38=#REF!),
    0)
  ),
"")</f>
        <v/>
      </c>
      <c r="J317" s="52" t="str">
        <f>IFERROR( VALUE($H317) * INDEX(#REF!, MATCH(UPPER(TRIM($F317)),#REF!,0)), "" )</f>
        <v/>
      </c>
      <c r="K317" s="32" t="str" cm="1">
        <f t="array" ref="K317">IFERROR(
  VALUE($H317) *
  VALUE(
    _xlfn.XLOOKUP(
      TRIM($F317) &amp; "|" &amp; LEFT(SUBSTITUTE($G317,CHAR(160)," "),5) &amp; "|Ideas Rate",
      TRIM(SUBSTITUTE($N$2:$N$38,CHAR(160)," ")) &amp; "|" &amp;
      LEFT(SUBSTITUTE($O$2:$O$38,CHAR(160)," "),5) &amp; "|" &amp;
      TRIM(SUBSTITUTE($P$2:$P$38,CHAR(160)," ")),
      $Q$2:$Q$38
    )
  ),
"")</f>
        <v/>
      </c>
      <c r="L317" s="32" t="str">
        <f>IFERROR( VALUE($H317) * INDEX(#REF!, MATCH(UPPER(TRIM($F317)),#REF!,0)), "" )</f>
        <v/>
      </c>
    </row>
    <row r="318" spans="1:12" x14ac:dyDescent="0.2">
      <c r="A318" s="21"/>
      <c r="B318" s="28"/>
      <c r="I318" s="60" t="str" cm="1">
        <f t="array" ref="I318">IFERROR(
  INDEX($Q$2:$Q$38,
    MATCH(1,
      ($N$2:$N$38=$F318)*
      (LEFT($O$2:$O$38,5)=LEFT($G318,5))*
      ($P$2:$P$38=#REF!),
    0)
  ),
"")</f>
        <v/>
      </c>
      <c r="J318" s="52" t="str">
        <f>IFERROR( VALUE($H318) * INDEX(#REF!, MATCH(UPPER(TRIM($F318)),#REF!,0)), "" )</f>
        <v/>
      </c>
      <c r="K318" s="32" t="str" cm="1">
        <f t="array" ref="K318">IFERROR(
  VALUE($H318) *
  VALUE(
    _xlfn.XLOOKUP(
      TRIM($F318) &amp; "|" &amp; LEFT(SUBSTITUTE($G318,CHAR(160)," "),5) &amp; "|Ideas Rate",
      TRIM(SUBSTITUTE($N$2:$N$38,CHAR(160)," ")) &amp; "|" &amp;
      LEFT(SUBSTITUTE($O$2:$O$38,CHAR(160)," "),5) &amp; "|" &amp;
      TRIM(SUBSTITUTE($P$2:$P$38,CHAR(160)," ")),
      $Q$2:$Q$38
    )
  ),
"")</f>
        <v/>
      </c>
      <c r="L318" s="32" t="str">
        <f>IFERROR( VALUE($H318) * INDEX(#REF!, MATCH(UPPER(TRIM($F318)),#REF!,0)), "" )</f>
        <v/>
      </c>
    </row>
    <row r="319" spans="1:12" x14ac:dyDescent="0.2">
      <c r="A319" s="21"/>
      <c r="B319" s="28"/>
      <c r="I319" s="60" t="str" cm="1">
        <f t="array" ref="I319">IFERROR(
  INDEX($Q$2:$Q$38,
    MATCH(1,
      ($N$2:$N$38=$F319)*
      (LEFT($O$2:$O$38,5)=LEFT($G319,5))*
      ($P$2:$P$38=#REF!),
    0)
  ),
"")</f>
        <v/>
      </c>
      <c r="J319" s="52" t="str">
        <f>IFERROR( VALUE($H319) * INDEX(#REF!, MATCH(UPPER(TRIM($F319)),#REF!,0)), "" )</f>
        <v/>
      </c>
      <c r="K319" s="32" t="str" cm="1">
        <f t="array" ref="K319">IFERROR(
  VALUE($H319) *
  VALUE(
    _xlfn.XLOOKUP(
      TRIM($F319) &amp; "|" &amp; LEFT(SUBSTITUTE($G319,CHAR(160)," "),5) &amp; "|Ideas Rate",
      TRIM(SUBSTITUTE($N$2:$N$38,CHAR(160)," ")) &amp; "|" &amp;
      LEFT(SUBSTITUTE($O$2:$O$38,CHAR(160)," "),5) &amp; "|" &amp;
      TRIM(SUBSTITUTE($P$2:$P$38,CHAR(160)," ")),
      $Q$2:$Q$38
    )
  ),
"")</f>
        <v/>
      </c>
      <c r="L319" s="32" t="str">
        <f>IFERROR( VALUE($H319) * INDEX(#REF!, MATCH(UPPER(TRIM($F319)),#REF!,0)), "" )</f>
        <v/>
      </c>
    </row>
    <row r="320" spans="1:12" x14ac:dyDescent="0.2">
      <c r="A320" s="21"/>
      <c r="B320" s="28"/>
      <c r="I320" s="60" t="str" cm="1">
        <f t="array" ref="I320">IFERROR(
  INDEX($Q$2:$Q$38,
    MATCH(1,
      ($N$2:$N$38=$F320)*
      (LEFT($O$2:$O$38,5)=LEFT($G320,5))*
      ($P$2:$P$38=#REF!),
    0)
  ),
"")</f>
        <v/>
      </c>
      <c r="J320" s="52" t="str">
        <f>IFERROR( VALUE($H320) * INDEX(#REF!, MATCH(UPPER(TRIM($F320)),#REF!,0)), "" )</f>
        <v/>
      </c>
      <c r="K320" s="32" t="str" cm="1">
        <f t="array" ref="K320">IFERROR(
  VALUE($H320) *
  VALUE(
    _xlfn.XLOOKUP(
      TRIM($F320) &amp; "|" &amp; LEFT(SUBSTITUTE($G320,CHAR(160)," "),5) &amp; "|Ideas Rate",
      TRIM(SUBSTITUTE($N$2:$N$38,CHAR(160)," ")) &amp; "|" &amp;
      LEFT(SUBSTITUTE($O$2:$O$38,CHAR(160)," "),5) &amp; "|" &amp;
      TRIM(SUBSTITUTE($P$2:$P$38,CHAR(160)," ")),
      $Q$2:$Q$38
    )
  ),
"")</f>
        <v/>
      </c>
      <c r="L320" s="32" t="str">
        <f>IFERROR( VALUE($H320) * INDEX(#REF!, MATCH(UPPER(TRIM($F320)),#REF!,0)), "" )</f>
        <v/>
      </c>
    </row>
    <row r="321" spans="1:12" x14ac:dyDescent="0.2">
      <c r="A321" s="21"/>
      <c r="B321" s="28"/>
      <c r="I321" s="60" t="str" cm="1">
        <f t="array" ref="I321">IFERROR(
  INDEX($Q$2:$Q$38,
    MATCH(1,
      ($N$2:$N$38=$F321)*
      (LEFT($O$2:$O$38,5)=LEFT($G321,5))*
      ($P$2:$P$38=#REF!),
    0)
  ),
"")</f>
        <v/>
      </c>
      <c r="J321" s="52" t="str">
        <f>IFERROR( VALUE($H321) * INDEX(#REF!, MATCH(UPPER(TRIM($F321)),#REF!,0)), "" )</f>
        <v/>
      </c>
      <c r="K321" s="32" t="str" cm="1">
        <f t="array" ref="K321">IFERROR(
  VALUE($H321) *
  VALUE(
    _xlfn.XLOOKUP(
      TRIM($F321) &amp; "|" &amp; LEFT(SUBSTITUTE($G321,CHAR(160)," "),5) &amp; "|Ideas Rate",
      TRIM(SUBSTITUTE($N$2:$N$38,CHAR(160)," ")) &amp; "|" &amp;
      LEFT(SUBSTITUTE($O$2:$O$38,CHAR(160)," "),5) &amp; "|" &amp;
      TRIM(SUBSTITUTE($P$2:$P$38,CHAR(160)," ")),
      $Q$2:$Q$38
    )
  ),
"")</f>
        <v/>
      </c>
      <c r="L321" s="32" t="str">
        <f>IFERROR( VALUE($H321) * INDEX(#REF!, MATCH(UPPER(TRIM($F321)),#REF!,0)), "" )</f>
        <v/>
      </c>
    </row>
    <row r="322" spans="1:12" x14ac:dyDescent="0.2">
      <c r="A322" s="21"/>
      <c r="B322" s="28"/>
      <c r="I322" s="60" t="str" cm="1">
        <f t="array" ref="I322">IFERROR(
  INDEX($Q$2:$Q$38,
    MATCH(1,
      ($N$2:$N$38=$F322)*
      (LEFT($O$2:$O$38,5)=LEFT($G322,5))*
      ($P$2:$P$38=#REF!),
    0)
  ),
"")</f>
        <v/>
      </c>
      <c r="J322" s="52" t="str">
        <f>IFERROR( VALUE($H322) * INDEX(#REF!, MATCH(UPPER(TRIM($F322)),#REF!,0)), "" )</f>
        <v/>
      </c>
      <c r="K322" s="32" t="str" cm="1">
        <f t="array" ref="K322">IFERROR(
  VALUE($H322) *
  VALUE(
    _xlfn.XLOOKUP(
      TRIM($F322) &amp; "|" &amp; LEFT(SUBSTITUTE($G322,CHAR(160)," "),5) &amp; "|Ideas Rate",
      TRIM(SUBSTITUTE($N$2:$N$38,CHAR(160)," ")) &amp; "|" &amp;
      LEFT(SUBSTITUTE($O$2:$O$38,CHAR(160)," "),5) &amp; "|" &amp;
      TRIM(SUBSTITUTE($P$2:$P$38,CHAR(160)," ")),
      $Q$2:$Q$38
    )
  ),
"")</f>
        <v/>
      </c>
      <c r="L322" s="32" t="str">
        <f>IFERROR( VALUE($H322) * INDEX(#REF!, MATCH(UPPER(TRIM($F322)),#REF!,0)), "" )</f>
        <v/>
      </c>
    </row>
    <row r="323" spans="1:12" x14ac:dyDescent="0.2">
      <c r="A323" s="21"/>
      <c r="B323" s="28"/>
      <c r="I323" s="60" t="str" cm="1">
        <f t="array" ref="I323">IFERROR(
  INDEX($Q$2:$Q$38,
    MATCH(1,
      ($N$2:$N$38=$F323)*
      (LEFT($O$2:$O$38,5)=LEFT($G323,5))*
      ($P$2:$P$38=#REF!),
    0)
  ),
"")</f>
        <v/>
      </c>
      <c r="J323" s="52" t="str">
        <f>IFERROR( VALUE($H323) * INDEX(#REF!, MATCH(UPPER(TRIM($F323)),#REF!,0)), "" )</f>
        <v/>
      </c>
      <c r="K323" s="32" t="str" cm="1">
        <f t="array" ref="K323">IFERROR(
  VALUE($H323) *
  VALUE(
    _xlfn.XLOOKUP(
      TRIM($F323) &amp; "|" &amp; LEFT(SUBSTITUTE($G323,CHAR(160)," "),5) &amp; "|Ideas Rate",
      TRIM(SUBSTITUTE($N$2:$N$38,CHAR(160)," ")) &amp; "|" &amp;
      LEFT(SUBSTITUTE($O$2:$O$38,CHAR(160)," "),5) &amp; "|" &amp;
      TRIM(SUBSTITUTE($P$2:$P$38,CHAR(160)," ")),
      $Q$2:$Q$38
    )
  ),
"")</f>
        <v/>
      </c>
      <c r="L323" s="32" t="str">
        <f>IFERROR( VALUE($H323) * INDEX(#REF!, MATCH(UPPER(TRIM($F323)),#REF!,0)), "" )</f>
        <v/>
      </c>
    </row>
    <row r="324" spans="1:12" x14ac:dyDescent="0.2">
      <c r="A324" s="21"/>
      <c r="B324" s="28"/>
      <c r="I324" s="60" t="str" cm="1">
        <f t="array" ref="I324">IFERROR(
  INDEX($Q$2:$Q$38,
    MATCH(1,
      ($N$2:$N$38=$F324)*
      (LEFT($O$2:$O$38,5)=LEFT($G324,5))*
      ($P$2:$P$38=#REF!),
    0)
  ),
"")</f>
        <v/>
      </c>
      <c r="J324" s="52" t="str">
        <f>IFERROR( VALUE($H324) * INDEX(#REF!, MATCH(UPPER(TRIM($F324)),#REF!,0)), "" )</f>
        <v/>
      </c>
      <c r="K324" s="32" t="str" cm="1">
        <f t="array" ref="K324">IFERROR(
  VALUE($H324) *
  VALUE(
    _xlfn.XLOOKUP(
      TRIM($F324) &amp; "|" &amp; LEFT(SUBSTITUTE($G324,CHAR(160)," "),5) &amp; "|Ideas Rate",
      TRIM(SUBSTITUTE($N$2:$N$38,CHAR(160)," ")) &amp; "|" &amp;
      LEFT(SUBSTITUTE($O$2:$O$38,CHAR(160)," "),5) &amp; "|" &amp;
      TRIM(SUBSTITUTE($P$2:$P$38,CHAR(160)," ")),
      $Q$2:$Q$38
    )
  ),
"")</f>
        <v/>
      </c>
      <c r="L324" s="32" t="str">
        <f>IFERROR( VALUE($H324) * INDEX(#REF!, MATCH(UPPER(TRIM($F324)),#REF!,0)), "" )</f>
        <v/>
      </c>
    </row>
    <row r="325" spans="1:12" x14ac:dyDescent="0.2">
      <c r="A325" s="21"/>
      <c r="B325" s="28"/>
      <c r="I325" s="60" t="str" cm="1">
        <f t="array" ref="I325">IFERROR(
  INDEX($Q$2:$Q$38,
    MATCH(1,
      ($N$2:$N$38=$F325)*
      (LEFT($O$2:$O$38,5)=LEFT($G325,5))*
      ($P$2:$P$38=#REF!),
    0)
  ),
"")</f>
        <v/>
      </c>
      <c r="J325" s="52" t="str">
        <f>IFERROR( VALUE($H325) * INDEX(#REF!, MATCH(UPPER(TRIM($F325)),#REF!,0)), "" )</f>
        <v/>
      </c>
      <c r="K325" s="32" t="str" cm="1">
        <f t="array" ref="K325">IFERROR(
  VALUE($H325) *
  VALUE(
    _xlfn.XLOOKUP(
      TRIM($F325) &amp; "|" &amp; LEFT(SUBSTITUTE($G325,CHAR(160)," "),5) &amp; "|Ideas Rate",
      TRIM(SUBSTITUTE($N$2:$N$38,CHAR(160)," ")) &amp; "|" &amp;
      LEFT(SUBSTITUTE($O$2:$O$38,CHAR(160)," "),5) &amp; "|" &amp;
      TRIM(SUBSTITUTE($P$2:$P$38,CHAR(160)," ")),
      $Q$2:$Q$38
    )
  ),
"")</f>
        <v/>
      </c>
      <c r="L325" s="32" t="str">
        <f>IFERROR( VALUE($H325) * INDEX(#REF!, MATCH(UPPER(TRIM($F325)),#REF!,0)), "" )</f>
        <v/>
      </c>
    </row>
    <row r="326" spans="1:12" x14ac:dyDescent="0.2">
      <c r="A326" s="21"/>
      <c r="B326" s="28"/>
      <c r="I326" s="60" t="str" cm="1">
        <f t="array" ref="I326">IFERROR(
  INDEX($Q$2:$Q$38,
    MATCH(1,
      ($N$2:$N$38=$F326)*
      (LEFT($O$2:$O$38,5)=LEFT($G326,5))*
      ($P$2:$P$38=#REF!),
    0)
  ),
"")</f>
        <v/>
      </c>
      <c r="J326" s="52" t="str">
        <f>IFERROR( VALUE($H326) * INDEX(#REF!, MATCH(UPPER(TRIM($F326)),#REF!,0)), "" )</f>
        <v/>
      </c>
      <c r="K326" s="32" t="str" cm="1">
        <f t="array" ref="K326">IFERROR(
  VALUE($H326) *
  VALUE(
    _xlfn.XLOOKUP(
      TRIM($F326) &amp; "|" &amp; LEFT(SUBSTITUTE($G326,CHAR(160)," "),5) &amp; "|Ideas Rate",
      TRIM(SUBSTITUTE($N$2:$N$38,CHAR(160)," ")) &amp; "|" &amp;
      LEFT(SUBSTITUTE($O$2:$O$38,CHAR(160)," "),5) &amp; "|" &amp;
      TRIM(SUBSTITUTE($P$2:$P$38,CHAR(160)," ")),
      $Q$2:$Q$38
    )
  ),
"")</f>
        <v/>
      </c>
      <c r="L326" s="32" t="str">
        <f>IFERROR( VALUE($H326) * INDEX(#REF!, MATCH(UPPER(TRIM($F326)),#REF!,0)), "" )</f>
        <v/>
      </c>
    </row>
    <row r="327" spans="1:12" x14ac:dyDescent="0.2">
      <c r="A327" s="21"/>
      <c r="B327" s="28"/>
      <c r="I327" s="60" t="str" cm="1">
        <f t="array" ref="I327">IFERROR(
  INDEX($Q$2:$Q$38,
    MATCH(1,
      ($N$2:$N$38=$F327)*
      (LEFT($O$2:$O$38,5)=LEFT($G327,5))*
      ($P$2:$P$38=#REF!),
    0)
  ),
"")</f>
        <v/>
      </c>
      <c r="J327" s="52" t="str">
        <f>IFERROR( VALUE($H327) * INDEX(#REF!, MATCH(UPPER(TRIM($F327)),#REF!,0)), "" )</f>
        <v/>
      </c>
      <c r="K327" s="32" t="str" cm="1">
        <f t="array" ref="K327">IFERROR(
  VALUE($H327) *
  VALUE(
    _xlfn.XLOOKUP(
      TRIM($F327) &amp; "|" &amp; LEFT(SUBSTITUTE($G327,CHAR(160)," "),5) &amp; "|Ideas Rate",
      TRIM(SUBSTITUTE($N$2:$N$38,CHAR(160)," ")) &amp; "|" &amp;
      LEFT(SUBSTITUTE($O$2:$O$38,CHAR(160)," "),5) &amp; "|" &amp;
      TRIM(SUBSTITUTE($P$2:$P$38,CHAR(160)," ")),
      $Q$2:$Q$38
    )
  ),
"")</f>
        <v/>
      </c>
      <c r="L327" s="32" t="str">
        <f>IFERROR( VALUE($H327) * INDEX(#REF!, MATCH(UPPER(TRIM($F327)),#REF!,0)), "" )</f>
        <v/>
      </c>
    </row>
    <row r="328" spans="1:12" x14ac:dyDescent="0.2">
      <c r="A328" s="21"/>
      <c r="B328" s="28"/>
      <c r="I328" s="60" t="str" cm="1">
        <f t="array" ref="I328">IFERROR(
  INDEX($Q$2:$Q$38,
    MATCH(1,
      ($N$2:$N$38=$F328)*
      (LEFT($O$2:$O$38,5)=LEFT($G328,5))*
      ($P$2:$P$38=#REF!),
    0)
  ),
"")</f>
        <v/>
      </c>
      <c r="J328" s="52" t="str">
        <f>IFERROR( VALUE($H328) * INDEX(#REF!, MATCH(UPPER(TRIM($F328)),#REF!,0)), "" )</f>
        <v/>
      </c>
      <c r="K328" s="32" t="str" cm="1">
        <f t="array" ref="K328">IFERROR(
  VALUE($H328) *
  VALUE(
    _xlfn.XLOOKUP(
      TRIM($F328) &amp; "|" &amp; LEFT(SUBSTITUTE($G328,CHAR(160)," "),5) &amp; "|Ideas Rate",
      TRIM(SUBSTITUTE($N$2:$N$38,CHAR(160)," ")) &amp; "|" &amp;
      LEFT(SUBSTITUTE($O$2:$O$38,CHAR(160)," "),5) &amp; "|" &amp;
      TRIM(SUBSTITUTE($P$2:$P$38,CHAR(160)," ")),
      $Q$2:$Q$38
    )
  ),
"")</f>
        <v/>
      </c>
      <c r="L328" s="32" t="str">
        <f>IFERROR( VALUE($H328) * INDEX(#REF!, MATCH(UPPER(TRIM($F328)),#REF!,0)), "" )</f>
        <v/>
      </c>
    </row>
    <row r="329" spans="1:12" x14ac:dyDescent="0.2">
      <c r="A329" s="21"/>
      <c r="B329" s="28"/>
      <c r="I329" s="60" t="str" cm="1">
        <f t="array" ref="I329">IFERROR(
  INDEX($Q$2:$Q$38,
    MATCH(1,
      ($N$2:$N$38=$F329)*
      (LEFT($O$2:$O$38,5)=LEFT($G329,5))*
      ($P$2:$P$38=#REF!),
    0)
  ),
"")</f>
        <v/>
      </c>
      <c r="J329" s="52" t="str">
        <f>IFERROR( VALUE($H329) * INDEX(#REF!, MATCH(UPPER(TRIM($F329)),#REF!,0)), "" )</f>
        <v/>
      </c>
      <c r="K329" s="32" t="str" cm="1">
        <f t="array" ref="K329">IFERROR(
  VALUE($H329) *
  VALUE(
    _xlfn.XLOOKUP(
      TRIM($F329) &amp; "|" &amp; LEFT(SUBSTITUTE($G329,CHAR(160)," "),5) &amp; "|Ideas Rate",
      TRIM(SUBSTITUTE($N$2:$N$38,CHAR(160)," ")) &amp; "|" &amp;
      LEFT(SUBSTITUTE($O$2:$O$38,CHAR(160)," "),5) &amp; "|" &amp;
      TRIM(SUBSTITUTE($P$2:$P$38,CHAR(160)," ")),
      $Q$2:$Q$38
    )
  ),
"")</f>
        <v/>
      </c>
      <c r="L329" s="32" t="str">
        <f>IFERROR( VALUE($H329) * INDEX(#REF!, MATCH(UPPER(TRIM($F329)),#REF!,0)), "" )</f>
        <v/>
      </c>
    </row>
    <row r="330" spans="1:12" x14ac:dyDescent="0.2">
      <c r="A330" s="21"/>
      <c r="B330" s="28"/>
      <c r="I330" s="60" t="str" cm="1">
        <f t="array" ref="I330">IFERROR(
  INDEX($Q$2:$Q$38,
    MATCH(1,
      ($N$2:$N$38=$F330)*
      (LEFT($O$2:$O$38,5)=LEFT($G330,5))*
      ($P$2:$P$38=#REF!),
    0)
  ),
"")</f>
        <v/>
      </c>
      <c r="J330" s="52" t="str">
        <f>IFERROR( VALUE($H330) * INDEX(#REF!, MATCH(UPPER(TRIM($F330)),#REF!,0)), "" )</f>
        <v/>
      </c>
      <c r="K330" s="32" t="str" cm="1">
        <f t="array" ref="K330">IFERROR(
  VALUE($H330) *
  VALUE(
    _xlfn.XLOOKUP(
      TRIM($F330) &amp; "|" &amp; LEFT(SUBSTITUTE($G330,CHAR(160)," "),5) &amp; "|Ideas Rate",
      TRIM(SUBSTITUTE($N$2:$N$38,CHAR(160)," ")) &amp; "|" &amp;
      LEFT(SUBSTITUTE($O$2:$O$38,CHAR(160)," "),5) &amp; "|" &amp;
      TRIM(SUBSTITUTE($P$2:$P$38,CHAR(160)," ")),
      $Q$2:$Q$38
    )
  ),
"")</f>
        <v/>
      </c>
      <c r="L330" s="32" t="str">
        <f>IFERROR( VALUE($H330) * INDEX(#REF!, MATCH(UPPER(TRIM($F330)),#REF!,0)), "" )</f>
        <v/>
      </c>
    </row>
    <row r="331" spans="1:12" x14ac:dyDescent="0.2">
      <c r="A331" s="21"/>
      <c r="B331" s="28"/>
      <c r="I331" s="60" t="str" cm="1">
        <f t="array" ref="I331">IFERROR(
  INDEX($Q$2:$Q$38,
    MATCH(1,
      ($N$2:$N$38=$F331)*
      (LEFT($O$2:$O$38,5)=LEFT($G331,5))*
      ($P$2:$P$38=#REF!),
    0)
  ),
"")</f>
        <v/>
      </c>
      <c r="J331" s="52" t="str">
        <f>IFERROR( VALUE($H331) * INDEX(#REF!, MATCH(UPPER(TRIM($F331)),#REF!,0)), "" )</f>
        <v/>
      </c>
      <c r="K331" s="32" t="str" cm="1">
        <f t="array" ref="K331">IFERROR(
  VALUE($H331) *
  VALUE(
    _xlfn.XLOOKUP(
      TRIM($F331) &amp; "|" &amp; LEFT(SUBSTITUTE($G331,CHAR(160)," "),5) &amp; "|Ideas Rate",
      TRIM(SUBSTITUTE($N$2:$N$38,CHAR(160)," ")) &amp; "|" &amp;
      LEFT(SUBSTITUTE($O$2:$O$38,CHAR(160)," "),5) &amp; "|" &amp;
      TRIM(SUBSTITUTE($P$2:$P$38,CHAR(160)," ")),
      $Q$2:$Q$38
    )
  ),
"")</f>
        <v/>
      </c>
      <c r="L331" s="32" t="str">
        <f>IFERROR( VALUE($H331) * INDEX(#REF!, MATCH(UPPER(TRIM($F331)),#REF!,0)), "" )</f>
        <v/>
      </c>
    </row>
    <row r="332" spans="1:12" x14ac:dyDescent="0.2">
      <c r="A332" s="21"/>
      <c r="B332" s="28"/>
      <c r="I332" s="60" t="str" cm="1">
        <f t="array" ref="I332">IFERROR(
  INDEX($Q$2:$Q$38,
    MATCH(1,
      ($N$2:$N$38=$F332)*
      (LEFT($O$2:$O$38,5)=LEFT($G332,5))*
      ($P$2:$P$38=#REF!),
    0)
  ),
"")</f>
        <v/>
      </c>
      <c r="J332" s="52" t="str">
        <f>IFERROR( VALUE($H332) * INDEX(#REF!, MATCH(UPPER(TRIM($F332)),#REF!,0)), "" )</f>
        <v/>
      </c>
      <c r="K332" s="32" t="str" cm="1">
        <f t="array" ref="K332">IFERROR(
  VALUE($H332) *
  VALUE(
    _xlfn.XLOOKUP(
      TRIM($F332) &amp; "|" &amp; LEFT(SUBSTITUTE($G332,CHAR(160)," "),5) &amp; "|Ideas Rate",
      TRIM(SUBSTITUTE($N$2:$N$38,CHAR(160)," ")) &amp; "|" &amp;
      LEFT(SUBSTITUTE($O$2:$O$38,CHAR(160)," "),5) &amp; "|" &amp;
      TRIM(SUBSTITUTE($P$2:$P$38,CHAR(160)," ")),
      $Q$2:$Q$38
    )
  ),
"")</f>
        <v/>
      </c>
      <c r="L332" s="32" t="str">
        <f>IFERROR( VALUE($H332) * INDEX(#REF!, MATCH(UPPER(TRIM($F332)),#REF!,0)), "" )</f>
        <v/>
      </c>
    </row>
    <row r="333" spans="1:12" x14ac:dyDescent="0.2">
      <c r="A333" s="21"/>
      <c r="B333" s="28"/>
      <c r="I333" s="60" t="str" cm="1">
        <f t="array" ref="I333">IFERROR(
  INDEX($Q$2:$Q$38,
    MATCH(1,
      ($N$2:$N$38=$F333)*
      (LEFT($O$2:$O$38,5)=LEFT($G333,5))*
      ($P$2:$P$38=#REF!),
    0)
  ),
"")</f>
        <v/>
      </c>
      <c r="J333" s="52" t="str">
        <f>IFERROR( VALUE($H333) * INDEX(#REF!, MATCH(UPPER(TRIM($F333)),#REF!,0)), "" )</f>
        <v/>
      </c>
      <c r="K333" s="32" t="str" cm="1">
        <f t="array" ref="K333">IFERROR(
  VALUE($H333) *
  VALUE(
    _xlfn.XLOOKUP(
      TRIM($F333) &amp; "|" &amp; LEFT(SUBSTITUTE($G333,CHAR(160)," "),5) &amp; "|Ideas Rate",
      TRIM(SUBSTITUTE($N$2:$N$38,CHAR(160)," ")) &amp; "|" &amp;
      LEFT(SUBSTITUTE($O$2:$O$38,CHAR(160)," "),5) &amp; "|" &amp;
      TRIM(SUBSTITUTE($P$2:$P$38,CHAR(160)," ")),
      $Q$2:$Q$38
    )
  ),
"")</f>
        <v/>
      </c>
      <c r="L333" s="32" t="str">
        <f>IFERROR( VALUE($H333) * INDEX(#REF!, MATCH(UPPER(TRIM($F333)),#REF!,0)), "" )</f>
        <v/>
      </c>
    </row>
    <row r="334" spans="1:12" x14ac:dyDescent="0.2">
      <c r="A334" s="21"/>
      <c r="B334" s="28"/>
      <c r="I334" s="60" t="str" cm="1">
        <f t="array" ref="I334">IFERROR(
  INDEX($Q$2:$Q$38,
    MATCH(1,
      ($N$2:$N$38=$F334)*
      (LEFT($O$2:$O$38,5)=LEFT($G334,5))*
      ($P$2:$P$38=#REF!),
    0)
  ),
"")</f>
        <v/>
      </c>
      <c r="J334" s="52" t="str">
        <f>IFERROR( VALUE($H334) * INDEX(#REF!, MATCH(UPPER(TRIM($F334)),#REF!,0)), "" )</f>
        <v/>
      </c>
      <c r="K334" s="32" t="str" cm="1">
        <f t="array" ref="K334">IFERROR(
  VALUE($H334) *
  VALUE(
    _xlfn.XLOOKUP(
      TRIM($F334) &amp; "|" &amp; LEFT(SUBSTITUTE($G334,CHAR(160)," "),5) &amp; "|Ideas Rate",
      TRIM(SUBSTITUTE($N$2:$N$38,CHAR(160)," ")) &amp; "|" &amp;
      LEFT(SUBSTITUTE($O$2:$O$38,CHAR(160)," "),5) &amp; "|" &amp;
      TRIM(SUBSTITUTE($P$2:$P$38,CHAR(160)," ")),
      $Q$2:$Q$38
    )
  ),
"")</f>
        <v/>
      </c>
      <c r="L334" s="32" t="str">
        <f>IFERROR( VALUE($H334) * INDEX(#REF!, MATCH(UPPER(TRIM($F334)),#REF!,0)), "" )</f>
        <v/>
      </c>
    </row>
    <row r="335" spans="1:12" x14ac:dyDescent="0.2">
      <c r="A335" s="21"/>
      <c r="B335" s="28"/>
      <c r="I335" s="60" t="str" cm="1">
        <f t="array" ref="I335">IFERROR(
  INDEX($Q$2:$Q$38,
    MATCH(1,
      ($N$2:$N$38=$F335)*
      (LEFT($O$2:$O$38,5)=LEFT($G335,5))*
      ($P$2:$P$38=#REF!),
    0)
  ),
"")</f>
        <v/>
      </c>
      <c r="J335" s="52" t="str">
        <f>IFERROR( VALUE($H335) * INDEX(#REF!, MATCH(UPPER(TRIM($F335)),#REF!,0)), "" )</f>
        <v/>
      </c>
      <c r="K335" s="32" t="str" cm="1">
        <f t="array" ref="K335">IFERROR(
  VALUE($H335) *
  VALUE(
    _xlfn.XLOOKUP(
      TRIM($F335) &amp; "|" &amp; LEFT(SUBSTITUTE($G335,CHAR(160)," "),5) &amp; "|Ideas Rate",
      TRIM(SUBSTITUTE($N$2:$N$38,CHAR(160)," ")) &amp; "|" &amp;
      LEFT(SUBSTITUTE($O$2:$O$38,CHAR(160)," "),5) &amp; "|" &amp;
      TRIM(SUBSTITUTE($P$2:$P$38,CHAR(160)," ")),
      $Q$2:$Q$38
    )
  ),
"")</f>
        <v/>
      </c>
      <c r="L335" s="32" t="str">
        <f>IFERROR( VALUE($H335) * INDEX(#REF!, MATCH(UPPER(TRIM($F335)),#REF!,0)), "" )</f>
        <v/>
      </c>
    </row>
    <row r="336" spans="1:12" x14ac:dyDescent="0.2">
      <c r="A336" s="21"/>
      <c r="B336" s="28"/>
      <c r="I336" s="60" t="str" cm="1">
        <f t="array" ref="I336">IFERROR(
  INDEX($Q$2:$Q$38,
    MATCH(1,
      ($N$2:$N$38=$F336)*
      (LEFT($O$2:$O$38,5)=LEFT($G336,5))*
      ($P$2:$P$38=#REF!),
    0)
  ),
"")</f>
        <v/>
      </c>
      <c r="J336" s="52" t="str">
        <f>IFERROR( VALUE($H336) * INDEX(#REF!, MATCH(UPPER(TRIM($F336)),#REF!,0)), "" )</f>
        <v/>
      </c>
      <c r="K336" s="32" t="str" cm="1">
        <f t="array" ref="K336">IFERROR(
  VALUE($H336) *
  VALUE(
    _xlfn.XLOOKUP(
      TRIM($F336) &amp; "|" &amp; LEFT(SUBSTITUTE($G336,CHAR(160)," "),5) &amp; "|Ideas Rate",
      TRIM(SUBSTITUTE($N$2:$N$38,CHAR(160)," ")) &amp; "|" &amp;
      LEFT(SUBSTITUTE($O$2:$O$38,CHAR(160)," "),5) &amp; "|" &amp;
      TRIM(SUBSTITUTE($P$2:$P$38,CHAR(160)," ")),
      $Q$2:$Q$38
    )
  ),
"")</f>
        <v/>
      </c>
      <c r="L336" s="32" t="str">
        <f>IFERROR( VALUE($H336) * INDEX(#REF!, MATCH(UPPER(TRIM($F336)),#REF!,0)), "" )</f>
        <v/>
      </c>
    </row>
    <row r="337" spans="1:12" x14ac:dyDescent="0.2">
      <c r="A337" s="21"/>
      <c r="B337" s="28"/>
      <c r="I337" s="60" t="str" cm="1">
        <f t="array" ref="I337">IFERROR(
  INDEX($Q$2:$Q$38,
    MATCH(1,
      ($N$2:$N$38=$F337)*
      (LEFT($O$2:$O$38,5)=LEFT($G337,5))*
      ($P$2:$P$38=#REF!),
    0)
  ),
"")</f>
        <v/>
      </c>
      <c r="J337" s="52" t="str">
        <f>IFERROR( VALUE($H337) * INDEX(#REF!, MATCH(UPPER(TRIM($F337)),#REF!,0)), "" )</f>
        <v/>
      </c>
      <c r="K337" s="32" t="str" cm="1">
        <f t="array" ref="K337">IFERROR(
  VALUE($H337) *
  VALUE(
    _xlfn.XLOOKUP(
      TRIM($F337) &amp; "|" &amp; LEFT(SUBSTITUTE($G337,CHAR(160)," "),5) &amp; "|Ideas Rate",
      TRIM(SUBSTITUTE($N$2:$N$38,CHAR(160)," ")) &amp; "|" &amp;
      LEFT(SUBSTITUTE($O$2:$O$38,CHAR(160)," "),5) &amp; "|" &amp;
      TRIM(SUBSTITUTE($P$2:$P$38,CHAR(160)," ")),
      $Q$2:$Q$38
    )
  ),
"")</f>
        <v/>
      </c>
      <c r="L337" s="32" t="str">
        <f>IFERROR( VALUE($H337) * INDEX(#REF!, MATCH(UPPER(TRIM($F337)),#REF!,0)), "" )</f>
        <v/>
      </c>
    </row>
    <row r="338" spans="1:12" x14ac:dyDescent="0.2">
      <c r="A338" s="21"/>
      <c r="B338" s="28"/>
      <c r="I338" s="60" t="str" cm="1">
        <f t="array" ref="I338">IFERROR(
  INDEX($Q$2:$Q$38,
    MATCH(1,
      ($N$2:$N$38=$F338)*
      (LEFT($O$2:$O$38,5)=LEFT($G338,5))*
      ($P$2:$P$38=#REF!),
    0)
  ),
"")</f>
        <v/>
      </c>
      <c r="J338" s="52" t="str">
        <f>IFERROR( VALUE($H338) * INDEX(#REF!, MATCH(UPPER(TRIM($F338)),#REF!,0)), "" )</f>
        <v/>
      </c>
      <c r="K338" s="32" t="str" cm="1">
        <f t="array" ref="K338">IFERROR(
  VALUE($H338) *
  VALUE(
    _xlfn.XLOOKUP(
      TRIM($F338) &amp; "|" &amp; LEFT(SUBSTITUTE($G338,CHAR(160)," "),5) &amp; "|Ideas Rate",
      TRIM(SUBSTITUTE($N$2:$N$38,CHAR(160)," ")) &amp; "|" &amp;
      LEFT(SUBSTITUTE($O$2:$O$38,CHAR(160)," "),5) &amp; "|" &amp;
      TRIM(SUBSTITUTE($P$2:$P$38,CHAR(160)," ")),
      $Q$2:$Q$38
    )
  ),
"")</f>
        <v/>
      </c>
      <c r="L338" s="32" t="str">
        <f>IFERROR( VALUE($H338) * INDEX(#REF!, MATCH(UPPER(TRIM($F338)),#REF!,0)), "" )</f>
        <v/>
      </c>
    </row>
    <row r="339" spans="1:12" x14ac:dyDescent="0.2">
      <c r="A339"/>
      <c r="B339"/>
      <c r="C339"/>
      <c r="D339"/>
      <c r="E339"/>
      <c r="F339"/>
      <c r="G339"/>
      <c r="H339"/>
      <c r="I339"/>
      <c r="J339"/>
      <c r="K339"/>
      <c r="L339" s="32" t="str">
        <f>IFERROR( VALUE($H339) * INDEX(#REF!, MATCH(UPPER(TRIM($F339)),#REF!,0)), "" )</f>
        <v/>
      </c>
    </row>
    <row r="340" spans="1:12" x14ac:dyDescent="0.2">
      <c r="A340"/>
      <c r="B340"/>
      <c r="C340"/>
      <c r="D340"/>
      <c r="E340"/>
      <c r="F340"/>
      <c r="G340"/>
      <c r="H340"/>
      <c r="I340"/>
      <c r="J340"/>
      <c r="K340"/>
      <c r="L340" s="32" t="str">
        <f>IFERROR( VALUE(#REF!) * INDEX(#REF!, MATCH(UPPER(TRIM(#REF!)),#REF!,0)), "" )</f>
        <v/>
      </c>
    </row>
    <row r="341" spans="1:12" x14ac:dyDescent="0.2">
      <c r="A341"/>
      <c r="B341"/>
      <c r="C341"/>
      <c r="D341"/>
      <c r="E341"/>
      <c r="F341"/>
      <c r="G341"/>
      <c r="H341"/>
      <c r="I341"/>
      <c r="J341"/>
      <c r="K341"/>
      <c r="L341" s="32" t="str">
        <f>IFERROR( VALUE(#REF!) * INDEX(#REF!, MATCH(UPPER(TRIM(#REF!)),#REF!,0)), "" )</f>
        <v/>
      </c>
    </row>
    <row r="342" spans="1:12" x14ac:dyDescent="0.2">
      <c r="A342"/>
      <c r="B342"/>
      <c r="C342"/>
      <c r="D342"/>
      <c r="E342"/>
      <c r="F342"/>
      <c r="G342"/>
      <c r="H342"/>
      <c r="I342"/>
      <c r="J342"/>
      <c r="K342"/>
      <c r="L342" s="32" t="str">
        <f>IFERROR( VALUE(#REF!) * INDEX(#REF!, MATCH(UPPER(TRIM(#REF!)),#REF!,0)), "" )</f>
        <v/>
      </c>
    </row>
    <row r="343" spans="1:12" x14ac:dyDescent="0.2">
      <c r="A343"/>
      <c r="B343"/>
      <c r="C343"/>
      <c r="D343"/>
      <c r="E343"/>
      <c r="F343"/>
      <c r="G343"/>
      <c r="H343"/>
      <c r="I343"/>
      <c r="J343"/>
      <c r="K343"/>
      <c r="L343" s="32" t="str">
        <f>IFERROR( VALUE(#REF!) * INDEX(#REF!, MATCH(UPPER(TRIM(#REF!)),#REF!,0)), "" )</f>
        <v/>
      </c>
    </row>
    <row r="344" spans="1:12" x14ac:dyDescent="0.2">
      <c r="A344"/>
      <c r="B344"/>
      <c r="C344"/>
      <c r="D344"/>
      <c r="E344"/>
      <c r="F344"/>
      <c r="G344"/>
      <c r="H344"/>
      <c r="I344"/>
      <c r="J344"/>
      <c r="K344"/>
      <c r="L344" s="32" t="str">
        <f>IFERROR( VALUE(#REF!) * INDEX(#REF!, MATCH(UPPER(TRIM(#REF!)),#REF!,0)), "" )</f>
        <v/>
      </c>
    </row>
    <row r="345" spans="1:12" x14ac:dyDescent="0.2">
      <c r="A345"/>
      <c r="B345"/>
      <c r="C345"/>
      <c r="D345"/>
      <c r="E345"/>
      <c r="F345"/>
      <c r="G345"/>
      <c r="H345"/>
      <c r="I345"/>
      <c r="J345"/>
      <c r="K345"/>
      <c r="L345" s="32" t="str">
        <f>IFERROR( VALUE(#REF!) * INDEX(#REF!, MATCH(UPPER(TRIM(#REF!)),#REF!,0)), "" )</f>
        <v/>
      </c>
    </row>
    <row r="346" spans="1:12" x14ac:dyDescent="0.2">
      <c r="A346"/>
      <c r="B346"/>
      <c r="C346"/>
      <c r="D346"/>
      <c r="E346"/>
      <c r="F346"/>
      <c r="G346"/>
      <c r="H346"/>
      <c r="I346"/>
      <c r="J346"/>
      <c r="K346"/>
      <c r="L346" s="32" t="str">
        <f>IFERROR( VALUE(#REF!) * INDEX(#REF!, MATCH(UPPER(TRIM(#REF!)),#REF!,0)), "" )</f>
        <v/>
      </c>
    </row>
    <row r="347" spans="1:12" x14ac:dyDescent="0.2">
      <c r="A347"/>
      <c r="B347"/>
      <c r="C347"/>
      <c r="D347"/>
      <c r="E347"/>
      <c r="F347"/>
      <c r="G347"/>
      <c r="H347"/>
      <c r="I347"/>
      <c r="J347"/>
      <c r="K347"/>
      <c r="L347" s="32" t="str">
        <f>IFERROR( VALUE(#REF!) * INDEX(#REF!, MATCH(UPPER(TRIM(#REF!)),#REF!,0)), "" )</f>
        <v/>
      </c>
    </row>
    <row r="348" spans="1:12" x14ac:dyDescent="0.2">
      <c r="A348"/>
      <c r="B348"/>
      <c r="C348"/>
      <c r="D348"/>
      <c r="E348"/>
      <c r="F348"/>
      <c r="G348"/>
      <c r="H348"/>
      <c r="I348"/>
      <c r="J348"/>
      <c r="K348"/>
      <c r="L348" s="32" t="str">
        <f>IFERROR( VALUE(#REF!) * INDEX(#REF!, MATCH(UPPER(TRIM(#REF!)),#REF!,0)), "" )</f>
        <v/>
      </c>
    </row>
    <row r="349" spans="1:12" x14ac:dyDescent="0.2">
      <c r="A349"/>
      <c r="B349"/>
      <c r="C349"/>
      <c r="D349"/>
      <c r="E349"/>
      <c r="F349"/>
      <c r="G349"/>
      <c r="H349"/>
      <c r="I349"/>
      <c r="J349"/>
      <c r="K349"/>
      <c r="L349" s="32" t="str">
        <f>IFERROR( VALUE(#REF!) * INDEX(#REF!, MATCH(UPPER(TRIM(#REF!)),#REF!,0)), "" )</f>
        <v/>
      </c>
    </row>
    <row r="350" spans="1:12" x14ac:dyDescent="0.2">
      <c r="A350"/>
      <c r="B350"/>
      <c r="C350"/>
      <c r="D350"/>
      <c r="E350"/>
      <c r="F350"/>
      <c r="G350"/>
      <c r="H350"/>
      <c r="I350"/>
      <c r="J350"/>
      <c r="K350"/>
      <c r="L350" s="32" t="str">
        <f>IFERROR( VALUE(#REF!) * INDEX(#REF!, MATCH(UPPER(TRIM(#REF!)),#REF!,0)), "" )</f>
        <v/>
      </c>
    </row>
    <row r="351" spans="1:12" x14ac:dyDescent="0.2">
      <c r="A351"/>
      <c r="B351"/>
      <c r="C351"/>
      <c r="D351"/>
      <c r="E351"/>
      <c r="F351"/>
      <c r="G351"/>
      <c r="H351"/>
      <c r="I351"/>
      <c r="J351"/>
      <c r="K351"/>
      <c r="L351" s="32" t="str">
        <f>IFERROR( VALUE(#REF!) * INDEX(#REF!, MATCH(UPPER(TRIM(#REF!)),#REF!,0)), "" )</f>
        <v/>
      </c>
    </row>
    <row r="352" spans="1:12" x14ac:dyDescent="0.2">
      <c r="A352"/>
      <c r="B352"/>
      <c r="C352"/>
      <c r="D352"/>
      <c r="E352"/>
      <c r="F352"/>
      <c r="G352"/>
      <c r="H352"/>
      <c r="I352"/>
      <c r="J352"/>
      <c r="K352"/>
      <c r="L352" s="32" t="str">
        <f>IFERROR( VALUE(#REF!) * INDEX(#REF!, MATCH(UPPER(TRIM(#REF!)),#REF!,0)), "" )</f>
        <v/>
      </c>
    </row>
    <row r="353" spans="1:12" x14ac:dyDescent="0.2">
      <c r="A353"/>
      <c r="B353"/>
      <c r="C353"/>
      <c r="D353"/>
      <c r="E353"/>
      <c r="F353"/>
      <c r="G353"/>
      <c r="H353"/>
      <c r="I353"/>
      <c r="J353"/>
      <c r="K353"/>
      <c r="L353" s="32" t="str">
        <f>IFERROR( VALUE(#REF!) * INDEX(#REF!, MATCH(UPPER(TRIM(#REF!)),#REF!,0)), "" )</f>
        <v/>
      </c>
    </row>
    <row r="354" spans="1:12" x14ac:dyDescent="0.2">
      <c r="A354"/>
      <c r="B354"/>
      <c r="C354"/>
      <c r="D354"/>
      <c r="E354"/>
      <c r="F354"/>
      <c r="G354"/>
      <c r="H354"/>
      <c r="I354"/>
      <c r="J354"/>
      <c r="K354"/>
      <c r="L354" s="32" t="str">
        <f>IFERROR( VALUE(#REF!) * INDEX(#REF!, MATCH(UPPER(TRIM(#REF!)),#REF!,0)), "" )</f>
        <v/>
      </c>
    </row>
    <row r="355" spans="1:12" x14ac:dyDescent="0.2">
      <c r="A355"/>
      <c r="B355"/>
      <c r="C355"/>
      <c r="D355"/>
      <c r="E355"/>
      <c r="F355"/>
      <c r="G355"/>
      <c r="H355"/>
      <c r="I355"/>
      <c r="J355"/>
      <c r="K355"/>
      <c r="L355" s="32" t="str">
        <f>IFERROR( VALUE(#REF!) * INDEX(#REF!, MATCH(UPPER(TRIM(#REF!)),#REF!,0)), "" )</f>
        <v/>
      </c>
    </row>
    <row r="356" spans="1:12" x14ac:dyDescent="0.2">
      <c r="A356"/>
      <c r="B356"/>
      <c r="C356"/>
      <c r="D356"/>
      <c r="E356"/>
      <c r="F356"/>
      <c r="G356"/>
      <c r="H356"/>
      <c r="I356"/>
      <c r="J356"/>
      <c r="K356"/>
      <c r="L356" s="32" t="str">
        <f>IFERROR( VALUE(#REF!) * INDEX(#REF!, MATCH(UPPER(TRIM(#REF!)),#REF!,0)), "" )</f>
        <v/>
      </c>
    </row>
    <row r="357" spans="1:12" x14ac:dyDescent="0.2">
      <c r="A357"/>
      <c r="B357"/>
      <c r="C357"/>
      <c r="D357"/>
      <c r="E357"/>
      <c r="F357"/>
      <c r="G357"/>
      <c r="H357"/>
      <c r="I357"/>
      <c r="J357"/>
      <c r="K357"/>
      <c r="L357" s="32" t="str">
        <f>IFERROR( VALUE(#REF!) * INDEX(#REF!, MATCH(UPPER(TRIM(#REF!)),#REF!,0)), "" )</f>
        <v/>
      </c>
    </row>
    <row r="358" spans="1:12" x14ac:dyDescent="0.2">
      <c r="A358"/>
      <c r="B358"/>
      <c r="C358"/>
      <c r="D358"/>
      <c r="E358"/>
      <c r="F358"/>
      <c r="G358"/>
      <c r="H358"/>
      <c r="I358"/>
      <c r="J358"/>
      <c r="K358"/>
      <c r="L358" s="32" t="str">
        <f>IFERROR( VALUE(#REF!) * INDEX(#REF!, MATCH(UPPER(TRIM(#REF!)),#REF!,0)), "" )</f>
        <v/>
      </c>
    </row>
    <row r="359" spans="1:12" x14ac:dyDescent="0.2">
      <c r="A359"/>
      <c r="B359"/>
      <c r="C359"/>
      <c r="D359"/>
      <c r="E359"/>
      <c r="F359"/>
      <c r="G359"/>
      <c r="H359"/>
      <c r="I359"/>
      <c r="J359"/>
      <c r="K359"/>
      <c r="L359" s="32" t="str">
        <f>IFERROR( VALUE(#REF!) * INDEX(#REF!, MATCH(UPPER(TRIM(#REF!)),#REF!,0)), "" )</f>
        <v/>
      </c>
    </row>
    <row r="360" spans="1:12" x14ac:dyDescent="0.2">
      <c r="A360"/>
      <c r="B360"/>
      <c r="C360"/>
      <c r="D360"/>
      <c r="E360"/>
      <c r="F360"/>
      <c r="G360"/>
      <c r="H360"/>
      <c r="I360"/>
      <c r="J360"/>
      <c r="K360"/>
      <c r="L360" s="32" t="str">
        <f>IFERROR( VALUE(#REF!) * INDEX(#REF!, MATCH(UPPER(TRIM(#REF!)),#REF!,0)), "" )</f>
        <v/>
      </c>
    </row>
    <row r="361" spans="1:12" x14ac:dyDescent="0.2">
      <c r="A361"/>
      <c r="B361"/>
      <c r="C361"/>
      <c r="D361"/>
      <c r="E361"/>
      <c r="F361"/>
      <c r="G361"/>
      <c r="H361"/>
      <c r="I361"/>
      <c r="J361"/>
      <c r="K361"/>
      <c r="L361" s="32" t="str">
        <f>IFERROR( VALUE(#REF!) * INDEX(#REF!, MATCH(UPPER(TRIM(#REF!)),#REF!,0)), "" )</f>
        <v/>
      </c>
    </row>
    <row r="362" spans="1:12" x14ac:dyDescent="0.2">
      <c r="A362"/>
      <c r="B362"/>
      <c r="C362"/>
      <c r="D362"/>
      <c r="E362"/>
      <c r="F362"/>
      <c r="G362"/>
      <c r="H362"/>
      <c r="I362"/>
      <c r="J362"/>
      <c r="K362"/>
      <c r="L362" s="32" t="str">
        <f>IFERROR( VALUE(#REF!) * INDEX(#REF!, MATCH(UPPER(TRIM(#REF!)),#REF!,0)), "" )</f>
        <v/>
      </c>
    </row>
    <row r="363" spans="1:12" x14ac:dyDescent="0.2">
      <c r="A363"/>
      <c r="B363"/>
      <c r="C363"/>
      <c r="D363"/>
      <c r="E363"/>
      <c r="F363"/>
      <c r="G363"/>
      <c r="H363"/>
      <c r="I363"/>
      <c r="J363"/>
      <c r="K363"/>
      <c r="L363" s="32" t="str">
        <f>IFERROR( VALUE(#REF!) * INDEX(#REF!, MATCH(UPPER(TRIM(#REF!)),#REF!,0)), "" )</f>
        <v/>
      </c>
    </row>
    <row r="364" spans="1:12" x14ac:dyDescent="0.2">
      <c r="A364"/>
      <c r="B364"/>
      <c r="C364"/>
      <c r="D364"/>
      <c r="E364"/>
      <c r="F364"/>
      <c r="G364"/>
      <c r="H364"/>
      <c r="I364"/>
      <c r="J364"/>
      <c r="K364"/>
      <c r="L364" s="32" t="str">
        <f>IFERROR( VALUE(#REF!) * INDEX(#REF!, MATCH(UPPER(TRIM(#REF!)),#REF!,0)), "" )</f>
        <v/>
      </c>
    </row>
    <row r="365" spans="1:12" x14ac:dyDescent="0.2">
      <c r="A365"/>
      <c r="B365"/>
      <c r="C365"/>
      <c r="D365"/>
      <c r="E365"/>
      <c r="F365"/>
      <c r="G365"/>
      <c r="H365"/>
      <c r="I365"/>
      <c r="J365"/>
      <c r="K365"/>
      <c r="L365" s="32" t="str">
        <f>IFERROR( VALUE(#REF!) * INDEX(#REF!, MATCH(UPPER(TRIM(#REF!)),#REF!,0)), "" )</f>
        <v/>
      </c>
    </row>
    <row r="366" spans="1:12" x14ac:dyDescent="0.2">
      <c r="A366"/>
      <c r="B366"/>
      <c r="C366"/>
      <c r="D366"/>
      <c r="E366"/>
      <c r="F366"/>
      <c r="G366"/>
      <c r="H366"/>
      <c r="I366"/>
      <c r="J366"/>
      <c r="K366"/>
      <c r="L366" s="32" t="str">
        <f>IFERROR( VALUE(#REF!) * INDEX(#REF!, MATCH(UPPER(TRIM(#REF!)),#REF!,0)), "" )</f>
        <v/>
      </c>
    </row>
    <row r="367" spans="1:12" x14ac:dyDescent="0.2">
      <c r="A367"/>
      <c r="B367"/>
      <c r="C367"/>
      <c r="D367"/>
      <c r="E367"/>
      <c r="F367"/>
      <c r="G367"/>
      <c r="H367"/>
      <c r="I367"/>
      <c r="J367"/>
      <c r="K367"/>
      <c r="L367" s="32" t="str">
        <f>IFERROR( VALUE(#REF!) * INDEX(#REF!, MATCH(UPPER(TRIM(#REF!)),#REF!,0)), "" )</f>
        <v/>
      </c>
    </row>
    <row r="368" spans="1:12" x14ac:dyDescent="0.2">
      <c r="A368"/>
      <c r="B368"/>
      <c r="C368"/>
      <c r="D368"/>
      <c r="E368"/>
      <c r="F368"/>
      <c r="G368"/>
      <c r="H368"/>
      <c r="I368"/>
      <c r="J368"/>
      <c r="K368"/>
      <c r="L368" s="32" t="str">
        <f>IFERROR( VALUE($H341) * INDEX(#REF!, MATCH(UPPER(TRIM($F341)),#REF!,0)), "" )</f>
        <v/>
      </c>
    </row>
    <row r="369" spans="1:12" x14ac:dyDescent="0.2">
      <c r="A369"/>
      <c r="B369"/>
      <c r="C369"/>
      <c r="D369"/>
      <c r="E369"/>
      <c r="F369"/>
      <c r="G369"/>
      <c r="H369"/>
      <c r="I369"/>
      <c r="J369"/>
      <c r="K369"/>
      <c r="L369" s="32" t="str">
        <f>IFERROR( VALUE(#REF!) * INDEX(#REF!, MATCH(UPPER(TRIM(#REF!)),#REF!,0)), "" )</f>
        <v/>
      </c>
    </row>
    <row r="370" spans="1:12" x14ac:dyDescent="0.2">
      <c r="A370"/>
      <c r="B370"/>
      <c r="C370"/>
      <c r="D370"/>
      <c r="E370"/>
      <c r="F370"/>
      <c r="G370"/>
      <c r="H370"/>
      <c r="I370"/>
      <c r="J370"/>
      <c r="K370"/>
      <c r="L370" s="32" t="str">
        <f>IFERROR( VALUE(#REF!) * INDEX(#REF!, MATCH(UPPER(TRIM(#REF!)),#REF!,0)), "" )</f>
        <v/>
      </c>
    </row>
    <row r="371" spans="1:12" x14ac:dyDescent="0.2">
      <c r="A371"/>
      <c r="B371"/>
      <c r="C371"/>
      <c r="D371"/>
      <c r="E371"/>
      <c r="F371"/>
      <c r="G371"/>
      <c r="H371"/>
      <c r="I371"/>
      <c r="J371"/>
      <c r="K371"/>
      <c r="L371" s="32" t="str">
        <f>IFERROR( VALUE(#REF!) * INDEX(#REF!, MATCH(UPPER(TRIM(#REF!)),#REF!,0)), "" )</f>
        <v/>
      </c>
    </row>
    <row r="372" spans="1:12" x14ac:dyDescent="0.2">
      <c r="A372"/>
      <c r="B372"/>
      <c r="C372"/>
      <c r="D372"/>
      <c r="E372"/>
      <c r="F372"/>
      <c r="G372"/>
      <c r="H372"/>
      <c r="I372"/>
      <c r="J372"/>
      <c r="K372"/>
      <c r="L372" s="32" t="str">
        <f>IFERROR( VALUE(#REF!) * INDEX(#REF!, MATCH(UPPER(TRIM(#REF!)),#REF!,0)), "" )</f>
        <v/>
      </c>
    </row>
    <row r="373" spans="1:12" x14ac:dyDescent="0.2">
      <c r="A373"/>
      <c r="B373"/>
      <c r="C373"/>
      <c r="D373"/>
      <c r="E373"/>
      <c r="F373"/>
      <c r="G373"/>
      <c r="H373"/>
      <c r="I373"/>
      <c r="J373"/>
      <c r="K373"/>
      <c r="L373" s="32" t="str">
        <f>IFERROR( VALUE(#REF!) * INDEX(#REF!, MATCH(UPPER(TRIM(#REF!)),#REF!,0)), "" )</f>
        <v/>
      </c>
    </row>
    <row r="374" spans="1:12" x14ac:dyDescent="0.2">
      <c r="A374"/>
      <c r="B374"/>
      <c r="C374"/>
      <c r="D374"/>
      <c r="E374"/>
      <c r="F374"/>
      <c r="G374"/>
      <c r="H374"/>
      <c r="I374"/>
      <c r="J374"/>
      <c r="K374"/>
      <c r="L374" s="32" t="str">
        <f>IFERROR( VALUE(#REF!) * INDEX(#REF!, MATCH(UPPER(TRIM(#REF!)),#REF!,0)), "" )</f>
        <v/>
      </c>
    </row>
    <row r="375" spans="1:12" x14ac:dyDescent="0.2">
      <c r="A375"/>
      <c r="B375"/>
      <c r="C375"/>
      <c r="D375"/>
      <c r="E375"/>
      <c r="F375"/>
      <c r="G375"/>
      <c r="H375"/>
      <c r="I375"/>
      <c r="J375"/>
      <c r="K375"/>
      <c r="L375" s="32" t="str">
        <f>IFERROR( VALUE(#REF!) * INDEX(#REF!, MATCH(UPPER(TRIM(#REF!)),#REF!,0)), "" )</f>
        <v/>
      </c>
    </row>
    <row r="376" spans="1:12" x14ac:dyDescent="0.2">
      <c r="A376"/>
      <c r="B376"/>
      <c r="C376"/>
      <c r="D376"/>
      <c r="E376"/>
      <c r="F376"/>
      <c r="G376"/>
      <c r="H376"/>
      <c r="I376"/>
      <c r="J376"/>
      <c r="K376"/>
      <c r="L376" s="32" t="str">
        <f>IFERROR( VALUE(#REF!) * INDEX(#REF!, MATCH(UPPER(TRIM(#REF!)),#REF!,0)), "" )</f>
        <v/>
      </c>
    </row>
    <row r="377" spans="1:12" x14ac:dyDescent="0.2">
      <c r="A377"/>
      <c r="B377"/>
      <c r="C377"/>
      <c r="D377"/>
      <c r="E377"/>
      <c r="F377"/>
      <c r="G377"/>
      <c r="H377"/>
      <c r="I377"/>
      <c r="J377"/>
      <c r="K377"/>
      <c r="L377" s="32" t="str">
        <f>IFERROR( VALUE(#REF!) * INDEX(#REF!, MATCH(UPPER(TRIM(#REF!)),#REF!,0)), "" )</f>
        <v/>
      </c>
    </row>
    <row r="378" spans="1:12" x14ac:dyDescent="0.2">
      <c r="A378"/>
      <c r="B378"/>
      <c r="C378"/>
      <c r="D378"/>
      <c r="E378"/>
      <c r="F378"/>
      <c r="G378"/>
      <c r="H378"/>
      <c r="I378"/>
      <c r="J378"/>
      <c r="K378"/>
      <c r="L378" s="32" t="str">
        <f>IFERROR( VALUE(#REF!) * INDEX(#REF!, MATCH(UPPER(TRIM(#REF!)),#REF!,0)), "" )</f>
        <v/>
      </c>
    </row>
    <row r="379" spans="1:12" x14ac:dyDescent="0.2">
      <c r="A379"/>
      <c r="B379"/>
      <c r="C379"/>
      <c r="D379"/>
      <c r="E379"/>
      <c r="F379"/>
      <c r="G379"/>
      <c r="H379"/>
      <c r="I379"/>
      <c r="J379"/>
      <c r="K379"/>
      <c r="L379" s="32" t="str">
        <f>IFERROR( VALUE(#REF!) * INDEX(#REF!, MATCH(UPPER(TRIM(#REF!)),#REF!,0)), "" )</f>
        <v/>
      </c>
    </row>
    <row r="380" spans="1:12" x14ac:dyDescent="0.2">
      <c r="A380"/>
      <c r="B380"/>
      <c r="C380"/>
      <c r="D380"/>
      <c r="E380"/>
      <c r="F380"/>
      <c r="G380"/>
      <c r="H380"/>
      <c r="I380"/>
      <c r="J380"/>
      <c r="K380"/>
      <c r="L380" s="32" t="str">
        <f>IFERROR( VALUE(#REF!) * INDEX(#REF!, MATCH(UPPER(TRIM(#REF!)),#REF!,0)), "" )</f>
        <v/>
      </c>
    </row>
    <row r="381" spans="1:12" x14ac:dyDescent="0.2">
      <c r="A381"/>
      <c r="B381"/>
      <c r="C381"/>
      <c r="D381"/>
      <c r="E381"/>
      <c r="F381"/>
      <c r="G381"/>
      <c r="H381"/>
      <c r="I381"/>
      <c r="J381"/>
      <c r="K381"/>
      <c r="L381" s="32" t="str">
        <f>IFERROR( VALUE(#REF!) * INDEX(#REF!, MATCH(UPPER(TRIM(#REF!)),#REF!,0)), "" )</f>
        <v/>
      </c>
    </row>
    <row r="382" spans="1:12" x14ac:dyDescent="0.2">
      <c r="A382"/>
      <c r="B382"/>
      <c r="C382"/>
      <c r="D382"/>
      <c r="E382"/>
      <c r="F382"/>
      <c r="G382"/>
      <c r="H382"/>
      <c r="I382"/>
      <c r="J382"/>
      <c r="K382"/>
      <c r="L382" s="32" t="str">
        <f>IFERROR( VALUE(#REF!) * INDEX(#REF!, MATCH(UPPER(TRIM(#REF!)),#REF!,0)), "" )</f>
        <v/>
      </c>
    </row>
    <row r="383" spans="1:12" x14ac:dyDescent="0.2">
      <c r="A383"/>
      <c r="B383"/>
      <c r="C383"/>
      <c r="D383"/>
      <c r="E383"/>
      <c r="F383"/>
      <c r="G383"/>
      <c r="H383"/>
      <c r="I383"/>
      <c r="J383"/>
      <c r="K383"/>
      <c r="L383" s="32" t="str">
        <f>IFERROR( VALUE($H383) * INDEX(#REF!, MATCH(UPPER(TRIM($F383)),#REF!,0)), "" )</f>
        <v/>
      </c>
    </row>
    <row r="384" spans="1:12" x14ac:dyDescent="0.2">
      <c r="A384"/>
      <c r="B384"/>
      <c r="C384"/>
      <c r="D384"/>
      <c r="E384"/>
      <c r="F384"/>
      <c r="G384"/>
      <c r="H384"/>
      <c r="I384"/>
      <c r="J384"/>
      <c r="K384"/>
      <c r="L384" s="32" t="str">
        <f>IFERROR( VALUE($H384) * INDEX(#REF!, MATCH(UPPER(TRIM($F384)),#REF!,0)), "" )</f>
        <v/>
      </c>
    </row>
    <row r="385" spans="1:12" x14ac:dyDescent="0.2">
      <c r="A385"/>
      <c r="B385"/>
      <c r="C385"/>
      <c r="D385"/>
      <c r="E385"/>
      <c r="F385"/>
      <c r="G385"/>
      <c r="H385"/>
      <c r="I385"/>
      <c r="J385"/>
      <c r="K385"/>
      <c r="L385" s="32" t="str">
        <f>IFERROR( VALUE($H385) * INDEX(#REF!, MATCH(UPPER(TRIM($F385)),#REF!,0)), "" )</f>
        <v/>
      </c>
    </row>
    <row r="386" spans="1:12" x14ac:dyDescent="0.2">
      <c r="A386"/>
      <c r="B386"/>
      <c r="C386"/>
      <c r="D386"/>
      <c r="E386"/>
      <c r="F386"/>
      <c r="G386"/>
      <c r="H386"/>
      <c r="I386"/>
      <c r="J386"/>
      <c r="K386"/>
      <c r="L386" s="32" t="str">
        <f>IFERROR( VALUE($H386) * INDEX(#REF!, MATCH(UPPER(TRIM($F386)),#REF!,0)), "" )</f>
        <v/>
      </c>
    </row>
    <row r="387" spans="1:12" x14ac:dyDescent="0.2">
      <c r="A387"/>
      <c r="B387"/>
      <c r="C387"/>
      <c r="D387"/>
      <c r="E387"/>
      <c r="F387"/>
      <c r="G387"/>
      <c r="H387"/>
      <c r="I387"/>
      <c r="J387"/>
      <c r="K387"/>
      <c r="L387" s="32" t="str">
        <f>IFERROR( VALUE($H387) * INDEX(#REF!, MATCH(UPPER(TRIM($F387)),#REF!,0)), "" )</f>
        <v/>
      </c>
    </row>
    <row r="388" spans="1:12" x14ac:dyDescent="0.2">
      <c r="A388"/>
      <c r="B388"/>
      <c r="C388"/>
      <c r="D388"/>
      <c r="E388"/>
      <c r="F388"/>
      <c r="G388"/>
      <c r="H388"/>
      <c r="I388"/>
      <c r="J388"/>
      <c r="K388"/>
      <c r="L388" s="32" t="str">
        <f>IFERROR( VALUE($H388) * INDEX(#REF!, MATCH(UPPER(TRIM($F388)),#REF!,0)), "" )</f>
        <v/>
      </c>
    </row>
    <row r="389" spans="1:12" x14ac:dyDescent="0.2">
      <c r="A389"/>
      <c r="B389"/>
      <c r="C389"/>
      <c r="D389"/>
      <c r="E389"/>
      <c r="F389"/>
      <c r="G389"/>
      <c r="H389"/>
      <c r="I389"/>
      <c r="J389"/>
      <c r="K389"/>
      <c r="L389" s="32" t="str">
        <f>IFERROR( VALUE($H389) * INDEX(#REF!, MATCH(UPPER(TRIM($F389)),#REF!,0)), "" )</f>
        <v/>
      </c>
    </row>
    <row r="390" spans="1:12" x14ac:dyDescent="0.2">
      <c r="A390"/>
      <c r="B390"/>
      <c r="C390"/>
      <c r="D390"/>
      <c r="E390"/>
      <c r="F390"/>
      <c r="G390"/>
      <c r="H390"/>
      <c r="I390"/>
      <c r="J390"/>
      <c r="K390"/>
      <c r="L390" s="32" t="str">
        <f>IFERROR( VALUE($H390) * INDEX(#REF!, MATCH(UPPER(TRIM($F390)),#REF!,0)), "" )</f>
        <v/>
      </c>
    </row>
    <row r="391" spans="1:12" x14ac:dyDescent="0.2">
      <c r="A391"/>
      <c r="B391"/>
      <c r="C391"/>
      <c r="D391"/>
      <c r="E391"/>
      <c r="F391"/>
      <c r="G391"/>
      <c r="H391"/>
      <c r="I391"/>
      <c r="J391"/>
      <c r="K391"/>
      <c r="L391" s="32" t="str">
        <f>IFERROR( VALUE($H391) * INDEX(#REF!, MATCH(UPPER(TRIM($F391)),#REF!,0)), "" )</f>
        <v/>
      </c>
    </row>
    <row r="392" spans="1:12" x14ac:dyDescent="0.2">
      <c r="A392"/>
      <c r="B392"/>
      <c r="C392"/>
      <c r="D392"/>
      <c r="E392"/>
      <c r="F392"/>
      <c r="G392"/>
      <c r="H392"/>
      <c r="I392"/>
      <c r="J392"/>
      <c r="K392"/>
      <c r="L392" s="32" t="str">
        <f>IFERROR( VALUE($H392) * INDEX(#REF!, MATCH(UPPER(TRIM($F392)),#REF!,0)), "" )</f>
        <v/>
      </c>
    </row>
    <row r="393" spans="1:12" x14ac:dyDescent="0.2">
      <c r="A393"/>
      <c r="B393"/>
      <c r="C393"/>
      <c r="D393"/>
      <c r="E393"/>
      <c r="F393"/>
      <c r="G393"/>
      <c r="H393"/>
      <c r="I393"/>
      <c r="J393"/>
      <c r="K393"/>
      <c r="L393" s="32" t="str">
        <f>IFERROR( VALUE($H393) * INDEX(#REF!, MATCH(UPPER(TRIM($F393)),#REF!,0)), "" )</f>
        <v/>
      </c>
    </row>
    <row r="394" spans="1:12" x14ac:dyDescent="0.2">
      <c r="A394"/>
      <c r="B394"/>
      <c r="C394"/>
      <c r="D394"/>
      <c r="E394"/>
      <c r="F394"/>
      <c r="G394"/>
      <c r="H394"/>
      <c r="I394"/>
      <c r="J394"/>
      <c r="K394"/>
      <c r="L394" s="32" t="str">
        <f>IFERROR( VALUE($H394) * INDEX(#REF!, MATCH(UPPER(TRIM($F394)),#REF!,0)), "" )</f>
        <v/>
      </c>
    </row>
    <row r="395" spans="1:12" x14ac:dyDescent="0.2">
      <c r="A395"/>
      <c r="B395"/>
      <c r="C395"/>
      <c r="D395"/>
      <c r="E395"/>
      <c r="F395"/>
      <c r="G395"/>
      <c r="H395"/>
      <c r="I395"/>
      <c r="J395"/>
      <c r="K395"/>
      <c r="L395" s="32" t="str">
        <f>IFERROR( VALUE($H395) * INDEX(#REF!, MATCH(UPPER(TRIM($F395)),#REF!,0)), "" )</f>
        <v/>
      </c>
    </row>
    <row r="396" spans="1:12" x14ac:dyDescent="0.2">
      <c r="A396"/>
      <c r="B396"/>
      <c r="C396"/>
      <c r="D396"/>
      <c r="E396"/>
      <c r="F396"/>
      <c r="G396"/>
      <c r="H396"/>
      <c r="I396"/>
      <c r="J396"/>
      <c r="K396"/>
      <c r="L396" s="32" t="str">
        <f>IFERROR( VALUE($H396) * INDEX(#REF!, MATCH(UPPER(TRIM($F396)),#REF!,0)), "" )</f>
        <v/>
      </c>
    </row>
    <row r="397" spans="1:12" x14ac:dyDescent="0.2">
      <c r="A397"/>
      <c r="B397"/>
      <c r="C397"/>
      <c r="D397"/>
      <c r="E397"/>
      <c r="F397"/>
      <c r="G397"/>
      <c r="H397"/>
      <c r="I397"/>
      <c r="J397"/>
      <c r="K397"/>
      <c r="L397" s="32" t="str">
        <f>IFERROR( VALUE($H397) * INDEX(#REF!, MATCH(UPPER(TRIM($F397)),#REF!,0)), "" )</f>
        <v/>
      </c>
    </row>
    <row r="398" spans="1:12" x14ac:dyDescent="0.2">
      <c r="A398"/>
      <c r="B398"/>
      <c r="C398"/>
      <c r="D398"/>
      <c r="E398"/>
      <c r="F398"/>
      <c r="G398"/>
      <c r="H398"/>
      <c r="I398"/>
      <c r="J398"/>
      <c r="K398"/>
      <c r="L398" s="32" t="str">
        <f>IFERROR( VALUE($H398) * INDEX(#REF!, MATCH(UPPER(TRIM($F398)),#REF!,0)), "" )</f>
        <v/>
      </c>
    </row>
    <row r="399" spans="1:12" x14ac:dyDescent="0.2">
      <c r="A399"/>
      <c r="B399"/>
      <c r="C399"/>
      <c r="D399"/>
      <c r="E399"/>
      <c r="F399"/>
      <c r="G399"/>
      <c r="H399"/>
      <c r="I399"/>
      <c r="J399"/>
      <c r="K399"/>
      <c r="L399" s="32" t="str">
        <f>IFERROR( VALUE($H399) * INDEX(#REF!, MATCH(UPPER(TRIM($F399)),#REF!,0)), "" )</f>
        <v/>
      </c>
    </row>
    <row r="400" spans="1:12" x14ac:dyDescent="0.2">
      <c r="A400"/>
      <c r="B400"/>
      <c r="C400"/>
      <c r="D400"/>
      <c r="E400"/>
      <c r="F400"/>
      <c r="G400"/>
      <c r="H400"/>
      <c r="I400"/>
      <c r="J400"/>
      <c r="K400"/>
      <c r="L400" s="32" t="str">
        <f>IFERROR( VALUE($H400) * INDEX(#REF!, MATCH(UPPER(TRIM($F400)),#REF!,0)), "" )</f>
        <v/>
      </c>
    </row>
    <row r="401" spans="1:12" x14ac:dyDescent="0.2">
      <c r="A401"/>
      <c r="B401"/>
      <c r="C401"/>
      <c r="D401"/>
      <c r="E401"/>
      <c r="F401"/>
      <c r="G401"/>
      <c r="H401"/>
      <c r="I401"/>
      <c r="J401"/>
      <c r="K401"/>
      <c r="L401" s="32" t="str">
        <f>IFERROR( VALUE($H401) * INDEX(#REF!, MATCH(UPPER(TRIM($F401)),#REF!,0)), "" )</f>
        <v/>
      </c>
    </row>
    <row r="402" spans="1:12" x14ac:dyDescent="0.2">
      <c r="A402"/>
      <c r="B402"/>
      <c r="C402"/>
      <c r="D402"/>
      <c r="E402"/>
      <c r="F402"/>
      <c r="G402"/>
      <c r="H402"/>
      <c r="I402"/>
      <c r="J402"/>
      <c r="K402"/>
      <c r="L402" s="32" t="str">
        <f>IFERROR( VALUE($H402) * INDEX(#REF!, MATCH(UPPER(TRIM($F402)),#REF!,0)), "" )</f>
        <v/>
      </c>
    </row>
    <row r="403" spans="1:12" x14ac:dyDescent="0.2">
      <c r="A403"/>
      <c r="B403"/>
      <c r="C403"/>
      <c r="D403"/>
      <c r="E403"/>
      <c r="F403"/>
      <c r="G403"/>
      <c r="H403"/>
      <c r="I403"/>
      <c r="J403"/>
      <c r="K403"/>
      <c r="L403" s="32" t="str">
        <f>IFERROR( VALUE($H403) * INDEX(#REF!, MATCH(UPPER(TRIM($F403)),#REF!,0)), "" )</f>
        <v/>
      </c>
    </row>
    <row r="404" spans="1:12" x14ac:dyDescent="0.2">
      <c r="A404"/>
      <c r="B404"/>
      <c r="C404"/>
      <c r="D404"/>
      <c r="E404"/>
      <c r="F404"/>
      <c r="G404"/>
      <c r="H404"/>
      <c r="I404"/>
      <c r="J404"/>
      <c r="K404"/>
      <c r="L404" s="32" t="str">
        <f>IFERROR( VALUE($H404) * INDEX(#REF!, MATCH(UPPER(TRIM($F404)),#REF!,0)), "" )</f>
        <v/>
      </c>
    </row>
    <row r="405" spans="1:12" x14ac:dyDescent="0.2">
      <c r="A405"/>
      <c r="B405"/>
      <c r="C405"/>
      <c r="D405"/>
      <c r="E405"/>
      <c r="F405"/>
      <c r="G405"/>
      <c r="H405"/>
      <c r="I405"/>
      <c r="J405"/>
      <c r="K405"/>
      <c r="L405" s="32" t="str">
        <f>IFERROR( VALUE($H405) * INDEX(#REF!, MATCH(UPPER(TRIM($F405)),#REF!,0)), "" )</f>
        <v/>
      </c>
    </row>
    <row r="406" spans="1:12" s="168" customFormat="1" x14ac:dyDescent="0.2">
      <c r="A406"/>
      <c r="B406"/>
      <c r="C406"/>
      <c r="D406"/>
      <c r="E406"/>
      <c r="F406"/>
      <c r="G406"/>
      <c r="H406"/>
      <c r="I406"/>
      <c r="J406"/>
      <c r="K406"/>
      <c r="L406" s="167" t="str">
        <f>IFERROR( VALUE($H406) * INDEX(#REF!, MATCH(UPPER(TRIM($F406)),#REF!,0)), "" )</f>
        <v/>
      </c>
    </row>
    <row r="407" spans="1:12" s="168" customFormat="1" x14ac:dyDescent="0.2">
      <c r="A407"/>
      <c r="B407"/>
      <c r="C407"/>
      <c r="D407"/>
      <c r="E407"/>
      <c r="F407"/>
      <c r="G407"/>
      <c r="H407"/>
      <c r="I407"/>
      <c r="J407"/>
      <c r="K407"/>
      <c r="L407" s="167" t="str">
        <f>IFERROR( VALUE($H407) * INDEX(#REF!, MATCH(UPPER(TRIM($F407)),#REF!,0)), "" )</f>
        <v/>
      </c>
    </row>
    <row r="408" spans="1:12" s="168" customFormat="1" x14ac:dyDescent="0.2">
      <c r="A408"/>
      <c r="B408"/>
      <c r="C408"/>
      <c r="D408"/>
      <c r="E408"/>
      <c r="F408"/>
      <c r="G408"/>
      <c r="H408"/>
      <c r="I408"/>
      <c r="J408"/>
      <c r="K408"/>
      <c r="L408" s="167" t="str">
        <f>IFERROR( VALUE($H408) * INDEX(#REF!, MATCH(UPPER(TRIM($F408)),#REF!,0)), "" )</f>
        <v/>
      </c>
    </row>
    <row r="409" spans="1:12" s="168" customFormat="1" x14ac:dyDescent="0.2">
      <c r="A409"/>
      <c r="B409"/>
      <c r="C409"/>
      <c r="D409"/>
      <c r="E409"/>
      <c r="F409"/>
      <c r="G409"/>
      <c r="H409"/>
      <c r="I409"/>
      <c r="J409"/>
      <c r="K409"/>
      <c r="L409" s="167" t="str">
        <f>IFERROR( VALUE($H409) * INDEX(#REF!, MATCH(UPPER(TRIM($F409)),#REF!,0)), "" )</f>
        <v/>
      </c>
    </row>
    <row r="410" spans="1:12" s="168" customFormat="1" x14ac:dyDescent="0.2">
      <c r="A410"/>
      <c r="B410"/>
      <c r="C410"/>
      <c r="D410"/>
      <c r="E410"/>
      <c r="F410"/>
      <c r="G410"/>
      <c r="H410"/>
      <c r="I410"/>
      <c r="J410"/>
      <c r="K410"/>
      <c r="L410" s="167" t="str">
        <f>IFERROR( VALUE($H410) * INDEX(#REF!, MATCH(UPPER(TRIM($F410)),#REF!,0)), "" )</f>
        <v/>
      </c>
    </row>
    <row r="411" spans="1:12" s="168" customFormat="1" x14ac:dyDescent="0.2">
      <c r="A411"/>
      <c r="B411"/>
      <c r="C411"/>
      <c r="D411"/>
      <c r="E411"/>
      <c r="F411"/>
      <c r="G411"/>
      <c r="H411"/>
      <c r="I411"/>
      <c r="J411"/>
      <c r="K411"/>
      <c r="L411" s="167" t="str">
        <f>IFERROR( VALUE($H411) * INDEX(#REF!, MATCH(UPPER(TRIM($F411)),#REF!,0)), "" )</f>
        <v/>
      </c>
    </row>
    <row r="412" spans="1:12" s="168" customFormat="1" x14ac:dyDescent="0.2">
      <c r="A412"/>
      <c r="B412"/>
      <c r="C412"/>
      <c r="D412"/>
      <c r="E412"/>
      <c r="F412"/>
      <c r="G412"/>
      <c r="H412"/>
      <c r="I412"/>
      <c r="J412"/>
      <c r="K412"/>
      <c r="L412" s="167" t="str">
        <f>IFERROR( VALUE($H412) * INDEX(#REF!, MATCH(UPPER(TRIM($F412)),#REF!,0)), "" )</f>
        <v/>
      </c>
    </row>
    <row r="413" spans="1:12" s="168" customFormat="1" x14ac:dyDescent="0.2">
      <c r="A413"/>
      <c r="B413"/>
      <c r="C413"/>
      <c r="D413"/>
      <c r="E413"/>
      <c r="F413"/>
      <c r="G413"/>
      <c r="H413"/>
      <c r="I413"/>
      <c r="J413"/>
      <c r="K413"/>
      <c r="L413" s="167" t="str">
        <f>IFERROR( VALUE($H413) * INDEX(#REF!, MATCH(UPPER(TRIM($F413)),#REF!,0)), "" )</f>
        <v/>
      </c>
    </row>
    <row r="414" spans="1:12" s="168" customFormat="1" x14ac:dyDescent="0.2">
      <c r="A414"/>
      <c r="B414"/>
      <c r="C414"/>
      <c r="D414"/>
      <c r="E414"/>
      <c r="F414"/>
      <c r="G414"/>
      <c r="H414"/>
      <c r="I414"/>
      <c r="J414"/>
      <c r="K414"/>
      <c r="L414" s="167" t="str">
        <f>IFERROR( VALUE($H414) * INDEX(#REF!, MATCH(UPPER(TRIM($F414)),#REF!,0)), "" )</f>
        <v/>
      </c>
    </row>
    <row r="415" spans="1:12" s="168" customFormat="1" x14ac:dyDescent="0.2">
      <c r="A415"/>
      <c r="B415"/>
      <c r="C415"/>
      <c r="D415"/>
      <c r="E415"/>
      <c r="F415"/>
      <c r="G415"/>
      <c r="H415"/>
      <c r="I415"/>
      <c r="J415"/>
      <c r="K415"/>
      <c r="L415" s="167" t="str">
        <f>IFERROR( VALUE($H415) * INDEX(#REF!, MATCH(UPPER(TRIM($F415)),#REF!,0)), "" )</f>
        <v/>
      </c>
    </row>
    <row r="416" spans="1:12" s="168" customFormat="1" x14ac:dyDescent="0.2">
      <c r="A416"/>
      <c r="B416"/>
      <c r="C416"/>
      <c r="D416"/>
      <c r="E416"/>
      <c r="F416"/>
      <c r="G416"/>
      <c r="H416"/>
      <c r="I416"/>
      <c r="J416"/>
      <c r="K416"/>
      <c r="L416" s="167" t="str">
        <f>IFERROR( VALUE($H416) * INDEX(#REF!, MATCH(UPPER(TRIM($F416)),#REF!,0)), "" )</f>
        <v/>
      </c>
    </row>
    <row r="417" spans="1:12" s="168" customFormat="1" x14ac:dyDescent="0.2">
      <c r="A417"/>
      <c r="B417"/>
      <c r="C417"/>
      <c r="D417"/>
      <c r="E417"/>
      <c r="F417"/>
      <c r="G417"/>
      <c r="H417"/>
      <c r="I417"/>
      <c r="J417"/>
      <c r="K417"/>
      <c r="L417" s="167" t="str">
        <f>IFERROR( VALUE($H417) * INDEX(#REF!, MATCH(UPPER(TRIM($F417)),#REF!,0)), "" )</f>
        <v/>
      </c>
    </row>
    <row r="418" spans="1:12" s="168" customFormat="1" x14ac:dyDescent="0.2">
      <c r="A418"/>
      <c r="B418"/>
      <c r="C418"/>
      <c r="D418"/>
      <c r="E418"/>
      <c r="F418"/>
      <c r="G418"/>
      <c r="H418"/>
      <c r="I418"/>
      <c r="J418"/>
      <c r="K418"/>
      <c r="L418" s="167" t="str">
        <f>IFERROR( VALUE($H418) * INDEX(#REF!, MATCH(UPPER(TRIM($F418)),#REF!,0)), "" )</f>
        <v/>
      </c>
    </row>
    <row r="419" spans="1:12" s="168" customFormat="1" x14ac:dyDescent="0.2">
      <c r="A419"/>
      <c r="B419"/>
      <c r="C419"/>
      <c r="D419"/>
      <c r="E419"/>
      <c r="F419"/>
      <c r="G419"/>
      <c r="H419"/>
      <c r="I419"/>
      <c r="J419"/>
      <c r="K419"/>
      <c r="L419" s="167" t="str">
        <f>IFERROR( VALUE($H419) * INDEX(#REF!, MATCH(UPPER(TRIM($F419)),#REF!,0)), "" )</f>
        <v/>
      </c>
    </row>
    <row r="420" spans="1:12" s="168" customFormat="1" x14ac:dyDescent="0.2">
      <c r="A420"/>
      <c r="B420"/>
      <c r="C420"/>
      <c r="D420"/>
      <c r="E420"/>
      <c r="F420"/>
      <c r="G420"/>
      <c r="H420"/>
      <c r="I420"/>
      <c r="J420"/>
      <c r="K420"/>
      <c r="L420" s="167" t="str">
        <f>IFERROR( VALUE($H420) * INDEX(#REF!, MATCH(UPPER(TRIM($F420)),#REF!,0)), "" )</f>
        <v/>
      </c>
    </row>
    <row r="421" spans="1:12" s="168" customFormat="1" x14ac:dyDescent="0.2">
      <c r="A421"/>
      <c r="B421"/>
      <c r="C421"/>
      <c r="D421"/>
      <c r="E421"/>
      <c r="F421"/>
      <c r="G421"/>
      <c r="H421"/>
      <c r="I421"/>
      <c r="J421"/>
      <c r="K421"/>
      <c r="L421" s="167" t="str">
        <f>IFERROR( VALUE($H421) * INDEX(#REF!, MATCH(UPPER(TRIM($F421)),#REF!,0)), "" )</f>
        <v/>
      </c>
    </row>
    <row r="422" spans="1:12" s="168" customFormat="1" x14ac:dyDescent="0.2">
      <c r="A422"/>
      <c r="B422"/>
      <c r="C422"/>
      <c r="D422"/>
      <c r="E422"/>
      <c r="F422"/>
      <c r="G422"/>
      <c r="H422"/>
      <c r="I422"/>
      <c r="J422"/>
      <c r="K422"/>
      <c r="L422" s="167" t="str">
        <f>IFERROR( VALUE($H422) * INDEX(#REF!, MATCH(UPPER(TRIM($F422)),#REF!,0)), "" )</f>
        <v/>
      </c>
    </row>
    <row r="423" spans="1:12" s="168" customFormat="1" x14ac:dyDescent="0.2">
      <c r="A423"/>
      <c r="B423"/>
      <c r="C423"/>
      <c r="D423"/>
      <c r="E423"/>
      <c r="F423"/>
      <c r="G423"/>
      <c r="H423"/>
      <c r="I423"/>
      <c r="J423"/>
      <c r="K423"/>
      <c r="L423" s="167" t="str">
        <f>IFERROR( VALUE($H423) * INDEX(#REF!, MATCH(UPPER(TRIM($F423)),#REF!,0)), "" )</f>
        <v/>
      </c>
    </row>
    <row r="424" spans="1:12" s="168" customFormat="1" x14ac:dyDescent="0.2">
      <c r="A424"/>
      <c r="B424"/>
      <c r="C424"/>
      <c r="D424"/>
      <c r="E424"/>
      <c r="F424"/>
      <c r="G424"/>
      <c r="H424"/>
      <c r="I424"/>
      <c r="J424"/>
      <c r="K424"/>
      <c r="L424" s="167" t="str">
        <f>IFERROR( VALUE($H424) * INDEX(#REF!, MATCH(UPPER(TRIM($F424)),#REF!,0)), "" )</f>
        <v/>
      </c>
    </row>
    <row r="425" spans="1:12" s="168" customFormat="1" x14ac:dyDescent="0.2">
      <c r="A425"/>
      <c r="B425"/>
      <c r="C425"/>
      <c r="D425"/>
      <c r="E425"/>
      <c r="F425"/>
      <c r="G425"/>
      <c r="H425"/>
      <c r="I425"/>
      <c r="J425"/>
      <c r="K425"/>
      <c r="L425" s="167" t="str">
        <f>IFERROR( VALUE($H425) * INDEX(#REF!, MATCH(UPPER(TRIM($F425)),#REF!,0)), "" )</f>
        <v/>
      </c>
    </row>
    <row r="426" spans="1:12" s="168" customFormat="1" x14ac:dyDescent="0.2">
      <c r="A426"/>
      <c r="B426"/>
      <c r="C426"/>
      <c r="D426"/>
      <c r="E426"/>
      <c r="F426"/>
      <c r="G426"/>
      <c r="H426"/>
      <c r="I426"/>
      <c r="J426"/>
      <c r="K426"/>
      <c r="L426" s="167" t="str">
        <f>IFERROR( VALUE($H426) * INDEX(#REF!, MATCH(UPPER(TRIM($F426)),#REF!,0)), "" )</f>
        <v/>
      </c>
    </row>
    <row r="427" spans="1:12" s="168" customFormat="1" x14ac:dyDescent="0.2">
      <c r="A427"/>
      <c r="B427"/>
      <c r="C427"/>
      <c r="D427"/>
      <c r="E427"/>
      <c r="F427"/>
      <c r="G427"/>
      <c r="H427"/>
      <c r="I427"/>
      <c r="J427"/>
      <c r="K427"/>
      <c r="L427" s="167" t="str">
        <f>IFERROR( VALUE($H427) * INDEX(#REF!, MATCH(UPPER(TRIM($F427)),#REF!,0)), "" )</f>
        <v/>
      </c>
    </row>
    <row r="428" spans="1:12" s="168" customFormat="1" x14ac:dyDescent="0.2">
      <c r="A428"/>
      <c r="B428"/>
      <c r="C428"/>
      <c r="D428"/>
      <c r="E428"/>
      <c r="F428"/>
      <c r="G428"/>
      <c r="H428"/>
      <c r="I428"/>
      <c r="J428"/>
      <c r="K428"/>
      <c r="L428" s="167" t="str">
        <f>IFERROR( VALUE($H428) * INDEX(#REF!, MATCH(UPPER(TRIM($F428)),#REF!,0)), "" )</f>
        <v/>
      </c>
    </row>
    <row r="429" spans="1:12" s="168" customFormat="1" x14ac:dyDescent="0.2">
      <c r="A429"/>
      <c r="B429"/>
      <c r="C429"/>
      <c r="D429"/>
      <c r="E429"/>
      <c r="F429"/>
      <c r="G429"/>
      <c r="H429"/>
      <c r="I429"/>
      <c r="J429"/>
      <c r="K429"/>
      <c r="L429" s="167" t="str">
        <f>IFERROR( VALUE($H429) * INDEX(#REF!, MATCH(UPPER(TRIM($F429)),#REF!,0)), "" )</f>
        <v/>
      </c>
    </row>
    <row r="430" spans="1:12" s="168" customFormat="1" x14ac:dyDescent="0.2">
      <c r="A430"/>
      <c r="B430"/>
      <c r="C430"/>
      <c r="D430"/>
      <c r="E430"/>
      <c r="F430"/>
      <c r="G430"/>
      <c r="H430"/>
      <c r="I430"/>
      <c r="J430"/>
      <c r="K430"/>
      <c r="L430" s="167" t="str">
        <f>IFERROR( VALUE($H430) * INDEX(#REF!, MATCH(UPPER(TRIM($F430)),#REF!,0)), "" )</f>
        <v/>
      </c>
    </row>
    <row r="431" spans="1:12" s="174" customFormat="1" x14ac:dyDescent="0.2">
      <c r="A431"/>
      <c r="B431"/>
      <c r="C431"/>
      <c r="D431"/>
      <c r="E431"/>
      <c r="F431"/>
      <c r="G431"/>
      <c r="H431"/>
      <c r="I431"/>
      <c r="J431"/>
      <c r="K431"/>
      <c r="L431" s="177" t="str">
        <f>IFERROR( VALUE($H431) * INDEX(#REF!, MATCH(UPPER(TRIM($F431)),#REF!,0)), "" )</f>
        <v/>
      </c>
    </row>
    <row r="432" spans="1:12" s="168" customFormat="1" x14ac:dyDescent="0.2">
      <c r="A432"/>
      <c r="B432"/>
      <c r="C432"/>
      <c r="D432"/>
      <c r="E432"/>
      <c r="F432"/>
      <c r="G432"/>
      <c r="H432"/>
      <c r="I432"/>
      <c r="J432"/>
      <c r="K432"/>
      <c r="L432" s="167" t="str">
        <f>IFERROR( VALUE($H432) * INDEX(#REF!, MATCH(UPPER(TRIM($F432)),#REF!,0)), "" )</f>
        <v/>
      </c>
    </row>
    <row r="433" spans="1:12" s="168" customFormat="1" x14ac:dyDescent="0.2">
      <c r="A433"/>
      <c r="B433"/>
      <c r="C433"/>
      <c r="D433"/>
      <c r="E433"/>
      <c r="F433"/>
      <c r="G433"/>
      <c r="H433"/>
      <c r="I433"/>
      <c r="J433"/>
      <c r="K433"/>
      <c r="L433" s="167" t="str">
        <f>IFERROR( VALUE($H433) * INDEX(#REF!, MATCH(UPPER(TRIM($F433)),#REF!,0)), "" )</f>
        <v/>
      </c>
    </row>
    <row r="434" spans="1:12" s="174" customFormat="1" x14ac:dyDescent="0.2">
      <c r="A434"/>
      <c r="B434"/>
      <c r="C434"/>
      <c r="D434"/>
      <c r="E434"/>
      <c r="F434"/>
      <c r="G434"/>
      <c r="H434"/>
      <c r="I434"/>
      <c r="J434"/>
      <c r="K434"/>
      <c r="L434" s="177" t="str">
        <f>IFERROR( VALUE($H434) * INDEX(#REF!, MATCH(UPPER(TRIM($F434)),#REF!,0)), "" )</f>
        <v/>
      </c>
    </row>
    <row r="435" spans="1:12" s="168" customFormat="1" x14ac:dyDescent="0.2">
      <c r="A435"/>
      <c r="B435"/>
      <c r="C435"/>
      <c r="D435"/>
      <c r="E435"/>
      <c r="F435"/>
      <c r="G435"/>
      <c r="H435"/>
      <c r="I435"/>
      <c r="J435"/>
      <c r="K435"/>
      <c r="L435" s="167" t="str">
        <f>IFERROR( VALUE($H435) * INDEX(#REF!, MATCH(UPPER(TRIM($F435)),#REF!,0)), "" )</f>
        <v/>
      </c>
    </row>
    <row r="436" spans="1:12" s="153" customFormat="1" x14ac:dyDescent="0.2">
      <c r="A436"/>
      <c r="B436"/>
      <c r="C436"/>
      <c r="D436"/>
      <c r="E436"/>
      <c r="F436"/>
      <c r="G436"/>
      <c r="H436"/>
      <c r="I436"/>
      <c r="J436"/>
      <c r="K436"/>
      <c r="L436" s="154"/>
    </row>
    <row r="437" spans="1:12" s="174" customFormat="1" x14ac:dyDescent="0.2">
      <c r="A437"/>
      <c r="B437"/>
      <c r="C437"/>
      <c r="D437"/>
      <c r="E437"/>
      <c r="F437"/>
      <c r="G437"/>
      <c r="H437"/>
      <c r="I437"/>
      <c r="J437"/>
      <c r="K437"/>
      <c r="L437" s="177" t="str">
        <f>IFERROR( VALUE($H437) * INDEX(#REF!, MATCH(UPPER(TRIM($F437)),#REF!,0)), "" )</f>
        <v/>
      </c>
    </row>
    <row r="438" spans="1:12" s="174" customFormat="1" x14ac:dyDescent="0.2">
      <c r="A438"/>
      <c r="B438"/>
      <c r="C438"/>
      <c r="D438"/>
      <c r="E438"/>
      <c r="F438"/>
      <c r="G438"/>
      <c r="H438"/>
      <c r="I438"/>
      <c r="J438"/>
      <c r="K438"/>
      <c r="L438" s="177" t="str">
        <f>IFERROR( VALUE($H438) * INDEX(#REF!, MATCH(UPPER(TRIM($F438)),#REF!,0)), "" )</f>
        <v/>
      </c>
    </row>
    <row r="439" spans="1:12" s="174" customFormat="1" x14ac:dyDescent="0.2">
      <c r="A439"/>
      <c r="B439"/>
      <c r="C439"/>
      <c r="D439"/>
      <c r="E439"/>
      <c r="F439"/>
      <c r="G439"/>
      <c r="H439"/>
      <c r="I439"/>
      <c r="J439"/>
      <c r="K439"/>
      <c r="L439" s="177" t="str">
        <f>IFERROR( VALUE($H439) * INDEX(#REF!, MATCH(UPPER(TRIM($F439)),#REF!,0)), "" )</f>
        <v/>
      </c>
    </row>
    <row r="440" spans="1:12" s="174" customFormat="1" x14ac:dyDescent="0.2">
      <c r="A440"/>
      <c r="B440"/>
      <c r="C440"/>
      <c r="D440"/>
      <c r="E440"/>
      <c r="F440"/>
      <c r="G440"/>
      <c r="H440"/>
      <c r="I440"/>
      <c r="J440"/>
      <c r="K440"/>
      <c r="L440" s="177" t="str">
        <f>IFERROR( VALUE($H440) * INDEX(#REF!, MATCH(UPPER(TRIM($F440)),#REF!,0)), "" )</f>
        <v/>
      </c>
    </row>
    <row r="441" spans="1:12" s="174" customFormat="1" x14ac:dyDescent="0.2">
      <c r="A441"/>
      <c r="B441"/>
      <c r="C441"/>
      <c r="D441"/>
      <c r="E441"/>
      <c r="F441"/>
      <c r="G441"/>
      <c r="H441"/>
      <c r="I441"/>
      <c r="J441"/>
      <c r="K441"/>
      <c r="L441" s="177" t="str">
        <f>IFERROR( VALUE($H441) * INDEX(#REF!, MATCH(UPPER(TRIM($F441)),#REF!,0)), "" )</f>
        <v/>
      </c>
    </row>
    <row r="442" spans="1:12" s="174" customFormat="1" x14ac:dyDescent="0.2">
      <c r="A442"/>
      <c r="B442"/>
      <c r="C442"/>
      <c r="D442"/>
      <c r="E442"/>
      <c r="F442"/>
      <c r="G442"/>
      <c r="H442"/>
      <c r="I442"/>
      <c r="J442"/>
      <c r="K442"/>
      <c r="L442" s="177" t="str">
        <f>IFERROR( VALUE($H442) * INDEX(#REF!, MATCH(UPPER(TRIM($F442)),#REF!,0)), "" )</f>
        <v/>
      </c>
    </row>
    <row r="443" spans="1:12" s="168" customFormat="1" x14ac:dyDescent="0.2">
      <c r="A443"/>
      <c r="B443"/>
      <c r="C443"/>
      <c r="D443"/>
      <c r="E443"/>
      <c r="F443"/>
      <c r="G443"/>
      <c r="H443"/>
      <c r="I443"/>
      <c r="J443"/>
      <c r="K443"/>
      <c r="L443" s="167" t="str">
        <f>IFERROR( VALUE($H443) * INDEX(#REF!, MATCH(UPPER(TRIM($F443)),#REF!,0)), "" )</f>
        <v/>
      </c>
    </row>
    <row r="444" spans="1:12" s="168" customFormat="1" x14ac:dyDescent="0.2">
      <c r="A444"/>
      <c r="B444"/>
      <c r="C444"/>
      <c r="D444"/>
      <c r="E444"/>
      <c r="F444"/>
      <c r="G444"/>
      <c r="H444"/>
      <c r="I444"/>
      <c r="J444"/>
      <c r="K444"/>
      <c r="L444" s="167" t="str">
        <f>IFERROR( VALUE($H444) * INDEX(#REF!, MATCH(UPPER(TRIM($F444)),#REF!,0)), "" )</f>
        <v/>
      </c>
    </row>
    <row r="445" spans="1:12" s="168" customFormat="1" x14ac:dyDescent="0.2">
      <c r="A445"/>
      <c r="B445"/>
      <c r="C445"/>
      <c r="D445"/>
      <c r="E445"/>
      <c r="F445"/>
      <c r="G445"/>
      <c r="H445"/>
      <c r="I445"/>
      <c r="J445"/>
      <c r="K445"/>
      <c r="L445" s="167" t="str">
        <f>IFERROR( VALUE($H445) * INDEX(#REF!, MATCH(UPPER(TRIM($F445)),#REF!,0)), "" )</f>
        <v/>
      </c>
    </row>
    <row r="446" spans="1:12" s="168" customFormat="1" x14ac:dyDescent="0.2">
      <c r="A446"/>
      <c r="B446"/>
      <c r="C446"/>
      <c r="D446"/>
      <c r="E446"/>
      <c r="F446"/>
      <c r="G446"/>
      <c r="H446"/>
      <c r="I446"/>
      <c r="J446"/>
      <c r="K446"/>
      <c r="L446" s="167" t="str">
        <f>IFERROR( VALUE($H446) * INDEX(#REF!, MATCH(UPPER(TRIM($F446)),#REF!,0)), "" )</f>
        <v/>
      </c>
    </row>
    <row r="447" spans="1:12" s="168" customFormat="1" x14ac:dyDescent="0.2">
      <c r="A447"/>
      <c r="B447"/>
      <c r="C447"/>
      <c r="D447"/>
      <c r="E447"/>
      <c r="F447"/>
      <c r="G447"/>
      <c r="H447"/>
      <c r="I447"/>
      <c r="J447"/>
      <c r="K447"/>
      <c r="L447" s="167" t="str">
        <f>IFERROR( VALUE($H447) * INDEX(#REF!, MATCH(UPPER(TRIM($F447)),#REF!,0)), "" )</f>
        <v/>
      </c>
    </row>
    <row r="448" spans="1:12" s="168" customFormat="1" x14ac:dyDescent="0.2">
      <c r="A448"/>
      <c r="B448"/>
      <c r="C448"/>
      <c r="D448"/>
      <c r="E448"/>
      <c r="F448"/>
      <c r="G448"/>
      <c r="H448"/>
      <c r="I448"/>
      <c r="J448"/>
      <c r="K448"/>
      <c r="L448" s="167" t="str">
        <f>IFERROR( VALUE($H448) * INDEX(#REF!, MATCH(UPPER(TRIM($F448)),#REF!,0)), "" )</f>
        <v/>
      </c>
    </row>
    <row r="449" spans="1:12" s="174" customFormat="1" x14ac:dyDescent="0.2">
      <c r="A449"/>
      <c r="B449"/>
      <c r="C449"/>
      <c r="D449"/>
      <c r="E449"/>
      <c r="F449"/>
      <c r="G449"/>
      <c r="H449"/>
      <c r="I449"/>
      <c r="J449"/>
      <c r="K449"/>
      <c r="L449" s="177" t="str">
        <f>IFERROR( VALUE($H449) * INDEX(#REF!, MATCH(UPPER(TRIM($F449)),#REF!,0)), "" )</f>
        <v/>
      </c>
    </row>
    <row r="450" spans="1:12" s="174" customFormat="1" x14ac:dyDescent="0.2">
      <c r="A450"/>
      <c r="B450"/>
      <c r="C450"/>
      <c r="D450"/>
      <c r="E450"/>
      <c r="F450"/>
      <c r="G450"/>
      <c r="H450"/>
      <c r="I450"/>
      <c r="J450"/>
      <c r="K450"/>
      <c r="L450" s="177" t="str">
        <f>IFERROR( VALUE($H450) * INDEX(#REF!, MATCH(UPPER(TRIM($F450)),#REF!,0)), "" )</f>
        <v/>
      </c>
    </row>
    <row r="451" spans="1:12" s="174" customFormat="1" x14ac:dyDescent="0.2">
      <c r="A451"/>
      <c r="B451"/>
      <c r="C451"/>
      <c r="D451"/>
      <c r="E451"/>
      <c r="F451"/>
      <c r="G451"/>
      <c r="H451"/>
      <c r="I451"/>
      <c r="J451"/>
      <c r="K451"/>
      <c r="L451" s="177" t="str">
        <f>IFERROR( VALUE($H451) * INDEX(#REF!, MATCH(UPPER(TRIM($F451)),#REF!,0)), "" )</f>
        <v/>
      </c>
    </row>
    <row r="452" spans="1:12" s="174" customFormat="1" x14ac:dyDescent="0.2">
      <c r="A452"/>
      <c r="B452"/>
      <c r="C452"/>
      <c r="D452"/>
      <c r="E452"/>
      <c r="F452"/>
      <c r="G452"/>
      <c r="H452"/>
      <c r="I452"/>
      <c r="J452"/>
      <c r="K452"/>
      <c r="L452" s="177"/>
    </row>
    <row r="453" spans="1:12" s="174" customFormat="1" x14ac:dyDescent="0.2">
      <c r="A453"/>
      <c r="B453"/>
      <c r="C453"/>
      <c r="D453"/>
      <c r="E453"/>
      <c r="F453"/>
      <c r="G453"/>
      <c r="H453"/>
      <c r="I453"/>
      <c r="J453"/>
      <c r="K453"/>
      <c r="L453" s="177"/>
    </row>
    <row r="454" spans="1:12" s="174" customFormat="1" x14ac:dyDescent="0.2">
      <c r="A454"/>
      <c r="B454"/>
      <c r="C454"/>
      <c r="D454"/>
      <c r="E454"/>
      <c r="F454"/>
      <c r="G454"/>
      <c r="H454"/>
      <c r="I454"/>
      <c r="J454"/>
      <c r="K454"/>
      <c r="L454" s="177"/>
    </row>
    <row r="455" spans="1:12" s="174" customFormat="1" x14ac:dyDescent="0.2">
      <c r="A455"/>
      <c r="B455"/>
      <c r="C455"/>
      <c r="D455"/>
      <c r="E455"/>
      <c r="F455"/>
      <c r="G455"/>
      <c r="H455"/>
      <c r="I455"/>
      <c r="J455"/>
      <c r="K455"/>
      <c r="L455" s="177" t="str">
        <f>IFERROR( VALUE($H455) * INDEX(#REF!, MATCH(UPPER(TRIM($F455)),#REF!,0)), "" )</f>
        <v/>
      </c>
    </row>
    <row r="456" spans="1:12" s="174" customFormat="1" x14ac:dyDescent="0.2">
      <c r="A456"/>
      <c r="B456"/>
      <c r="C456"/>
      <c r="D456"/>
      <c r="E456"/>
      <c r="F456"/>
      <c r="G456"/>
      <c r="H456"/>
      <c r="I456"/>
      <c r="J456"/>
      <c r="K456"/>
      <c r="L456" s="177" t="str">
        <f>IFERROR( VALUE($H456) * INDEX(#REF!, MATCH(UPPER(TRIM($F456)),#REF!,0)), "" )</f>
        <v/>
      </c>
    </row>
    <row r="457" spans="1:12" s="174" customFormat="1" x14ac:dyDescent="0.2">
      <c r="A457"/>
      <c r="B457"/>
      <c r="C457"/>
      <c r="D457"/>
      <c r="E457"/>
      <c r="F457"/>
      <c r="G457"/>
      <c r="H457"/>
      <c r="I457"/>
      <c r="J457"/>
      <c r="K457"/>
      <c r="L457" s="177" t="str">
        <f>IFERROR( VALUE($H457) * INDEX(#REF!, MATCH(UPPER(TRIM($F457)),#REF!,0)), "" )</f>
        <v/>
      </c>
    </row>
    <row r="458" spans="1:12" s="174" customFormat="1" x14ac:dyDescent="0.2">
      <c r="A458"/>
      <c r="B458"/>
      <c r="C458"/>
      <c r="D458"/>
      <c r="E458"/>
      <c r="F458"/>
      <c r="G458"/>
      <c r="H458"/>
      <c r="I458"/>
      <c r="J458"/>
      <c r="K458"/>
      <c r="L458" s="177" t="str">
        <f>IFERROR( VALUE($H458) * INDEX(#REF!, MATCH(UPPER(TRIM($F458)),#REF!,0)), "" )</f>
        <v/>
      </c>
    </row>
    <row r="459" spans="1:12" s="174" customFormat="1" x14ac:dyDescent="0.2">
      <c r="A459"/>
      <c r="B459"/>
      <c r="C459"/>
      <c r="D459"/>
      <c r="E459"/>
      <c r="F459"/>
      <c r="G459"/>
      <c r="H459"/>
      <c r="I459"/>
      <c r="J459"/>
      <c r="K459"/>
      <c r="L459" s="177" t="str">
        <f>IFERROR( VALUE($H459) * INDEX(#REF!, MATCH(UPPER(TRIM($F459)),#REF!,0)), "" )</f>
        <v/>
      </c>
    </row>
    <row r="460" spans="1:12" s="174" customFormat="1" x14ac:dyDescent="0.2">
      <c r="A460"/>
      <c r="B460"/>
      <c r="C460"/>
      <c r="D460"/>
      <c r="E460"/>
      <c r="F460"/>
      <c r="G460"/>
      <c r="H460"/>
      <c r="I460"/>
      <c r="J460"/>
      <c r="K460"/>
      <c r="L460" s="177" t="str">
        <f>IFERROR( VALUE($H460) * INDEX(#REF!, MATCH(UPPER(TRIM($F460)),#REF!,0)), "" )</f>
        <v/>
      </c>
    </row>
    <row r="461" spans="1:12" s="174" customFormat="1" x14ac:dyDescent="0.2">
      <c r="A461"/>
      <c r="B461"/>
      <c r="C461"/>
      <c r="D461"/>
      <c r="E461"/>
      <c r="F461"/>
      <c r="G461"/>
      <c r="H461"/>
      <c r="I461"/>
      <c r="J461"/>
      <c r="K461"/>
      <c r="L461" s="177" t="str">
        <f>IFERROR( VALUE($H461) * INDEX(#REF!, MATCH(UPPER(TRIM($F461)),#REF!,0)), "" )</f>
        <v/>
      </c>
    </row>
    <row r="462" spans="1:12" s="174" customFormat="1" x14ac:dyDescent="0.2">
      <c r="A462"/>
      <c r="B462"/>
      <c r="C462"/>
      <c r="D462"/>
      <c r="E462"/>
      <c r="F462"/>
      <c r="G462"/>
      <c r="H462"/>
      <c r="I462"/>
      <c r="J462"/>
      <c r="K462"/>
      <c r="L462" s="177" t="str">
        <f>IFERROR( VALUE($H462) * INDEX(#REF!, MATCH(UPPER(TRIM($F462)),#REF!,0)), "" )</f>
        <v/>
      </c>
    </row>
    <row r="463" spans="1:12" s="174" customFormat="1" x14ac:dyDescent="0.2">
      <c r="A463"/>
      <c r="B463"/>
      <c r="C463"/>
      <c r="D463"/>
      <c r="E463"/>
      <c r="F463"/>
      <c r="G463"/>
      <c r="H463"/>
      <c r="I463"/>
      <c r="J463"/>
      <c r="K463"/>
      <c r="L463" s="177" t="str">
        <f>IFERROR( VALUE($H463) * INDEX(#REF!, MATCH(UPPER(TRIM($F463)),#REF!,0)), "" )</f>
        <v/>
      </c>
    </row>
    <row r="464" spans="1:12" s="174" customFormat="1" x14ac:dyDescent="0.2">
      <c r="A464"/>
      <c r="B464"/>
      <c r="C464"/>
      <c r="D464"/>
      <c r="E464"/>
      <c r="F464"/>
      <c r="G464"/>
      <c r="H464"/>
      <c r="I464"/>
      <c r="J464"/>
      <c r="K464"/>
      <c r="L464" s="177" t="str">
        <f>IFERROR( VALUE($H464) * INDEX(#REF!, MATCH(UPPER(TRIM($F464)),#REF!,0)), "" )</f>
        <v/>
      </c>
    </row>
    <row r="465" spans="1:12" s="174" customFormat="1" x14ac:dyDescent="0.2">
      <c r="A465"/>
      <c r="B465"/>
      <c r="C465"/>
      <c r="D465"/>
      <c r="E465"/>
      <c r="F465"/>
      <c r="G465"/>
      <c r="H465"/>
      <c r="I465"/>
      <c r="J465"/>
      <c r="K465"/>
      <c r="L465" s="177" t="str">
        <f>IFERROR( VALUE($H465) * INDEX(#REF!, MATCH(UPPER(TRIM($F465)),#REF!,0)), "" )</f>
        <v/>
      </c>
    </row>
    <row r="466" spans="1:12" s="174" customFormat="1" x14ac:dyDescent="0.2">
      <c r="A466"/>
      <c r="B466"/>
      <c r="C466"/>
      <c r="D466"/>
      <c r="E466"/>
      <c r="F466"/>
      <c r="G466"/>
      <c r="H466"/>
      <c r="I466"/>
      <c r="J466"/>
      <c r="K466"/>
      <c r="L466" s="177" t="str">
        <f>IFERROR( VALUE($H466) * INDEX(#REF!, MATCH(UPPER(TRIM($F466)),#REF!,0)), "" )</f>
        <v/>
      </c>
    </row>
    <row r="467" spans="1:12" s="174" customFormat="1" x14ac:dyDescent="0.2">
      <c r="A467"/>
      <c r="B467"/>
      <c r="C467"/>
      <c r="D467"/>
      <c r="E467"/>
      <c r="F467"/>
      <c r="G467"/>
      <c r="H467"/>
      <c r="I467"/>
      <c r="J467"/>
      <c r="K467"/>
      <c r="L467" s="177" t="str">
        <f>IFERROR( VALUE($H467) * INDEX(#REF!, MATCH(UPPER(TRIM($F467)),#REF!,0)), "" )</f>
        <v/>
      </c>
    </row>
    <row r="468" spans="1:12" s="174" customFormat="1" x14ac:dyDescent="0.2">
      <c r="A468"/>
      <c r="B468"/>
      <c r="C468"/>
      <c r="D468"/>
      <c r="E468"/>
      <c r="F468"/>
      <c r="G468"/>
      <c r="H468"/>
      <c r="I468"/>
      <c r="J468"/>
      <c r="K468"/>
      <c r="L468" s="177" t="str">
        <f>IFERROR( VALUE($H468) * INDEX(#REF!, MATCH(UPPER(TRIM($F468)),#REF!,0)), "" )</f>
        <v/>
      </c>
    </row>
    <row r="469" spans="1:12" s="174" customFormat="1" x14ac:dyDescent="0.2">
      <c r="A469"/>
      <c r="B469"/>
      <c r="C469"/>
      <c r="D469"/>
      <c r="E469"/>
      <c r="F469"/>
      <c r="G469"/>
      <c r="H469"/>
      <c r="I469"/>
      <c r="J469"/>
      <c r="K469"/>
      <c r="L469" s="177" t="str">
        <f>IFERROR( VALUE($H469) * INDEX(#REF!, MATCH(UPPER(TRIM($F469)),#REF!,0)), "" )</f>
        <v/>
      </c>
    </row>
    <row r="470" spans="1:12" s="153" customFormat="1" x14ac:dyDescent="0.2">
      <c r="A470" s="150"/>
      <c r="B470" s="151"/>
      <c r="C470" s="152"/>
      <c r="D470" s="156"/>
      <c r="E470" s="156"/>
      <c r="F470" s="156"/>
      <c r="G470" s="157"/>
      <c r="H470" s="158"/>
      <c r="I470" s="155" t="str" cm="1">
        <f t="array" ref="I470">IFERROR(
  VALUE($H470) *
  VALUE(
    _xlfn.XLOOKUP(
      TRIM($F470) &amp; "|" &amp; LEFT(SUBSTITUTE($G470,CHAR(160)," "),5) &amp; "|Full Rate",
      TRIM(SUBSTITUTE($N$2:$N$38,CHAR(160)," ")) &amp; "|" &amp;
      LEFT(SUBSTITUTE($O$2:$O$38,CHAR(160)," "),5) &amp; "|" &amp;
      TRIM(SUBSTITUTE($P$2:$P$38,CHAR(160)," ")),
      $Q$2:$Q$38
    )
  ),
"")</f>
        <v/>
      </c>
      <c r="J470" s="154" t="str" cm="1">
        <f t="array" ref="J470">IFERROR(
  VALUE($H470) *
  VALUE(
    _xlfn.XLOOKUP(
      TRIM($F470) &amp; "|" &amp; LEFT(SUBSTITUTE($G470,CHAR(160)," "),5) &amp; "|Reduced Rate",
      TRIM(SUBSTITUTE($N$2:$N$38,CHAR(160)," ")) &amp; "|" &amp;
      LEFT(SUBSTITUTE($O$2:$O$38,CHAR(160)," "),5) &amp; "|" &amp;
      TRIM(SUBSTITUTE($P$2:$P$38,CHAR(160)," ")),
      $Q$2:$Q$38
    )
  ),
"")</f>
        <v/>
      </c>
      <c r="K470" s="154" t="str" cm="1">
        <f t="array" ref="K470">IFERROR(
  VALUE($H470) *
  VALUE(
    _xlfn.XLOOKUP(
      TRIM($F470) &amp; "|" &amp; LEFT(SUBSTITUTE($G470,CHAR(160)," "),5) &amp; "|Ideas Rate",
      TRIM(SUBSTITUTE($N$2:$N$38,CHAR(160)," ")) &amp; "|" &amp;
      LEFT(SUBSTITUTE($O$2:$O$38,CHAR(160)," "),5) &amp; "|" &amp;
      TRIM(SUBSTITUTE($P$2:$P$38,CHAR(160)," ")),
      $Q$2:$Q$38
    )
  ),
"")</f>
        <v/>
      </c>
      <c r="L470" s="154" t="str">
        <f>IFERROR( VALUE($H470) * INDEX(#REF!, MATCH(UPPER(TRIM($F470)),#REF!,0)), "" )</f>
        <v/>
      </c>
    </row>
    <row r="471" spans="1:12" x14ac:dyDescent="0.2">
      <c r="A471" s="21"/>
      <c r="B471" s="28"/>
      <c r="I471" s="155" t="str" cm="1">
        <f t="array" ref="I471">IFERROR(
  VALUE($H471) *
  VALUE(
    _xlfn.XLOOKUP(
      TRIM($F471) &amp; "|" &amp; LEFT(SUBSTITUTE($G471,CHAR(160)," "),5) &amp; "|Full Rate",
      TRIM(SUBSTITUTE($N$2:$N$38,CHAR(160)," ")) &amp; "|" &amp;
      LEFT(SUBSTITUTE($O$2:$O$38,CHAR(160)," "),5) &amp; "|" &amp;
      TRIM(SUBSTITUTE($P$2:$P$38,CHAR(160)," ")),
      $Q$2:$Q$38
    )
  ),
"")</f>
        <v/>
      </c>
      <c r="J471" s="154" t="str" cm="1">
        <f t="array" ref="J471">IFERROR(
  VALUE($H471) *
  VALUE(
    _xlfn.XLOOKUP(
      TRIM($F471) &amp; "|" &amp; LEFT(SUBSTITUTE($G471,CHAR(160)," "),5) &amp; "|Reduced Rate",
      TRIM(SUBSTITUTE($N$2:$N$38,CHAR(160)," ")) &amp; "|" &amp;
      LEFT(SUBSTITUTE($O$2:$O$38,CHAR(160)," "),5) &amp; "|" &amp;
      TRIM(SUBSTITUTE($P$2:$P$38,CHAR(160)," ")),
      $Q$2:$Q$38
    )
  ),
"")</f>
        <v/>
      </c>
      <c r="K471" s="154" t="str" cm="1">
        <f t="array" ref="K471">IFERROR(
  VALUE($H471) *
  VALUE(
    _xlfn.XLOOKUP(
      TRIM($F471) &amp; "|" &amp; LEFT(SUBSTITUTE($G471,CHAR(160)," "),5) &amp; "|Ideas Rate",
      TRIM(SUBSTITUTE($N$2:$N$38,CHAR(160)," ")) &amp; "|" &amp;
      LEFT(SUBSTITUTE($O$2:$O$38,CHAR(160)," "),5) &amp; "|" &amp;
      TRIM(SUBSTITUTE($P$2:$P$38,CHAR(160)," ")),
      $Q$2:$Q$38
    )
  ),
"")</f>
        <v/>
      </c>
      <c r="L471" s="32" t="str">
        <f>IFERROR( VALUE($H471) * INDEX(#REF!, MATCH(UPPER(TRIM($F471)),#REF!,0)), "" )</f>
        <v/>
      </c>
    </row>
    <row r="472" spans="1:12" x14ac:dyDescent="0.2">
      <c r="A472" s="21"/>
      <c r="B472" s="28"/>
      <c r="I472" s="155" t="str" cm="1">
        <f t="array" ref="I472">IFERROR(
  VALUE($H472) *
  VALUE(
    _xlfn.XLOOKUP(
      TRIM($F472) &amp; "|" &amp; LEFT(SUBSTITUTE($G472,CHAR(160)," "),5) &amp; "|Full Rate",
      TRIM(SUBSTITUTE($N$2:$N$38,CHAR(160)," ")) &amp; "|" &amp;
      LEFT(SUBSTITUTE($O$2:$O$38,CHAR(160)," "),5) &amp; "|" &amp;
      TRIM(SUBSTITUTE($P$2:$P$38,CHAR(160)," ")),
      $Q$2:$Q$38
    )
  ),
"")</f>
        <v/>
      </c>
      <c r="J472" s="154" t="str" cm="1">
        <f t="array" ref="J472">IFERROR(
  VALUE($H472) *
  VALUE(
    _xlfn.XLOOKUP(
      TRIM($F472) &amp; "|" &amp; LEFT(SUBSTITUTE($G472,CHAR(160)," "),5) &amp; "|Reduced Rate",
      TRIM(SUBSTITUTE($N$2:$N$38,CHAR(160)," ")) &amp; "|" &amp;
      LEFT(SUBSTITUTE($O$2:$O$38,CHAR(160)," "),5) &amp; "|" &amp;
      TRIM(SUBSTITUTE($P$2:$P$38,CHAR(160)," ")),
      $Q$2:$Q$38
    )
  ),
"")</f>
        <v/>
      </c>
      <c r="K472" s="154" t="str" cm="1">
        <f t="array" ref="K472">IFERROR(
  VALUE($H472) *
  VALUE(
    _xlfn.XLOOKUP(
      TRIM($F472) &amp; "|" &amp; LEFT(SUBSTITUTE($G472,CHAR(160)," "),5) &amp; "|Ideas Rate",
      TRIM(SUBSTITUTE($N$2:$N$38,CHAR(160)," ")) &amp; "|" &amp;
      LEFT(SUBSTITUTE($O$2:$O$38,CHAR(160)," "),5) &amp; "|" &amp;
      TRIM(SUBSTITUTE($P$2:$P$38,CHAR(160)," ")),
      $Q$2:$Q$38
    )
  ),
"")</f>
        <v/>
      </c>
      <c r="L472" s="32" t="str">
        <f>IFERROR( VALUE($H472) * INDEX(#REF!, MATCH(UPPER(TRIM($F472)),#REF!,0)), "" )</f>
        <v/>
      </c>
    </row>
    <row r="473" spans="1:12" x14ac:dyDescent="0.2">
      <c r="A473" s="21"/>
      <c r="B473" s="28"/>
      <c r="I473" s="155" t="str" cm="1">
        <f t="array" ref="I473">IFERROR(
  VALUE($H473) *
  VALUE(
    _xlfn.XLOOKUP(
      TRIM($F473) &amp; "|" &amp; LEFT(SUBSTITUTE($G473,CHAR(160)," "),5) &amp; "|Full Rate",
      TRIM(SUBSTITUTE($N$2:$N$38,CHAR(160)," ")) &amp; "|" &amp;
      LEFT(SUBSTITUTE($O$2:$O$38,CHAR(160)," "),5) &amp; "|" &amp;
      TRIM(SUBSTITUTE($P$2:$P$38,CHAR(160)," ")),
      $Q$2:$Q$38
    )
  ),
"")</f>
        <v/>
      </c>
      <c r="J473" s="154" t="str" cm="1">
        <f t="array" ref="J473">IFERROR(
  VALUE($H473) *
  VALUE(
    _xlfn.XLOOKUP(
      TRIM($F473) &amp; "|" &amp; LEFT(SUBSTITUTE($G473,CHAR(160)," "),5) &amp; "|Reduced Rate",
      TRIM(SUBSTITUTE($N$2:$N$38,CHAR(160)," ")) &amp; "|" &amp;
      LEFT(SUBSTITUTE($O$2:$O$38,CHAR(160)," "),5) &amp; "|" &amp;
      TRIM(SUBSTITUTE($P$2:$P$38,CHAR(160)," ")),
      $Q$2:$Q$38
    )
  ),
"")</f>
        <v/>
      </c>
      <c r="K473" s="154" t="str" cm="1">
        <f t="array" ref="K473">IFERROR(
  VALUE($H473) *
  VALUE(
    _xlfn.XLOOKUP(
      TRIM($F473) &amp; "|" &amp; LEFT(SUBSTITUTE($G473,CHAR(160)," "),5) &amp; "|Ideas Rate",
      TRIM(SUBSTITUTE($N$2:$N$38,CHAR(160)," ")) &amp; "|" &amp;
      LEFT(SUBSTITUTE($O$2:$O$38,CHAR(160)," "),5) &amp; "|" &amp;
      TRIM(SUBSTITUTE($P$2:$P$38,CHAR(160)," ")),
      $Q$2:$Q$38
    )
  ),
"")</f>
        <v/>
      </c>
      <c r="L473" s="32" t="str">
        <f>IFERROR( VALUE($H473) * INDEX(#REF!, MATCH(UPPER(TRIM($F473)),#REF!,0)), "" )</f>
        <v/>
      </c>
    </row>
    <row r="474" spans="1:12" x14ac:dyDescent="0.2">
      <c r="A474" s="21"/>
      <c r="B474" s="28"/>
      <c r="I474" s="155" t="str" cm="1">
        <f t="array" ref="I474">IFERROR(
  VALUE($H474) *
  VALUE(
    _xlfn.XLOOKUP(
      TRIM($F474) &amp; "|" &amp; LEFT(SUBSTITUTE($G474,CHAR(160)," "),5) &amp; "|Full Rate",
      TRIM(SUBSTITUTE($N$2:$N$38,CHAR(160)," ")) &amp; "|" &amp;
      LEFT(SUBSTITUTE($O$2:$O$38,CHAR(160)," "),5) &amp; "|" &amp;
      TRIM(SUBSTITUTE($P$2:$P$38,CHAR(160)," ")),
      $Q$2:$Q$38
    )
  ),
"")</f>
        <v/>
      </c>
      <c r="J474" s="154" t="str" cm="1">
        <f t="array" ref="J474">IFERROR(
  VALUE($H474) *
  VALUE(
    _xlfn.XLOOKUP(
      TRIM($F474) &amp; "|" &amp; LEFT(SUBSTITUTE($G474,CHAR(160)," "),5) &amp; "|Reduced Rate",
      TRIM(SUBSTITUTE($N$2:$N$38,CHAR(160)," ")) &amp; "|" &amp;
      LEFT(SUBSTITUTE($O$2:$O$38,CHAR(160)," "),5) &amp; "|" &amp;
      TRIM(SUBSTITUTE($P$2:$P$38,CHAR(160)," ")),
      $Q$2:$Q$38
    )
  ),
"")</f>
        <v/>
      </c>
      <c r="K474" s="154" t="str" cm="1">
        <f t="array" ref="K474">IFERROR(
  VALUE($H474) *
  VALUE(
    _xlfn.XLOOKUP(
      TRIM($F474) &amp; "|" &amp; LEFT(SUBSTITUTE($G474,CHAR(160)," "),5) &amp; "|Ideas Rate",
      TRIM(SUBSTITUTE($N$2:$N$38,CHAR(160)," ")) &amp; "|" &amp;
      LEFT(SUBSTITUTE($O$2:$O$38,CHAR(160)," "),5) &amp; "|" &amp;
      TRIM(SUBSTITUTE($P$2:$P$38,CHAR(160)," ")),
      $Q$2:$Q$38
    )
  ),
"")</f>
        <v/>
      </c>
      <c r="L474" s="32" t="str">
        <f>IFERROR( VALUE($H474) * INDEX(#REF!, MATCH(UPPER(TRIM($F474)),#REF!,0)), "" )</f>
        <v/>
      </c>
    </row>
    <row r="475" spans="1:12" x14ac:dyDescent="0.2">
      <c r="A475" s="21"/>
      <c r="B475" s="28"/>
      <c r="I475" s="155" t="str" cm="1">
        <f t="array" ref="I475">IFERROR(
  VALUE($H475) *
  VALUE(
    _xlfn.XLOOKUP(
      TRIM($F475) &amp; "|" &amp; LEFT(SUBSTITUTE($G475,CHAR(160)," "),5) &amp; "|Full Rate",
      TRIM(SUBSTITUTE($N$2:$N$38,CHAR(160)," ")) &amp; "|" &amp;
      LEFT(SUBSTITUTE($O$2:$O$38,CHAR(160)," "),5) &amp; "|" &amp;
      TRIM(SUBSTITUTE($P$2:$P$38,CHAR(160)," ")),
      $Q$2:$Q$38
    )
  ),
"")</f>
        <v/>
      </c>
      <c r="J475" s="154" t="str" cm="1">
        <f t="array" ref="J475">IFERROR(
  VALUE($H475) *
  VALUE(
    _xlfn.XLOOKUP(
      TRIM($F475) &amp; "|" &amp; LEFT(SUBSTITUTE($G475,CHAR(160)," "),5) &amp; "|Reduced Rate",
      TRIM(SUBSTITUTE($N$2:$N$38,CHAR(160)," ")) &amp; "|" &amp;
      LEFT(SUBSTITUTE($O$2:$O$38,CHAR(160)," "),5) &amp; "|" &amp;
      TRIM(SUBSTITUTE($P$2:$P$38,CHAR(160)," ")),
      $Q$2:$Q$38
    )
  ),
"")</f>
        <v/>
      </c>
      <c r="K475" s="154" t="str" cm="1">
        <f t="array" ref="K475">IFERROR(
  VALUE($H475) *
  VALUE(
    _xlfn.XLOOKUP(
      TRIM($F475) &amp; "|" &amp; LEFT(SUBSTITUTE($G475,CHAR(160)," "),5) &amp; "|Ideas Rate",
      TRIM(SUBSTITUTE($N$2:$N$38,CHAR(160)," ")) &amp; "|" &amp;
      LEFT(SUBSTITUTE($O$2:$O$38,CHAR(160)," "),5) &amp; "|" &amp;
      TRIM(SUBSTITUTE($P$2:$P$38,CHAR(160)," ")),
      $Q$2:$Q$38
    )
  ),
"")</f>
        <v/>
      </c>
      <c r="L475" s="32" t="str">
        <f>IFERROR( VALUE($H475) * INDEX(#REF!, MATCH(UPPER(TRIM($F475)),#REF!,0)), "" )</f>
        <v/>
      </c>
    </row>
    <row r="476" spans="1:12" x14ac:dyDescent="0.2">
      <c r="A476" s="21"/>
      <c r="B476" s="28"/>
      <c r="J476" s="154" t="str" cm="1">
        <f t="array" ref="J476">IFERROR(
  VALUE($H476) *
  VALUE(
    _xlfn.XLOOKUP(
      TRIM($F476) &amp; "|" &amp; LEFT(SUBSTITUTE($G476,CHAR(160)," "),5) &amp; "|Reduced Rate",
      TRIM(SUBSTITUTE($N$2:$N$38,CHAR(160)," ")) &amp; "|" &amp;
      LEFT(SUBSTITUTE($O$2:$O$38,CHAR(160)," "),5) &amp; "|" &amp;
      TRIM(SUBSTITUTE($P$2:$P$38,CHAR(160)," ")),
      $Q$2:$Q$38
    )
  ),
"")</f>
        <v/>
      </c>
      <c r="K476" s="154" t="str" cm="1">
        <f t="array" ref="K476">IFERROR(
  VALUE($H476) *
  VALUE(
    _xlfn.XLOOKUP(
      TRIM($F476) &amp; "|" &amp; LEFT(SUBSTITUTE($G476,CHAR(160)," "),5) &amp; "|Ideas Rate",
      TRIM(SUBSTITUTE($N$2:$N$38,CHAR(160)," ")) &amp; "|" &amp;
      LEFT(SUBSTITUTE($O$2:$O$38,CHAR(160)," "),5) &amp; "|" &amp;
      TRIM(SUBSTITUTE($P$2:$P$38,CHAR(160)," ")),
      $Q$2:$Q$38
    )
  ),
"")</f>
        <v/>
      </c>
      <c r="L476" s="32" t="str">
        <f>IFERROR( VALUE($H476) * INDEX(#REF!, MATCH(UPPER(TRIM($F476)),#REF!,0)), "" )</f>
        <v/>
      </c>
    </row>
    <row r="477" spans="1:12" x14ac:dyDescent="0.2">
      <c r="A477" s="21"/>
      <c r="B477" s="28"/>
      <c r="J477" s="154" t="str" cm="1">
        <f t="array" ref="J477">IFERROR(
  VALUE($H477) *
  VALUE(
    _xlfn.XLOOKUP(
      TRIM($F477) &amp; "|" &amp; LEFT(SUBSTITUTE($G477,CHAR(160)," "),5) &amp; "|Reduced Rate",
      TRIM(SUBSTITUTE($N$2:$N$38,CHAR(160)," ")) &amp; "|" &amp;
      LEFT(SUBSTITUTE($O$2:$O$38,CHAR(160)," "),5) &amp; "|" &amp;
      TRIM(SUBSTITUTE($P$2:$P$38,CHAR(160)," ")),
      $Q$2:$Q$38
    )
  ),
"")</f>
        <v/>
      </c>
      <c r="K477" s="154" t="str" cm="1">
        <f t="array" ref="K477">IFERROR(
  VALUE($H477) *
  VALUE(
    _xlfn.XLOOKUP(
      TRIM($F477) &amp; "|" &amp; LEFT(SUBSTITUTE($G477,CHAR(160)," "),5) &amp; "|Ideas Rate",
      TRIM(SUBSTITUTE($N$2:$N$38,CHAR(160)," ")) &amp; "|" &amp;
      LEFT(SUBSTITUTE($O$2:$O$38,CHAR(160)," "),5) &amp; "|" &amp;
      TRIM(SUBSTITUTE($P$2:$P$38,CHAR(160)," ")),
      $Q$2:$Q$38
    )
  ),
"")</f>
        <v/>
      </c>
      <c r="L477" s="32" t="str">
        <f>IFERROR( VALUE($H477) * INDEX(#REF!, MATCH(UPPER(TRIM($F477)),#REF!,0)), "" )</f>
        <v/>
      </c>
    </row>
    <row r="478" spans="1:12" x14ac:dyDescent="0.2">
      <c r="A478" s="21"/>
      <c r="B478" s="28"/>
      <c r="J478" s="154" t="str" cm="1">
        <f t="array" ref="J478">IFERROR(
  VALUE($H478) *
  VALUE(
    _xlfn.XLOOKUP(
      TRIM($F478) &amp; "|" &amp; LEFT(SUBSTITUTE($G478,CHAR(160)," "),5) &amp; "|Reduced Rate",
      TRIM(SUBSTITUTE($N$2:$N$38,CHAR(160)," ")) &amp; "|" &amp;
      LEFT(SUBSTITUTE($O$2:$O$38,CHAR(160)," "),5) &amp; "|" &amp;
      TRIM(SUBSTITUTE($P$2:$P$38,CHAR(160)," ")),
      $Q$2:$Q$38
    )
  ),
"")</f>
        <v/>
      </c>
      <c r="K478" s="154" t="str" cm="1">
        <f t="array" ref="K478">IFERROR(
  VALUE($H478) *
  VALUE(
    _xlfn.XLOOKUP(
      TRIM($F478) &amp; "|" &amp; LEFT(SUBSTITUTE($G478,CHAR(160)," "),5) &amp; "|Ideas Rate",
      TRIM(SUBSTITUTE($N$2:$N$38,CHAR(160)," ")) &amp; "|" &amp;
      LEFT(SUBSTITUTE($O$2:$O$38,CHAR(160)," "),5) &amp; "|" &amp;
      TRIM(SUBSTITUTE($P$2:$P$38,CHAR(160)," ")),
      $Q$2:$Q$38
    )
  ),
"")</f>
        <v/>
      </c>
      <c r="L478" s="32" t="str">
        <f>IFERROR( VALUE($H478) * INDEX(#REF!, MATCH(UPPER(TRIM($F478)),#REF!,0)), "" )</f>
        <v/>
      </c>
    </row>
    <row r="479" spans="1:12" x14ac:dyDescent="0.2">
      <c r="A479" s="21"/>
      <c r="B479" s="28"/>
      <c r="J479" s="52" t="str">
        <f>IFERROR($H479*#REF!,"")</f>
        <v/>
      </c>
      <c r="K479" s="154" t="str" cm="1">
        <f t="array" ref="K479">IFERROR(
  VALUE($H479) *
  VALUE(
    _xlfn.XLOOKUP(
      TRIM($F479) &amp; "|" &amp; LEFT(SUBSTITUTE($G479,CHAR(160)," "),5) &amp; "|Ideas Rate",
      TRIM(SUBSTITUTE($N$2:$N$38,CHAR(160)," ")) &amp; "|" &amp;
      LEFT(SUBSTITUTE($O$2:$O$38,CHAR(160)," "),5) &amp; "|" &amp;
      TRIM(SUBSTITUTE($P$2:$P$38,CHAR(160)," ")),
      $Q$2:$Q$38
    )
  ),
"")</f>
        <v/>
      </c>
      <c r="L479" s="32" t="str">
        <f>IFERROR( VALUE($H479) * INDEX(#REF!, MATCH(UPPER(TRIM($F479)),#REF!,0)), "" )</f>
        <v/>
      </c>
    </row>
    <row r="480" spans="1:12" x14ac:dyDescent="0.2">
      <c r="A480" s="21"/>
      <c r="B480" s="28"/>
      <c r="J480" s="52" t="str">
        <f>IFERROR($H480*#REF!,"")</f>
        <v/>
      </c>
      <c r="K480" s="154" t="str" cm="1">
        <f t="array" ref="K480">IFERROR(
  VALUE($H480) *
  VALUE(
    _xlfn.XLOOKUP(
      TRIM($F480) &amp; "|" &amp; LEFT(SUBSTITUTE($G480,CHAR(160)," "),5) &amp; "|Ideas Rate",
      TRIM(SUBSTITUTE($N$2:$N$38,CHAR(160)," ")) &amp; "|" &amp;
      LEFT(SUBSTITUTE($O$2:$O$38,CHAR(160)," "),5) &amp; "|" &amp;
      TRIM(SUBSTITUTE($P$2:$P$38,CHAR(160)," ")),
      $Q$2:$Q$38
    )
  ),
"")</f>
        <v/>
      </c>
      <c r="L480" s="32" t="str">
        <f>IFERROR( VALUE($H480) * INDEX(#REF!, MATCH(UPPER(TRIM($F480)),#REF!,0)), "" )</f>
        <v/>
      </c>
    </row>
    <row r="481" spans="1:12" x14ac:dyDescent="0.2">
      <c r="A481" s="21"/>
      <c r="B481" s="28"/>
      <c r="J481" s="52" t="str">
        <f>IFERROR($H481*#REF!,"")</f>
        <v/>
      </c>
      <c r="K481" s="154" t="str" cm="1">
        <f t="array" ref="K481">IFERROR(
  VALUE($H481) *
  VALUE(
    _xlfn.XLOOKUP(
      TRIM($F481) &amp; "|" &amp; LEFT(SUBSTITUTE($G481,CHAR(160)," "),5) &amp; "|Ideas Rate",
      TRIM(SUBSTITUTE($N$2:$N$38,CHAR(160)," ")) &amp; "|" &amp;
      LEFT(SUBSTITUTE($O$2:$O$38,CHAR(160)," "),5) &amp; "|" &amp;
      TRIM(SUBSTITUTE($P$2:$P$38,CHAR(160)," ")),
      $Q$2:$Q$38
    )
  ),
"")</f>
        <v/>
      </c>
      <c r="L481" s="32" t="str">
        <f>IFERROR( VALUE($H481) * INDEX(#REF!, MATCH(UPPER(TRIM($F481)),#REF!,0)), "" )</f>
        <v/>
      </c>
    </row>
    <row r="482" spans="1:12" x14ac:dyDescent="0.2">
      <c r="A482" s="21"/>
      <c r="B482" s="28"/>
      <c r="J482" s="52" t="str">
        <f>IFERROR($H482*#REF!,"")</f>
        <v/>
      </c>
      <c r="K482" s="154" t="str" cm="1">
        <f t="array" ref="K482">IFERROR(
  VALUE($H482) *
  VALUE(
    _xlfn.XLOOKUP(
      TRIM($F482) &amp; "|" &amp; LEFT(SUBSTITUTE($G482,CHAR(160)," "),5) &amp; "|Ideas Rate",
      TRIM(SUBSTITUTE($N$2:$N$38,CHAR(160)," ")) &amp; "|" &amp;
      LEFT(SUBSTITUTE($O$2:$O$38,CHAR(160)," "),5) &amp; "|" &amp;
      TRIM(SUBSTITUTE($P$2:$P$38,CHAR(160)," ")),
      $Q$2:$Q$38
    )
  ),
"")</f>
        <v/>
      </c>
      <c r="L482" s="32" t="str">
        <f>IFERROR( VALUE($H482) * INDEX(#REF!, MATCH(UPPER(TRIM($F482)),#REF!,0)), "" )</f>
        <v/>
      </c>
    </row>
    <row r="483" spans="1:12" x14ac:dyDescent="0.2">
      <c r="A483" s="21"/>
      <c r="B483" s="28"/>
      <c r="J483" s="52" t="str">
        <f>IFERROR($H483*#REF!,"")</f>
        <v/>
      </c>
      <c r="K483" s="154" t="str" cm="1">
        <f t="array" ref="K483">IFERROR(
  VALUE($H483) *
  VALUE(
    _xlfn.XLOOKUP(
      TRIM($F483) &amp; "|" &amp; LEFT(SUBSTITUTE($G483,CHAR(160)," "),5) &amp; "|Ideas Rate",
      TRIM(SUBSTITUTE($N$2:$N$38,CHAR(160)," ")) &amp; "|" &amp;
      LEFT(SUBSTITUTE($O$2:$O$38,CHAR(160)," "),5) &amp; "|" &amp;
      TRIM(SUBSTITUTE($P$2:$P$38,CHAR(160)," ")),
      $Q$2:$Q$38
    )
  ),
"")</f>
        <v/>
      </c>
      <c r="L483" s="32" t="str">
        <f>IFERROR( VALUE($H483) * INDEX(#REF!, MATCH(UPPER(TRIM($F483)),#REF!,0)), "" )</f>
        <v/>
      </c>
    </row>
    <row r="484" spans="1:12" x14ac:dyDescent="0.2">
      <c r="A484" s="21"/>
      <c r="B484" s="28"/>
      <c r="J484" s="52" t="str">
        <f>IFERROR($H484*#REF!,"")</f>
        <v/>
      </c>
      <c r="K484" s="154" t="str" cm="1">
        <f t="array" ref="K484">IFERROR(
  VALUE($H484) *
  VALUE(
    _xlfn.XLOOKUP(
      TRIM($F484) &amp; "|" &amp; LEFT(SUBSTITUTE($G484,CHAR(160)," "),5) &amp; "|Ideas Rate",
      TRIM(SUBSTITUTE($N$2:$N$38,CHAR(160)," ")) &amp; "|" &amp;
      LEFT(SUBSTITUTE($O$2:$O$38,CHAR(160)," "),5) &amp; "|" &amp;
      TRIM(SUBSTITUTE($P$2:$P$38,CHAR(160)," ")),
      $Q$2:$Q$38
    )
  ),
"")</f>
        <v/>
      </c>
      <c r="L484" s="32" t="str">
        <f>IFERROR( VALUE($H484) * INDEX(#REF!, MATCH(UPPER(TRIM($F484)),#REF!,0)), "" )</f>
        <v/>
      </c>
    </row>
    <row r="485" spans="1:12" x14ac:dyDescent="0.2">
      <c r="A485" s="21"/>
      <c r="B485" s="28"/>
      <c r="J485" s="52" t="str">
        <f>IFERROR($H485*#REF!,"")</f>
        <v/>
      </c>
      <c r="K485" s="154" t="str" cm="1">
        <f t="array" ref="K485">IFERROR(
  VALUE($H485) *
  VALUE(
    _xlfn.XLOOKUP(
      TRIM($F485) &amp; "|" &amp; LEFT(SUBSTITUTE($G485,CHAR(160)," "),5) &amp; "|Ideas Rate",
      TRIM(SUBSTITUTE($N$2:$N$38,CHAR(160)," ")) &amp; "|" &amp;
      LEFT(SUBSTITUTE($O$2:$O$38,CHAR(160)," "),5) &amp; "|" &amp;
      TRIM(SUBSTITUTE($P$2:$P$38,CHAR(160)," ")),
      $Q$2:$Q$38
    )
  ),
"")</f>
        <v/>
      </c>
      <c r="L485" s="32" t="str">
        <f>IFERROR( VALUE($H485) * INDEX(#REF!, MATCH(UPPER(TRIM($F485)),#REF!,0)), "" )</f>
        <v/>
      </c>
    </row>
    <row r="486" spans="1:12" x14ac:dyDescent="0.2">
      <c r="A486" s="21"/>
      <c r="B486" s="28"/>
      <c r="J486" s="52" t="str">
        <f>IFERROR($H486*#REF!,"")</f>
        <v/>
      </c>
      <c r="K486" s="154" t="str" cm="1">
        <f t="array" ref="K486">IFERROR(
  VALUE($H486) *
  VALUE(
    _xlfn.XLOOKUP(
      TRIM($F486) &amp; "|" &amp; LEFT(SUBSTITUTE($G486,CHAR(160)," "),5) &amp; "|Ideas Rate",
      TRIM(SUBSTITUTE($N$2:$N$38,CHAR(160)," ")) &amp; "|" &amp;
      LEFT(SUBSTITUTE($O$2:$O$38,CHAR(160)," "),5) &amp; "|" &amp;
      TRIM(SUBSTITUTE($P$2:$P$38,CHAR(160)," ")),
      $Q$2:$Q$38
    )
  ),
"")</f>
        <v/>
      </c>
      <c r="L486" s="32" t="str">
        <f>IFERROR( VALUE($H486) * INDEX(#REF!, MATCH(UPPER(TRIM($F486)),#REF!,0)), "" )</f>
        <v/>
      </c>
    </row>
    <row r="487" spans="1:12" x14ac:dyDescent="0.2">
      <c r="A487" s="21"/>
      <c r="B487" s="28"/>
      <c r="J487" s="52" t="str">
        <f>IFERROR($H487*#REF!,"")</f>
        <v/>
      </c>
      <c r="K487" s="154" t="str" cm="1">
        <f t="array" ref="K487">IFERROR(
  VALUE($H487) *
  VALUE(
    _xlfn.XLOOKUP(
      TRIM($F487) &amp; "|" &amp; LEFT(SUBSTITUTE($G487,CHAR(160)," "),5) &amp; "|Ideas Rate",
      TRIM(SUBSTITUTE($N$2:$N$38,CHAR(160)," ")) &amp; "|" &amp;
      LEFT(SUBSTITUTE($O$2:$O$38,CHAR(160)," "),5) &amp; "|" &amp;
      TRIM(SUBSTITUTE($P$2:$P$38,CHAR(160)," ")),
      $Q$2:$Q$38
    )
  ),
"")</f>
        <v/>
      </c>
      <c r="L487" s="32" t="str">
        <f>IFERROR( VALUE($H487) * INDEX(#REF!, MATCH(UPPER(TRIM($F487)),#REF!,0)), "" )</f>
        <v/>
      </c>
    </row>
    <row r="488" spans="1:12" x14ac:dyDescent="0.2">
      <c r="A488" s="21"/>
      <c r="B488" s="28"/>
      <c r="J488" s="52" t="str">
        <f>IFERROR($H488*#REF!,"")</f>
        <v/>
      </c>
      <c r="K488" s="154" t="str" cm="1">
        <f t="array" ref="K488">IFERROR(
  VALUE($H488) *
  VALUE(
    _xlfn.XLOOKUP(
      TRIM($F488) &amp; "|" &amp; LEFT(SUBSTITUTE($G488,CHAR(160)," "),5) &amp; "|Ideas Rate",
      TRIM(SUBSTITUTE($N$2:$N$38,CHAR(160)," ")) &amp; "|" &amp;
      LEFT(SUBSTITUTE($O$2:$O$38,CHAR(160)," "),5) &amp; "|" &amp;
      TRIM(SUBSTITUTE($P$2:$P$38,CHAR(160)," ")),
      $Q$2:$Q$38
    )
  ),
"")</f>
        <v/>
      </c>
      <c r="L488" s="32" t="str">
        <f>IFERROR( VALUE($H488) * INDEX(#REF!, MATCH(UPPER(TRIM($F488)),#REF!,0)), "" )</f>
        <v/>
      </c>
    </row>
    <row r="489" spans="1:12" x14ac:dyDescent="0.2">
      <c r="A489" s="21"/>
      <c r="B489" s="28"/>
      <c r="J489" s="52" t="str">
        <f>IFERROR($H489*#REF!,"")</f>
        <v/>
      </c>
      <c r="K489" s="154" t="str" cm="1">
        <f t="array" ref="K489">IFERROR(
  VALUE($H489) *
  VALUE(
    _xlfn.XLOOKUP(
      TRIM($F489) &amp; "|" &amp; LEFT(SUBSTITUTE($G489,CHAR(160)," "),5) &amp; "|Ideas Rate",
      TRIM(SUBSTITUTE($N$2:$N$38,CHAR(160)," ")) &amp; "|" &amp;
      LEFT(SUBSTITUTE($O$2:$O$38,CHAR(160)," "),5) &amp; "|" &amp;
      TRIM(SUBSTITUTE($P$2:$P$38,CHAR(160)," ")),
      $Q$2:$Q$38
    )
  ),
"")</f>
        <v/>
      </c>
      <c r="L489" s="32" t="str">
        <f>IFERROR( VALUE($H489) * INDEX(#REF!, MATCH(UPPER(TRIM($F489)),#REF!,0)), "" )</f>
        <v/>
      </c>
    </row>
    <row r="490" spans="1:12" x14ac:dyDescent="0.2">
      <c r="A490" s="21"/>
      <c r="B490" s="28"/>
      <c r="J490" s="52" t="str">
        <f>IFERROR($H490*#REF!,"")</f>
        <v/>
      </c>
      <c r="K490" s="154" t="str" cm="1">
        <f t="array" ref="K490">IFERROR(
  VALUE($H490) *
  VALUE(
    _xlfn.XLOOKUP(
      TRIM($F490) &amp; "|" &amp; LEFT(SUBSTITUTE($G490,CHAR(160)," "),5) &amp; "|Ideas Rate",
      TRIM(SUBSTITUTE($N$2:$N$38,CHAR(160)," ")) &amp; "|" &amp;
      LEFT(SUBSTITUTE($O$2:$O$38,CHAR(160)," "),5) &amp; "|" &amp;
      TRIM(SUBSTITUTE($P$2:$P$38,CHAR(160)," ")),
      $Q$2:$Q$38
    )
  ),
"")</f>
        <v/>
      </c>
      <c r="L490" s="32" t="str">
        <f>IFERROR( VALUE($H490) * INDEX(#REF!, MATCH(UPPER(TRIM($F490)),#REF!,0)), "" )</f>
        <v/>
      </c>
    </row>
    <row r="491" spans="1:12" x14ac:dyDescent="0.2">
      <c r="A491" s="21"/>
      <c r="B491" s="28"/>
      <c r="J491" s="52" t="str">
        <f>IFERROR($H491*#REF!,"")</f>
        <v/>
      </c>
      <c r="K491" s="154" t="str" cm="1">
        <f t="array" ref="K491">IFERROR(
  VALUE($H491) *
  VALUE(
    _xlfn.XLOOKUP(
      TRIM($F491) &amp; "|" &amp; LEFT(SUBSTITUTE($G491,CHAR(160)," "),5) &amp; "|Ideas Rate",
      TRIM(SUBSTITUTE($N$2:$N$38,CHAR(160)," ")) &amp; "|" &amp;
      LEFT(SUBSTITUTE($O$2:$O$38,CHAR(160)," "),5) &amp; "|" &amp;
      TRIM(SUBSTITUTE($P$2:$P$38,CHAR(160)," ")),
      $Q$2:$Q$38
    )
  ),
"")</f>
        <v/>
      </c>
      <c r="L491" s="32" t="str">
        <f>IFERROR( VALUE($H491) * INDEX(#REF!, MATCH(UPPER(TRIM($F491)),#REF!,0)), "" )</f>
        <v/>
      </c>
    </row>
    <row r="492" spans="1:12" x14ac:dyDescent="0.2">
      <c r="A492" s="21"/>
      <c r="B492" s="28"/>
      <c r="J492" s="52" t="str">
        <f>IFERROR($H492*#REF!,"")</f>
        <v/>
      </c>
      <c r="K492" s="154" t="str" cm="1">
        <f t="array" ref="K492">IFERROR(
  VALUE($H492) *
  VALUE(
    _xlfn.XLOOKUP(
      TRIM($F492) &amp; "|" &amp; LEFT(SUBSTITUTE($G492,CHAR(160)," "),5) &amp; "|Ideas Rate",
      TRIM(SUBSTITUTE($N$2:$N$38,CHAR(160)," ")) &amp; "|" &amp;
      LEFT(SUBSTITUTE($O$2:$O$38,CHAR(160)," "),5) &amp; "|" &amp;
      TRIM(SUBSTITUTE($P$2:$P$38,CHAR(160)," ")),
      $Q$2:$Q$38
    )
  ),
"")</f>
        <v/>
      </c>
      <c r="L492" s="32" t="str">
        <f>IFERROR( VALUE($H492) * INDEX(#REF!, MATCH(UPPER(TRIM($F492)),#REF!,0)), "" )</f>
        <v/>
      </c>
    </row>
    <row r="493" spans="1:12" x14ac:dyDescent="0.2">
      <c r="A493" s="21"/>
      <c r="B493" s="28"/>
      <c r="J493" s="52" t="str">
        <f>IFERROR($H493*#REF!,"")</f>
        <v/>
      </c>
      <c r="K493" s="154" t="str" cm="1">
        <f t="array" ref="K493">IFERROR(
  VALUE($H493) *
  VALUE(
    _xlfn.XLOOKUP(
      TRIM($F493) &amp; "|" &amp; LEFT(SUBSTITUTE($G493,CHAR(160)," "),5) &amp; "|Ideas Rate",
      TRIM(SUBSTITUTE($N$2:$N$38,CHAR(160)," ")) &amp; "|" &amp;
      LEFT(SUBSTITUTE($O$2:$O$38,CHAR(160)," "),5) &amp; "|" &amp;
      TRIM(SUBSTITUTE($P$2:$P$38,CHAR(160)," ")),
      $Q$2:$Q$38
    )
  ),
"")</f>
        <v/>
      </c>
      <c r="L493" s="32" t="str">
        <f>IFERROR( VALUE($H493) * INDEX(#REF!, MATCH(UPPER(TRIM($F493)),#REF!,0)), "" )</f>
        <v/>
      </c>
    </row>
    <row r="494" spans="1:12" x14ac:dyDescent="0.2">
      <c r="A494" s="21"/>
      <c r="B494" s="28"/>
      <c r="J494" s="52" t="str">
        <f>IFERROR($H494*#REF!,"")</f>
        <v/>
      </c>
      <c r="K494" s="154" t="str" cm="1">
        <f t="array" ref="K494">IFERROR(
  VALUE($H494) *
  VALUE(
    _xlfn.XLOOKUP(
      TRIM($F494) &amp; "|" &amp; LEFT(SUBSTITUTE($G494,CHAR(160)," "),5) &amp; "|Ideas Rate",
      TRIM(SUBSTITUTE($N$2:$N$38,CHAR(160)," ")) &amp; "|" &amp;
      LEFT(SUBSTITUTE($O$2:$O$38,CHAR(160)," "),5) &amp; "|" &amp;
      TRIM(SUBSTITUTE($P$2:$P$38,CHAR(160)," ")),
      $Q$2:$Q$38
    )
  ),
"")</f>
        <v/>
      </c>
      <c r="L494" s="32" t="str">
        <f>IFERROR( VALUE($H494) * INDEX(#REF!, MATCH(UPPER(TRIM($F494)),#REF!,0)), "" )</f>
        <v/>
      </c>
    </row>
    <row r="495" spans="1:12" x14ac:dyDescent="0.2">
      <c r="A495" s="21"/>
      <c r="B495" s="28"/>
      <c r="J495" s="52" t="str">
        <f>IFERROR($H495*#REF!,"")</f>
        <v/>
      </c>
      <c r="K495" s="154" t="str" cm="1">
        <f t="array" ref="K495">IFERROR(
  VALUE($H495) *
  VALUE(
    _xlfn.XLOOKUP(
      TRIM($F495) &amp; "|" &amp; LEFT(SUBSTITUTE($G495,CHAR(160)," "),5) &amp; "|Ideas Rate",
      TRIM(SUBSTITUTE($N$2:$N$38,CHAR(160)," ")) &amp; "|" &amp;
      LEFT(SUBSTITUTE($O$2:$O$38,CHAR(160)," "),5) &amp; "|" &amp;
      TRIM(SUBSTITUTE($P$2:$P$38,CHAR(160)," ")),
      $Q$2:$Q$38
    )
  ),
"")</f>
        <v/>
      </c>
      <c r="L495" s="32" t="str">
        <f>IFERROR( VALUE($H495) * INDEX(#REF!, MATCH(UPPER(TRIM($F495)),#REF!,0)), "" )</f>
        <v/>
      </c>
    </row>
    <row r="496" spans="1:12" x14ac:dyDescent="0.2">
      <c r="A496" s="21"/>
      <c r="B496" s="28"/>
      <c r="J496" s="52" t="str">
        <f>IFERROR($H496*#REF!,"")</f>
        <v/>
      </c>
      <c r="K496" s="154" t="str" cm="1">
        <f t="array" ref="K496">IFERROR(
  VALUE($H496) *
  VALUE(
    _xlfn.XLOOKUP(
      TRIM($F496) &amp; "|" &amp; LEFT(SUBSTITUTE($G496,CHAR(160)," "),5) &amp; "|Ideas Rate",
      TRIM(SUBSTITUTE($N$2:$N$38,CHAR(160)," ")) &amp; "|" &amp;
      LEFT(SUBSTITUTE($O$2:$O$38,CHAR(160)," "),5) &amp; "|" &amp;
      TRIM(SUBSTITUTE($P$2:$P$38,CHAR(160)," ")),
      $Q$2:$Q$38
    )
  ),
"")</f>
        <v/>
      </c>
      <c r="L496" s="32" t="str">
        <f>IFERROR( VALUE($H496) * INDEX(#REF!, MATCH(UPPER(TRIM($F496)),#REF!,0)), "" )</f>
        <v/>
      </c>
    </row>
    <row r="497" spans="1:12" x14ac:dyDescent="0.2">
      <c r="A497" s="21"/>
      <c r="B497" s="28"/>
      <c r="J497" s="52" t="str">
        <f>IFERROR($H497*#REF!,"")</f>
        <v/>
      </c>
      <c r="K497" s="154" t="str" cm="1">
        <f t="array" ref="K497">IFERROR(
  VALUE($H497) *
  VALUE(
    _xlfn.XLOOKUP(
      TRIM($F497) &amp; "|" &amp; LEFT(SUBSTITUTE($G497,CHAR(160)," "),5) &amp; "|Ideas Rate",
      TRIM(SUBSTITUTE($N$2:$N$38,CHAR(160)," ")) &amp; "|" &amp;
      LEFT(SUBSTITUTE($O$2:$O$38,CHAR(160)," "),5) &amp; "|" &amp;
      TRIM(SUBSTITUTE($P$2:$P$38,CHAR(160)," ")),
      $Q$2:$Q$38
    )
  ),
"")</f>
        <v/>
      </c>
      <c r="L497" s="32" t="str">
        <f>IFERROR( VALUE($H497) * INDEX(#REF!, MATCH(UPPER(TRIM($F497)),#REF!,0)), "" )</f>
        <v/>
      </c>
    </row>
    <row r="498" spans="1:12" x14ac:dyDescent="0.2">
      <c r="A498" s="21"/>
      <c r="B498" s="28"/>
      <c r="J498" s="52" t="str">
        <f>IFERROR($H498*#REF!,"")</f>
        <v/>
      </c>
      <c r="K498" s="154" t="str" cm="1">
        <f t="array" ref="K498">IFERROR(
  VALUE($H498) *
  VALUE(
    _xlfn.XLOOKUP(
      TRIM($F498) &amp; "|" &amp; LEFT(SUBSTITUTE($G498,CHAR(160)," "),5) &amp; "|Ideas Rate",
      TRIM(SUBSTITUTE($N$2:$N$38,CHAR(160)," ")) &amp; "|" &amp;
      LEFT(SUBSTITUTE($O$2:$O$38,CHAR(160)," "),5) &amp; "|" &amp;
      TRIM(SUBSTITUTE($P$2:$P$38,CHAR(160)," ")),
      $Q$2:$Q$38
    )
  ),
"")</f>
        <v/>
      </c>
      <c r="L498" s="32" t="str">
        <f>IFERROR( VALUE($H498) * INDEX(#REF!, MATCH(UPPER(TRIM($F498)),#REF!,0)), "" )</f>
        <v/>
      </c>
    </row>
    <row r="499" spans="1:12" x14ac:dyDescent="0.2">
      <c r="A499" s="21"/>
      <c r="B499" s="28"/>
      <c r="J499" s="52" t="str">
        <f>IFERROR($H499*#REF!,"")</f>
        <v/>
      </c>
      <c r="K499" s="154" t="str" cm="1">
        <f t="array" ref="K499">IFERROR(
  VALUE($H499) *
  VALUE(
    _xlfn.XLOOKUP(
      TRIM($F499) &amp; "|" &amp; LEFT(SUBSTITUTE($G499,CHAR(160)," "),5) &amp; "|Ideas Rate",
      TRIM(SUBSTITUTE($N$2:$N$38,CHAR(160)," ")) &amp; "|" &amp;
      LEFT(SUBSTITUTE($O$2:$O$38,CHAR(160)," "),5) &amp; "|" &amp;
      TRIM(SUBSTITUTE($P$2:$P$38,CHAR(160)," ")),
      $Q$2:$Q$38
    )
  ),
"")</f>
        <v/>
      </c>
      <c r="L499" s="32" t="str">
        <f>IFERROR( VALUE($H499) * INDEX(#REF!, MATCH(UPPER(TRIM($F499)),#REF!,0)), "" )</f>
        <v/>
      </c>
    </row>
    <row r="500" spans="1:12" x14ac:dyDescent="0.2">
      <c r="A500" s="21"/>
      <c r="B500" s="28"/>
      <c r="J500" s="52" t="str">
        <f>IFERROR($H500*#REF!,"")</f>
        <v/>
      </c>
      <c r="K500" s="154" t="str" cm="1">
        <f t="array" ref="K500">IFERROR(
  VALUE($H500) *
  VALUE(
    _xlfn.XLOOKUP(
      TRIM($F500) &amp; "|" &amp; LEFT(SUBSTITUTE($G500,CHAR(160)," "),5) &amp; "|Ideas Rate",
      TRIM(SUBSTITUTE($N$2:$N$38,CHAR(160)," ")) &amp; "|" &amp;
      LEFT(SUBSTITUTE($O$2:$O$38,CHAR(160)," "),5) &amp; "|" &amp;
      TRIM(SUBSTITUTE($P$2:$P$38,CHAR(160)," ")),
      $Q$2:$Q$38
    )
  ),
"")</f>
        <v/>
      </c>
      <c r="L500" s="32" t="str">
        <f>IFERROR( VALUE($H500) * INDEX(#REF!, MATCH(UPPER(TRIM($F500)),#REF!,0)), "" )</f>
        <v/>
      </c>
    </row>
    <row r="501" spans="1:12" x14ac:dyDescent="0.2">
      <c r="A501" s="21"/>
      <c r="B501" s="28"/>
      <c r="J501" s="52" t="str">
        <f>IFERROR($H501*#REF!,"")</f>
        <v/>
      </c>
      <c r="K501" s="154" t="str" cm="1">
        <f t="array" ref="K501">IFERROR(
  VALUE($H501) *
  VALUE(
    _xlfn.XLOOKUP(
      TRIM($F501) &amp; "|" &amp; LEFT(SUBSTITUTE($G501,CHAR(160)," "),5) &amp; "|Ideas Rate",
      TRIM(SUBSTITUTE($N$2:$N$38,CHAR(160)," ")) &amp; "|" &amp;
      LEFT(SUBSTITUTE($O$2:$O$38,CHAR(160)," "),5) &amp; "|" &amp;
      TRIM(SUBSTITUTE($P$2:$P$38,CHAR(160)," ")),
      $Q$2:$Q$38
    )
  ),
"")</f>
        <v/>
      </c>
      <c r="L501" s="32" t="str">
        <f>IFERROR( VALUE($H501) * INDEX(#REF!, MATCH(UPPER(TRIM($F501)),#REF!,0)), "" )</f>
        <v/>
      </c>
    </row>
    <row r="502" spans="1:12" x14ac:dyDescent="0.2">
      <c r="A502" s="21"/>
      <c r="B502" s="28"/>
      <c r="J502" s="52" t="str">
        <f>IFERROR($H502*#REF!,"")</f>
        <v/>
      </c>
      <c r="K502" s="154" t="str" cm="1">
        <f t="array" ref="K502">IFERROR(
  VALUE($H502) *
  VALUE(
    _xlfn.XLOOKUP(
      TRIM($F502) &amp; "|" &amp; LEFT(SUBSTITUTE($G502,CHAR(160)," "),5) &amp; "|Ideas Rate",
      TRIM(SUBSTITUTE($N$2:$N$38,CHAR(160)," ")) &amp; "|" &amp;
      LEFT(SUBSTITUTE($O$2:$O$38,CHAR(160)," "),5) &amp; "|" &amp;
      TRIM(SUBSTITUTE($P$2:$P$38,CHAR(160)," ")),
      $Q$2:$Q$38
    )
  ),
"")</f>
        <v/>
      </c>
      <c r="L502" s="32" t="str">
        <f>IFERROR( VALUE($H502) * INDEX(#REF!, MATCH(UPPER(TRIM($F502)),#REF!,0)), "" )</f>
        <v/>
      </c>
    </row>
    <row r="503" spans="1:12" x14ac:dyDescent="0.2">
      <c r="A503" s="21"/>
      <c r="B503" s="28"/>
      <c r="J503" s="52" t="str">
        <f>IFERROR($H503*#REF!,"")</f>
        <v/>
      </c>
      <c r="K503" s="154" t="str" cm="1">
        <f t="array" ref="K503">IFERROR(
  VALUE($H503) *
  VALUE(
    _xlfn.XLOOKUP(
      TRIM($F503) &amp; "|" &amp; LEFT(SUBSTITUTE($G503,CHAR(160)," "),5) &amp; "|Ideas Rate",
      TRIM(SUBSTITUTE($N$2:$N$38,CHAR(160)," ")) &amp; "|" &amp;
      LEFT(SUBSTITUTE($O$2:$O$38,CHAR(160)," "),5) &amp; "|" &amp;
      TRIM(SUBSTITUTE($P$2:$P$38,CHAR(160)," ")),
      $Q$2:$Q$38
    )
  ),
"")</f>
        <v/>
      </c>
      <c r="L503" s="32" t="str">
        <f>IFERROR( VALUE($H503) * INDEX(#REF!, MATCH(UPPER(TRIM($F503)),#REF!,0)), "" )</f>
        <v/>
      </c>
    </row>
    <row r="504" spans="1:12" x14ac:dyDescent="0.2">
      <c r="A504" s="21"/>
      <c r="B504" s="28"/>
      <c r="J504" s="52" t="str">
        <f>IFERROR($H504*#REF!,"")</f>
        <v/>
      </c>
      <c r="K504" s="154" t="str" cm="1">
        <f t="array" ref="K504">IFERROR(
  VALUE($H504) *
  VALUE(
    _xlfn.XLOOKUP(
      TRIM($F504) &amp; "|" &amp; LEFT(SUBSTITUTE($G504,CHAR(160)," "),5) &amp; "|Ideas Rate",
      TRIM(SUBSTITUTE($N$2:$N$38,CHAR(160)," ")) &amp; "|" &amp;
      LEFT(SUBSTITUTE($O$2:$O$38,CHAR(160)," "),5) &amp; "|" &amp;
      TRIM(SUBSTITUTE($P$2:$P$38,CHAR(160)," ")),
      $Q$2:$Q$38
    )
  ),
"")</f>
        <v/>
      </c>
      <c r="L504" s="32" t="str">
        <f>IFERROR( VALUE($H504) * INDEX(#REF!, MATCH(UPPER(TRIM($F504)),#REF!,0)), "" )</f>
        <v/>
      </c>
    </row>
    <row r="505" spans="1:12" x14ac:dyDescent="0.2">
      <c r="A505" s="21"/>
      <c r="B505" s="28"/>
      <c r="J505" s="52" t="str">
        <f>IFERROR($H505*#REF!,"")</f>
        <v/>
      </c>
      <c r="K505" s="154" t="str" cm="1">
        <f t="array" ref="K505">IFERROR(
  VALUE($H505) *
  VALUE(
    _xlfn.XLOOKUP(
      TRIM($F505) &amp; "|" &amp; LEFT(SUBSTITUTE($G505,CHAR(160)," "),5) &amp; "|Ideas Rate",
      TRIM(SUBSTITUTE($N$2:$N$38,CHAR(160)," ")) &amp; "|" &amp;
      LEFT(SUBSTITUTE($O$2:$O$38,CHAR(160)," "),5) &amp; "|" &amp;
      TRIM(SUBSTITUTE($P$2:$P$38,CHAR(160)," ")),
      $Q$2:$Q$38
    )
  ),
"")</f>
        <v/>
      </c>
      <c r="L505" s="32" t="str">
        <f>IFERROR( VALUE($H505) * INDEX(#REF!, MATCH(UPPER(TRIM($F505)),#REF!,0)), "" )</f>
        <v/>
      </c>
    </row>
    <row r="506" spans="1:12" x14ac:dyDescent="0.2">
      <c r="A506" s="21"/>
      <c r="B506" s="28"/>
      <c r="J506" s="52" t="str">
        <f>IFERROR($H506*#REF!,"")</f>
        <v/>
      </c>
      <c r="K506" s="154" t="str" cm="1">
        <f t="array" ref="K506">IFERROR(
  VALUE($H506) *
  VALUE(
    _xlfn.XLOOKUP(
      TRIM($F506) &amp; "|" &amp; LEFT(SUBSTITUTE($G506,CHAR(160)," "),5) &amp; "|Ideas Rate",
      TRIM(SUBSTITUTE($N$2:$N$38,CHAR(160)," ")) &amp; "|" &amp;
      LEFT(SUBSTITUTE($O$2:$O$38,CHAR(160)," "),5) &amp; "|" &amp;
      TRIM(SUBSTITUTE($P$2:$P$38,CHAR(160)," ")),
      $Q$2:$Q$38
    )
  ),
"")</f>
        <v/>
      </c>
      <c r="L506" s="32" t="str">
        <f>IFERROR( VALUE($H506) * INDEX(#REF!, MATCH(UPPER(TRIM($F506)),#REF!,0)), "" )</f>
        <v/>
      </c>
    </row>
    <row r="507" spans="1:12" x14ac:dyDescent="0.2">
      <c r="A507" s="21"/>
      <c r="B507" s="28"/>
      <c r="J507" s="52" t="str">
        <f>IFERROR($H507*#REF!,"")</f>
        <v/>
      </c>
      <c r="K507" s="154" t="str" cm="1">
        <f t="array" ref="K507">IFERROR(
  VALUE($H507) *
  VALUE(
    _xlfn.XLOOKUP(
      TRIM($F507) &amp; "|" &amp; LEFT(SUBSTITUTE($G507,CHAR(160)," "),5) &amp; "|Ideas Rate",
      TRIM(SUBSTITUTE($N$2:$N$38,CHAR(160)," ")) &amp; "|" &amp;
      LEFT(SUBSTITUTE($O$2:$O$38,CHAR(160)," "),5) &amp; "|" &amp;
      TRIM(SUBSTITUTE($P$2:$P$38,CHAR(160)," ")),
      $Q$2:$Q$38
    )
  ),
"")</f>
        <v/>
      </c>
      <c r="L507" s="32" t="str">
        <f>IFERROR( VALUE($H507) * INDEX(#REF!, MATCH(UPPER(TRIM($F507)),#REF!,0)), "" )</f>
        <v/>
      </c>
    </row>
    <row r="508" spans="1:12" x14ac:dyDescent="0.2">
      <c r="A508" s="21"/>
      <c r="B508" s="28"/>
      <c r="J508" s="52" t="str">
        <f>IFERROR($H508*#REF!,"")</f>
        <v/>
      </c>
      <c r="K508" s="154" t="str" cm="1">
        <f t="array" ref="K508">IFERROR(
  VALUE($H508) *
  VALUE(
    _xlfn.XLOOKUP(
      TRIM($F508) &amp; "|" &amp; LEFT(SUBSTITUTE($G508,CHAR(160)," "),5) &amp; "|Ideas Rate",
      TRIM(SUBSTITUTE($N$2:$N$38,CHAR(160)," ")) &amp; "|" &amp;
      LEFT(SUBSTITUTE($O$2:$O$38,CHAR(160)," "),5) &amp; "|" &amp;
      TRIM(SUBSTITUTE($P$2:$P$38,CHAR(160)," ")),
      $Q$2:$Q$38
    )
  ),
"")</f>
        <v/>
      </c>
      <c r="L508" s="32" t="str">
        <f>IFERROR( VALUE($H508) * INDEX(#REF!, MATCH(UPPER(TRIM($F508)),#REF!,0)), "" )</f>
        <v/>
      </c>
    </row>
    <row r="509" spans="1:12" x14ac:dyDescent="0.2">
      <c r="A509" s="21"/>
      <c r="B509" s="28"/>
      <c r="J509" s="52" t="str">
        <f>IFERROR($H509*#REF!,"")</f>
        <v/>
      </c>
      <c r="K509" s="154" t="str" cm="1">
        <f t="array" ref="K509">IFERROR(
  VALUE($H509) *
  VALUE(
    _xlfn.XLOOKUP(
      TRIM($F509) &amp; "|" &amp; LEFT(SUBSTITUTE($G509,CHAR(160)," "),5) &amp; "|Ideas Rate",
      TRIM(SUBSTITUTE($N$2:$N$38,CHAR(160)," ")) &amp; "|" &amp;
      LEFT(SUBSTITUTE($O$2:$O$38,CHAR(160)," "),5) &amp; "|" &amp;
      TRIM(SUBSTITUTE($P$2:$P$38,CHAR(160)," ")),
      $Q$2:$Q$38
    )
  ),
"")</f>
        <v/>
      </c>
      <c r="L509" s="32" t="str">
        <f>IFERROR( VALUE($H509) * INDEX(#REF!, MATCH(UPPER(TRIM($F509)),#REF!,0)), "" )</f>
        <v/>
      </c>
    </row>
    <row r="510" spans="1:12" x14ac:dyDescent="0.2">
      <c r="A510" s="21"/>
      <c r="B510" s="28"/>
      <c r="J510" s="52" t="str">
        <f>IFERROR($H510*#REF!,"")</f>
        <v/>
      </c>
      <c r="K510" s="154" t="str" cm="1">
        <f t="array" ref="K510">IFERROR(
  VALUE($H510) *
  VALUE(
    _xlfn.XLOOKUP(
      TRIM($F510) &amp; "|" &amp; LEFT(SUBSTITUTE($G510,CHAR(160)," "),5) &amp; "|Ideas Rate",
      TRIM(SUBSTITUTE($N$2:$N$38,CHAR(160)," ")) &amp; "|" &amp;
      LEFT(SUBSTITUTE($O$2:$O$38,CHAR(160)," "),5) &amp; "|" &amp;
      TRIM(SUBSTITUTE($P$2:$P$38,CHAR(160)," ")),
      $Q$2:$Q$38
    )
  ),
"")</f>
        <v/>
      </c>
      <c r="L510" s="32" t="str">
        <f>IFERROR( VALUE($H510) * INDEX(#REF!, MATCH(UPPER(TRIM($F510)),#REF!,0)), "" )</f>
        <v/>
      </c>
    </row>
    <row r="511" spans="1:12" x14ac:dyDescent="0.2">
      <c r="A511" s="21"/>
      <c r="B511" s="28"/>
      <c r="J511" s="52" t="str">
        <f>IFERROR($H511*#REF!,"")</f>
        <v/>
      </c>
      <c r="K511" s="154" t="str" cm="1">
        <f t="array" ref="K511">IFERROR(
  VALUE($H511) *
  VALUE(
    _xlfn.XLOOKUP(
      TRIM($F511) &amp; "|" &amp; LEFT(SUBSTITUTE($G511,CHAR(160)," "),5) &amp; "|Ideas Rate",
      TRIM(SUBSTITUTE($N$2:$N$38,CHAR(160)," ")) &amp; "|" &amp;
      LEFT(SUBSTITUTE($O$2:$O$38,CHAR(160)," "),5) &amp; "|" &amp;
      TRIM(SUBSTITUTE($P$2:$P$38,CHAR(160)," ")),
      $Q$2:$Q$38
    )
  ),
"")</f>
        <v/>
      </c>
      <c r="L511" s="32" t="str">
        <f>IFERROR( VALUE($H511) * INDEX(#REF!, MATCH(UPPER(TRIM($F511)),#REF!,0)), "" )</f>
        <v/>
      </c>
    </row>
    <row r="512" spans="1:12" x14ac:dyDescent="0.2">
      <c r="A512" s="21"/>
      <c r="B512" s="28"/>
      <c r="J512" s="52" t="str">
        <f>IFERROR($H512*#REF!,"")</f>
        <v/>
      </c>
      <c r="K512" s="154" t="str" cm="1">
        <f t="array" ref="K512">IFERROR(
  VALUE($H512) *
  VALUE(
    _xlfn.XLOOKUP(
      TRIM($F512) &amp; "|" &amp; LEFT(SUBSTITUTE($G512,CHAR(160)," "),5) &amp; "|Ideas Rate",
      TRIM(SUBSTITUTE($N$2:$N$38,CHAR(160)," ")) &amp; "|" &amp;
      LEFT(SUBSTITUTE($O$2:$O$38,CHAR(160)," "),5) &amp; "|" &amp;
      TRIM(SUBSTITUTE($P$2:$P$38,CHAR(160)," ")),
      $Q$2:$Q$38
    )
  ),
"")</f>
        <v/>
      </c>
      <c r="L512" s="32" t="str">
        <f>IFERROR( VALUE($H512) * INDEX(#REF!, MATCH(UPPER(TRIM($F512)),#REF!,0)), "" )</f>
        <v/>
      </c>
    </row>
    <row r="513" spans="1:12" x14ac:dyDescent="0.2">
      <c r="A513" s="21"/>
      <c r="B513" s="28"/>
      <c r="J513" s="52" t="str">
        <f>IFERROR($H513*#REF!,"")</f>
        <v/>
      </c>
      <c r="K513" s="154" t="str" cm="1">
        <f t="array" ref="K513">IFERROR(
  VALUE($H513) *
  VALUE(
    _xlfn.XLOOKUP(
      TRIM($F513) &amp; "|" &amp; LEFT(SUBSTITUTE($G513,CHAR(160)," "),5) &amp; "|Ideas Rate",
      TRIM(SUBSTITUTE($N$2:$N$38,CHAR(160)," ")) &amp; "|" &amp;
      LEFT(SUBSTITUTE($O$2:$O$38,CHAR(160)," "),5) &amp; "|" &amp;
      TRIM(SUBSTITUTE($P$2:$P$38,CHAR(160)," ")),
      $Q$2:$Q$38
    )
  ),
"")</f>
        <v/>
      </c>
      <c r="L513" s="32" t="str">
        <f>IFERROR( VALUE($H513) * INDEX(#REF!, MATCH(UPPER(TRIM($F513)),#REF!,0)), "" )</f>
        <v/>
      </c>
    </row>
    <row r="514" spans="1:12" x14ac:dyDescent="0.2">
      <c r="A514" s="21"/>
      <c r="B514" s="28"/>
      <c r="J514" s="52" t="str">
        <f>IFERROR($H514*#REF!,"")</f>
        <v/>
      </c>
      <c r="K514" s="154" t="str" cm="1">
        <f t="array" ref="K514">IFERROR(
  VALUE($H514) *
  VALUE(
    _xlfn.XLOOKUP(
      TRIM($F514) &amp; "|" &amp; LEFT(SUBSTITUTE($G514,CHAR(160)," "),5) &amp; "|Ideas Rate",
      TRIM(SUBSTITUTE($N$2:$N$38,CHAR(160)," ")) &amp; "|" &amp;
      LEFT(SUBSTITUTE($O$2:$O$38,CHAR(160)," "),5) &amp; "|" &amp;
      TRIM(SUBSTITUTE($P$2:$P$38,CHAR(160)," ")),
      $Q$2:$Q$38
    )
  ),
"")</f>
        <v/>
      </c>
      <c r="L514" s="32" t="str">
        <f>IFERROR( VALUE($H514) * INDEX(#REF!, MATCH(UPPER(TRIM($F514)),#REF!,0)), "" )</f>
        <v/>
      </c>
    </row>
    <row r="515" spans="1:12" x14ac:dyDescent="0.2">
      <c r="A515" s="21"/>
      <c r="B515" s="28"/>
      <c r="J515" s="52" t="str">
        <f>IFERROR($H515*#REF!,"")</f>
        <v/>
      </c>
      <c r="K515" s="154" t="str" cm="1">
        <f t="array" ref="K515">IFERROR(
  VALUE($H515) *
  VALUE(
    _xlfn.XLOOKUP(
      TRIM($F515) &amp; "|" &amp; LEFT(SUBSTITUTE($G515,CHAR(160)," "),5) &amp; "|Ideas Rate",
      TRIM(SUBSTITUTE($N$2:$N$38,CHAR(160)," ")) &amp; "|" &amp;
      LEFT(SUBSTITUTE($O$2:$O$38,CHAR(160)," "),5) &amp; "|" &amp;
      TRIM(SUBSTITUTE($P$2:$P$38,CHAR(160)," ")),
      $Q$2:$Q$38
    )
  ),
"")</f>
        <v/>
      </c>
      <c r="L515" s="32" t="str">
        <f>IFERROR( VALUE($H515) * INDEX(#REF!, MATCH(UPPER(TRIM($F515)),#REF!,0)), "" )</f>
        <v/>
      </c>
    </row>
    <row r="516" spans="1:12" x14ac:dyDescent="0.2">
      <c r="A516" s="21"/>
      <c r="B516" s="28"/>
      <c r="J516" s="52" t="str">
        <f>IFERROR($H516*#REF!,"")</f>
        <v/>
      </c>
      <c r="K516" s="154" t="str" cm="1">
        <f t="array" ref="K516">IFERROR(
  VALUE($H516) *
  VALUE(
    _xlfn.XLOOKUP(
      TRIM($F516) &amp; "|" &amp; LEFT(SUBSTITUTE($G516,CHAR(160)," "),5) &amp; "|Ideas Rate",
      TRIM(SUBSTITUTE($N$2:$N$38,CHAR(160)," ")) &amp; "|" &amp;
      LEFT(SUBSTITUTE($O$2:$O$38,CHAR(160)," "),5) &amp; "|" &amp;
      TRIM(SUBSTITUTE($P$2:$P$38,CHAR(160)," ")),
      $Q$2:$Q$38
    )
  ),
"")</f>
        <v/>
      </c>
      <c r="L516" s="32" t="str">
        <f>IFERROR( VALUE($H516) * INDEX(#REF!, MATCH(UPPER(TRIM($F516)),#REF!,0)), "" )</f>
        <v/>
      </c>
    </row>
    <row r="517" spans="1:12" x14ac:dyDescent="0.2">
      <c r="A517" s="21"/>
      <c r="B517" s="28"/>
      <c r="J517" s="52" t="str">
        <f>IFERROR($H517*#REF!,"")</f>
        <v/>
      </c>
      <c r="K517" s="154" t="str" cm="1">
        <f t="array" ref="K517">IFERROR(
  VALUE($H517) *
  VALUE(
    _xlfn.XLOOKUP(
      TRIM($F517) &amp; "|" &amp; LEFT(SUBSTITUTE($G517,CHAR(160)," "),5) &amp; "|Ideas Rate",
      TRIM(SUBSTITUTE($N$2:$N$38,CHAR(160)," ")) &amp; "|" &amp;
      LEFT(SUBSTITUTE($O$2:$O$38,CHAR(160)," "),5) &amp; "|" &amp;
      TRIM(SUBSTITUTE($P$2:$P$38,CHAR(160)," ")),
      $Q$2:$Q$38
    )
  ),
"")</f>
        <v/>
      </c>
      <c r="L517" s="32" t="str">
        <f>IFERROR( VALUE($H517) * INDEX(#REF!, MATCH(UPPER(TRIM($F517)),#REF!,0)), "" )</f>
        <v/>
      </c>
    </row>
    <row r="518" spans="1:12" x14ac:dyDescent="0.2">
      <c r="A518" s="21"/>
      <c r="B518" s="28"/>
      <c r="J518" s="52" t="str">
        <f>IFERROR($H518*#REF!,"")</f>
        <v/>
      </c>
      <c r="K518" s="154" t="str" cm="1">
        <f t="array" ref="K518">IFERROR(
  VALUE($H518) *
  VALUE(
    _xlfn.XLOOKUP(
      TRIM($F518) &amp; "|" &amp; LEFT(SUBSTITUTE($G518,CHAR(160)," "),5) &amp; "|Ideas Rate",
      TRIM(SUBSTITUTE($N$2:$N$38,CHAR(160)," ")) &amp; "|" &amp;
      LEFT(SUBSTITUTE($O$2:$O$38,CHAR(160)," "),5) &amp; "|" &amp;
      TRIM(SUBSTITUTE($P$2:$P$38,CHAR(160)," ")),
      $Q$2:$Q$38
    )
  ),
"")</f>
        <v/>
      </c>
      <c r="L518" s="32" t="str">
        <f>IFERROR( VALUE($H518) * INDEX(#REF!, MATCH(UPPER(TRIM($F518)),#REF!,0)), "" )</f>
        <v/>
      </c>
    </row>
    <row r="519" spans="1:12" x14ac:dyDescent="0.2">
      <c r="A519" s="21"/>
      <c r="B519" s="28"/>
      <c r="J519" s="52" t="str">
        <f>IFERROR($H519*#REF!,"")</f>
        <v/>
      </c>
      <c r="K519" s="154" t="str" cm="1">
        <f t="array" ref="K519">IFERROR(
  VALUE($H519) *
  VALUE(
    _xlfn.XLOOKUP(
      TRIM($F519) &amp; "|" &amp; LEFT(SUBSTITUTE($G519,CHAR(160)," "),5) &amp; "|Ideas Rate",
      TRIM(SUBSTITUTE($N$2:$N$38,CHAR(160)," ")) &amp; "|" &amp;
      LEFT(SUBSTITUTE($O$2:$O$38,CHAR(160)," "),5) &amp; "|" &amp;
      TRIM(SUBSTITUTE($P$2:$P$38,CHAR(160)," ")),
      $Q$2:$Q$38
    )
  ),
"")</f>
        <v/>
      </c>
      <c r="L519" s="32" t="str">
        <f>IFERROR( VALUE($H519) * INDEX(#REF!, MATCH(UPPER(TRIM($F519)),#REF!,0)), "" )</f>
        <v/>
      </c>
    </row>
    <row r="520" spans="1:12" x14ac:dyDescent="0.2">
      <c r="A520" s="21"/>
      <c r="B520" s="28"/>
      <c r="J520" s="52" t="str">
        <f>IFERROR($H520*#REF!,"")</f>
        <v/>
      </c>
      <c r="K520" s="154" t="str" cm="1">
        <f t="array" ref="K520">IFERROR(
  VALUE($H520) *
  VALUE(
    _xlfn.XLOOKUP(
      TRIM($F520) &amp; "|" &amp; LEFT(SUBSTITUTE($G520,CHAR(160)," "),5) &amp; "|Ideas Rate",
      TRIM(SUBSTITUTE($N$2:$N$38,CHAR(160)," ")) &amp; "|" &amp;
      LEFT(SUBSTITUTE($O$2:$O$38,CHAR(160)," "),5) &amp; "|" &amp;
      TRIM(SUBSTITUTE($P$2:$P$38,CHAR(160)," ")),
      $Q$2:$Q$38
    )
  ),
"")</f>
        <v/>
      </c>
      <c r="L520" s="32" t="str">
        <f>IFERROR( VALUE($H520) * INDEX(#REF!, MATCH(UPPER(TRIM($F520)),#REF!,0)), "" )</f>
        <v/>
      </c>
    </row>
    <row r="521" spans="1:12" x14ac:dyDescent="0.2">
      <c r="A521" s="21"/>
      <c r="B521" s="28"/>
      <c r="J521" s="52" t="str">
        <f>IFERROR($H521*#REF!,"")</f>
        <v/>
      </c>
      <c r="K521" s="154" t="str" cm="1">
        <f t="array" ref="K521">IFERROR(
  VALUE($H521) *
  VALUE(
    _xlfn.XLOOKUP(
      TRIM($F521) &amp; "|" &amp; LEFT(SUBSTITUTE($G521,CHAR(160)," "),5) &amp; "|Ideas Rate",
      TRIM(SUBSTITUTE($N$2:$N$38,CHAR(160)," ")) &amp; "|" &amp;
      LEFT(SUBSTITUTE($O$2:$O$38,CHAR(160)," "),5) &amp; "|" &amp;
      TRIM(SUBSTITUTE($P$2:$P$38,CHAR(160)," ")),
      $Q$2:$Q$38
    )
  ),
"")</f>
        <v/>
      </c>
      <c r="L521" s="32" t="str">
        <f>IFERROR( VALUE($H521) * INDEX(#REF!, MATCH(UPPER(TRIM($F521)),#REF!,0)), "" )</f>
        <v/>
      </c>
    </row>
    <row r="522" spans="1:12" x14ac:dyDescent="0.2">
      <c r="A522" s="21"/>
      <c r="B522" s="28"/>
      <c r="J522" s="52" t="str">
        <f>IFERROR($H522*#REF!,"")</f>
        <v/>
      </c>
      <c r="K522" s="154" t="str" cm="1">
        <f t="array" ref="K522">IFERROR(
  VALUE($H522) *
  VALUE(
    _xlfn.XLOOKUP(
      TRIM($F522) &amp; "|" &amp; LEFT(SUBSTITUTE($G522,CHAR(160)," "),5) &amp; "|Ideas Rate",
      TRIM(SUBSTITUTE($N$2:$N$38,CHAR(160)," ")) &amp; "|" &amp;
      LEFT(SUBSTITUTE($O$2:$O$38,CHAR(160)," "),5) &amp; "|" &amp;
      TRIM(SUBSTITUTE($P$2:$P$38,CHAR(160)," ")),
      $Q$2:$Q$38
    )
  ),
"")</f>
        <v/>
      </c>
      <c r="L522" s="32" t="str">
        <f>IFERROR( VALUE($H522) * INDEX(#REF!, MATCH(UPPER(TRIM($F522)),#REF!,0)), "" )</f>
        <v/>
      </c>
    </row>
    <row r="523" spans="1:12" x14ac:dyDescent="0.2">
      <c r="A523" s="21"/>
      <c r="B523" s="28"/>
      <c r="J523" s="52" t="str">
        <f>IFERROR($H523*#REF!,"")</f>
        <v/>
      </c>
      <c r="K523" s="154" t="str" cm="1">
        <f t="array" ref="K523">IFERROR(
  VALUE($H523) *
  VALUE(
    _xlfn.XLOOKUP(
      TRIM($F523) &amp; "|" &amp; LEFT(SUBSTITUTE($G523,CHAR(160)," "),5) &amp; "|Ideas Rate",
      TRIM(SUBSTITUTE($N$2:$N$38,CHAR(160)," ")) &amp; "|" &amp;
      LEFT(SUBSTITUTE($O$2:$O$38,CHAR(160)," "),5) &amp; "|" &amp;
      TRIM(SUBSTITUTE($P$2:$P$38,CHAR(160)," ")),
      $Q$2:$Q$38
    )
  ),
"")</f>
        <v/>
      </c>
      <c r="L523" s="32" t="str">
        <f>IFERROR( VALUE($H523) * INDEX(#REF!, MATCH(UPPER(TRIM($F523)),#REF!,0)), "" )</f>
        <v/>
      </c>
    </row>
    <row r="524" spans="1:12" x14ac:dyDescent="0.2">
      <c r="A524" s="21"/>
      <c r="B524" s="28"/>
      <c r="J524" s="52" t="str">
        <f>IFERROR($H524*#REF!,"")</f>
        <v/>
      </c>
      <c r="K524" s="154" t="str" cm="1">
        <f t="array" ref="K524">IFERROR(
  VALUE($H524) *
  VALUE(
    _xlfn.XLOOKUP(
      TRIM($F524) &amp; "|" &amp; LEFT(SUBSTITUTE($G524,CHAR(160)," "),5) &amp; "|Ideas Rate",
      TRIM(SUBSTITUTE($N$2:$N$38,CHAR(160)," ")) &amp; "|" &amp;
      LEFT(SUBSTITUTE($O$2:$O$38,CHAR(160)," "),5) &amp; "|" &amp;
      TRIM(SUBSTITUTE($P$2:$P$38,CHAR(160)," ")),
      $Q$2:$Q$38
    )
  ),
"")</f>
        <v/>
      </c>
      <c r="L524" s="32" t="str">
        <f>IFERROR( VALUE($H524) * INDEX(#REF!, MATCH(UPPER(TRIM($F524)),#REF!,0)), "" )</f>
        <v/>
      </c>
    </row>
    <row r="525" spans="1:12" x14ac:dyDescent="0.2">
      <c r="A525" s="21"/>
      <c r="B525" s="28"/>
      <c r="J525" s="52" t="str">
        <f>IFERROR($H525*#REF!,"")</f>
        <v/>
      </c>
      <c r="K525" s="154" t="str" cm="1">
        <f t="array" ref="K525">IFERROR(
  VALUE($H525) *
  VALUE(
    _xlfn.XLOOKUP(
      TRIM($F525) &amp; "|" &amp; LEFT(SUBSTITUTE($G525,CHAR(160)," "),5) &amp; "|Ideas Rate",
      TRIM(SUBSTITUTE($N$2:$N$38,CHAR(160)," ")) &amp; "|" &amp;
      LEFT(SUBSTITUTE($O$2:$O$38,CHAR(160)," "),5) &amp; "|" &amp;
      TRIM(SUBSTITUTE($P$2:$P$38,CHAR(160)," ")),
      $Q$2:$Q$38
    )
  ),
"")</f>
        <v/>
      </c>
      <c r="L525" s="32" t="str">
        <f>IFERROR( VALUE($H525) * INDEX(#REF!, MATCH(UPPER(TRIM($F525)),#REF!,0)), "" )</f>
        <v/>
      </c>
    </row>
    <row r="526" spans="1:12" x14ac:dyDescent="0.2">
      <c r="A526" s="21"/>
      <c r="B526" s="28"/>
      <c r="J526" s="52" t="str">
        <f>IFERROR($H526*#REF!,"")</f>
        <v/>
      </c>
      <c r="K526" s="154" t="str" cm="1">
        <f t="array" ref="K526">IFERROR(
  VALUE($H526) *
  VALUE(
    _xlfn.XLOOKUP(
      TRIM($F526) &amp; "|" &amp; LEFT(SUBSTITUTE($G526,CHAR(160)," "),5) &amp; "|Ideas Rate",
      TRIM(SUBSTITUTE($N$2:$N$38,CHAR(160)," ")) &amp; "|" &amp;
      LEFT(SUBSTITUTE($O$2:$O$38,CHAR(160)," "),5) &amp; "|" &amp;
      TRIM(SUBSTITUTE($P$2:$P$38,CHAR(160)," ")),
      $Q$2:$Q$38
    )
  ),
"")</f>
        <v/>
      </c>
      <c r="L526" s="32" t="str">
        <f>IFERROR( VALUE($H526) * INDEX(#REF!, MATCH(UPPER(TRIM($F526)),#REF!,0)), "" )</f>
        <v/>
      </c>
    </row>
    <row r="527" spans="1:12" x14ac:dyDescent="0.2">
      <c r="A527" s="21"/>
      <c r="B527" s="28"/>
      <c r="J527" s="52" t="str">
        <f>IFERROR($H527*#REF!,"")</f>
        <v/>
      </c>
      <c r="K527" s="154" t="str" cm="1">
        <f t="array" ref="K527">IFERROR(
  VALUE($H527) *
  VALUE(
    _xlfn.XLOOKUP(
      TRIM($F527) &amp; "|" &amp; LEFT(SUBSTITUTE($G527,CHAR(160)," "),5) &amp; "|Ideas Rate",
      TRIM(SUBSTITUTE($N$2:$N$38,CHAR(160)," ")) &amp; "|" &amp;
      LEFT(SUBSTITUTE($O$2:$O$38,CHAR(160)," "),5) &amp; "|" &amp;
      TRIM(SUBSTITUTE($P$2:$P$38,CHAR(160)," ")),
      $Q$2:$Q$38
    )
  ),
"")</f>
        <v/>
      </c>
      <c r="L527" s="32" t="str">
        <f>IFERROR( VALUE($H527) * INDEX(#REF!, MATCH(UPPER(TRIM($F527)),#REF!,0)), "" )</f>
        <v/>
      </c>
    </row>
    <row r="528" spans="1:12" x14ac:dyDescent="0.2">
      <c r="A528" s="21"/>
      <c r="B528" s="28"/>
      <c r="J528" s="52" t="str">
        <f>IFERROR($H528*#REF!,"")</f>
        <v/>
      </c>
      <c r="K528" s="154" t="str" cm="1">
        <f t="array" ref="K528">IFERROR(
  VALUE($H528) *
  VALUE(
    _xlfn.XLOOKUP(
      TRIM($F528) &amp; "|" &amp; LEFT(SUBSTITUTE($G528,CHAR(160)," "),5) &amp; "|Ideas Rate",
      TRIM(SUBSTITUTE($N$2:$N$38,CHAR(160)," ")) &amp; "|" &amp;
      LEFT(SUBSTITUTE($O$2:$O$38,CHAR(160)," "),5) &amp; "|" &amp;
      TRIM(SUBSTITUTE($P$2:$P$38,CHAR(160)," ")),
      $Q$2:$Q$38
    )
  ),
"")</f>
        <v/>
      </c>
      <c r="L528" s="32" t="str">
        <f>IFERROR( VALUE($H528) * INDEX(#REF!, MATCH(UPPER(TRIM($F528)),#REF!,0)), "" )</f>
        <v/>
      </c>
    </row>
    <row r="529" spans="1:12" x14ac:dyDescent="0.2">
      <c r="A529" s="21"/>
      <c r="B529" s="28"/>
      <c r="J529" s="52" t="str">
        <f>IFERROR($H529*#REF!,"")</f>
        <v/>
      </c>
      <c r="K529" s="154" t="str" cm="1">
        <f t="array" ref="K529">IFERROR(
  VALUE($H529) *
  VALUE(
    _xlfn.XLOOKUP(
      TRIM($F529) &amp; "|" &amp; LEFT(SUBSTITUTE($G529,CHAR(160)," "),5) &amp; "|Ideas Rate",
      TRIM(SUBSTITUTE($N$2:$N$38,CHAR(160)," ")) &amp; "|" &amp;
      LEFT(SUBSTITUTE($O$2:$O$38,CHAR(160)," "),5) &amp; "|" &amp;
      TRIM(SUBSTITUTE($P$2:$P$38,CHAR(160)," ")),
      $Q$2:$Q$38
    )
  ),
"")</f>
        <v/>
      </c>
      <c r="L529" s="32" t="str">
        <f>IFERROR( VALUE($H529) * INDEX(#REF!, MATCH(UPPER(TRIM($F529)),#REF!,0)), "" )</f>
        <v/>
      </c>
    </row>
    <row r="530" spans="1:12" x14ac:dyDescent="0.2">
      <c r="A530" s="21"/>
      <c r="B530" s="28"/>
      <c r="J530" s="52" t="str">
        <f>IFERROR($H530*#REF!,"")</f>
        <v/>
      </c>
      <c r="K530" s="154" t="str" cm="1">
        <f t="array" ref="K530">IFERROR(
  VALUE($H530) *
  VALUE(
    _xlfn.XLOOKUP(
      TRIM($F530) &amp; "|" &amp; LEFT(SUBSTITUTE($G530,CHAR(160)," "),5) &amp; "|Ideas Rate",
      TRIM(SUBSTITUTE($N$2:$N$38,CHAR(160)," ")) &amp; "|" &amp;
      LEFT(SUBSTITUTE($O$2:$O$38,CHAR(160)," "),5) &amp; "|" &amp;
      TRIM(SUBSTITUTE($P$2:$P$38,CHAR(160)," ")),
      $Q$2:$Q$38
    )
  ),
"")</f>
        <v/>
      </c>
      <c r="L530" s="32" t="str">
        <f>IFERROR( VALUE($H530) * INDEX(#REF!, MATCH(UPPER(TRIM($F530)),#REF!,0)), "" )</f>
        <v/>
      </c>
    </row>
    <row r="531" spans="1:12" x14ac:dyDescent="0.2">
      <c r="A531" s="21"/>
      <c r="B531" s="28"/>
      <c r="J531" s="52" t="str">
        <f>IFERROR($H531*#REF!,"")</f>
        <v/>
      </c>
      <c r="K531" s="154" t="str" cm="1">
        <f t="array" ref="K531">IFERROR(
  VALUE($H531) *
  VALUE(
    _xlfn.XLOOKUP(
      TRIM($F531) &amp; "|" &amp; LEFT(SUBSTITUTE($G531,CHAR(160)," "),5) &amp; "|Ideas Rate",
      TRIM(SUBSTITUTE($N$2:$N$38,CHAR(160)," ")) &amp; "|" &amp;
      LEFT(SUBSTITUTE($O$2:$O$38,CHAR(160)," "),5) &amp; "|" &amp;
      TRIM(SUBSTITUTE($P$2:$P$38,CHAR(160)," ")),
      $Q$2:$Q$38
    )
  ),
"")</f>
        <v/>
      </c>
      <c r="L531" s="32" t="str">
        <f>IFERROR( VALUE($H531) * INDEX(#REF!, MATCH(UPPER(TRIM($F531)),#REF!,0)), "" )</f>
        <v/>
      </c>
    </row>
    <row r="532" spans="1:12" x14ac:dyDescent="0.2">
      <c r="A532" s="21"/>
      <c r="B532" s="28"/>
      <c r="J532" s="52" t="str">
        <f>IFERROR($H532*#REF!,"")</f>
        <v/>
      </c>
      <c r="K532" s="154" t="str" cm="1">
        <f t="array" ref="K532">IFERROR(
  VALUE($H532) *
  VALUE(
    _xlfn.XLOOKUP(
      TRIM($F532) &amp; "|" &amp; LEFT(SUBSTITUTE($G532,CHAR(160)," "),5) &amp; "|Ideas Rate",
      TRIM(SUBSTITUTE($N$2:$N$38,CHAR(160)," ")) &amp; "|" &amp;
      LEFT(SUBSTITUTE($O$2:$O$38,CHAR(160)," "),5) &amp; "|" &amp;
      TRIM(SUBSTITUTE($P$2:$P$38,CHAR(160)," ")),
      $Q$2:$Q$38
    )
  ),
"")</f>
        <v/>
      </c>
      <c r="L532" s="32" t="str">
        <f>IFERROR( VALUE($H532) * INDEX(#REF!, MATCH(UPPER(TRIM($F532)),#REF!,0)), "" )</f>
        <v/>
      </c>
    </row>
    <row r="533" spans="1:12" x14ac:dyDescent="0.2">
      <c r="A533" s="21"/>
      <c r="B533" s="28"/>
      <c r="J533" s="52" t="str">
        <f>IFERROR($H533*#REF!,"")</f>
        <v/>
      </c>
      <c r="K533" s="154" t="str" cm="1">
        <f t="array" ref="K533">IFERROR(
  VALUE($H533) *
  VALUE(
    _xlfn.XLOOKUP(
      TRIM($F533) &amp; "|" &amp; LEFT(SUBSTITUTE($G533,CHAR(160)," "),5) &amp; "|Ideas Rate",
      TRIM(SUBSTITUTE($N$2:$N$38,CHAR(160)," ")) &amp; "|" &amp;
      LEFT(SUBSTITUTE($O$2:$O$38,CHAR(160)," "),5) &amp; "|" &amp;
      TRIM(SUBSTITUTE($P$2:$P$38,CHAR(160)," ")),
      $Q$2:$Q$38
    )
  ),
"")</f>
        <v/>
      </c>
      <c r="L533" s="32" t="str">
        <f>IFERROR( VALUE($H533) * INDEX(#REF!, MATCH(UPPER(TRIM($F533)),#REF!,0)), "" )</f>
        <v/>
      </c>
    </row>
    <row r="534" spans="1:12" x14ac:dyDescent="0.2">
      <c r="A534" s="21"/>
      <c r="B534" s="28"/>
      <c r="J534" s="52" t="str">
        <f>IFERROR($H534*#REF!,"")</f>
        <v/>
      </c>
      <c r="K534" s="154" t="str" cm="1">
        <f t="array" ref="K534">IFERROR(
  VALUE($H534) *
  VALUE(
    _xlfn.XLOOKUP(
      TRIM($F534) &amp; "|" &amp; LEFT(SUBSTITUTE($G534,CHAR(160)," "),5) &amp; "|Ideas Rate",
      TRIM(SUBSTITUTE($N$2:$N$38,CHAR(160)," ")) &amp; "|" &amp;
      LEFT(SUBSTITUTE($O$2:$O$38,CHAR(160)," "),5) &amp; "|" &amp;
      TRIM(SUBSTITUTE($P$2:$P$38,CHAR(160)," ")),
      $Q$2:$Q$38
    )
  ),
"")</f>
        <v/>
      </c>
      <c r="L534" s="32" t="str">
        <f>IFERROR( VALUE($H534) * INDEX(#REF!, MATCH(UPPER(TRIM($F534)),#REF!,0)), "" )</f>
        <v/>
      </c>
    </row>
    <row r="535" spans="1:12" x14ac:dyDescent="0.2">
      <c r="A535" s="21"/>
      <c r="B535" s="28"/>
      <c r="J535" s="52" t="str">
        <f>IFERROR($H535*#REF!,"")</f>
        <v/>
      </c>
      <c r="K535" s="154" t="str" cm="1">
        <f t="array" ref="K535">IFERROR(
  VALUE($H535) *
  VALUE(
    _xlfn.XLOOKUP(
      TRIM($F535) &amp; "|" &amp; LEFT(SUBSTITUTE($G535,CHAR(160)," "),5) &amp; "|Ideas Rate",
      TRIM(SUBSTITUTE($N$2:$N$38,CHAR(160)," ")) &amp; "|" &amp;
      LEFT(SUBSTITUTE($O$2:$O$38,CHAR(160)," "),5) &amp; "|" &amp;
      TRIM(SUBSTITUTE($P$2:$P$38,CHAR(160)," ")),
      $Q$2:$Q$38
    )
  ),
"")</f>
        <v/>
      </c>
      <c r="L535" s="32" t="str">
        <f>IFERROR( VALUE($H535) * INDEX(#REF!, MATCH(UPPER(TRIM($F535)),#REF!,0)), "" )</f>
        <v/>
      </c>
    </row>
    <row r="536" spans="1:12" x14ac:dyDescent="0.2">
      <c r="A536" s="21"/>
      <c r="B536" s="28"/>
      <c r="J536" s="52" t="str">
        <f>IFERROR($H536*#REF!,"")</f>
        <v/>
      </c>
      <c r="K536" s="154" t="str" cm="1">
        <f t="array" ref="K536">IFERROR(
  VALUE($H536) *
  VALUE(
    _xlfn.XLOOKUP(
      TRIM($F536) &amp; "|" &amp; LEFT(SUBSTITUTE($G536,CHAR(160)," "),5) &amp; "|Ideas Rate",
      TRIM(SUBSTITUTE($N$2:$N$38,CHAR(160)," ")) &amp; "|" &amp;
      LEFT(SUBSTITUTE($O$2:$O$38,CHAR(160)," "),5) &amp; "|" &amp;
      TRIM(SUBSTITUTE($P$2:$P$38,CHAR(160)," ")),
      $Q$2:$Q$38
    )
  ),
"")</f>
        <v/>
      </c>
      <c r="L536" s="32" t="str">
        <f>IFERROR( VALUE($H536) * INDEX(#REF!, MATCH(UPPER(TRIM($F536)),#REF!,0)), "" )</f>
        <v/>
      </c>
    </row>
    <row r="537" spans="1:12" x14ac:dyDescent="0.2">
      <c r="A537" s="21"/>
      <c r="B537" s="28"/>
      <c r="J537" s="52" t="str">
        <f>IFERROR($H537*#REF!,"")</f>
        <v/>
      </c>
      <c r="K537" s="154" t="str" cm="1">
        <f t="array" ref="K537">IFERROR(
  VALUE($H537) *
  VALUE(
    _xlfn.XLOOKUP(
      TRIM($F537) &amp; "|" &amp; LEFT(SUBSTITUTE($G537,CHAR(160)," "),5) &amp; "|Ideas Rate",
      TRIM(SUBSTITUTE($N$2:$N$38,CHAR(160)," ")) &amp; "|" &amp;
      LEFT(SUBSTITUTE($O$2:$O$38,CHAR(160)," "),5) &amp; "|" &amp;
      TRIM(SUBSTITUTE($P$2:$P$38,CHAR(160)," ")),
      $Q$2:$Q$38
    )
  ),
"")</f>
        <v/>
      </c>
      <c r="L537" s="32" t="str">
        <f>IFERROR( VALUE($H537) * INDEX(#REF!, MATCH(UPPER(TRIM($F537)),#REF!,0)), "" )</f>
        <v/>
      </c>
    </row>
    <row r="538" spans="1:12" x14ac:dyDescent="0.2">
      <c r="A538" s="21"/>
      <c r="B538" s="28"/>
      <c r="J538" s="52" t="str">
        <f>IFERROR($H538*#REF!,"")</f>
        <v/>
      </c>
      <c r="K538" s="154" t="str" cm="1">
        <f t="array" ref="K538">IFERROR(
  VALUE($H538) *
  VALUE(
    _xlfn.XLOOKUP(
      TRIM($F538) &amp; "|" &amp; LEFT(SUBSTITUTE($G538,CHAR(160)," "),5) &amp; "|Ideas Rate",
      TRIM(SUBSTITUTE($N$2:$N$38,CHAR(160)," ")) &amp; "|" &amp;
      LEFT(SUBSTITUTE($O$2:$O$38,CHAR(160)," "),5) &amp; "|" &amp;
      TRIM(SUBSTITUTE($P$2:$P$38,CHAR(160)," ")),
      $Q$2:$Q$38
    )
  ),
"")</f>
        <v/>
      </c>
      <c r="L538" s="32" t="str">
        <f>IFERROR( VALUE($H538) * INDEX(#REF!, MATCH(UPPER(TRIM($F538)),#REF!,0)), "" )</f>
        <v/>
      </c>
    </row>
    <row r="539" spans="1:12" x14ac:dyDescent="0.2">
      <c r="A539" s="21"/>
      <c r="B539" s="28"/>
      <c r="J539" s="52" t="str">
        <f>IFERROR($H539*#REF!,"")</f>
        <v/>
      </c>
      <c r="K539" s="154" t="str" cm="1">
        <f t="array" ref="K539">IFERROR(
  VALUE($H539) *
  VALUE(
    _xlfn.XLOOKUP(
      TRIM($F539) &amp; "|" &amp; LEFT(SUBSTITUTE($G539,CHAR(160)," "),5) &amp; "|Ideas Rate",
      TRIM(SUBSTITUTE($N$2:$N$38,CHAR(160)," ")) &amp; "|" &amp;
      LEFT(SUBSTITUTE($O$2:$O$38,CHAR(160)," "),5) &amp; "|" &amp;
      TRIM(SUBSTITUTE($P$2:$P$38,CHAR(160)," ")),
      $Q$2:$Q$38
    )
  ),
"")</f>
        <v/>
      </c>
      <c r="L539" s="32" t="str">
        <f>IFERROR( VALUE($H539) * INDEX(#REF!, MATCH(UPPER(TRIM($F539)),#REF!,0)), "" )</f>
        <v/>
      </c>
    </row>
    <row r="540" spans="1:12" x14ac:dyDescent="0.2">
      <c r="A540" s="21"/>
      <c r="B540" s="28"/>
      <c r="J540" s="52" t="str">
        <f>IFERROR($H540*#REF!,"")</f>
        <v/>
      </c>
      <c r="K540" s="154" t="str" cm="1">
        <f t="array" ref="K540">IFERROR(
  VALUE($H540) *
  VALUE(
    _xlfn.XLOOKUP(
      TRIM($F540) &amp; "|" &amp; LEFT(SUBSTITUTE($G540,CHAR(160)," "),5) &amp; "|Ideas Rate",
      TRIM(SUBSTITUTE($N$2:$N$38,CHAR(160)," ")) &amp; "|" &amp;
      LEFT(SUBSTITUTE($O$2:$O$38,CHAR(160)," "),5) &amp; "|" &amp;
      TRIM(SUBSTITUTE($P$2:$P$38,CHAR(160)," ")),
      $Q$2:$Q$38
    )
  ),
"")</f>
        <v/>
      </c>
      <c r="L540" s="32" t="str">
        <f>IFERROR( VALUE($H540) * INDEX(#REF!, MATCH(UPPER(TRIM($F540)),#REF!,0)), "" )</f>
        <v/>
      </c>
    </row>
    <row r="541" spans="1:12" x14ac:dyDescent="0.2">
      <c r="A541" s="21"/>
      <c r="B541" s="28"/>
      <c r="J541" s="52" t="str">
        <f>IFERROR($H541*#REF!,"")</f>
        <v/>
      </c>
      <c r="K541" s="154" t="str" cm="1">
        <f t="array" ref="K541">IFERROR(
  VALUE($H541) *
  VALUE(
    _xlfn.XLOOKUP(
      TRIM($F541) &amp; "|" &amp; LEFT(SUBSTITUTE($G541,CHAR(160)," "),5) &amp; "|Ideas Rate",
      TRIM(SUBSTITUTE($N$2:$N$38,CHAR(160)," ")) &amp; "|" &amp;
      LEFT(SUBSTITUTE($O$2:$O$38,CHAR(160)," "),5) &amp; "|" &amp;
      TRIM(SUBSTITUTE($P$2:$P$38,CHAR(160)," ")),
      $Q$2:$Q$38
    )
  ),
"")</f>
        <v/>
      </c>
      <c r="L541" s="32" t="str">
        <f>IFERROR( VALUE($H541) * INDEX(#REF!, MATCH(UPPER(TRIM($F541)),#REF!,0)), "" )</f>
        <v/>
      </c>
    </row>
    <row r="542" spans="1:12" x14ac:dyDescent="0.2">
      <c r="A542" s="21"/>
      <c r="B542" s="28"/>
      <c r="J542" s="52" t="str">
        <f>IFERROR($H542*#REF!,"")</f>
        <v/>
      </c>
      <c r="K542" s="154" t="str" cm="1">
        <f t="array" ref="K542">IFERROR(
  VALUE($H542) *
  VALUE(
    _xlfn.XLOOKUP(
      TRIM($F542) &amp; "|" &amp; LEFT(SUBSTITUTE($G542,CHAR(160)," "),5) &amp; "|Ideas Rate",
      TRIM(SUBSTITUTE($N$2:$N$38,CHAR(160)," ")) &amp; "|" &amp;
      LEFT(SUBSTITUTE($O$2:$O$38,CHAR(160)," "),5) &amp; "|" &amp;
      TRIM(SUBSTITUTE($P$2:$P$38,CHAR(160)," ")),
      $Q$2:$Q$38
    )
  ),
"")</f>
        <v/>
      </c>
      <c r="L542" s="32" t="str">
        <f>IFERROR( VALUE($H542) * INDEX(#REF!, MATCH(UPPER(TRIM($F542)),#REF!,0)), "" )</f>
        <v/>
      </c>
    </row>
    <row r="543" spans="1:12" x14ac:dyDescent="0.2">
      <c r="A543" s="21"/>
      <c r="B543" s="28"/>
      <c r="J543" s="52" t="str">
        <f>IFERROR($H543*#REF!,"")</f>
        <v/>
      </c>
      <c r="K543" s="154" t="str" cm="1">
        <f t="array" ref="K543">IFERROR(
  VALUE($H543) *
  VALUE(
    _xlfn.XLOOKUP(
      TRIM($F543) &amp; "|" &amp; LEFT(SUBSTITUTE($G543,CHAR(160)," "),5) &amp; "|Ideas Rate",
      TRIM(SUBSTITUTE($N$2:$N$38,CHAR(160)," ")) &amp; "|" &amp;
      LEFT(SUBSTITUTE($O$2:$O$38,CHAR(160)," "),5) &amp; "|" &amp;
      TRIM(SUBSTITUTE($P$2:$P$38,CHAR(160)," ")),
      $Q$2:$Q$38
    )
  ),
"")</f>
        <v/>
      </c>
      <c r="L543" s="32" t="str">
        <f>IFERROR( VALUE($H543) * INDEX(#REF!, MATCH(UPPER(TRIM($F543)),#REF!,0)), "" )</f>
        <v/>
      </c>
    </row>
    <row r="544" spans="1:12" x14ac:dyDescent="0.2">
      <c r="A544" s="21"/>
      <c r="B544" s="28"/>
      <c r="J544" s="52" t="str">
        <f>IFERROR($H544*#REF!,"")</f>
        <v/>
      </c>
      <c r="K544" s="154" t="str" cm="1">
        <f t="array" ref="K544">IFERROR(
  VALUE($H544) *
  VALUE(
    _xlfn.XLOOKUP(
      TRIM($F544) &amp; "|" &amp; LEFT(SUBSTITUTE($G544,CHAR(160)," "),5) &amp; "|Ideas Rate",
      TRIM(SUBSTITUTE($N$2:$N$38,CHAR(160)," ")) &amp; "|" &amp;
      LEFT(SUBSTITUTE($O$2:$O$38,CHAR(160)," "),5) &amp; "|" &amp;
      TRIM(SUBSTITUTE($P$2:$P$38,CHAR(160)," ")),
      $Q$2:$Q$38
    )
  ),
"")</f>
        <v/>
      </c>
      <c r="L544" s="32" t="str">
        <f>IFERROR( VALUE($H544) * INDEX(#REF!, MATCH(UPPER(TRIM($F544)),#REF!,0)), "" )</f>
        <v/>
      </c>
    </row>
    <row r="545" spans="1:12" x14ac:dyDescent="0.2">
      <c r="A545" s="21"/>
      <c r="B545" s="28"/>
      <c r="J545" s="52" t="str">
        <f>IFERROR($H545*#REF!,"")</f>
        <v/>
      </c>
      <c r="K545" s="154" t="str" cm="1">
        <f t="array" ref="K545">IFERROR(
  VALUE($H545) *
  VALUE(
    _xlfn.XLOOKUP(
      TRIM($F545) &amp; "|" &amp; LEFT(SUBSTITUTE($G545,CHAR(160)," "),5) &amp; "|Ideas Rate",
      TRIM(SUBSTITUTE($N$2:$N$38,CHAR(160)," ")) &amp; "|" &amp;
      LEFT(SUBSTITUTE($O$2:$O$38,CHAR(160)," "),5) &amp; "|" &amp;
      TRIM(SUBSTITUTE($P$2:$P$38,CHAR(160)," ")),
      $Q$2:$Q$38
    )
  ),
"")</f>
        <v/>
      </c>
      <c r="L545" s="32" t="str">
        <f>IFERROR( VALUE($H545) * INDEX(#REF!, MATCH(UPPER(TRIM($F545)),#REF!,0)), "" )</f>
        <v/>
      </c>
    </row>
    <row r="546" spans="1:12" x14ac:dyDescent="0.2">
      <c r="A546" s="21"/>
      <c r="B546" s="28"/>
      <c r="J546" s="52" t="str">
        <f>IFERROR($H546*#REF!,"")</f>
        <v/>
      </c>
      <c r="K546" s="154" t="str" cm="1">
        <f t="array" ref="K546">IFERROR(
  VALUE($H546) *
  VALUE(
    _xlfn.XLOOKUP(
      TRIM($F546) &amp; "|" &amp; LEFT(SUBSTITUTE($G546,CHAR(160)," "),5) &amp; "|Ideas Rate",
      TRIM(SUBSTITUTE($N$2:$N$38,CHAR(160)," ")) &amp; "|" &amp;
      LEFT(SUBSTITUTE($O$2:$O$38,CHAR(160)," "),5) &amp; "|" &amp;
      TRIM(SUBSTITUTE($P$2:$P$38,CHAR(160)," ")),
      $Q$2:$Q$38
    )
  ),
"")</f>
        <v/>
      </c>
      <c r="L546" s="32" t="str">
        <f>IFERROR( VALUE($H546) * INDEX(#REF!, MATCH(UPPER(TRIM($F546)),#REF!,0)), "" )</f>
        <v/>
      </c>
    </row>
    <row r="547" spans="1:12" x14ac:dyDescent="0.2">
      <c r="A547" s="21"/>
      <c r="B547" s="28"/>
      <c r="J547" s="52" t="str">
        <f>IFERROR($H547*#REF!,"")</f>
        <v/>
      </c>
      <c r="K547" s="154" t="str" cm="1">
        <f t="array" ref="K547">IFERROR(
  VALUE($H547) *
  VALUE(
    _xlfn.XLOOKUP(
      TRIM($F547) &amp; "|" &amp; LEFT(SUBSTITUTE($G547,CHAR(160)," "),5) &amp; "|Ideas Rate",
      TRIM(SUBSTITUTE($N$2:$N$38,CHAR(160)," ")) &amp; "|" &amp;
      LEFT(SUBSTITUTE($O$2:$O$38,CHAR(160)," "),5) &amp; "|" &amp;
      TRIM(SUBSTITUTE($P$2:$P$38,CHAR(160)," ")),
      $Q$2:$Q$38
    )
  ),
"")</f>
        <v/>
      </c>
      <c r="L547" s="32" t="str">
        <f>IFERROR( VALUE($H547) * INDEX(#REF!, MATCH(UPPER(TRIM($F547)),#REF!,0)), "" )</f>
        <v/>
      </c>
    </row>
    <row r="548" spans="1:12" x14ac:dyDescent="0.2">
      <c r="A548" s="21"/>
      <c r="B548" s="28"/>
      <c r="J548" s="52" t="str">
        <f>IFERROR($H548*#REF!,"")</f>
        <v/>
      </c>
      <c r="K548" s="154" t="str" cm="1">
        <f t="array" ref="K548">IFERROR(
  VALUE($H548) *
  VALUE(
    _xlfn.XLOOKUP(
      TRIM($F548) &amp; "|" &amp; LEFT(SUBSTITUTE($G548,CHAR(160)," "),5) &amp; "|Ideas Rate",
      TRIM(SUBSTITUTE($N$2:$N$38,CHAR(160)," ")) &amp; "|" &amp;
      LEFT(SUBSTITUTE($O$2:$O$38,CHAR(160)," "),5) &amp; "|" &amp;
      TRIM(SUBSTITUTE($P$2:$P$38,CHAR(160)," ")),
      $Q$2:$Q$38
    )
  ),
"")</f>
        <v/>
      </c>
      <c r="L548" s="32" t="str">
        <f>IFERROR( VALUE($H548) * INDEX(#REF!, MATCH(UPPER(TRIM($F548)),#REF!,0)), "" )</f>
        <v/>
      </c>
    </row>
    <row r="549" spans="1:12" x14ac:dyDescent="0.2">
      <c r="A549" s="21"/>
      <c r="B549" s="28"/>
      <c r="J549" s="52" t="str">
        <f>IFERROR($H549*#REF!,"")</f>
        <v/>
      </c>
      <c r="K549" s="154" t="str" cm="1">
        <f t="array" ref="K549">IFERROR(
  VALUE($H549) *
  VALUE(
    _xlfn.XLOOKUP(
      TRIM($F549) &amp; "|" &amp; LEFT(SUBSTITUTE($G549,CHAR(160)," "),5) &amp; "|Ideas Rate",
      TRIM(SUBSTITUTE($N$2:$N$38,CHAR(160)," ")) &amp; "|" &amp;
      LEFT(SUBSTITUTE($O$2:$O$38,CHAR(160)," "),5) &amp; "|" &amp;
      TRIM(SUBSTITUTE($P$2:$P$38,CHAR(160)," ")),
      $Q$2:$Q$38
    )
  ),
"")</f>
        <v/>
      </c>
      <c r="L549" s="32" t="str">
        <f>IFERROR( VALUE($H549) * INDEX(#REF!, MATCH(UPPER(TRIM($F549)),#REF!,0)), "" )</f>
        <v/>
      </c>
    </row>
    <row r="550" spans="1:12" x14ac:dyDescent="0.2">
      <c r="A550" s="21"/>
      <c r="B550" s="28"/>
      <c r="J550" s="52" t="str">
        <f>IFERROR($H550*#REF!,"")</f>
        <v/>
      </c>
      <c r="K550" s="154" t="str" cm="1">
        <f t="array" ref="K550">IFERROR(
  VALUE($H550) *
  VALUE(
    _xlfn.XLOOKUP(
      TRIM($F550) &amp; "|" &amp; LEFT(SUBSTITUTE($G550,CHAR(160)," "),5) &amp; "|Ideas Rate",
      TRIM(SUBSTITUTE($N$2:$N$38,CHAR(160)," ")) &amp; "|" &amp;
      LEFT(SUBSTITUTE($O$2:$O$38,CHAR(160)," "),5) &amp; "|" &amp;
      TRIM(SUBSTITUTE($P$2:$P$38,CHAR(160)," ")),
      $Q$2:$Q$38
    )
  ),
"")</f>
        <v/>
      </c>
      <c r="L550" s="32" t="str">
        <f>IFERROR( VALUE($H550) * INDEX(#REF!, MATCH(UPPER(TRIM($F550)),#REF!,0)), "" )</f>
        <v/>
      </c>
    </row>
    <row r="551" spans="1:12" x14ac:dyDescent="0.2">
      <c r="A551" s="21"/>
      <c r="B551" s="28"/>
      <c r="J551" s="52" t="str">
        <f>IFERROR($H551*#REF!,"")</f>
        <v/>
      </c>
      <c r="K551" s="154" t="str" cm="1">
        <f t="array" ref="K551">IFERROR(
  VALUE($H551) *
  VALUE(
    _xlfn.XLOOKUP(
      TRIM($F551) &amp; "|" &amp; LEFT(SUBSTITUTE($G551,CHAR(160)," "),5) &amp; "|Ideas Rate",
      TRIM(SUBSTITUTE($N$2:$N$38,CHAR(160)," ")) &amp; "|" &amp;
      LEFT(SUBSTITUTE($O$2:$O$38,CHAR(160)," "),5) &amp; "|" &amp;
      TRIM(SUBSTITUTE($P$2:$P$38,CHAR(160)," ")),
      $Q$2:$Q$38
    )
  ),
"")</f>
        <v/>
      </c>
      <c r="L551" s="32" t="str">
        <f>IFERROR( VALUE($H551) * INDEX(#REF!, MATCH(UPPER(TRIM($F551)),#REF!,0)), "" )</f>
        <v/>
      </c>
    </row>
    <row r="552" spans="1:12" x14ac:dyDescent="0.2">
      <c r="A552" s="21"/>
      <c r="B552" s="28"/>
      <c r="J552" s="52" t="str">
        <f>IFERROR($H552*#REF!,"")</f>
        <v/>
      </c>
      <c r="K552" s="154" t="str" cm="1">
        <f t="array" ref="K552">IFERROR(
  VALUE($H552) *
  VALUE(
    _xlfn.XLOOKUP(
      TRIM($F552) &amp; "|" &amp; LEFT(SUBSTITUTE($G552,CHAR(160)," "),5) &amp; "|Ideas Rate",
      TRIM(SUBSTITUTE($N$2:$N$38,CHAR(160)," ")) &amp; "|" &amp;
      LEFT(SUBSTITUTE($O$2:$O$38,CHAR(160)," "),5) &amp; "|" &amp;
      TRIM(SUBSTITUTE($P$2:$P$38,CHAR(160)," ")),
      $Q$2:$Q$38
    )
  ),
"")</f>
        <v/>
      </c>
      <c r="L552" s="32" t="str">
        <f>IFERROR( VALUE($H552) * INDEX(#REF!, MATCH(UPPER(TRIM($F552)),#REF!,0)), "" )</f>
        <v/>
      </c>
    </row>
    <row r="553" spans="1:12" x14ac:dyDescent="0.2">
      <c r="A553" s="21"/>
      <c r="B553" s="28"/>
      <c r="J553" s="52" t="str">
        <f>IFERROR($H553*#REF!,"")</f>
        <v/>
      </c>
      <c r="K553" s="154" t="str" cm="1">
        <f t="array" ref="K553">IFERROR(
  VALUE($H553) *
  VALUE(
    _xlfn.XLOOKUP(
      TRIM($F553) &amp; "|" &amp; LEFT(SUBSTITUTE($G553,CHAR(160)," "),5) &amp; "|Ideas Rate",
      TRIM(SUBSTITUTE($N$2:$N$38,CHAR(160)," ")) &amp; "|" &amp;
      LEFT(SUBSTITUTE($O$2:$O$38,CHAR(160)," "),5) &amp; "|" &amp;
      TRIM(SUBSTITUTE($P$2:$P$38,CHAR(160)," ")),
      $Q$2:$Q$38
    )
  ),
"")</f>
        <v/>
      </c>
      <c r="L553" s="32" t="str">
        <f>IFERROR( VALUE($H553) * INDEX(#REF!, MATCH(UPPER(TRIM($F553)),#REF!,0)), "" )</f>
        <v/>
      </c>
    </row>
    <row r="554" spans="1:12" x14ac:dyDescent="0.2">
      <c r="A554" s="21"/>
      <c r="B554" s="28"/>
      <c r="J554" s="52" t="str">
        <f>IFERROR($H554*#REF!,"")</f>
        <v/>
      </c>
      <c r="K554" s="154" t="str" cm="1">
        <f t="array" ref="K554">IFERROR(
  VALUE($H554) *
  VALUE(
    _xlfn.XLOOKUP(
      TRIM($F554) &amp; "|" &amp; LEFT(SUBSTITUTE($G554,CHAR(160)," "),5) &amp; "|Ideas Rate",
      TRIM(SUBSTITUTE($N$2:$N$38,CHAR(160)," ")) &amp; "|" &amp;
      LEFT(SUBSTITUTE($O$2:$O$38,CHAR(160)," "),5) &amp; "|" &amp;
      TRIM(SUBSTITUTE($P$2:$P$38,CHAR(160)," ")),
      $Q$2:$Q$38
    )
  ),
"")</f>
        <v/>
      </c>
      <c r="L554" s="32" t="str">
        <f>IFERROR( VALUE($H554) * INDEX(#REF!, MATCH(UPPER(TRIM($F554)),#REF!,0)), "" )</f>
        <v/>
      </c>
    </row>
    <row r="555" spans="1:12" x14ac:dyDescent="0.2">
      <c r="A555" s="21"/>
      <c r="B555" s="28"/>
      <c r="J555" s="52" t="str">
        <f>IFERROR($H555*#REF!,"")</f>
        <v/>
      </c>
      <c r="K555" s="154" t="str" cm="1">
        <f t="array" ref="K555">IFERROR(
  VALUE($H555) *
  VALUE(
    _xlfn.XLOOKUP(
      TRIM($F555) &amp; "|" &amp; LEFT(SUBSTITUTE($G555,CHAR(160)," "),5) &amp; "|Ideas Rate",
      TRIM(SUBSTITUTE($N$2:$N$38,CHAR(160)," ")) &amp; "|" &amp;
      LEFT(SUBSTITUTE($O$2:$O$38,CHAR(160)," "),5) &amp; "|" &amp;
      TRIM(SUBSTITUTE($P$2:$P$38,CHAR(160)," ")),
      $Q$2:$Q$38
    )
  ),
"")</f>
        <v/>
      </c>
      <c r="L555" s="32" t="str">
        <f>IFERROR( VALUE($H555) * INDEX(#REF!, MATCH(UPPER(TRIM($F555)),#REF!,0)), "" )</f>
        <v/>
      </c>
    </row>
    <row r="556" spans="1:12" x14ac:dyDescent="0.2">
      <c r="A556" s="21"/>
      <c r="B556" s="28"/>
      <c r="J556" s="52" t="str">
        <f>IFERROR($H556*#REF!,"")</f>
        <v/>
      </c>
      <c r="K556" s="154" t="str" cm="1">
        <f t="array" ref="K556">IFERROR(
  VALUE($H556) *
  VALUE(
    _xlfn.XLOOKUP(
      TRIM($F556) &amp; "|" &amp; LEFT(SUBSTITUTE($G556,CHAR(160)," "),5) &amp; "|Ideas Rate",
      TRIM(SUBSTITUTE($N$2:$N$38,CHAR(160)," ")) &amp; "|" &amp;
      LEFT(SUBSTITUTE($O$2:$O$38,CHAR(160)," "),5) &amp; "|" &amp;
      TRIM(SUBSTITUTE($P$2:$P$38,CHAR(160)," ")),
      $Q$2:$Q$38
    )
  ),
"")</f>
        <v/>
      </c>
      <c r="L556" s="32" t="str">
        <f>IFERROR( VALUE($H556) * INDEX(#REF!, MATCH(UPPER(TRIM($F556)),#REF!,0)), "" )</f>
        <v/>
      </c>
    </row>
    <row r="557" spans="1:12" x14ac:dyDescent="0.2">
      <c r="A557" s="21"/>
      <c r="B557" s="28"/>
      <c r="J557" s="52" t="str">
        <f>IFERROR($H557*#REF!,"")</f>
        <v/>
      </c>
      <c r="K557" s="154" t="str" cm="1">
        <f t="array" ref="K557">IFERROR(
  VALUE($H557) *
  VALUE(
    _xlfn.XLOOKUP(
      TRIM($F557) &amp; "|" &amp; LEFT(SUBSTITUTE($G557,CHAR(160)," "),5) &amp; "|Ideas Rate",
      TRIM(SUBSTITUTE($N$2:$N$38,CHAR(160)," ")) &amp; "|" &amp;
      LEFT(SUBSTITUTE($O$2:$O$38,CHAR(160)," "),5) &amp; "|" &amp;
      TRIM(SUBSTITUTE($P$2:$P$38,CHAR(160)," ")),
      $Q$2:$Q$38
    )
  ),
"")</f>
        <v/>
      </c>
      <c r="L557" s="32" t="str">
        <f>IFERROR( VALUE($H557) * INDEX(#REF!, MATCH(UPPER(TRIM($F557)),#REF!,0)), "" )</f>
        <v/>
      </c>
    </row>
    <row r="558" spans="1:12" x14ac:dyDescent="0.2">
      <c r="A558" s="21"/>
      <c r="B558" s="28"/>
      <c r="J558" s="52" t="str">
        <f>IFERROR($H558*#REF!,"")</f>
        <v/>
      </c>
      <c r="K558" s="154" t="str" cm="1">
        <f t="array" ref="K558">IFERROR(
  VALUE($H558) *
  VALUE(
    _xlfn.XLOOKUP(
      TRIM($F558) &amp; "|" &amp; LEFT(SUBSTITUTE($G558,CHAR(160)," "),5) &amp; "|Ideas Rate",
      TRIM(SUBSTITUTE($N$2:$N$38,CHAR(160)," ")) &amp; "|" &amp;
      LEFT(SUBSTITUTE($O$2:$O$38,CHAR(160)," "),5) &amp; "|" &amp;
      TRIM(SUBSTITUTE($P$2:$P$38,CHAR(160)," ")),
      $Q$2:$Q$38
    )
  ),
"")</f>
        <v/>
      </c>
      <c r="L558" s="32" t="str">
        <f>IFERROR( VALUE($H558) * INDEX(#REF!, MATCH(UPPER(TRIM($F558)),#REF!,0)), "" )</f>
        <v/>
      </c>
    </row>
    <row r="559" spans="1:12" x14ac:dyDescent="0.2">
      <c r="A559" s="21"/>
      <c r="B559" s="28"/>
      <c r="J559" s="52" t="str">
        <f>IFERROR($H559*#REF!,"")</f>
        <v/>
      </c>
      <c r="K559" s="32" t="str">
        <f>IFERROR( VALUE($H559) * INDEX(#REF!, MATCH(UPPER(TRIM($F559)),#REF!,0)), "" )</f>
        <v/>
      </c>
      <c r="L559" s="32" t="str">
        <f>IFERROR( VALUE($H559) * INDEX(#REF!, MATCH(UPPER(TRIM($F559)),#REF!,0)), "" )</f>
        <v/>
      </c>
    </row>
    <row r="560" spans="1:12" x14ac:dyDescent="0.2">
      <c r="A560" s="21"/>
      <c r="B560" s="28"/>
      <c r="J560" s="52" t="str">
        <f>IFERROR($H560*#REF!,"")</f>
        <v/>
      </c>
      <c r="K560" s="32" t="str">
        <f>IFERROR( VALUE($H560) * INDEX(#REF!, MATCH(UPPER(TRIM($F560)),#REF!,0)), "" )</f>
        <v/>
      </c>
      <c r="L560" s="32" t="str">
        <f>IFERROR( VALUE($H560) * INDEX(#REF!, MATCH(UPPER(TRIM($F560)),#REF!,0)), "" )</f>
        <v/>
      </c>
    </row>
    <row r="561" spans="1:12" x14ac:dyDescent="0.2">
      <c r="A561" s="21"/>
      <c r="B561" s="28"/>
      <c r="J561" s="52" t="str">
        <f>IFERROR($H561*#REF!,"")</f>
        <v/>
      </c>
      <c r="K561" s="32" t="str">
        <f>IFERROR( VALUE($H561) * INDEX(#REF!, MATCH(UPPER(TRIM($F561)),#REF!,0)), "" )</f>
        <v/>
      </c>
      <c r="L561" s="32" t="str">
        <f>IFERROR( VALUE($H561) * INDEX(#REF!, MATCH(UPPER(TRIM($F561)),#REF!,0)), "" )</f>
        <v/>
      </c>
    </row>
    <row r="562" spans="1:12" x14ac:dyDescent="0.2">
      <c r="A562" s="21"/>
      <c r="B562" s="28"/>
      <c r="J562" s="52" t="str">
        <f>IFERROR($H562*#REF!,"")</f>
        <v/>
      </c>
      <c r="K562" s="32" t="str">
        <f>IFERROR( VALUE($H562) * INDEX(#REF!, MATCH(UPPER(TRIM($F562)),#REF!,0)), "" )</f>
        <v/>
      </c>
      <c r="L562" s="32" t="str">
        <f>IFERROR( VALUE($H562) * INDEX(#REF!, MATCH(UPPER(TRIM($F562)),#REF!,0)), "" )</f>
        <v/>
      </c>
    </row>
    <row r="563" spans="1:12" x14ac:dyDescent="0.2">
      <c r="A563" s="21"/>
      <c r="B563" s="28"/>
      <c r="J563" s="52" t="str">
        <f>IFERROR($H563*#REF!,"")</f>
        <v/>
      </c>
      <c r="K563" s="32" t="str">
        <f>IFERROR( VALUE($H563) * INDEX(#REF!, MATCH(UPPER(TRIM($F563)),#REF!,0)), "" )</f>
        <v/>
      </c>
      <c r="L563" s="32" t="str">
        <f>IFERROR( VALUE($H563) * INDEX(#REF!, MATCH(UPPER(TRIM($F563)),#REF!,0)), "" )</f>
        <v/>
      </c>
    </row>
    <row r="564" spans="1:12" x14ac:dyDescent="0.2">
      <c r="A564" s="21"/>
      <c r="B564" s="28"/>
      <c r="J564" s="52" t="str">
        <f>IFERROR($H564*#REF!,"")</f>
        <v/>
      </c>
      <c r="K564" s="32" t="str">
        <f>IFERROR( VALUE($H564) * INDEX(#REF!, MATCH(UPPER(TRIM($F564)),#REF!,0)), "" )</f>
        <v/>
      </c>
      <c r="L564" s="32" t="str">
        <f>IFERROR( VALUE($H564) * INDEX(#REF!, MATCH(UPPER(TRIM($F564)),#REF!,0)), "" )</f>
        <v/>
      </c>
    </row>
    <row r="565" spans="1:12" x14ac:dyDescent="0.2">
      <c r="A565" s="21"/>
      <c r="B565" s="28"/>
      <c r="J565" s="52" t="str">
        <f>IFERROR($H565*#REF!,"")</f>
        <v/>
      </c>
      <c r="K565" s="32" t="str">
        <f>IFERROR( VALUE($H565) * INDEX(#REF!, MATCH(UPPER(TRIM($F565)),#REF!,0)), "" )</f>
        <v/>
      </c>
      <c r="L565" s="32" t="str">
        <f>IFERROR( VALUE($H565) * INDEX(#REF!, MATCH(UPPER(TRIM($F565)),#REF!,0)), "" )</f>
        <v/>
      </c>
    </row>
    <row r="566" spans="1:12" x14ac:dyDescent="0.2">
      <c r="A566" s="21"/>
      <c r="B566" s="28"/>
      <c r="J566" s="52" t="str">
        <f>IFERROR($H566*#REF!,"")</f>
        <v/>
      </c>
      <c r="K566" s="32" t="str">
        <f>IFERROR( VALUE($H566) * INDEX(#REF!, MATCH(UPPER(TRIM($F566)),#REF!,0)), "" )</f>
        <v/>
      </c>
      <c r="L566" s="32" t="str">
        <f>IFERROR( VALUE($H566) * INDEX(#REF!, MATCH(UPPER(TRIM($F566)),#REF!,0)), "" )</f>
        <v/>
      </c>
    </row>
    <row r="567" spans="1:12" x14ac:dyDescent="0.2">
      <c r="A567" s="21"/>
      <c r="B567" s="28"/>
      <c r="J567" s="52" t="str">
        <f>IFERROR($H567*#REF!,"")</f>
        <v/>
      </c>
      <c r="K567" s="32" t="str">
        <f>IFERROR( VALUE($H567) * INDEX(#REF!, MATCH(UPPER(TRIM($F567)),#REF!,0)), "" )</f>
        <v/>
      </c>
      <c r="L567" s="32" t="str">
        <f>IFERROR( VALUE($H567) * INDEX(#REF!, MATCH(UPPER(TRIM($F567)),#REF!,0)), "" )</f>
        <v/>
      </c>
    </row>
    <row r="568" spans="1:12" x14ac:dyDescent="0.2">
      <c r="A568" s="21"/>
      <c r="B568" s="28"/>
      <c r="J568" s="52" t="str">
        <f>IFERROR($H568*#REF!,"")</f>
        <v/>
      </c>
      <c r="K568" s="32" t="str">
        <f>IFERROR( VALUE($H568) * INDEX(#REF!, MATCH(UPPER(TRIM($F568)),#REF!,0)), "" )</f>
        <v/>
      </c>
      <c r="L568" s="32" t="str">
        <f>IFERROR( VALUE($H568) * INDEX(#REF!, MATCH(UPPER(TRIM($F568)),#REF!,0)), "" )</f>
        <v/>
      </c>
    </row>
    <row r="569" spans="1:12" x14ac:dyDescent="0.2">
      <c r="A569" s="21"/>
      <c r="B569" s="28"/>
      <c r="J569" s="52" t="str">
        <f>IFERROR($H569*#REF!,"")</f>
        <v/>
      </c>
      <c r="K569" s="32" t="str">
        <f>IFERROR( VALUE($H569) * INDEX(#REF!, MATCH(UPPER(TRIM($F569)),#REF!,0)), "" )</f>
        <v/>
      </c>
      <c r="L569" s="32" t="str">
        <f>IFERROR( VALUE($H569) * INDEX(#REF!, MATCH(UPPER(TRIM($F569)),#REF!,0)), "" )</f>
        <v/>
      </c>
    </row>
    <row r="570" spans="1:12" x14ac:dyDescent="0.2">
      <c r="A570" s="21"/>
      <c r="B570" s="28"/>
      <c r="J570" s="52" t="str">
        <f>IFERROR($H570*#REF!,"")</f>
        <v/>
      </c>
      <c r="K570" s="32" t="str">
        <f>IFERROR( VALUE($H570) * INDEX(#REF!, MATCH(UPPER(TRIM($F570)),#REF!,0)), "" )</f>
        <v/>
      </c>
      <c r="L570" s="32" t="str">
        <f>IFERROR( VALUE($H570) * INDEX(#REF!, MATCH(UPPER(TRIM($F570)),#REF!,0)), "" )</f>
        <v/>
      </c>
    </row>
    <row r="571" spans="1:12" x14ac:dyDescent="0.2">
      <c r="A571" s="21"/>
      <c r="B571" s="28"/>
      <c r="J571" s="52" t="str">
        <f>IFERROR($H571*#REF!,"")</f>
        <v/>
      </c>
      <c r="L571" s="32" t="str">
        <f>IFERROR( VALUE($H571) * INDEX(#REF!, MATCH(UPPER(TRIM($F571)),#REF!,0)), "" )</f>
        <v/>
      </c>
    </row>
    <row r="572" spans="1:12" x14ac:dyDescent="0.2">
      <c r="A572" s="21"/>
      <c r="B572" s="28"/>
      <c r="J572" s="52" t="str">
        <f>IFERROR($H572*#REF!,"")</f>
        <v/>
      </c>
      <c r="L572" s="32" t="str">
        <f>IFERROR( VALUE($H572) * INDEX(#REF!, MATCH(UPPER(TRIM($F572)),#REF!,0)), "" )</f>
        <v/>
      </c>
    </row>
    <row r="573" spans="1:12" x14ac:dyDescent="0.2">
      <c r="A573" s="21"/>
      <c r="B573" s="28"/>
      <c r="J573" s="52" t="str">
        <f>IFERROR($H573*#REF!,"")</f>
        <v/>
      </c>
      <c r="L573" s="32" t="str">
        <f>IFERROR( VALUE($H573) * INDEX(#REF!, MATCH(UPPER(TRIM($F573)),#REF!,0)), "" )</f>
        <v/>
      </c>
    </row>
    <row r="574" spans="1:12" x14ac:dyDescent="0.2">
      <c r="A574" s="21"/>
      <c r="B574" s="28"/>
      <c r="J574" s="52" t="str">
        <f>IFERROR($H574*#REF!,"")</f>
        <v/>
      </c>
      <c r="L574" s="32" t="str">
        <f>IFERROR( VALUE($H574) * INDEX(#REF!, MATCH(UPPER(TRIM($F574)),#REF!,0)), "" )</f>
        <v/>
      </c>
    </row>
    <row r="575" spans="1:12" x14ac:dyDescent="0.2">
      <c r="B575" s="28"/>
      <c r="J575" s="52" t="str">
        <f>IFERROR($H575*#REF!,"")</f>
        <v/>
      </c>
      <c r="L575" s="32" t="str">
        <f>IFERROR( VALUE($H575) * INDEX(#REF!, MATCH(UPPER(TRIM($F575)),#REF!,0)), "" )</f>
        <v/>
      </c>
    </row>
    <row r="576" spans="1:12" x14ac:dyDescent="0.2">
      <c r="B576" s="28"/>
      <c r="J576" s="52" t="str">
        <f>IFERROR($H576*#REF!,"")</f>
        <v/>
      </c>
      <c r="L576" s="32" t="e">
        <f>H576 * INDEX(#REF!, MATCH(F576,#REF!, 0))</f>
        <v>#REF!</v>
      </c>
    </row>
    <row r="577" spans="2:12" x14ac:dyDescent="0.2">
      <c r="B577" s="28"/>
      <c r="J577" s="52" t="str">
        <f>IFERROR($H577*#REF!,"")</f>
        <v/>
      </c>
      <c r="L577" s="32" t="e">
        <f>H577 * INDEX(#REF!, MATCH(F577,#REF!, 0))</f>
        <v>#REF!</v>
      </c>
    </row>
    <row r="578" spans="2:12" x14ac:dyDescent="0.2">
      <c r="B578" s="28"/>
      <c r="J578" s="52" t="str">
        <f>IFERROR($H578*#REF!,"")</f>
        <v/>
      </c>
      <c r="L578" s="32" t="e">
        <f>H578 * INDEX(#REF!, MATCH(F578,#REF!, 0))</f>
        <v>#REF!</v>
      </c>
    </row>
    <row r="579" spans="2:12" x14ac:dyDescent="0.2">
      <c r="B579" s="28"/>
      <c r="J579" s="52" t="str">
        <f>IFERROR($H579*#REF!,"")</f>
        <v/>
      </c>
      <c r="L579" s="32" t="e">
        <f>H579 * INDEX(#REF!, MATCH(F579,#REF!, 0))</f>
        <v>#REF!</v>
      </c>
    </row>
    <row r="580" spans="2:12" x14ac:dyDescent="0.2">
      <c r="J580" s="52" t="str">
        <f>IFERROR($H580*#REF!,"")</f>
        <v/>
      </c>
      <c r="L580" s="32" t="e">
        <f>H580 * INDEX(#REF!, MATCH(F580,#REF!, 0))</f>
        <v>#REF!</v>
      </c>
    </row>
    <row r="581" spans="2:12" x14ac:dyDescent="0.2">
      <c r="J581" s="52" t="str">
        <f>IFERROR($H581*#REF!,"")</f>
        <v/>
      </c>
      <c r="L581" s="32" t="e">
        <f>H581 * INDEX(#REF!, MATCH(F581,#REF!, 0))</f>
        <v>#REF!</v>
      </c>
    </row>
    <row r="582" spans="2:12" x14ac:dyDescent="0.2">
      <c r="J582" s="52" t="str">
        <f>IFERROR($H582*#REF!,"")</f>
        <v/>
      </c>
      <c r="L582" s="32" t="e">
        <f>H582 * INDEX(#REF!, MATCH(F582,#REF!, 0))</f>
        <v>#REF!</v>
      </c>
    </row>
  </sheetData>
  <autoFilter ref="A1:Q435" xr:uid="{8861F768-D74A-0548-B573-6589D3FCCFD9}"/>
  <mergeCells count="1">
    <mergeCell ref="A2:B2"/>
  </mergeCells>
  <phoneticPr fontId="4" type="noConversion"/>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BCEE9D41-E588-0F4C-98A3-F23EFBE763EA}">
          <x14:formula1>
            <xm:f>Lookup!$A$20:$A$36</xm:f>
          </x14:formula1>
          <xm:sqref>D1:D230 D470:D1048576 D232:D338</xm:sqref>
        </x14:dataValidation>
        <x14:dataValidation type="list" allowBlank="1" showInputMessage="1" showErrorMessage="1" xr:uid="{786E5822-B62C-8B40-B5A2-F133CC09DCBC}">
          <x14:formula1>
            <xm:f>Lookup!$M$3:$M$8</xm:f>
          </x14:formula1>
          <xm:sqref>F470:F1048576 F1:F338</xm:sqref>
        </x14:dataValidation>
        <x14:dataValidation type="list" allowBlank="1" showInputMessage="1" showErrorMessage="1" xr:uid="{96957DF4-5CF2-054B-8C99-B39934373C42}">
          <x14:formula1>
            <xm:f>Lookup!$F$2:$F$5</xm:f>
          </x14:formula1>
          <xm:sqref>G470:G1048576 G1:G338</xm:sqref>
        </x14:dataValidation>
        <x14:dataValidation type="list" allowBlank="1" showInputMessage="1" showErrorMessage="1" xr:uid="{DAA1161C-7487-A34A-B688-6C82A69EAA9F}">
          <x14:formula1>
            <xm:f>Lookup!$A$10:$A$18</xm:f>
          </x14:formula1>
          <xm:sqref>C470:C1048576 C1:C338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65DFB-4FAB-CC4B-BF55-637BA81520E5}">
  <dimension ref="A1:AE525"/>
  <sheetViews>
    <sheetView tabSelected="1" topLeftCell="A501" zoomScale="99" zoomScaleNormal="100" workbookViewId="0">
      <selection activeCell="D434" sqref="D434"/>
    </sheetView>
  </sheetViews>
  <sheetFormatPr baseColWidth="10" defaultColWidth="10.83203125" defaultRowHeight="15" x14ac:dyDescent="0.2"/>
  <cols>
    <col min="2" max="2" width="19" customWidth="1"/>
    <col min="3" max="3" width="24.1640625" customWidth="1"/>
    <col min="4" max="4" width="24" customWidth="1"/>
    <col min="5" max="5" width="44.33203125" customWidth="1"/>
    <col min="7" max="7" width="44.6640625" customWidth="1"/>
    <col min="12" max="12" width="21.5" customWidth="1"/>
    <col min="14" max="14" width="30.5" customWidth="1"/>
    <col min="15" max="15" width="19.5" style="32" customWidth="1"/>
    <col min="25" max="25" width="19.83203125" customWidth="1"/>
    <col min="26" max="26" width="17" bestFit="1" customWidth="1"/>
    <col min="27" max="27" width="15.83203125" customWidth="1"/>
    <col min="28" max="28" width="14.1640625" customWidth="1"/>
    <col min="29" max="29" width="13.83203125" customWidth="1"/>
    <col min="30" max="30" width="13.33203125" customWidth="1"/>
  </cols>
  <sheetData>
    <row r="1" spans="1:31" ht="16" x14ac:dyDescent="0.2">
      <c r="A1" s="24" t="s">
        <v>0</v>
      </c>
      <c r="B1" s="27" t="s">
        <v>1</v>
      </c>
      <c r="C1" s="29" t="s">
        <v>2</v>
      </c>
      <c r="D1" s="25" t="s">
        <v>165</v>
      </c>
      <c r="E1" s="25" t="s">
        <v>4</v>
      </c>
      <c r="F1" s="25" t="s">
        <v>5</v>
      </c>
      <c r="G1" s="39" t="s">
        <v>261</v>
      </c>
      <c r="H1" s="43" t="s">
        <v>6</v>
      </c>
      <c r="I1" s="61" t="s">
        <v>377</v>
      </c>
      <c r="J1" s="51" t="s">
        <v>378</v>
      </c>
      <c r="K1" s="46" t="s">
        <v>379</v>
      </c>
      <c r="N1" s="129" t="s">
        <v>540</v>
      </c>
      <c r="O1" s="130">
        <f>SUM(I:I)</f>
        <v>480902.5</v>
      </c>
      <c r="T1" s="135" t="s">
        <v>381</v>
      </c>
      <c r="U1" s="8"/>
      <c r="V1" s="8"/>
      <c r="W1" s="8"/>
      <c r="Z1" s="77" t="s">
        <v>427</v>
      </c>
      <c r="AA1" s="77" t="s">
        <v>424</v>
      </c>
      <c r="AB1" s="77" t="s">
        <v>428</v>
      </c>
      <c r="AC1" s="77" t="s">
        <v>429</v>
      </c>
      <c r="AD1" s="77" t="s">
        <v>430</v>
      </c>
    </row>
    <row r="2" spans="1:31" x14ac:dyDescent="0.2">
      <c r="A2" s="21">
        <v>45888</v>
      </c>
      <c r="B2" s="28" t="s">
        <v>52</v>
      </c>
      <c r="C2" s="20" t="s">
        <v>111</v>
      </c>
      <c r="D2" s="18" t="s">
        <v>178</v>
      </c>
      <c r="E2" s="17" t="s">
        <v>113</v>
      </c>
      <c r="F2" s="17" t="s">
        <v>155</v>
      </c>
      <c r="G2" s="22" t="s">
        <v>380</v>
      </c>
      <c r="H2" s="45">
        <v>1</v>
      </c>
      <c r="I2" s="160" cm="1">
        <f t="array" ref="I2">IFERROR(
  VALUE($H2) *
  VALUE(
    _xlfn.XLOOKUP(
      TRIM($F2) &amp; "|" &amp; LEFT(SUBSTITUTE($G2,CHAR(160)," "),5) &amp; "|Full Rate",
      TRIM(SUBSTITUTE($T$2:$T$38,CHAR(160)," ")) &amp; "|" &amp;
      LEFT(SUBSTITUTE($U$2:$U$38,CHAR(160)," "),5) &amp; "|" &amp;
      TRIM(SUBSTITUTE($V$2:$V$38,CHAR(160)," ")),
      $W$2:$W$38
    )
  ),
"")</f>
        <v>260</v>
      </c>
      <c r="J2" s="161" cm="1">
        <f t="array" ref="J2">IFERROR(
  VALUE($H2) *
  VALUE(
    _xlfn.XLOOKUP(
      TRIM($F2) &amp; "|" &amp; LEFT(SUBSTITUTE($G2,CHAR(160)," "),5) &amp; "|Reduced Rate",
      TRIM(SUBSTITUTE($T$2:$T$38,CHAR(160)," ")) &amp; "|" &amp;
      LEFT(SUBSTITUTE($U$2:$U$38,CHAR(160)," "),5) &amp; "|" &amp;
      TRIM(SUBSTITUTE($V$2:$V$38,CHAR(160)," ")),
      $W$2:$W$38
    )
  ),
"")</f>
        <v>120</v>
      </c>
      <c r="K2" s="42" cm="1">
        <f t="array" ref="K2">IFERROR(
  VALUE($H2) *
  VALUE(
    _xlfn.XLOOKUP(
      TRIM($F2) &amp; "|" &amp; LEFT(SUBSTITUTE($G2,CHAR(160)," "),5) &amp; "|Ideas Rate",
      TRIM(SUBSTITUTE($T$2:$T$38,CHAR(160)," ")) &amp; "|" &amp;
      LEFT(SUBSTITUTE($U$2:$U$38,CHAR(160)," "),5) &amp; "|" &amp;
      TRIM(SUBSTITUTE($V$2:$V$38,CHAR(160)," ")),
      $W$2:$W$38
    )
  ),
"")</f>
        <v>90</v>
      </c>
      <c r="N2" s="131" t="s">
        <v>543</v>
      </c>
      <c r="O2" s="132">
        <f>SUM(J:J)</f>
        <v>261080</v>
      </c>
      <c r="T2" s="58" t="s">
        <v>154</v>
      </c>
      <c r="U2" s="58" t="s">
        <v>371</v>
      </c>
      <c r="V2" s="58" t="s">
        <v>372</v>
      </c>
      <c r="W2" s="59" t="s">
        <v>373</v>
      </c>
      <c r="Y2" s="89" t="s">
        <v>10</v>
      </c>
      <c r="Z2" s="22">
        <f>SUMIF(F:F,Y2,H:H)</f>
        <v>459.75</v>
      </c>
      <c r="AA2" s="22">
        <f>COUNTIF($F:$F, Y2)</f>
        <v>139</v>
      </c>
      <c r="AB2">
        <f>SUMIF($F:$F, $Y2, $I:$I)</f>
        <v>107062.5</v>
      </c>
      <c r="AC2">
        <f>SUMIF($F:$F, $Y2, $J:$J)</f>
        <v>62387.5</v>
      </c>
      <c r="AD2">
        <f>SUMIF($F:$F, $Y2, $K:$K)</f>
        <v>32118.75</v>
      </c>
    </row>
    <row r="3" spans="1:31" x14ac:dyDescent="0.2">
      <c r="A3" s="21">
        <v>45888</v>
      </c>
      <c r="B3" s="28" t="s">
        <v>52</v>
      </c>
      <c r="C3" s="20" t="s">
        <v>111</v>
      </c>
      <c r="D3" s="18" t="s">
        <v>178</v>
      </c>
      <c r="E3" s="17" t="s">
        <v>114</v>
      </c>
      <c r="F3" s="17" t="s">
        <v>155</v>
      </c>
      <c r="G3" s="22" t="s">
        <v>368</v>
      </c>
      <c r="H3" s="45">
        <v>0.25</v>
      </c>
      <c r="I3" s="160" cm="1">
        <f t="array" ref="I3">IFERROR(
  VALUE($H3) *
  VALUE(
    _xlfn.XLOOKUP(
      TRIM($F3) &amp; "|" &amp; LEFT(SUBSTITUTE($G3,CHAR(160)," "),5) &amp; "|Full Rate",
      TRIM(SUBSTITUTE($T$2:$T$38,CHAR(160)," ")) &amp; "|" &amp;
      LEFT(SUBSTITUTE($U$2:$U$38,CHAR(160)," "),5) &amp; "|" &amp;
      TRIM(SUBSTITUTE($V$2:$V$38,CHAR(160)," ")),
      $W$2:$W$38
    )
  ),
"")</f>
        <v>25</v>
      </c>
      <c r="J3" s="161" cm="1">
        <f t="array" ref="J3">IFERROR(
  VALUE($H3) *
  VALUE(
    _xlfn.XLOOKUP(
      TRIM($F3) &amp; "|" &amp; LEFT(SUBSTITUTE($G3,CHAR(160)," "),5) &amp; "|Reduced Rate",
      TRIM(SUBSTITUTE($T$2:$T$38,CHAR(160)," ")) &amp; "|" &amp;
      LEFT(SUBSTITUTE($U$2:$U$38,CHAR(160)," "),5) &amp; "|" &amp;
      TRIM(SUBSTITUTE($V$2:$V$38,CHAR(160)," ")),
      $W$2:$W$38
    )
  ),
"")</f>
        <v>12.5</v>
      </c>
      <c r="K3" s="42" cm="1">
        <f t="array" ref="K3">IFERROR(
  VALUE($H3) *
  VALUE(
    _xlfn.XLOOKUP(
      TRIM($F3) &amp; "|" &amp; LEFT(SUBSTITUTE($G3,CHAR(160)," "),5) &amp; "|Ideas Rate",
      TRIM(SUBSTITUTE($T$2:$T$38,CHAR(160)," ")) &amp; "|" &amp;
      LEFT(SUBSTITUTE($U$2:$U$38,CHAR(160)," "),5) &amp; "|" &amp;
      TRIM(SUBSTITUTE($V$2:$V$38,CHAR(160)," ")),
      $W$2:$W$38
    )
  ),
"")</f>
        <v>7.5</v>
      </c>
      <c r="N3" s="133" t="s">
        <v>544</v>
      </c>
      <c r="O3" s="134">
        <f>SUM(K:K)</f>
        <v>147165</v>
      </c>
      <c r="T3" t="s">
        <v>10</v>
      </c>
      <c r="U3" t="s">
        <v>375</v>
      </c>
      <c r="V3" t="s">
        <v>382</v>
      </c>
      <c r="W3" s="32">
        <v>500</v>
      </c>
      <c r="Y3" s="89" t="s">
        <v>9</v>
      </c>
      <c r="Z3" s="22">
        <f>SUMIF(F:F,Y3,H:H)</f>
        <v>552.75</v>
      </c>
      <c r="AA3" s="22">
        <f>COUNTIF($F:$F, Y3)</f>
        <v>119</v>
      </c>
      <c r="AB3">
        <f>SUMIF($F:$F, $Y3, $I:$I)</f>
        <v>155962.5</v>
      </c>
      <c r="AC3">
        <f>SUMIF($F:$F, $Y3, $J:$J)</f>
        <v>91962.5</v>
      </c>
      <c r="AD3">
        <f>SUMIF($F:$F, $Y3, $K:$K)</f>
        <v>46788.75</v>
      </c>
    </row>
    <row r="4" spans="1:31" x14ac:dyDescent="0.2">
      <c r="A4" s="21">
        <v>45888</v>
      </c>
      <c r="B4" s="28" t="s">
        <v>52</v>
      </c>
      <c r="C4" s="20" t="s">
        <v>111</v>
      </c>
      <c r="D4" s="18" t="s">
        <v>178</v>
      </c>
      <c r="E4" s="17" t="s">
        <v>116</v>
      </c>
      <c r="F4" s="17" t="s">
        <v>10</v>
      </c>
      <c r="G4" s="22" t="s">
        <v>367</v>
      </c>
      <c r="H4" s="45">
        <v>1</v>
      </c>
      <c r="I4" s="160" cm="1">
        <f t="array" ref="I4">IFERROR(
  VALUE($H4) *
  VALUE(
    _xlfn.XLOOKUP(
      TRIM($F4) &amp; "|" &amp; LEFT(SUBSTITUTE($G4,CHAR(160)," "),5) &amp; "|Full Rate",
      TRIM(SUBSTITUTE($T$2:$T$38,CHAR(160)," ")) &amp; "|" &amp;
      LEFT(SUBSTITUTE($U$2:$U$38,CHAR(160)," "),5) &amp; "|" &amp;
      TRIM(SUBSTITUTE($V$2:$V$38,CHAR(160)," ")),
      $W$2:$W$38
    )
  ),
"")</f>
        <v>500</v>
      </c>
      <c r="J4" s="161" cm="1">
        <f t="array" ref="J4">IFERROR(
  VALUE($H4) *
  VALUE(
    _xlfn.XLOOKUP(
      TRIM($F4) &amp; "|" &amp; LEFT(SUBSTITUTE($G4,CHAR(160)," "),5) &amp; "|Reduced Rate",
      TRIM(SUBSTITUTE($T$2:$T$38,CHAR(160)," ")) &amp; "|" &amp;
      LEFT(SUBSTITUTE($U$2:$U$38,CHAR(160)," "),5) &amp; "|" &amp;
      TRIM(SUBSTITUTE($V$2:$V$38,CHAR(160)," ")),
      $W$2:$W$38
    )
  ),
"")</f>
        <v>300</v>
      </c>
      <c r="K4" s="42" cm="1">
        <f t="array" ref="K4">IFERROR(
  VALUE($H4) *
  VALUE(
    _xlfn.XLOOKUP(
      TRIM($F4) &amp; "|" &amp; LEFT(SUBSTITUTE($G4,CHAR(160)," "),5) &amp; "|Ideas Rate",
      TRIM(SUBSTITUTE($T$2:$T$38,CHAR(160)," ")) &amp; "|" &amp;
      LEFT(SUBSTITUTE($U$2:$U$38,CHAR(160)," "),5) &amp; "|" &amp;
      TRIM(SUBSTITUTE($V$2:$V$38,CHAR(160)," ")),
      $W$2:$W$38
    )
  ),
"")</f>
        <v>150</v>
      </c>
      <c r="T4" t="s">
        <v>10</v>
      </c>
      <c r="U4" t="s">
        <v>375</v>
      </c>
      <c r="V4" t="s">
        <v>383</v>
      </c>
      <c r="W4" s="32">
        <v>300</v>
      </c>
      <c r="Y4" s="89" t="s">
        <v>155</v>
      </c>
      <c r="Z4" s="22">
        <f>SUMIF(F:F,Y4,H:H)</f>
        <v>772</v>
      </c>
      <c r="AA4" s="22">
        <f>COUNTIF($F:$F, Y4)</f>
        <v>247</v>
      </c>
      <c r="AB4">
        <f>SUMIF($F:$F, $Y4, $I:$I)</f>
        <v>202000</v>
      </c>
      <c r="AC4">
        <f>SUMIF($F:$F, $Y4, $J:$J)</f>
        <v>98637.5</v>
      </c>
      <c r="AD4">
        <f>SUMIF($F:$F, $Y4, $K:$K)</f>
        <v>63435</v>
      </c>
    </row>
    <row r="5" spans="1:31" x14ac:dyDescent="0.2">
      <c r="A5" s="21">
        <v>45888</v>
      </c>
      <c r="B5" s="28" t="s">
        <v>52</v>
      </c>
      <c r="C5" s="20" t="s">
        <v>111</v>
      </c>
      <c r="D5" s="18" t="s">
        <v>178</v>
      </c>
      <c r="E5" s="17" t="s">
        <v>117</v>
      </c>
      <c r="F5" s="17" t="s">
        <v>10</v>
      </c>
      <c r="G5" s="22" t="s">
        <v>367</v>
      </c>
      <c r="H5" s="45">
        <v>0.25</v>
      </c>
      <c r="I5" s="160" cm="1">
        <f t="array" ref="I5">IFERROR(
  VALUE($H5) *
  VALUE(
    _xlfn.XLOOKUP(
      TRIM($F5) &amp; "|" &amp; LEFT(SUBSTITUTE($G5,CHAR(160)," "),5) &amp; "|Full Rate",
      TRIM(SUBSTITUTE($T$2:$T$38,CHAR(160)," ")) &amp; "|" &amp;
      LEFT(SUBSTITUTE($U$2:$U$38,CHAR(160)," "),5) &amp; "|" &amp;
      TRIM(SUBSTITUTE($V$2:$V$38,CHAR(160)," ")),
      $W$2:$W$38
    )
  ),
"")</f>
        <v>125</v>
      </c>
      <c r="J5" s="161" cm="1">
        <f t="array" ref="J5">IFERROR(
  VALUE($H5) *
  VALUE(
    _xlfn.XLOOKUP(
      TRIM($F5) &amp; "|" &amp; LEFT(SUBSTITUTE($G5,CHAR(160)," "),5) &amp; "|Reduced Rate",
      TRIM(SUBSTITUTE($T$2:$T$38,CHAR(160)," ")) &amp; "|" &amp;
      LEFT(SUBSTITUTE($U$2:$U$38,CHAR(160)," "),5) &amp; "|" &amp;
      TRIM(SUBSTITUTE($V$2:$V$38,CHAR(160)," ")),
      $W$2:$W$38
    )
  ),
"")</f>
        <v>75</v>
      </c>
      <c r="K5" s="42" cm="1">
        <f t="array" ref="K5">IFERROR(
  VALUE($H5) *
  VALUE(
    _xlfn.XLOOKUP(
      TRIM($F5) &amp; "|" &amp; LEFT(SUBSTITUTE($G5,CHAR(160)," "),5) &amp; "|Ideas Rate",
      TRIM(SUBSTITUTE($T$2:$T$38,CHAR(160)," ")) &amp; "|" &amp;
      LEFT(SUBSTITUTE($U$2:$U$38,CHAR(160)," "),5) &amp; "|" &amp;
      TRIM(SUBSTITUTE($V$2:$V$38,CHAR(160)," ")),
      $W$2:$W$38
    )
  ),
"")</f>
        <v>37.5</v>
      </c>
      <c r="T5" t="s">
        <v>10</v>
      </c>
      <c r="U5" t="s">
        <v>375</v>
      </c>
      <c r="V5" t="s">
        <v>379</v>
      </c>
      <c r="W5" s="32">
        <v>150</v>
      </c>
      <c r="Y5" s="89" t="s">
        <v>156</v>
      </c>
      <c r="Z5" s="22">
        <f>SUMIF(F:F,Y5,H:H)</f>
        <v>91.5</v>
      </c>
      <c r="AA5" s="22">
        <f>COUNTIF($F:$F, Y5)</f>
        <v>14</v>
      </c>
      <c r="AB5">
        <f>SUMIF($F:$F, $Y5, $I:$I)</f>
        <v>13537.5</v>
      </c>
      <c r="AC5">
        <f>SUMIF($F:$F, $Y5, $J:$J)</f>
        <v>7012.5</v>
      </c>
      <c r="AD5">
        <f>SUMIF($F:$F, $Y5, $K:$K)</f>
        <v>4012.5</v>
      </c>
    </row>
    <row r="6" spans="1:31" x14ac:dyDescent="0.2">
      <c r="A6" s="21">
        <v>45888</v>
      </c>
      <c r="B6" s="28" t="s">
        <v>52</v>
      </c>
      <c r="C6" s="20" t="s">
        <v>111</v>
      </c>
      <c r="D6" s="18" t="s">
        <v>178</v>
      </c>
      <c r="E6" s="17" t="s">
        <v>118</v>
      </c>
      <c r="F6" s="17" t="s">
        <v>9</v>
      </c>
      <c r="G6" s="22" t="s">
        <v>367</v>
      </c>
      <c r="H6" s="45">
        <v>1</v>
      </c>
      <c r="I6" s="160" cm="1">
        <f t="array" ref="I6">IFERROR(
  VALUE($H6) *
  VALUE(
    _xlfn.XLOOKUP(
      TRIM($F6) &amp; "|" &amp; LEFT(SUBSTITUTE($G6,CHAR(160)," "),5) &amp; "|Full Rate",
      TRIM(SUBSTITUTE($T$2:$T$38,CHAR(160)," ")) &amp; "|" &amp;
      LEFT(SUBSTITUTE($U$2:$U$38,CHAR(160)," "),5) &amp; "|" &amp;
      TRIM(SUBSTITUTE($V$2:$V$38,CHAR(160)," ")),
      $W$2:$W$38
    )
  ),
"")</f>
        <v>500</v>
      </c>
      <c r="J6" s="161" cm="1">
        <f t="array" ref="J6">IFERROR(
  VALUE($H6) *
  VALUE(
    _xlfn.XLOOKUP(
      TRIM($F6) &amp; "|" &amp; LEFT(SUBSTITUTE($G6,CHAR(160)," "),5) &amp; "|Reduced Rate",
      TRIM(SUBSTITUTE($T$2:$T$38,CHAR(160)," ")) &amp; "|" &amp;
      LEFT(SUBSTITUTE($U$2:$U$38,CHAR(160)," "),5) &amp; "|" &amp;
      TRIM(SUBSTITUTE($V$2:$V$38,CHAR(160)," ")),
      $W$2:$W$38
    )
  ),
"")</f>
        <v>300</v>
      </c>
      <c r="K6" s="42" cm="1">
        <f t="array" ref="K6">IFERROR(
  VALUE($H6) *
  VALUE(
    _xlfn.XLOOKUP(
      TRIM($F6) &amp; "|" &amp; LEFT(SUBSTITUTE($G6,CHAR(160)," "),5) &amp; "|Ideas Rate",
      TRIM(SUBSTITUTE($T$2:$T$38,CHAR(160)," ")) &amp; "|" &amp;
      LEFT(SUBSTITUTE($U$2:$U$38,CHAR(160)," "),5) &amp; "|" &amp;
      TRIM(SUBSTITUTE($V$2:$V$38,CHAR(160)," ")),
      $W$2:$W$38
    )
  ),
"")</f>
        <v>150</v>
      </c>
      <c r="T6" t="s">
        <v>10</v>
      </c>
      <c r="U6" t="s">
        <v>376</v>
      </c>
      <c r="V6" t="s">
        <v>382</v>
      </c>
      <c r="W6" s="32">
        <v>250</v>
      </c>
    </row>
    <row r="7" spans="1:31" x14ac:dyDescent="0.2">
      <c r="A7" s="21">
        <v>45889</v>
      </c>
      <c r="B7" s="28" t="s">
        <v>52</v>
      </c>
      <c r="C7" s="20" t="s">
        <v>111</v>
      </c>
      <c r="D7" s="18" t="s">
        <v>178</v>
      </c>
      <c r="E7" s="17" t="s">
        <v>112</v>
      </c>
      <c r="F7" s="17" t="s">
        <v>10</v>
      </c>
      <c r="G7" s="22" t="s">
        <v>367</v>
      </c>
      <c r="H7" s="45">
        <v>1</v>
      </c>
      <c r="I7" s="160" cm="1">
        <f t="array" ref="I7">IFERROR(
  VALUE($H7) *
  VALUE(
    _xlfn.XLOOKUP(
      TRIM($F7) &amp; "|" &amp; LEFT(SUBSTITUTE($G7,CHAR(160)," "),5) &amp; "|Full Rate",
      TRIM(SUBSTITUTE($T$2:$T$38,CHAR(160)," ")) &amp; "|" &amp;
      LEFT(SUBSTITUTE($U$2:$U$38,CHAR(160)," "),5) &amp; "|" &amp;
      TRIM(SUBSTITUTE($V$2:$V$38,CHAR(160)," ")),
      $W$2:$W$38
    )
  ),
"")</f>
        <v>500</v>
      </c>
      <c r="J7" s="161" cm="1">
        <f t="array" ref="J7">IFERROR(
  VALUE($H7) *
  VALUE(
    _xlfn.XLOOKUP(
      TRIM($F7) &amp; "|" &amp; LEFT(SUBSTITUTE($G7,CHAR(160)," "),5) &amp; "|Reduced Rate",
      TRIM(SUBSTITUTE($T$2:$T$38,CHAR(160)," ")) &amp; "|" &amp;
      LEFT(SUBSTITUTE($U$2:$U$38,CHAR(160)," "),5) &amp; "|" &amp;
      TRIM(SUBSTITUTE($V$2:$V$38,CHAR(160)," ")),
      $W$2:$W$38
    )
  ),
"")</f>
        <v>300</v>
      </c>
      <c r="K7" s="42" cm="1">
        <f t="array" ref="K7">IFERROR(
  VALUE($H7) *
  VALUE(
    _xlfn.XLOOKUP(
      TRIM($F7) &amp; "|" &amp; LEFT(SUBSTITUTE($G7,CHAR(160)," "),5) &amp; "|Ideas Rate",
      TRIM(SUBSTITUTE($T$2:$T$38,CHAR(160)," ")) &amp; "|" &amp;
      LEFT(SUBSTITUTE($U$2:$U$38,CHAR(160)," "),5) &amp; "|" &amp;
      TRIM(SUBSTITUTE($V$2:$V$38,CHAR(160)," ")),
      $W$2:$W$38
    )
  ),
"")</f>
        <v>150</v>
      </c>
      <c r="T7" t="s">
        <v>10</v>
      </c>
      <c r="U7" t="s">
        <v>376</v>
      </c>
      <c r="V7" t="s">
        <v>378</v>
      </c>
      <c r="W7" s="32">
        <v>150</v>
      </c>
    </row>
    <row r="8" spans="1:31" x14ac:dyDescent="0.2">
      <c r="A8" s="21">
        <v>45889</v>
      </c>
      <c r="B8" s="28" t="s">
        <v>52</v>
      </c>
      <c r="C8" s="20" t="s">
        <v>111</v>
      </c>
      <c r="D8" s="18" t="s">
        <v>178</v>
      </c>
      <c r="E8" s="17" t="s">
        <v>115</v>
      </c>
      <c r="F8" s="17" t="s">
        <v>155</v>
      </c>
      <c r="G8" s="22" t="s">
        <v>380</v>
      </c>
      <c r="H8" s="45">
        <v>1</v>
      </c>
      <c r="I8" s="160" cm="1">
        <f t="array" ref="I8">IFERROR(
  VALUE($H8) *
  VALUE(
    _xlfn.XLOOKUP(
      TRIM($F8) &amp; "|" &amp; LEFT(SUBSTITUTE($G8,CHAR(160)," "),5) &amp; "|Full Rate",
      TRIM(SUBSTITUTE($T$2:$T$38,CHAR(160)," ")) &amp; "|" &amp;
      LEFT(SUBSTITUTE($U$2:$U$38,CHAR(160)," "),5) &amp; "|" &amp;
      TRIM(SUBSTITUTE($V$2:$V$38,CHAR(160)," ")),
      $W$2:$W$38
    )
  ),
"")</f>
        <v>260</v>
      </c>
      <c r="J8" s="161" cm="1">
        <f t="array" ref="J8">IFERROR(
  VALUE($H8) *
  VALUE(
    _xlfn.XLOOKUP(
      TRIM($F8) &amp; "|" &amp; LEFT(SUBSTITUTE($G8,CHAR(160)," "),5) &amp; "|Reduced Rate",
      TRIM(SUBSTITUTE($T$2:$T$38,CHAR(160)," ")) &amp; "|" &amp;
      LEFT(SUBSTITUTE($U$2:$U$38,CHAR(160)," "),5) &amp; "|" &amp;
      TRIM(SUBSTITUTE($V$2:$V$38,CHAR(160)," ")),
      $W$2:$W$38
    )
  ),
"")</f>
        <v>120</v>
      </c>
      <c r="K8" s="42" cm="1">
        <f t="array" ref="K8">IFERROR(
  VALUE($H8) *
  VALUE(
    _xlfn.XLOOKUP(
      TRIM($F8) &amp; "|" &amp; LEFT(SUBSTITUTE($G8,CHAR(160)," "),5) &amp; "|Ideas Rate",
      TRIM(SUBSTITUTE($T$2:$T$38,CHAR(160)," ")) &amp; "|" &amp;
      LEFT(SUBSTITUTE($U$2:$U$38,CHAR(160)," "),5) &amp; "|" &amp;
      TRIM(SUBSTITUTE($V$2:$V$38,CHAR(160)," ")),
      $W$2:$W$38
    )
  ),
"")</f>
        <v>90</v>
      </c>
      <c r="T8" t="s">
        <v>10</v>
      </c>
      <c r="U8" t="s">
        <v>376</v>
      </c>
      <c r="V8" t="s">
        <v>384</v>
      </c>
      <c r="W8" s="32">
        <v>75</v>
      </c>
      <c r="Y8" s="95" t="s">
        <v>165</v>
      </c>
      <c r="Z8" s="96" t="s">
        <v>433</v>
      </c>
      <c r="AA8" s="96" t="s">
        <v>491</v>
      </c>
      <c r="AB8" s="96" t="s">
        <v>435</v>
      </c>
    </row>
    <row r="9" spans="1:31" x14ac:dyDescent="0.2">
      <c r="A9" s="21">
        <v>45889</v>
      </c>
      <c r="B9" s="28" t="s">
        <v>52</v>
      </c>
      <c r="C9" s="20" t="s">
        <v>111</v>
      </c>
      <c r="D9" s="18" t="s">
        <v>178</v>
      </c>
      <c r="E9" s="17" t="s">
        <v>119</v>
      </c>
      <c r="F9" s="17" t="s">
        <v>9</v>
      </c>
      <c r="G9" s="22" t="s">
        <v>367</v>
      </c>
      <c r="H9" s="45">
        <v>1</v>
      </c>
      <c r="I9" s="160" cm="1">
        <f t="array" ref="I9">IFERROR(
  VALUE($H9) *
  VALUE(
    _xlfn.XLOOKUP(
      TRIM($F9) &amp; "|" &amp; LEFT(SUBSTITUTE($G9,CHAR(160)," "),5) &amp; "|Full Rate",
      TRIM(SUBSTITUTE($T$2:$T$38,CHAR(160)," ")) &amp; "|" &amp;
      LEFT(SUBSTITUTE($U$2:$U$38,CHAR(160)," "),5) &amp; "|" &amp;
      TRIM(SUBSTITUTE($V$2:$V$38,CHAR(160)," ")),
      $W$2:$W$38
    )
  ),
"")</f>
        <v>500</v>
      </c>
      <c r="J9" s="161" cm="1">
        <f t="array" ref="J9">IFERROR(
  VALUE($H9) *
  VALUE(
    _xlfn.XLOOKUP(
      TRIM($F9) &amp; "|" &amp; LEFT(SUBSTITUTE($G9,CHAR(160)," "),5) &amp; "|Reduced Rate",
      TRIM(SUBSTITUTE($T$2:$T$38,CHAR(160)," ")) &amp; "|" &amp;
      LEFT(SUBSTITUTE($U$2:$U$38,CHAR(160)," "),5) &amp; "|" &amp;
      TRIM(SUBSTITUTE($V$2:$V$38,CHAR(160)," ")),
      $W$2:$W$38
    )
  ),
"")</f>
        <v>300</v>
      </c>
      <c r="K9" s="42" cm="1">
        <f t="array" ref="K9">IFERROR(
  VALUE($H9) *
  VALUE(
    _xlfn.XLOOKUP(
      TRIM($F9) &amp; "|" &amp; LEFT(SUBSTITUTE($G9,CHAR(160)," "),5) &amp; "|Ideas Rate",
      TRIM(SUBSTITUTE($T$2:$T$38,CHAR(160)," ")) &amp; "|" &amp;
      LEFT(SUBSTITUTE($U$2:$U$38,CHAR(160)," "),5) &amp; "|" &amp;
      TRIM(SUBSTITUTE($V$2:$V$38,CHAR(160)," ")),
      $W$2:$W$38
    )
  ),
"")</f>
        <v>150</v>
      </c>
      <c r="T9" t="s">
        <v>10</v>
      </c>
      <c r="U9" t="s">
        <v>368</v>
      </c>
      <c r="V9" t="s">
        <v>382</v>
      </c>
      <c r="W9" s="32">
        <v>100</v>
      </c>
      <c r="Y9" s="97" t="s">
        <v>182</v>
      </c>
      <c r="Z9" s="98">
        <f>SUMIF($D:$D,$Y9,$H:$H)</f>
        <v>259.75</v>
      </c>
      <c r="AA9" s="101">
        <f>SUMIF($D:$D,$Y9,$I:$I)</f>
        <v>102550</v>
      </c>
      <c r="AB9" s="99"/>
    </row>
    <row r="10" spans="1:31" s="198" customFormat="1" x14ac:dyDescent="0.2">
      <c r="A10" s="195">
        <v>45929</v>
      </c>
      <c r="B10" s="196" t="s">
        <v>169</v>
      </c>
      <c r="C10" s="197" t="s">
        <v>152</v>
      </c>
      <c r="D10" s="220" t="s">
        <v>191</v>
      </c>
      <c r="E10" s="221" t="s">
        <v>321</v>
      </c>
      <c r="F10" s="221" t="s">
        <v>155</v>
      </c>
      <c r="G10" s="199" t="s">
        <v>367</v>
      </c>
      <c r="H10" s="219">
        <v>1</v>
      </c>
      <c r="I10" s="201" cm="1">
        <f t="array" ref="I10">IFERROR(
  VALUE($H10) *
  VALUE(
    _xlfn.XLOOKUP(
      TRIM($F10) &amp; "|" &amp; LEFT(SUBSTITUTE($G10,CHAR(160)," "),5) &amp; "|Full Rate",
      TRIM(SUBSTITUTE($T$2:$T$38,CHAR(160)," ")) &amp; "|" &amp;
      LEFT(SUBSTITUTE($U$2:$U$38,CHAR(160)," "),5) &amp; "|" &amp;
      TRIM(SUBSTITUTE($V$2:$V$38,CHAR(160)," ")),
      $W$2:$W$38
    )
  ),
"")</f>
        <v>400</v>
      </c>
      <c r="J10" s="202" cm="1">
        <f t="array" ref="J10">IFERROR(
  VALUE($H10) *
  VALUE(
    _xlfn.XLOOKUP(
      TRIM($F10) &amp; "|" &amp; LEFT(SUBSTITUTE($G10,CHAR(160)," "),5) &amp; "|Reduced Rate",
      TRIM(SUBSTITUTE($T$2:$T$38,CHAR(160)," ")) &amp; "|" &amp;
      LEFT(SUBSTITUTE($U$2:$U$38,CHAR(160)," "),5) &amp; "|" &amp;
      TRIM(SUBSTITUTE($V$2:$V$38,CHAR(160)," ")),
      $W$2:$W$38
    )
  ),
"")</f>
        <v>200</v>
      </c>
      <c r="K10" s="203" cm="1">
        <f t="array" ref="K10">IFERROR(
  VALUE($H10) *
  VALUE(
    _xlfn.XLOOKUP(
      TRIM($F10) &amp; "|" &amp; LEFT(SUBSTITUTE($G10,CHAR(160)," "),5) &amp; "|Ideas Rate",
      TRIM(SUBSTITUTE($T$2:$T$38,CHAR(160)," ")) &amp; "|" &amp;
      LEFT(SUBSTITUTE($U$2:$U$38,CHAR(160)," "),5) &amp; "|" &amp;
      TRIM(SUBSTITUTE($V$2:$V$38,CHAR(160)," ")),
      $W$2:$W$38
    )
  ),
"")</f>
        <v>120</v>
      </c>
      <c r="L10"/>
      <c r="M10"/>
      <c r="N10"/>
      <c r="O10" s="32"/>
      <c r="P10"/>
      <c r="Q10"/>
      <c r="R10"/>
      <c r="S10"/>
      <c r="T10" t="s">
        <v>10</v>
      </c>
      <c r="U10" t="s">
        <v>368</v>
      </c>
      <c r="V10" t="s">
        <v>378</v>
      </c>
      <c r="W10" s="32">
        <v>50</v>
      </c>
      <c r="X10"/>
      <c r="Y10" s="97" t="s">
        <v>190</v>
      </c>
      <c r="Z10" s="98">
        <f>SUMIF($D:$D,$Y10,$H:$H)</f>
        <v>295.25</v>
      </c>
      <c r="AA10" s="101">
        <f>SUMIF($D:$D,$Y10,$I:$I)</f>
        <v>57995</v>
      </c>
      <c r="AB10" s="99"/>
      <c r="AC10"/>
      <c r="AD10"/>
      <c r="AE10"/>
    </row>
    <row r="11" spans="1:31" s="198" customFormat="1" x14ac:dyDescent="0.2">
      <c r="A11" s="195">
        <v>45930</v>
      </c>
      <c r="B11" s="196" t="s">
        <v>169</v>
      </c>
      <c r="C11" s="197" t="s">
        <v>152</v>
      </c>
      <c r="D11" s="198" t="s">
        <v>182</v>
      </c>
      <c r="E11" s="198" t="s">
        <v>322</v>
      </c>
      <c r="F11" s="198" t="s">
        <v>155</v>
      </c>
      <c r="G11" s="199" t="s">
        <v>367</v>
      </c>
      <c r="H11" s="219">
        <v>2.5</v>
      </c>
      <c r="I11" s="201" cm="1">
        <f t="array" ref="I11">IFERROR(
  VALUE($H11) *
  VALUE(
    _xlfn.XLOOKUP(
      TRIM($F11) &amp; "|" &amp; LEFT(SUBSTITUTE($G11,CHAR(160)," "),5) &amp; "|Full Rate",
      TRIM(SUBSTITUTE($T$2:$T$38,CHAR(160)," ")) &amp; "|" &amp;
      LEFT(SUBSTITUTE($U$2:$U$38,CHAR(160)," "),5) &amp; "|" &amp;
      TRIM(SUBSTITUTE($V$2:$V$38,CHAR(160)," ")),
      $W$2:$W$38
    )
  ),
"")</f>
        <v>1000</v>
      </c>
      <c r="J11" s="202" cm="1">
        <f t="array" ref="J11">IFERROR(
  VALUE($H11) *
  VALUE(
    _xlfn.XLOOKUP(
      TRIM($F11) &amp; "|" &amp; LEFT(SUBSTITUTE($G11,CHAR(160)," "),5) &amp; "|Reduced Rate",
      TRIM(SUBSTITUTE($T$2:$T$38,CHAR(160)," ")) &amp; "|" &amp;
      LEFT(SUBSTITUTE($U$2:$U$38,CHAR(160)," "),5) &amp; "|" &amp;
      TRIM(SUBSTITUTE($V$2:$V$38,CHAR(160)," ")),
      $W$2:$W$38
    )
  ),
"")</f>
        <v>500</v>
      </c>
      <c r="K11" s="203" cm="1">
        <f t="array" ref="K11">IFERROR(
  VALUE($H11) *
  VALUE(
    _xlfn.XLOOKUP(
      TRIM($F11) &amp; "|" &amp; LEFT(SUBSTITUTE($G11,CHAR(160)," "),5) &amp; "|Ideas Rate",
      TRIM(SUBSTITUTE($T$2:$T$38,CHAR(160)," ")) &amp; "|" &amp;
      LEFT(SUBSTITUTE($U$2:$U$38,CHAR(160)," "),5) &amp; "|" &amp;
      TRIM(SUBSTITUTE($V$2:$V$38,CHAR(160)," ")),
      $W$2:$W$38
    )
  ),
"")</f>
        <v>300</v>
      </c>
      <c r="L11"/>
      <c r="M11"/>
      <c r="N11"/>
      <c r="O11" s="32"/>
      <c r="P11"/>
      <c r="Q11"/>
      <c r="R11"/>
      <c r="S11"/>
      <c r="T11" t="s">
        <v>10</v>
      </c>
      <c r="U11" t="s">
        <v>368</v>
      </c>
      <c r="V11" t="s">
        <v>384</v>
      </c>
      <c r="W11" s="32">
        <v>30</v>
      </c>
      <c r="X11"/>
      <c r="Y11" s="97" t="s">
        <v>188</v>
      </c>
      <c r="Z11" s="98">
        <f>SUMIF($D:$D,$Y11,$H:$H)</f>
        <v>5</v>
      </c>
      <c r="AA11" s="101">
        <f>SUMIF($D:$D,$Y11,$I:$I)</f>
        <v>1720</v>
      </c>
      <c r="AB11" s="99"/>
      <c r="AC11"/>
      <c r="AD11"/>
      <c r="AE11"/>
    </row>
    <row r="12" spans="1:31" s="198" customFormat="1" x14ac:dyDescent="0.2">
      <c r="A12" s="195">
        <v>45931</v>
      </c>
      <c r="B12" s="196" t="s">
        <v>325</v>
      </c>
      <c r="C12" s="197" t="s">
        <v>152</v>
      </c>
      <c r="D12" s="198" t="s">
        <v>182</v>
      </c>
      <c r="E12" s="198" t="s">
        <v>321</v>
      </c>
      <c r="F12" s="198" t="s">
        <v>155</v>
      </c>
      <c r="G12" s="199" t="s">
        <v>367</v>
      </c>
      <c r="H12" s="219">
        <v>4</v>
      </c>
      <c r="I12" s="201" cm="1">
        <f t="array" ref="I12">IFERROR(
  VALUE($H12) *
  VALUE(
    _xlfn.XLOOKUP(
      TRIM($F12) &amp; "|" &amp; LEFT(SUBSTITUTE($G12,CHAR(160)," "),5) &amp; "|Full Rate",
      TRIM(SUBSTITUTE($T$2:$T$38,CHAR(160)," ")) &amp; "|" &amp;
      LEFT(SUBSTITUTE($U$2:$U$38,CHAR(160)," "),5) &amp; "|" &amp;
      TRIM(SUBSTITUTE($V$2:$V$38,CHAR(160)," ")),
      $W$2:$W$38
    )
  ),
"")</f>
        <v>1600</v>
      </c>
      <c r="J12" s="202" cm="1">
        <f t="array" ref="J12">IFERROR(
  VALUE($H12) *
  VALUE(
    _xlfn.XLOOKUP(
      TRIM($F12) &amp; "|" &amp; LEFT(SUBSTITUTE($G12,CHAR(160)," "),5) &amp; "|Reduced Rate",
      TRIM(SUBSTITUTE($T$2:$T$38,CHAR(160)," ")) &amp; "|" &amp;
      LEFT(SUBSTITUTE($U$2:$U$38,CHAR(160)," "),5) &amp; "|" &amp;
      TRIM(SUBSTITUTE($V$2:$V$38,CHAR(160)," ")),
      $W$2:$W$38
    )
  ),
"")</f>
        <v>800</v>
      </c>
      <c r="K12" s="203" cm="1">
        <f t="array" ref="K12">IFERROR(
  VALUE($H12) *
  VALUE(
    _xlfn.XLOOKUP(
      TRIM($F12) &amp; "|" &amp; LEFT(SUBSTITUTE($G12,CHAR(160)," "),5) &amp; "|Ideas Rate",
      TRIM(SUBSTITUTE($T$2:$T$38,CHAR(160)," ")) &amp; "|" &amp;
      LEFT(SUBSTITUTE($U$2:$U$38,CHAR(160)," "),5) &amp; "|" &amp;
      TRIM(SUBSTITUTE($V$2:$V$38,CHAR(160)," ")),
      $W$2:$W$38
    )
  ),
"")</f>
        <v>480</v>
      </c>
      <c r="L12"/>
      <c r="M12"/>
      <c r="N12"/>
      <c r="O12" s="32"/>
      <c r="P12"/>
      <c r="Q12"/>
      <c r="R12"/>
      <c r="S12"/>
      <c r="T12" s="56" t="s">
        <v>9</v>
      </c>
      <c r="U12" s="56" t="s">
        <v>375</v>
      </c>
      <c r="V12" s="56" t="s">
        <v>382</v>
      </c>
      <c r="W12" s="57">
        <v>500</v>
      </c>
      <c r="X12"/>
      <c r="Y12" s="97" t="s">
        <v>191</v>
      </c>
      <c r="Z12" s="98">
        <f>SUMIF($D:$D,$Y12,$H:$H)</f>
        <v>100</v>
      </c>
      <c r="AA12" s="101">
        <f>SUMIF($D:$D,$Y12,$I:$I)</f>
        <v>40770</v>
      </c>
      <c r="AB12" s="99"/>
      <c r="AC12"/>
      <c r="AD12"/>
      <c r="AE12"/>
    </row>
    <row r="13" spans="1:31" s="198" customFormat="1" x14ac:dyDescent="0.2">
      <c r="A13" s="195">
        <v>45932</v>
      </c>
      <c r="B13" s="196" t="s">
        <v>325</v>
      </c>
      <c r="C13" s="197" t="s">
        <v>152</v>
      </c>
      <c r="D13" s="198" t="s">
        <v>182</v>
      </c>
      <c r="E13" s="198" t="s">
        <v>321</v>
      </c>
      <c r="F13" s="198" t="s">
        <v>155</v>
      </c>
      <c r="G13" s="199" t="s">
        <v>367</v>
      </c>
      <c r="H13" s="219">
        <v>5</v>
      </c>
      <c r="I13" s="201" cm="1">
        <f t="array" ref="I13">IFERROR(
  VALUE($H13) *
  VALUE(
    _xlfn.XLOOKUP(
      TRIM($F13) &amp; "|" &amp; LEFT(SUBSTITUTE($G13,CHAR(160)," "),5) &amp; "|Full Rate",
      TRIM(SUBSTITUTE($T$2:$T$38,CHAR(160)," ")) &amp; "|" &amp;
      LEFT(SUBSTITUTE($U$2:$U$38,CHAR(160)," "),5) &amp; "|" &amp;
      TRIM(SUBSTITUTE($V$2:$V$38,CHAR(160)," ")),
      $W$2:$W$38
    )
  ),
"")</f>
        <v>2000</v>
      </c>
      <c r="J13" s="202" cm="1">
        <f t="array" ref="J13">IFERROR(
  VALUE($H13) *
  VALUE(
    _xlfn.XLOOKUP(
      TRIM($F13) &amp; "|" &amp; LEFT(SUBSTITUTE($G13,CHAR(160)," "),5) &amp; "|Reduced Rate",
      TRIM(SUBSTITUTE($T$2:$T$38,CHAR(160)," ")) &amp; "|" &amp;
      LEFT(SUBSTITUTE($U$2:$U$38,CHAR(160)," "),5) &amp; "|" &amp;
      TRIM(SUBSTITUTE($V$2:$V$38,CHAR(160)," ")),
      $W$2:$W$38
    )
  ),
"")</f>
        <v>1000</v>
      </c>
      <c r="K13" s="203" cm="1">
        <f t="array" ref="K13">IFERROR(
  VALUE($H13) *
  VALUE(
    _xlfn.XLOOKUP(
      TRIM($F13) &amp; "|" &amp; LEFT(SUBSTITUTE($G13,CHAR(160)," "),5) &amp; "|Ideas Rate",
      TRIM(SUBSTITUTE($T$2:$T$38,CHAR(160)," ")) &amp; "|" &amp;
      LEFT(SUBSTITUTE($U$2:$U$38,CHAR(160)," "),5) &amp; "|" &amp;
      TRIM(SUBSTITUTE($V$2:$V$38,CHAR(160)," ")),
      $W$2:$W$38
    )
  ),
"")</f>
        <v>600</v>
      </c>
      <c r="L13"/>
      <c r="M13"/>
      <c r="N13"/>
      <c r="O13" s="32"/>
      <c r="P13"/>
      <c r="Q13"/>
      <c r="R13"/>
      <c r="S13"/>
      <c r="T13" t="s">
        <v>9</v>
      </c>
      <c r="U13" t="s">
        <v>375</v>
      </c>
      <c r="V13" t="s">
        <v>383</v>
      </c>
      <c r="W13" s="32">
        <v>300</v>
      </c>
      <c r="X13"/>
      <c r="Y13" s="97" t="s">
        <v>178</v>
      </c>
      <c r="Z13" s="98">
        <f>SUMIF($D:$D,$Y13,$H:$H)</f>
        <v>288.5</v>
      </c>
      <c r="AA13" s="101">
        <f>SUMIF($D:$D,$Y13,$I:$I)</f>
        <v>82097.5</v>
      </c>
      <c r="AB13" s="99"/>
      <c r="AC13"/>
      <c r="AD13"/>
      <c r="AE13"/>
    </row>
    <row r="14" spans="1:31" s="198" customFormat="1" x14ac:dyDescent="0.2">
      <c r="A14" s="195">
        <v>45937</v>
      </c>
      <c r="B14" s="196" t="s">
        <v>325</v>
      </c>
      <c r="C14" s="197" t="s">
        <v>152</v>
      </c>
      <c r="D14" s="198" t="s">
        <v>182</v>
      </c>
      <c r="E14" s="198" t="s">
        <v>321</v>
      </c>
      <c r="F14" s="198" t="s">
        <v>155</v>
      </c>
      <c r="G14" s="199" t="s">
        <v>367</v>
      </c>
      <c r="H14" s="219">
        <v>6</v>
      </c>
      <c r="I14" s="201" cm="1">
        <f t="array" ref="I14">IFERROR(
  VALUE($H14) *
  VALUE(
    _xlfn.XLOOKUP(
      TRIM($F14) &amp; "|" &amp; LEFT(SUBSTITUTE($G14,CHAR(160)," "),5) &amp; "|Full Rate",
      TRIM(SUBSTITUTE($T$2:$T$38,CHAR(160)," ")) &amp; "|" &amp;
      LEFT(SUBSTITUTE($U$2:$U$38,CHAR(160)," "),5) &amp; "|" &amp;
      TRIM(SUBSTITUTE($V$2:$V$38,CHAR(160)," ")),
      $W$2:$W$38
    )
  ),
"")</f>
        <v>2400</v>
      </c>
      <c r="J14" s="202" cm="1">
        <f t="array" ref="J14">IFERROR(
  VALUE($H14) *
  VALUE(
    _xlfn.XLOOKUP(
      TRIM($F14) &amp; "|" &amp; LEFT(SUBSTITUTE($G14,CHAR(160)," "),5) &amp; "|Reduced Rate",
      TRIM(SUBSTITUTE($T$2:$T$38,CHAR(160)," ")) &amp; "|" &amp;
      LEFT(SUBSTITUTE($U$2:$U$38,CHAR(160)," "),5) &amp; "|" &amp;
      TRIM(SUBSTITUTE($V$2:$V$38,CHAR(160)," ")),
      $W$2:$W$38
    )
  ),
"")</f>
        <v>1200</v>
      </c>
      <c r="K14" s="203" cm="1">
        <f t="array" ref="K14">IFERROR(
  VALUE($H14) *
  VALUE(
    _xlfn.XLOOKUP(
      TRIM($F14) &amp; "|" &amp; LEFT(SUBSTITUTE($G14,CHAR(160)," "),5) &amp; "|Ideas Rate",
      TRIM(SUBSTITUTE($T$2:$T$38,CHAR(160)," ")) &amp; "|" &amp;
      LEFT(SUBSTITUTE($U$2:$U$38,CHAR(160)," "),5) &amp; "|" &amp;
      TRIM(SUBSTITUTE($V$2:$V$38,CHAR(160)," ")),
      $W$2:$W$38
    )
  ),
"")</f>
        <v>720</v>
      </c>
      <c r="L14"/>
      <c r="M14"/>
      <c r="N14"/>
      <c r="O14" s="32"/>
      <c r="P14"/>
      <c r="Q14"/>
      <c r="R14"/>
      <c r="S14"/>
      <c r="T14" t="s">
        <v>9</v>
      </c>
      <c r="U14" t="s">
        <v>375</v>
      </c>
      <c r="V14" t="s">
        <v>384</v>
      </c>
      <c r="W14" s="32">
        <v>150</v>
      </c>
      <c r="X14"/>
      <c r="Y14" s="97" t="s">
        <v>81</v>
      </c>
      <c r="Z14" s="98">
        <f>SUMIF($D:$D,$Y14,$H:$H)</f>
        <v>26.5</v>
      </c>
      <c r="AA14" s="101">
        <f>SUMIF($D:$D,$Y14,$I:$I)</f>
        <v>12150</v>
      </c>
      <c r="AB14" s="99"/>
      <c r="AC14"/>
      <c r="AD14"/>
      <c r="AE14"/>
    </row>
    <row r="15" spans="1:31" s="198" customFormat="1" x14ac:dyDescent="0.2">
      <c r="A15" s="195">
        <v>45938</v>
      </c>
      <c r="B15" s="196" t="s">
        <v>325</v>
      </c>
      <c r="C15" s="197" t="s">
        <v>152</v>
      </c>
      <c r="D15" s="198" t="s">
        <v>182</v>
      </c>
      <c r="E15" s="198" t="s">
        <v>321</v>
      </c>
      <c r="F15" s="198" t="s">
        <v>155</v>
      </c>
      <c r="G15" s="199" t="s">
        <v>367</v>
      </c>
      <c r="H15" s="219">
        <v>4</v>
      </c>
      <c r="I15" s="201" cm="1">
        <f t="array" ref="I15">IFERROR(
  VALUE($H15) *
  VALUE(
    _xlfn.XLOOKUP(
      TRIM($F15) &amp; "|" &amp; LEFT(SUBSTITUTE($G15,CHAR(160)," "),5) &amp; "|Full Rate",
      TRIM(SUBSTITUTE($T$2:$T$38,CHAR(160)," ")) &amp; "|" &amp;
      LEFT(SUBSTITUTE($U$2:$U$38,CHAR(160)," "),5) &amp; "|" &amp;
      TRIM(SUBSTITUTE($V$2:$V$38,CHAR(160)," ")),
      $W$2:$W$38
    )
  ),
"")</f>
        <v>1600</v>
      </c>
      <c r="J15" s="202" cm="1">
        <f t="array" ref="J15">IFERROR(
  VALUE($H15) *
  VALUE(
    _xlfn.XLOOKUP(
      TRIM($F15) &amp; "|" &amp; LEFT(SUBSTITUTE($G15,CHAR(160)," "),5) &amp; "|Reduced Rate",
      TRIM(SUBSTITUTE($T$2:$T$38,CHAR(160)," ")) &amp; "|" &amp;
      LEFT(SUBSTITUTE($U$2:$U$38,CHAR(160)," "),5) &amp; "|" &amp;
      TRIM(SUBSTITUTE($V$2:$V$38,CHAR(160)," ")),
      $W$2:$W$38
    )
  ),
"")</f>
        <v>800</v>
      </c>
      <c r="K15" s="203" cm="1">
        <f t="array" ref="K15">IFERROR(
  VALUE($H15) *
  VALUE(
    _xlfn.XLOOKUP(
      TRIM($F15) &amp; "|" &amp; LEFT(SUBSTITUTE($G15,CHAR(160)," "),5) &amp; "|Ideas Rate",
      TRIM(SUBSTITUTE($T$2:$T$38,CHAR(160)," ")) &amp; "|" &amp;
      LEFT(SUBSTITUTE($U$2:$U$38,CHAR(160)," "),5) &amp; "|" &amp;
      TRIM(SUBSTITUTE($V$2:$V$38,CHAR(160)," ")),
      $W$2:$W$38
    )
  ),
"")</f>
        <v>480</v>
      </c>
      <c r="L15"/>
      <c r="M15"/>
      <c r="N15"/>
      <c r="O15" s="32"/>
      <c r="P15"/>
      <c r="Q15"/>
      <c r="R15"/>
      <c r="S15"/>
      <c r="T15" t="s">
        <v>9</v>
      </c>
      <c r="U15" t="s">
        <v>376</v>
      </c>
      <c r="V15" t="s">
        <v>382</v>
      </c>
      <c r="W15" s="32">
        <v>250</v>
      </c>
      <c r="X15"/>
      <c r="Y15" s="97" t="s">
        <v>29</v>
      </c>
      <c r="Z15" s="98">
        <f>SUMIF($D:$D,$Y15,$H:$H)</f>
        <v>112.5</v>
      </c>
      <c r="AA15" s="101">
        <f>SUMIF($D:$D,$Y15,$I:$I)</f>
        <v>36582.5</v>
      </c>
      <c r="AB15" s="99"/>
      <c r="AC15"/>
      <c r="AD15"/>
      <c r="AE15"/>
    </row>
    <row r="16" spans="1:31" x14ac:dyDescent="0.2">
      <c r="A16" s="21">
        <v>45939</v>
      </c>
      <c r="B16" s="28" t="s">
        <v>325</v>
      </c>
      <c r="C16" s="20" t="s">
        <v>486</v>
      </c>
      <c r="D16" t="s">
        <v>178</v>
      </c>
      <c r="E16" t="s">
        <v>341</v>
      </c>
      <c r="F16" t="s">
        <v>9</v>
      </c>
      <c r="G16" t="s">
        <v>380</v>
      </c>
      <c r="H16" s="36">
        <v>0.5</v>
      </c>
      <c r="I16" s="160" cm="1">
        <f t="array" ref="I16">IFERROR(
  VALUE($H16) *
  VALUE(
    _xlfn.XLOOKUP(
      TRIM($F16) &amp; "|" &amp; LEFT(SUBSTITUTE($G16,CHAR(160)," "),5) &amp; "|Full Rate",
      TRIM(SUBSTITUTE($T$2:$T$38,CHAR(160)," ")) &amp; "|" &amp;
      LEFT(SUBSTITUTE($U$2:$U$38,CHAR(160)," "),5) &amp; "|" &amp;
      TRIM(SUBSTITUTE($V$2:$V$38,CHAR(160)," ")),
      $W$2:$W$38
    )
  ),
"")</f>
        <v>125</v>
      </c>
      <c r="J16" s="161" cm="1">
        <f t="array" ref="J16">IFERROR(
  VALUE($H16) *
  VALUE(
    _xlfn.XLOOKUP(
      TRIM($F16) &amp; "|" &amp; LEFT(SUBSTITUTE($G16,CHAR(160)," "),5) &amp; "|Reduced Rate",
      TRIM(SUBSTITUTE($T$2:$T$38,CHAR(160)," ")) &amp; "|" &amp;
      LEFT(SUBSTITUTE($U$2:$U$38,CHAR(160)," "),5) &amp; "|" &amp;
      TRIM(SUBSTITUTE($V$2:$V$38,CHAR(160)," ")),
      $W$2:$W$38
    )
  ),
"")</f>
        <v>75</v>
      </c>
      <c r="K16" s="42" cm="1">
        <f t="array" ref="K16">IFERROR(
  VALUE($H16) *
  VALUE(
    _xlfn.XLOOKUP(
      TRIM($F16) &amp; "|" &amp; LEFT(SUBSTITUTE($G16,CHAR(160)," "),5) &amp; "|Ideas Rate",
      TRIM(SUBSTITUTE($T$2:$T$38,CHAR(160)," ")) &amp; "|" &amp;
      LEFT(SUBSTITUTE($U$2:$U$38,CHAR(160)," "),5) &amp; "|" &amp;
      TRIM(SUBSTITUTE($V$2:$V$38,CHAR(160)," ")),
      $W$2:$W$38
    )
  ),
"")</f>
        <v>37.5</v>
      </c>
      <c r="T16" t="s">
        <v>9</v>
      </c>
      <c r="U16" t="s">
        <v>376</v>
      </c>
      <c r="V16" t="s">
        <v>383</v>
      </c>
      <c r="W16" s="32">
        <v>150</v>
      </c>
      <c r="Y16" s="97" t="s">
        <v>192</v>
      </c>
      <c r="Z16" s="98">
        <f>SUMIF($D:$D,$Y16,$H:$H)</f>
        <v>80.5</v>
      </c>
      <c r="AA16" s="101">
        <f>SUMIF($D:$D,$Y16,$I:$I)</f>
        <v>22530</v>
      </c>
      <c r="AB16" s="99"/>
    </row>
    <row r="17" spans="1:31" s="198" customFormat="1" x14ac:dyDescent="0.2">
      <c r="A17" s="195">
        <v>45944</v>
      </c>
      <c r="B17" s="196" t="s">
        <v>325</v>
      </c>
      <c r="C17" s="197" t="s">
        <v>152</v>
      </c>
      <c r="D17" s="198" t="s">
        <v>190</v>
      </c>
      <c r="E17" s="198" t="s">
        <v>370</v>
      </c>
      <c r="F17" s="198" t="s">
        <v>155</v>
      </c>
      <c r="G17" s="199" t="s">
        <v>368</v>
      </c>
      <c r="H17" s="200">
        <v>1</v>
      </c>
      <c r="I17" s="201" cm="1">
        <f t="array" ref="I17">IFERROR(
  VALUE($H17) *
  VALUE(
    _xlfn.XLOOKUP(
      TRIM($F17) &amp; "|" &amp; LEFT(SUBSTITUTE($G17,CHAR(160)," "),5) &amp; "|Full Rate",
      TRIM(SUBSTITUTE($T$2:$T$38,CHAR(160)," ")) &amp; "|" &amp;
      LEFT(SUBSTITUTE($U$2:$U$38,CHAR(160)," "),5) &amp; "|" &amp;
      TRIM(SUBSTITUTE($V$2:$V$38,CHAR(160)," ")),
      $W$2:$W$38
    )
  ),
"")</f>
        <v>100</v>
      </c>
      <c r="J17" s="202" cm="1">
        <f t="array" ref="J17">IFERROR(
  VALUE($H17) *
  VALUE(
    _xlfn.XLOOKUP(
      TRIM($F17) &amp; "|" &amp; LEFT(SUBSTITUTE($G17,CHAR(160)," "),5) &amp; "|Reduced Rate",
      TRIM(SUBSTITUTE($T$2:$T$38,CHAR(160)," ")) &amp; "|" &amp;
      LEFT(SUBSTITUTE($U$2:$U$38,CHAR(160)," "),5) &amp; "|" &amp;
      TRIM(SUBSTITUTE($V$2:$V$38,CHAR(160)," ")),
      $W$2:$W$38
    )
  ),
"")</f>
        <v>50</v>
      </c>
      <c r="K17" s="203" cm="1">
        <f t="array" ref="K17">IFERROR(
  VALUE($H17) *
  VALUE(
    _xlfn.XLOOKUP(
      TRIM($F17) &amp; "|" &amp; LEFT(SUBSTITUTE($G17,CHAR(160)," "),5) &amp; "|Ideas Rate",
      TRIM(SUBSTITUTE($T$2:$T$38,CHAR(160)," ")) &amp; "|" &amp;
      LEFT(SUBSTITUTE($U$2:$U$38,CHAR(160)," "),5) &amp; "|" &amp;
      TRIM(SUBSTITUTE($V$2:$V$38,CHAR(160)," ")),
      $W$2:$W$38
    )
  ),
"")</f>
        <v>30</v>
      </c>
      <c r="L17"/>
      <c r="M17"/>
      <c r="N17"/>
      <c r="O17" s="32"/>
      <c r="P17"/>
      <c r="Q17"/>
      <c r="R17"/>
      <c r="S17"/>
      <c r="T17" t="s">
        <v>9</v>
      </c>
      <c r="U17" t="s">
        <v>376</v>
      </c>
      <c r="V17" t="s">
        <v>384</v>
      </c>
      <c r="W17" s="32">
        <v>75</v>
      </c>
      <c r="X17"/>
      <c r="Y17" s="97" t="s">
        <v>184</v>
      </c>
      <c r="Z17" s="98">
        <f>SUMIF($D:$D,$Y17,$H:$H)</f>
        <v>267.5</v>
      </c>
      <c r="AA17" s="101">
        <f>SUMIF($D:$D,$Y17,$I:$I)</f>
        <v>78257.5</v>
      </c>
      <c r="AB17" s="99"/>
      <c r="AC17"/>
      <c r="AD17"/>
      <c r="AE17"/>
    </row>
    <row r="18" spans="1:31" s="198" customFormat="1" x14ac:dyDescent="0.2">
      <c r="A18" s="195">
        <v>45950</v>
      </c>
      <c r="B18" s="196" t="s">
        <v>325</v>
      </c>
      <c r="C18" s="197" t="s">
        <v>152</v>
      </c>
      <c r="D18" s="198" t="s">
        <v>192</v>
      </c>
      <c r="E18" s="198" t="s">
        <v>370</v>
      </c>
      <c r="F18" s="198" t="s">
        <v>155</v>
      </c>
      <c r="G18" s="199" t="s">
        <v>367</v>
      </c>
      <c r="H18" s="200">
        <v>2</v>
      </c>
      <c r="I18" s="201" cm="1">
        <f t="array" ref="I18">IFERROR(
  VALUE($H18) *
  VALUE(
    _xlfn.XLOOKUP(
      TRIM($F18) &amp; "|" &amp; LEFT(SUBSTITUTE($G18,CHAR(160)," "),5) &amp; "|Full Rate",
      TRIM(SUBSTITUTE($T$2:$T$38,CHAR(160)," ")) &amp; "|" &amp;
      LEFT(SUBSTITUTE($U$2:$U$38,CHAR(160)," "),5) &amp; "|" &amp;
      TRIM(SUBSTITUTE($V$2:$V$38,CHAR(160)," ")),
      $W$2:$W$38
    )
  ),
"")</f>
        <v>800</v>
      </c>
      <c r="J18" s="202" cm="1">
        <f t="array" ref="J18">IFERROR(
  VALUE($H18) *
  VALUE(
    _xlfn.XLOOKUP(
      TRIM($F18) &amp; "|" &amp; LEFT(SUBSTITUTE($G18,CHAR(160)," "),5) &amp; "|Reduced Rate",
      TRIM(SUBSTITUTE($T$2:$T$38,CHAR(160)," ")) &amp; "|" &amp;
      LEFT(SUBSTITUTE($U$2:$U$38,CHAR(160)," "),5) &amp; "|" &amp;
      TRIM(SUBSTITUTE($V$2:$V$38,CHAR(160)," ")),
      $W$2:$W$38
    )
  ),
"")</f>
        <v>400</v>
      </c>
      <c r="K18" s="203" cm="1">
        <f t="array" ref="K18">IFERROR(
  VALUE($H18) *
  VALUE(
    _xlfn.XLOOKUP(
      TRIM($F18) &amp; "|" &amp; LEFT(SUBSTITUTE($G18,CHAR(160)," "),5) &amp; "|Ideas Rate",
      TRIM(SUBSTITUTE($T$2:$T$38,CHAR(160)," ")) &amp; "|" &amp;
      LEFT(SUBSTITUTE($U$2:$U$38,CHAR(160)," "),5) &amp; "|" &amp;
      TRIM(SUBSTITUTE($V$2:$V$38,CHAR(160)," ")),
      $W$2:$W$38
    )
  ),
"")</f>
        <v>240</v>
      </c>
      <c r="L18"/>
      <c r="M18"/>
      <c r="N18"/>
      <c r="O18" s="32"/>
      <c r="P18"/>
      <c r="Q18"/>
      <c r="R18"/>
      <c r="S18"/>
      <c r="T18" t="s">
        <v>9</v>
      </c>
      <c r="U18" t="s">
        <v>368</v>
      </c>
      <c r="V18" t="s">
        <v>382</v>
      </c>
      <c r="W18" s="32">
        <v>100</v>
      </c>
      <c r="X18"/>
      <c r="Y18" s="97" t="s">
        <v>187</v>
      </c>
      <c r="Z18" s="98">
        <f>SUMIF($D:$D,$Y18,$H:$H)</f>
        <v>5</v>
      </c>
      <c r="AA18" s="101">
        <f>SUMIF($D:$D,$Y18,$I:$I)</f>
        <v>500</v>
      </c>
      <c r="AB18" s="99"/>
      <c r="AC18"/>
      <c r="AD18"/>
      <c r="AE18"/>
    </row>
    <row r="19" spans="1:31" x14ac:dyDescent="0.2">
      <c r="A19" s="21">
        <v>45950</v>
      </c>
      <c r="B19" s="28" t="s">
        <v>325</v>
      </c>
      <c r="C19" s="20" t="s">
        <v>152</v>
      </c>
      <c r="D19" t="s">
        <v>178</v>
      </c>
      <c r="E19" t="s">
        <v>400</v>
      </c>
      <c r="F19" t="s">
        <v>155</v>
      </c>
      <c r="G19" s="22" t="s">
        <v>380</v>
      </c>
      <c r="H19" s="50">
        <v>1.75</v>
      </c>
      <c r="I19" s="160" cm="1">
        <f t="array" ref="I19">IFERROR(
  VALUE($H19) *
  VALUE(
    _xlfn.XLOOKUP(
      TRIM($F19) &amp; "|" &amp; LEFT(SUBSTITUTE($G19,CHAR(160)," "),5) &amp; "|Full Rate",
      TRIM(SUBSTITUTE($T$2:$T$38,CHAR(160)," ")) &amp; "|" &amp;
      LEFT(SUBSTITUTE($U$2:$U$38,CHAR(160)," "),5) &amp; "|" &amp;
      TRIM(SUBSTITUTE($V$2:$V$38,CHAR(160)," ")),
      $W$2:$W$38
    )
  ),
"")</f>
        <v>455</v>
      </c>
      <c r="J19" s="161" cm="1">
        <f t="array" ref="J19">IFERROR(
  VALUE($H19) *
  VALUE(
    _xlfn.XLOOKUP(
      TRIM($F19) &amp; "|" &amp; LEFT(SUBSTITUTE($G19,CHAR(160)," "),5) &amp; "|Reduced Rate",
      TRIM(SUBSTITUTE($T$2:$T$38,CHAR(160)," ")) &amp; "|" &amp;
      LEFT(SUBSTITUTE($U$2:$U$38,CHAR(160)," "),5) &amp; "|" &amp;
      TRIM(SUBSTITUTE($V$2:$V$38,CHAR(160)," ")),
      $W$2:$W$38
    )
  ),
"")</f>
        <v>210</v>
      </c>
      <c r="K19" s="42" cm="1">
        <f t="array" ref="K19">IFERROR(
  VALUE($H19) *
  VALUE(
    _xlfn.XLOOKUP(
      TRIM($F19) &amp; "|" &amp; LEFT(SUBSTITUTE($G19,CHAR(160)," "),5) &amp; "|Ideas Rate",
      TRIM(SUBSTITUTE($T$2:$T$38,CHAR(160)," ")) &amp; "|" &amp;
      LEFT(SUBSTITUTE($U$2:$U$38,CHAR(160)," "),5) &amp; "|" &amp;
      TRIM(SUBSTITUTE($V$2:$V$38,CHAR(160)," ")),
      $W$2:$W$38
    )
  ),
"")</f>
        <v>157.5</v>
      </c>
      <c r="T19" t="s">
        <v>9</v>
      </c>
      <c r="U19" t="s">
        <v>368</v>
      </c>
      <c r="V19" t="s">
        <v>378</v>
      </c>
      <c r="W19" s="32">
        <v>50</v>
      </c>
      <c r="Y19" s="97" t="s">
        <v>323</v>
      </c>
      <c r="Z19" s="98">
        <f>SUMIF($D:$D,$Y19,$H:$H)</f>
        <v>374.5</v>
      </c>
      <c r="AA19" s="101">
        <f>SUMIF($D:$D,$Y19,$I:$I)</f>
        <v>37450</v>
      </c>
      <c r="AB19" s="99"/>
    </row>
    <row r="20" spans="1:31" x14ac:dyDescent="0.2">
      <c r="A20" s="21">
        <v>45950</v>
      </c>
      <c r="B20" s="28" t="s">
        <v>325</v>
      </c>
      <c r="C20" s="20" t="s">
        <v>152</v>
      </c>
      <c r="D20" t="s">
        <v>178</v>
      </c>
      <c r="E20" t="s">
        <v>400</v>
      </c>
      <c r="F20" t="s">
        <v>10</v>
      </c>
      <c r="G20" s="22" t="s">
        <v>380</v>
      </c>
      <c r="H20" s="50">
        <v>1.75</v>
      </c>
      <c r="I20" s="160" cm="1">
        <f t="array" ref="I20">IFERROR(
  VALUE($H20) *
  VALUE(
    _xlfn.XLOOKUP(
      TRIM($F20) &amp; "|" &amp; LEFT(SUBSTITUTE($G20,CHAR(160)," "),5) &amp; "|Full Rate",
      TRIM(SUBSTITUTE($T$2:$T$38,CHAR(160)," ")) &amp; "|" &amp;
      LEFT(SUBSTITUTE($U$2:$U$38,CHAR(160)," "),5) &amp; "|" &amp;
      TRIM(SUBSTITUTE($V$2:$V$38,CHAR(160)," ")),
      $W$2:$W$38
    )
  ),
"")</f>
        <v>437.5</v>
      </c>
      <c r="J20" s="161" cm="1">
        <f t="array" ref="J20">IFERROR(
  VALUE($H20) *
  VALUE(
    _xlfn.XLOOKUP(
      TRIM($F20) &amp; "|" &amp; LEFT(SUBSTITUTE($G20,CHAR(160)," "),5) &amp; "|Reduced Rate",
      TRIM(SUBSTITUTE($T$2:$T$38,CHAR(160)," ")) &amp; "|" &amp;
      LEFT(SUBSTITUTE($U$2:$U$38,CHAR(160)," "),5) &amp; "|" &amp;
      TRIM(SUBSTITUTE($V$2:$V$38,CHAR(160)," ")),
      $W$2:$W$38
    )
  ),
"")</f>
        <v>262.5</v>
      </c>
      <c r="K20" s="42" cm="1">
        <f t="array" ref="K20">IFERROR(
  VALUE($H20) *
  VALUE(
    _xlfn.XLOOKUP(
      TRIM($F20) &amp; "|" &amp; LEFT(SUBSTITUTE($G20,CHAR(160)," "),5) &amp; "|Ideas Rate",
      TRIM(SUBSTITUTE($T$2:$T$38,CHAR(160)," ")) &amp; "|" &amp;
      LEFT(SUBSTITUTE($U$2:$U$38,CHAR(160)," "),5) &amp; "|" &amp;
      TRIM(SUBSTITUTE($V$2:$V$38,CHAR(160)," ")),
      $W$2:$W$38
    )
  ),
"")</f>
        <v>131.25</v>
      </c>
      <c r="T20" t="s">
        <v>9</v>
      </c>
      <c r="U20" t="s">
        <v>368</v>
      </c>
      <c r="V20" t="s">
        <v>384</v>
      </c>
      <c r="W20" s="32">
        <v>30</v>
      </c>
      <c r="Y20" s="97" t="s">
        <v>324</v>
      </c>
      <c r="Z20" s="98">
        <f>SUMIF($D:$D,$Y20,$H:$H)</f>
        <v>1</v>
      </c>
      <c r="AA20" s="101">
        <f>SUMIF($D:$D,$Y20,$I:$I)</f>
        <v>500</v>
      </c>
      <c r="AB20" s="99"/>
    </row>
    <row r="21" spans="1:31" x14ac:dyDescent="0.2">
      <c r="A21" s="21">
        <v>45951</v>
      </c>
      <c r="B21" s="28" t="s">
        <v>325</v>
      </c>
      <c r="C21" s="20" t="s">
        <v>152</v>
      </c>
      <c r="D21" t="s">
        <v>192</v>
      </c>
      <c r="E21" t="s">
        <v>401</v>
      </c>
      <c r="F21" t="s">
        <v>155</v>
      </c>
      <c r="G21" s="22" t="s">
        <v>367</v>
      </c>
      <c r="H21" s="50">
        <v>4</v>
      </c>
      <c r="I21" s="160" cm="1">
        <f t="array" ref="I21">IFERROR(
  VALUE($H21) *
  VALUE(
    _xlfn.XLOOKUP(
      TRIM($F21) &amp; "|" &amp; LEFT(SUBSTITUTE($G21,CHAR(160)," "),5) &amp; "|Full Rate",
      TRIM(SUBSTITUTE($T$2:$T$38,CHAR(160)," ")) &amp; "|" &amp;
      LEFT(SUBSTITUTE($U$2:$U$38,CHAR(160)," "),5) &amp; "|" &amp;
      TRIM(SUBSTITUTE($V$2:$V$38,CHAR(160)," ")),
      $W$2:$W$38
    )
  ),
"")</f>
        <v>1600</v>
      </c>
      <c r="J21" s="161" cm="1">
        <f t="array" ref="J21">IFERROR(
  VALUE($H21) *
  VALUE(
    _xlfn.XLOOKUP(
      TRIM($F21) &amp; "|" &amp; LEFT(SUBSTITUTE($G21,CHAR(160)," "),5) &amp; "|Reduced Rate",
      TRIM(SUBSTITUTE($T$2:$T$38,CHAR(160)," ")) &amp; "|" &amp;
      LEFT(SUBSTITUTE($U$2:$U$38,CHAR(160)," "),5) &amp; "|" &amp;
      TRIM(SUBSTITUTE($V$2:$V$38,CHAR(160)," ")),
      $W$2:$W$38
    )
  ),
"")</f>
        <v>800</v>
      </c>
      <c r="K21" s="42" cm="1">
        <f t="array" ref="K21">IFERROR(
  VALUE($H21) *
  VALUE(
    _xlfn.XLOOKUP(
      TRIM($F21) &amp; "|" &amp; LEFT(SUBSTITUTE($G21,CHAR(160)," "),5) &amp; "|Ideas Rate",
      TRIM(SUBSTITUTE($T$2:$T$38,CHAR(160)," ")) &amp; "|" &amp;
      LEFT(SUBSTITUTE($U$2:$U$38,CHAR(160)," "),5) &amp; "|" &amp;
      TRIM(SUBSTITUTE($V$2:$V$38,CHAR(160)," ")),
      $W$2:$W$38
    )
  ),
"")</f>
        <v>480</v>
      </c>
      <c r="T21" s="56" t="s">
        <v>155</v>
      </c>
      <c r="U21" s="56" t="s">
        <v>375</v>
      </c>
      <c r="V21" t="s">
        <v>382</v>
      </c>
      <c r="W21" s="57">
        <v>400</v>
      </c>
      <c r="Z21" s="105"/>
    </row>
    <row r="22" spans="1:31" x14ac:dyDescent="0.2">
      <c r="A22" s="21">
        <v>45952</v>
      </c>
      <c r="B22" s="28" t="s">
        <v>325</v>
      </c>
      <c r="C22" s="20" t="s">
        <v>152</v>
      </c>
      <c r="D22" t="s">
        <v>192</v>
      </c>
      <c r="E22" t="s">
        <v>402</v>
      </c>
      <c r="F22" t="s">
        <v>155</v>
      </c>
      <c r="G22" s="22" t="s">
        <v>367</v>
      </c>
      <c r="H22" s="50">
        <v>3</v>
      </c>
      <c r="I22" s="160" cm="1">
        <f t="array" ref="I22">IFERROR(
  VALUE($H22) *
  VALUE(
    _xlfn.XLOOKUP(
      TRIM($F22) &amp; "|" &amp; LEFT(SUBSTITUTE($G22,CHAR(160)," "),5) &amp; "|Full Rate",
      TRIM(SUBSTITUTE($T$2:$T$38,CHAR(160)," ")) &amp; "|" &amp;
      LEFT(SUBSTITUTE($U$2:$U$38,CHAR(160)," "),5) &amp; "|" &amp;
      TRIM(SUBSTITUTE($V$2:$V$38,CHAR(160)," ")),
      $W$2:$W$38
    )
  ),
"")</f>
        <v>1200</v>
      </c>
      <c r="J22" s="161" cm="1">
        <f t="array" ref="J22">IFERROR(
  VALUE($H22) *
  VALUE(
    _xlfn.XLOOKUP(
      TRIM($F22) &amp; "|" &amp; LEFT(SUBSTITUTE($G22,CHAR(160)," "),5) &amp; "|Reduced Rate",
      TRIM(SUBSTITUTE($T$2:$T$38,CHAR(160)," ")) &amp; "|" &amp;
      LEFT(SUBSTITUTE($U$2:$U$38,CHAR(160)," "),5) &amp; "|" &amp;
      TRIM(SUBSTITUTE($V$2:$V$38,CHAR(160)," ")),
      $W$2:$W$38
    )
  ),
"")</f>
        <v>600</v>
      </c>
      <c r="K22" s="42" cm="1">
        <f t="array" ref="K22">IFERROR(
  VALUE($H22) *
  VALUE(
    _xlfn.XLOOKUP(
      TRIM($F22) &amp; "|" &amp; LEFT(SUBSTITUTE($G22,CHAR(160)," "),5) &amp; "|Ideas Rate",
      TRIM(SUBSTITUTE($T$2:$T$38,CHAR(160)," ")) &amp; "|" &amp;
      LEFT(SUBSTITUTE($U$2:$U$38,CHAR(160)," "),5) &amp; "|" &amp;
      TRIM(SUBSTITUTE($V$2:$V$38,CHAR(160)," ")),
      $W$2:$W$38
    )
  ),
"")</f>
        <v>360</v>
      </c>
      <c r="T22" t="s">
        <v>155</v>
      </c>
      <c r="U22" t="s">
        <v>375</v>
      </c>
      <c r="V22" t="s">
        <v>383</v>
      </c>
      <c r="W22" s="32">
        <v>200</v>
      </c>
      <c r="Z22" s="105"/>
    </row>
    <row r="23" spans="1:31" x14ac:dyDescent="0.2">
      <c r="A23" s="21">
        <v>45953</v>
      </c>
      <c r="B23" s="28" t="s">
        <v>325</v>
      </c>
      <c r="C23" s="20" t="s">
        <v>152</v>
      </c>
      <c r="D23" t="s">
        <v>323</v>
      </c>
      <c r="E23" t="s">
        <v>323</v>
      </c>
      <c r="F23" t="s">
        <v>10</v>
      </c>
      <c r="G23" s="22" t="s">
        <v>368</v>
      </c>
      <c r="H23" s="50">
        <v>1</v>
      </c>
      <c r="I23" s="160" cm="1">
        <f t="array" ref="I23">IFERROR(
  VALUE($H23) *
  VALUE(
    _xlfn.XLOOKUP(
      TRIM($F23) &amp; "|" &amp; LEFT(SUBSTITUTE($G23,CHAR(160)," "),5) &amp; "|Full Rate",
      TRIM(SUBSTITUTE($T$2:$T$38,CHAR(160)," ")) &amp; "|" &amp;
      LEFT(SUBSTITUTE($U$2:$U$38,CHAR(160)," "),5) &amp; "|" &amp;
      TRIM(SUBSTITUTE($V$2:$V$38,CHAR(160)," ")),
      $W$2:$W$38
    )
  ),
"")</f>
        <v>100</v>
      </c>
      <c r="J23" s="161" cm="1">
        <f t="array" ref="J23">IFERROR(
  VALUE($H23) *
  VALUE(
    _xlfn.XLOOKUP(
      TRIM($F23) &amp; "|" &amp; LEFT(SUBSTITUTE($G23,CHAR(160)," "),5) &amp; "|Reduced Rate",
      TRIM(SUBSTITUTE($T$2:$T$38,CHAR(160)," ")) &amp; "|" &amp;
      LEFT(SUBSTITUTE($U$2:$U$38,CHAR(160)," "),5) &amp; "|" &amp;
      TRIM(SUBSTITUTE($V$2:$V$38,CHAR(160)," ")),
      $W$2:$W$38
    )
  ),
"")</f>
        <v>50</v>
      </c>
      <c r="K23" s="42" cm="1">
        <f t="array" ref="K23">IFERROR(
  VALUE($H23) *
  VALUE(
    _xlfn.XLOOKUP(
      TRIM($F23) &amp; "|" &amp; LEFT(SUBSTITUTE($G23,CHAR(160)," "),5) &amp; "|Ideas Rate",
      TRIM(SUBSTITUTE($T$2:$T$38,CHAR(160)," ")) &amp; "|" &amp;
      LEFT(SUBSTITUTE($U$2:$U$38,CHAR(160)," "),5) &amp; "|" &amp;
      TRIM(SUBSTITUTE($V$2:$V$38,CHAR(160)," ")),
      $W$2:$W$38
    )
  ),
"")</f>
        <v>30</v>
      </c>
      <c r="T23" t="s">
        <v>155</v>
      </c>
      <c r="U23" t="s">
        <v>375</v>
      </c>
      <c r="V23" t="s">
        <v>384</v>
      </c>
      <c r="W23" s="32">
        <v>120</v>
      </c>
      <c r="Z23" s="105"/>
    </row>
    <row r="24" spans="1:31" x14ac:dyDescent="0.2">
      <c r="A24" s="21">
        <v>45953</v>
      </c>
      <c r="B24" s="28" t="s">
        <v>325</v>
      </c>
      <c r="C24" s="20" t="s">
        <v>152</v>
      </c>
      <c r="D24" t="s">
        <v>184</v>
      </c>
      <c r="E24" t="s">
        <v>405</v>
      </c>
      <c r="F24" t="s">
        <v>10</v>
      </c>
      <c r="G24" s="22" t="s">
        <v>367</v>
      </c>
      <c r="H24" s="50">
        <v>2</v>
      </c>
      <c r="I24" s="160" cm="1">
        <f t="array" ref="I24">IFERROR(
  VALUE($H24) *
  VALUE(
    _xlfn.XLOOKUP(
      TRIM($F24) &amp; "|" &amp; LEFT(SUBSTITUTE($G24,CHAR(160)," "),5) &amp; "|Full Rate",
      TRIM(SUBSTITUTE($T$2:$T$38,CHAR(160)," ")) &amp; "|" &amp;
      LEFT(SUBSTITUTE($U$2:$U$38,CHAR(160)," "),5) &amp; "|" &amp;
      TRIM(SUBSTITUTE($V$2:$V$38,CHAR(160)," ")),
      $W$2:$W$38
    )
  ),
"")</f>
        <v>1000</v>
      </c>
      <c r="J24" s="161" cm="1">
        <f t="array" ref="J24">IFERROR(
  VALUE($H24) *
  VALUE(
    _xlfn.XLOOKUP(
      TRIM($F24) &amp; "|" &amp; LEFT(SUBSTITUTE($G24,CHAR(160)," "),5) &amp; "|Reduced Rate",
      TRIM(SUBSTITUTE($T$2:$T$38,CHAR(160)," ")) &amp; "|" &amp;
      LEFT(SUBSTITUTE($U$2:$U$38,CHAR(160)," "),5) &amp; "|" &amp;
      TRIM(SUBSTITUTE($V$2:$V$38,CHAR(160)," ")),
      $W$2:$W$38
    )
  ),
"")</f>
        <v>600</v>
      </c>
      <c r="K24" s="42" cm="1">
        <f t="array" ref="K24">IFERROR(
  VALUE($H24) *
  VALUE(
    _xlfn.XLOOKUP(
      TRIM($F24) &amp; "|" &amp; LEFT(SUBSTITUTE($G24,CHAR(160)," "),5) &amp; "|Ideas Rate",
      TRIM(SUBSTITUTE($T$2:$T$38,CHAR(160)," ")) &amp; "|" &amp;
      LEFT(SUBSTITUTE($U$2:$U$38,CHAR(160)," "),5) &amp; "|" &amp;
      TRIM(SUBSTITUTE($V$2:$V$38,CHAR(160)," ")),
      $W$2:$W$38
    )
  ),
"")</f>
        <v>300</v>
      </c>
      <c r="T24" t="s">
        <v>155</v>
      </c>
      <c r="U24" t="s">
        <v>376</v>
      </c>
      <c r="V24" t="s">
        <v>382</v>
      </c>
      <c r="W24" s="32">
        <v>260</v>
      </c>
      <c r="Z24" s="105"/>
    </row>
    <row r="25" spans="1:31" x14ac:dyDescent="0.2">
      <c r="A25" s="21">
        <v>45953</v>
      </c>
      <c r="B25" s="28" t="s">
        <v>325</v>
      </c>
      <c r="C25" s="20" t="s">
        <v>152</v>
      </c>
      <c r="D25" t="s">
        <v>323</v>
      </c>
      <c r="E25" t="s">
        <v>323</v>
      </c>
      <c r="F25" t="s">
        <v>10</v>
      </c>
      <c r="G25" s="22" t="s">
        <v>368</v>
      </c>
      <c r="H25" s="50">
        <v>6</v>
      </c>
      <c r="I25" s="160" cm="1">
        <f t="array" ref="I25">IFERROR(
  VALUE($H25) *
  VALUE(
    _xlfn.XLOOKUP(
      TRIM($F25) &amp; "|" &amp; LEFT(SUBSTITUTE($G25,CHAR(160)," "),5) &amp; "|Full Rate",
      TRIM(SUBSTITUTE($T$2:$T$38,CHAR(160)," ")) &amp; "|" &amp;
      LEFT(SUBSTITUTE($U$2:$U$38,CHAR(160)," "),5) &amp; "|" &amp;
      TRIM(SUBSTITUTE($V$2:$V$38,CHAR(160)," ")),
      $W$2:$W$38
    )
  ),
"")</f>
        <v>600</v>
      </c>
      <c r="J25" s="161" cm="1">
        <f t="array" ref="J25">IFERROR(
  VALUE($H25) *
  VALUE(
    _xlfn.XLOOKUP(
      TRIM($F25) &amp; "|" &amp; LEFT(SUBSTITUTE($G25,CHAR(160)," "),5) &amp; "|Reduced Rate",
      TRIM(SUBSTITUTE($T$2:$T$38,CHAR(160)," ")) &amp; "|" &amp;
      LEFT(SUBSTITUTE($U$2:$U$38,CHAR(160)," "),5) &amp; "|" &amp;
      TRIM(SUBSTITUTE($V$2:$V$38,CHAR(160)," ")),
      $W$2:$W$38
    )
  ),
"")</f>
        <v>300</v>
      </c>
      <c r="K25" s="42" cm="1">
        <f t="array" ref="K25">IFERROR(
  VALUE($H25) *
  VALUE(
    _xlfn.XLOOKUP(
      TRIM($F25) &amp; "|" &amp; LEFT(SUBSTITUTE($G25,CHAR(160)," "),5) &amp; "|Ideas Rate",
      TRIM(SUBSTITUTE($T$2:$T$38,CHAR(160)," ")) &amp; "|" &amp;
      LEFT(SUBSTITUTE($U$2:$U$38,CHAR(160)," "),5) &amp; "|" &amp;
      TRIM(SUBSTITUTE($V$2:$V$38,CHAR(160)," ")),
      $W$2:$W$38
    )
  ),
"")</f>
        <v>180</v>
      </c>
      <c r="T25" t="s">
        <v>155</v>
      </c>
      <c r="U25" t="s">
        <v>376</v>
      </c>
      <c r="V25" t="s">
        <v>383</v>
      </c>
      <c r="W25" s="32">
        <v>120</v>
      </c>
      <c r="Z25" s="105"/>
    </row>
    <row r="26" spans="1:31" x14ac:dyDescent="0.2">
      <c r="A26" s="21">
        <v>45953</v>
      </c>
      <c r="B26" s="28" t="s">
        <v>325</v>
      </c>
      <c r="C26" s="20" t="s">
        <v>152</v>
      </c>
      <c r="D26" t="s">
        <v>323</v>
      </c>
      <c r="E26" t="s">
        <v>323</v>
      </c>
      <c r="F26" t="s">
        <v>9</v>
      </c>
      <c r="G26" s="22" t="s">
        <v>368</v>
      </c>
      <c r="H26" s="50">
        <v>1</v>
      </c>
      <c r="I26" s="160" cm="1">
        <f t="array" ref="I26">IFERROR(
  VALUE($H26) *
  VALUE(
    _xlfn.XLOOKUP(
      TRIM($F26) &amp; "|" &amp; LEFT(SUBSTITUTE($G26,CHAR(160)," "),5) &amp; "|Full Rate",
      TRIM(SUBSTITUTE($T$2:$T$38,CHAR(160)," ")) &amp; "|" &amp;
      LEFT(SUBSTITUTE($U$2:$U$38,CHAR(160)," "),5) &amp; "|" &amp;
      TRIM(SUBSTITUTE($V$2:$V$38,CHAR(160)," ")),
      $W$2:$W$38
    )
  ),
"")</f>
        <v>100</v>
      </c>
      <c r="J26" s="161" cm="1">
        <f t="array" ref="J26">IFERROR(
  VALUE($H26) *
  VALUE(
    _xlfn.XLOOKUP(
      TRIM($F26) &amp; "|" &amp; LEFT(SUBSTITUTE($G26,CHAR(160)," "),5) &amp; "|Reduced Rate",
      TRIM(SUBSTITUTE($T$2:$T$38,CHAR(160)," ")) &amp; "|" &amp;
      LEFT(SUBSTITUTE($U$2:$U$38,CHAR(160)," "),5) &amp; "|" &amp;
      TRIM(SUBSTITUTE($V$2:$V$38,CHAR(160)," ")),
      $W$2:$W$38
    )
  ),
"")</f>
        <v>50</v>
      </c>
      <c r="K26" s="42" cm="1">
        <f t="array" ref="K26">IFERROR(
  VALUE($H26) *
  VALUE(
    _xlfn.XLOOKUP(
      TRIM($F26) &amp; "|" &amp; LEFT(SUBSTITUTE($G26,CHAR(160)," "),5) &amp; "|Ideas Rate",
      TRIM(SUBSTITUTE($T$2:$T$38,CHAR(160)," ")) &amp; "|" &amp;
      LEFT(SUBSTITUTE($U$2:$U$38,CHAR(160)," "),5) &amp; "|" &amp;
      TRIM(SUBSTITUTE($V$2:$V$38,CHAR(160)," ")),
      $W$2:$W$38
    )
  ),
"")</f>
        <v>30</v>
      </c>
      <c r="T26" t="s">
        <v>155</v>
      </c>
      <c r="U26" t="s">
        <v>376</v>
      </c>
      <c r="V26" t="s">
        <v>384</v>
      </c>
      <c r="W26" s="32">
        <v>90</v>
      </c>
      <c r="Z26" s="105"/>
    </row>
    <row r="27" spans="1:31" x14ac:dyDescent="0.2">
      <c r="A27" s="21">
        <v>45953</v>
      </c>
      <c r="B27" s="28" t="s">
        <v>325</v>
      </c>
      <c r="C27" s="20" t="s">
        <v>152</v>
      </c>
      <c r="D27" t="s">
        <v>184</v>
      </c>
      <c r="E27" t="s">
        <v>405</v>
      </c>
      <c r="F27" t="s">
        <v>9</v>
      </c>
      <c r="G27" s="22" t="s">
        <v>367</v>
      </c>
      <c r="H27" s="50">
        <v>2</v>
      </c>
      <c r="I27" s="160" cm="1">
        <f t="array" ref="I27">IFERROR(
  VALUE($H27) *
  VALUE(
    _xlfn.XLOOKUP(
      TRIM($F27) &amp; "|" &amp; LEFT(SUBSTITUTE($G27,CHAR(160)," "),5) &amp; "|Full Rate",
      TRIM(SUBSTITUTE($T$2:$T$38,CHAR(160)," ")) &amp; "|" &amp;
      LEFT(SUBSTITUTE($U$2:$U$38,CHAR(160)," "),5) &amp; "|" &amp;
      TRIM(SUBSTITUTE($V$2:$V$38,CHAR(160)," ")),
      $W$2:$W$38
    )
  ),
"")</f>
        <v>1000</v>
      </c>
      <c r="J27" s="161" cm="1">
        <f t="array" ref="J27">IFERROR(
  VALUE($H27) *
  VALUE(
    _xlfn.XLOOKUP(
      TRIM($F27) &amp; "|" &amp; LEFT(SUBSTITUTE($G27,CHAR(160)," "),5) &amp; "|Reduced Rate",
      TRIM(SUBSTITUTE($T$2:$T$38,CHAR(160)," ")) &amp; "|" &amp;
      LEFT(SUBSTITUTE($U$2:$U$38,CHAR(160)," "),5) &amp; "|" &amp;
      TRIM(SUBSTITUTE($V$2:$V$38,CHAR(160)," ")),
      $W$2:$W$38
    )
  ),
"")</f>
        <v>600</v>
      </c>
      <c r="K27" s="42" cm="1">
        <f t="array" ref="K27">IFERROR(
  VALUE($H27) *
  VALUE(
    _xlfn.XLOOKUP(
      TRIM($F27) &amp; "|" &amp; LEFT(SUBSTITUTE($G27,CHAR(160)," "),5) &amp; "|Ideas Rate",
      TRIM(SUBSTITUTE($T$2:$T$38,CHAR(160)," ")) &amp; "|" &amp;
      LEFT(SUBSTITUTE($U$2:$U$38,CHAR(160)," "),5) &amp; "|" &amp;
      TRIM(SUBSTITUTE($V$2:$V$38,CHAR(160)," ")),
      $W$2:$W$38
    )
  ),
"")</f>
        <v>300</v>
      </c>
      <c r="T27" t="s">
        <v>155</v>
      </c>
      <c r="U27" t="s">
        <v>368</v>
      </c>
      <c r="V27" t="s">
        <v>382</v>
      </c>
      <c r="W27" s="32">
        <v>100</v>
      </c>
      <c r="Z27" s="105"/>
    </row>
    <row r="28" spans="1:31" x14ac:dyDescent="0.2">
      <c r="A28" s="21">
        <v>45953</v>
      </c>
      <c r="B28" s="28" t="s">
        <v>325</v>
      </c>
      <c r="C28" s="20" t="s">
        <v>152</v>
      </c>
      <c r="D28" t="s">
        <v>323</v>
      </c>
      <c r="E28" t="s">
        <v>323</v>
      </c>
      <c r="F28" t="s">
        <v>9</v>
      </c>
      <c r="G28" s="22" t="s">
        <v>368</v>
      </c>
      <c r="H28" s="50">
        <v>6</v>
      </c>
      <c r="I28" s="160" cm="1">
        <f t="array" ref="I28">IFERROR(
  VALUE($H28) *
  VALUE(
    _xlfn.XLOOKUP(
      TRIM($F28) &amp; "|" &amp; LEFT(SUBSTITUTE($G28,CHAR(160)," "),5) &amp; "|Full Rate",
      TRIM(SUBSTITUTE($T$2:$T$38,CHAR(160)," ")) &amp; "|" &amp;
      LEFT(SUBSTITUTE($U$2:$U$38,CHAR(160)," "),5) &amp; "|" &amp;
      TRIM(SUBSTITUTE($V$2:$V$38,CHAR(160)," ")),
      $W$2:$W$38
    )
  ),
"")</f>
        <v>600</v>
      </c>
      <c r="J28" s="161" cm="1">
        <f t="array" ref="J28">IFERROR(
  VALUE($H28) *
  VALUE(
    _xlfn.XLOOKUP(
      TRIM($F28) &amp; "|" &amp; LEFT(SUBSTITUTE($G28,CHAR(160)," "),5) &amp; "|Reduced Rate",
      TRIM(SUBSTITUTE($T$2:$T$38,CHAR(160)," ")) &amp; "|" &amp;
      LEFT(SUBSTITUTE($U$2:$U$38,CHAR(160)," "),5) &amp; "|" &amp;
      TRIM(SUBSTITUTE($V$2:$V$38,CHAR(160)," ")),
      $W$2:$W$38
    )
  ),
"")</f>
        <v>300</v>
      </c>
      <c r="K28" s="42" cm="1">
        <f t="array" ref="K28">IFERROR(
  VALUE($H28) *
  VALUE(
    _xlfn.XLOOKUP(
      TRIM($F28) &amp; "|" &amp; LEFT(SUBSTITUTE($G28,CHAR(160)," "),5) &amp; "|Ideas Rate",
      TRIM(SUBSTITUTE($T$2:$T$38,CHAR(160)," ")) &amp; "|" &amp;
      LEFT(SUBSTITUTE($U$2:$U$38,CHAR(160)," "),5) &amp; "|" &amp;
      TRIM(SUBSTITUTE($V$2:$V$38,CHAR(160)," ")),
      $W$2:$W$38
    )
  ),
"")</f>
        <v>180</v>
      </c>
      <c r="T28" t="s">
        <v>155</v>
      </c>
      <c r="U28" t="s">
        <v>368</v>
      </c>
      <c r="V28" t="s">
        <v>383</v>
      </c>
      <c r="W28" s="32">
        <v>50</v>
      </c>
      <c r="Z28" s="105"/>
    </row>
    <row r="29" spans="1:31" x14ac:dyDescent="0.2">
      <c r="A29" s="21">
        <v>45954</v>
      </c>
      <c r="B29" s="28" t="s">
        <v>325</v>
      </c>
      <c r="C29" s="20" t="s">
        <v>152</v>
      </c>
      <c r="D29" t="s">
        <v>188</v>
      </c>
      <c r="E29" t="s">
        <v>411</v>
      </c>
      <c r="F29" t="s">
        <v>155</v>
      </c>
      <c r="G29" s="22" t="s">
        <v>380</v>
      </c>
      <c r="H29" s="50">
        <v>1</v>
      </c>
      <c r="I29" s="160" cm="1">
        <f t="array" ref="I29">IFERROR(
  VALUE($H29) *
  VALUE(
    _xlfn.XLOOKUP(
      TRIM($F29) &amp; "|" &amp; LEFT(SUBSTITUTE($G29,CHAR(160)," "),5) &amp; "|Full Rate",
      TRIM(SUBSTITUTE($T$2:$T$38,CHAR(160)," ")) &amp; "|" &amp;
      LEFT(SUBSTITUTE($U$2:$U$38,CHAR(160)," "),5) &amp; "|" &amp;
      TRIM(SUBSTITUTE($V$2:$V$38,CHAR(160)," ")),
      $W$2:$W$38
    )
  ),
"")</f>
        <v>260</v>
      </c>
      <c r="J29" s="161" cm="1">
        <f t="array" ref="J29">IFERROR(
  VALUE($H29) *
  VALUE(
    _xlfn.XLOOKUP(
      TRIM($F29) &amp; "|" &amp; LEFT(SUBSTITUTE($G29,CHAR(160)," "),5) &amp; "|Reduced Rate",
      TRIM(SUBSTITUTE($T$2:$T$38,CHAR(160)," ")) &amp; "|" &amp;
      LEFT(SUBSTITUTE($U$2:$U$38,CHAR(160)," "),5) &amp; "|" &amp;
      TRIM(SUBSTITUTE($V$2:$V$38,CHAR(160)," ")),
      $W$2:$W$38
    )
  ),
"")</f>
        <v>120</v>
      </c>
      <c r="K29" s="42" cm="1">
        <f t="array" ref="K29">IFERROR(
  VALUE($H29) *
  VALUE(
    _xlfn.XLOOKUP(
      TRIM($F29) &amp; "|" &amp; LEFT(SUBSTITUTE($G29,CHAR(160)," "),5) &amp; "|Ideas Rate",
      TRIM(SUBSTITUTE($T$2:$T$38,CHAR(160)," ")) &amp; "|" &amp;
      LEFT(SUBSTITUTE($U$2:$U$38,CHAR(160)," "),5) &amp; "|" &amp;
      TRIM(SUBSTITUTE($V$2:$V$38,CHAR(160)," ")),
      $W$2:$W$38
    )
  ),
"")</f>
        <v>90</v>
      </c>
      <c r="T29" t="s">
        <v>155</v>
      </c>
      <c r="U29" t="s">
        <v>368</v>
      </c>
      <c r="V29" t="s">
        <v>384</v>
      </c>
      <c r="W29" s="32">
        <v>30</v>
      </c>
      <c r="Z29" s="105"/>
    </row>
    <row r="30" spans="1:31" x14ac:dyDescent="0.2">
      <c r="A30" s="21">
        <v>45958</v>
      </c>
      <c r="B30" s="28" t="s">
        <v>325</v>
      </c>
      <c r="C30" s="20" t="s">
        <v>152</v>
      </c>
      <c r="D30" t="s">
        <v>178</v>
      </c>
      <c r="E30" t="s">
        <v>414</v>
      </c>
      <c r="F30" t="s">
        <v>155</v>
      </c>
      <c r="G30" s="22" t="s">
        <v>380</v>
      </c>
      <c r="H30" s="50">
        <v>1</v>
      </c>
      <c r="I30" s="160" cm="1">
        <f t="array" ref="I30">IFERROR(
  VALUE($H30) *
  VALUE(
    _xlfn.XLOOKUP(
      TRIM($F30) &amp; "|" &amp; LEFT(SUBSTITUTE($G30,CHAR(160)," "),5) &amp; "|Full Rate",
      TRIM(SUBSTITUTE($T$2:$T$38,CHAR(160)," ")) &amp; "|" &amp;
      LEFT(SUBSTITUTE($U$2:$U$38,CHAR(160)," "),5) &amp; "|" &amp;
      TRIM(SUBSTITUTE($V$2:$V$38,CHAR(160)," ")),
      $W$2:$W$38
    )
  ),
"")</f>
        <v>260</v>
      </c>
      <c r="J30" s="161" cm="1">
        <f t="array" ref="J30">IFERROR(
  VALUE($H30) *
  VALUE(
    _xlfn.XLOOKUP(
      TRIM($F30) &amp; "|" &amp; LEFT(SUBSTITUTE($G30,CHAR(160)," "),5) &amp; "|Reduced Rate",
      TRIM(SUBSTITUTE($T$2:$T$38,CHAR(160)," ")) &amp; "|" &amp;
      LEFT(SUBSTITUTE($U$2:$U$38,CHAR(160)," "),5) &amp; "|" &amp;
      TRIM(SUBSTITUTE($V$2:$V$38,CHAR(160)," ")),
      $W$2:$W$38
    )
  ),
"")</f>
        <v>120</v>
      </c>
      <c r="K30" s="42" cm="1">
        <f t="array" ref="K30">IFERROR(
  VALUE($H30) *
  VALUE(
    _xlfn.XLOOKUP(
      TRIM($F30) &amp; "|" &amp; LEFT(SUBSTITUTE($G30,CHAR(160)," "),5) &amp; "|Ideas Rate",
      TRIM(SUBSTITUTE($T$2:$T$38,CHAR(160)," ")) &amp; "|" &amp;
      LEFT(SUBSTITUTE($U$2:$U$38,CHAR(160)," "),5) &amp; "|" &amp;
      TRIM(SUBSTITUTE($V$2:$V$38,CHAR(160)," ")),
      $W$2:$W$38
    )
  ),
"")</f>
        <v>90</v>
      </c>
      <c r="T30" s="56" t="s">
        <v>156</v>
      </c>
      <c r="U30" s="56" t="s">
        <v>375</v>
      </c>
      <c r="V30" t="s">
        <v>382</v>
      </c>
      <c r="W30" s="57">
        <v>325</v>
      </c>
      <c r="Z30" s="105"/>
    </row>
    <row r="31" spans="1:31" x14ac:dyDescent="0.2">
      <c r="A31" s="21">
        <v>45958</v>
      </c>
      <c r="B31" s="28" t="s">
        <v>325</v>
      </c>
      <c r="C31" s="20" t="s">
        <v>152</v>
      </c>
      <c r="D31" t="s">
        <v>178</v>
      </c>
      <c r="E31" t="s">
        <v>414</v>
      </c>
      <c r="F31" t="s">
        <v>10</v>
      </c>
      <c r="G31" s="22" t="s">
        <v>380</v>
      </c>
      <c r="H31" s="50">
        <v>1</v>
      </c>
      <c r="I31" s="160" cm="1">
        <f t="array" ref="I31">IFERROR(
  VALUE($H31) *
  VALUE(
    _xlfn.XLOOKUP(
      TRIM($F31) &amp; "|" &amp; LEFT(SUBSTITUTE($G31,CHAR(160)," "),5) &amp; "|Full Rate",
      TRIM(SUBSTITUTE($T$2:$T$38,CHAR(160)," ")) &amp; "|" &amp;
      LEFT(SUBSTITUTE($U$2:$U$38,CHAR(160)," "),5) &amp; "|" &amp;
      TRIM(SUBSTITUTE($V$2:$V$38,CHAR(160)," ")),
      $W$2:$W$38
    )
  ),
"")</f>
        <v>250</v>
      </c>
      <c r="J31" s="161" cm="1">
        <f t="array" ref="J31">IFERROR(
  VALUE($H31) *
  VALUE(
    _xlfn.XLOOKUP(
      TRIM($F31) &amp; "|" &amp; LEFT(SUBSTITUTE($G31,CHAR(160)," "),5) &amp; "|Reduced Rate",
      TRIM(SUBSTITUTE($T$2:$T$38,CHAR(160)," ")) &amp; "|" &amp;
      LEFT(SUBSTITUTE($U$2:$U$38,CHAR(160)," "),5) &amp; "|" &amp;
      TRIM(SUBSTITUTE($V$2:$V$38,CHAR(160)," ")),
      $W$2:$W$38
    )
  ),
"")</f>
        <v>150</v>
      </c>
      <c r="K31" s="42" cm="1">
        <f t="array" ref="K31">IFERROR(
  VALUE($H31) *
  VALUE(
    _xlfn.XLOOKUP(
      TRIM($F31) &amp; "|" &amp; LEFT(SUBSTITUTE($G31,CHAR(160)," "),5) &amp; "|Ideas Rate",
      TRIM(SUBSTITUTE($T$2:$T$38,CHAR(160)," ")) &amp; "|" &amp;
      LEFT(SUBSTITUTE($U$2:$U$38,CHAR(160)," "),5) &amp; "|" &amp;
      TRIM(SUBSTITUTE($V$2:$V$38,CHAR(160)," ")),
      $W$2:$W$38
    )
  ),
"")</f>
        <v>75</v>
      </c>
      <c r="T31" t="s">
        <v>156</v>
      </c>
      <c r="U31" t="s">
        <v>375</v>
      </c>
      <c r="V31" t="s">
        <v>383</v>
      </c>
      <c r="W31" s="32">
        <v>175</v>
      </c>
      <c r="Z31" s="105"/>
    </row>
    <row r="32" spans="1:31" s="198" customFormat="1" x14ac:dyDescent="0.2">
      <c r="A32" s="195">
        <v>45966</v>
      </c>
      <c r="B32" s="196" t="s">
        <v>325</v>
      </c>
      <c r="C32" s="197" t="s">
        <v>152</v>
      </c>
      <c r="D32" s="198" t="s">
        <v>192</v>
      </c>
      <c r="E32" s="198" t="s">
        <v>431</v>
      </c>
      <c r="F32" s="198" t="s">
        <v>155</v>
      </c>
      <c r="G32" s="199" t="s">
        <v>380</v>
      </c>
      <c r="H32" s="200">
        <v>4</v>
      </c>
      <c r="I32" s="201" cm="1">
        <f t="array" ref="I32">IFERROR(
  VALUE($H32) *
  VALUE(
    _xlfn.XLOOKUP(
      TRIM($F32) &amp; "|" &amp; LEFT(SUBSTITUTE($G32,CHAR(160)," "),5) &amp; "|Full Rate",
      TRIM(SUBSTITUTE($T$2:$T$38,CHAR(160)," ")) &amp; "|" &amp;
      LEFT(SUBSTITUTE($U$2:$U$38,CHAR(160)," "),5) &amp; "|" &amp;
      TRIM(SUBSTITUTE($V$2:$V$38,CHAR(160)," ")),
      $W$2:$W$38
    )
  ),
"")</f>
        <v>1040</v>
      </c>
      <c r="J32" s="202" cm="1">
        <f t="array" ref="J32">IFERROR(
  VALUE($H32) *
  VALUE(
    _xlfn.XLOOKUP(
      TRIM($F32) &amp; "|" &amp; LEFT(SUBSTITUTE($G32,CHAR(160)," "),5) &amp; "|Reduced Rate",
      TRIM(SUBSTITUTE($T$2:$T$38,CHAR(160)," ")) &amp; "|" &amp;
      LEFT(SUBSTITUTE($U$2:$U$38,CHAR(160)," "),5) &amp; "|" &amp;
      TRIM(SUBSTITUTE($V$2:$V$38,CHAR(160)," ")),
      $W$2:$W$38
    )
  ),
"")</f>
        <v>480</v>
      </c>
      <c r="K32" s="203" cm="1">
        <f t="array" ref="K32">IFERROR(
  VALUE($H32) *
  VALUE(
    _xlfn.XLOOKUP(
      TRIM($F32) &amp; "|" &amp; LEFT(SUBSTITUTE($G32,CHAR(160)," "),5) &amp; "|Ideas Rate",
      TRIM(SUBSTITUTE($T$2:$T$38,CHAR(160)," ")) &amp; "|" &amp;
      LEFT(SUBSTITUTE($U$2:$U$38,CHAR(160)," "),5) &amp; "|" &amp;
      TRIM(SUBSTITUTE($V$2:$V$38,CHAR(160)," ")),
      $W$2:$W$38
    )
  ),
"")</f>
        <v>360</v>
      </c>
      <c r="O32" s="204"/>
      <c r="T32" s="198" t="s">
        <v>156</v>
      </c>
      <c r="U32" s="198" t="s">
        <v>375</v>
      </c>
      <c r="V32" s="198" t="s">
        <v>384</v>
      </c>
      <c r="W32" s="204">
        <v>95</v>
      </c>
      <c r="Z32" s="205"/>
    </row>
    <row r="33" spans="1:26" s="198" customFormat="1" x14ac:dyDescent="0.2">
      <c r="A33" s="206">
        <v>45966</v>
      </c>
      <c r="B33" s="207" t="s">
        <v>458</v>
      </c>
      <c r="C33" s="208" t="s">
        <v>152</v>
      </c>
      <c r="D33" s="209" t="s">
        <v>192</v>
      </c>
      <c r="E33" s="209" t="s">
        <v>571</v>
      </c>
      <c r="F33" s="209" t="s">
        <v>9</v>
      </c>
      <c r="G33" s="210" t="s">
        <v>380</v>
      </c>
      <c r="H33" s="210">
        <v>6</v>
      </c>
      <c r="I33" s="201" cm="1">
        <f t="array" ref="I33">IFERROR(
  VALUE($H33) *
  VALUE(
    _xlfn.XLOOKUP(
      TRIM($F33) &amp; "|" &amp; LEFT(SUBSTITUTE($G33,CHAR(160)," "),5) &amp; "|Full Rate",
      TRIM(SUBSTITUTE($T$2:$T$38,CHAR(160)," ")) &amp; "|" &amp;
      LEFT(SUBSTITUTE($U$2:$U$38,CHAR(160)," "),5) &amp; "|" &amp;
      TRIM(SUBSTITUTE($V$2:$V$38,CHAR(160)," ")),
      $W$2:$W$38
    )
  ),
"")</f>
        <v>1500</v>
      </c>
      <c r="J33" s="202" cm="1">
        <f t="array" ref="J33">IFERROR(
  VALUE($H33) *
  VALUE(
    _xlfn.XLOOKUP(
      TRIM($F33) &amp; "|" &amp; LEFT(SUBSTITUTE($G33,CHAR(160)," "),5) &amp; "|Reduced Rate",
      TRIM(SUBSTITUTE($T$2:$T$38,CHAR(160)," ")) &amp; "|" &amp;
      LEFT(SUBSTITUTE($U$2:$U$38,CHAR(160)," "),5) &amp; "|" &amp;
      TRIM(SUBSTITUTE($V$2:$V$38,CHAR(160)," ")),
      $W$2:$W$38
    )
  ),
"")</f>
        <v>900</v>
      </c>
      <c r="K33" s="203" cm="1">
        <f t="array" ref="K33">IFERROR(
  VALUE($H33) *
  VALUE(
    _xlfn.XLOOKUP(
      TRIM($F33) &amp; "|" &amp; LEFT(SUBSTITUTE($G33,CHAR(160)," "),5) &amp; "|Ideas Rate",
      TRIM(SUBSTITUTE($T$2:$T$38,CHAR(160)," ")) &amp; "|" &amp;
      LEFT(SUBSTITUTE($U$2:$U$38,CHAR(160)," "),5) &amp; "|" &amp;
      TRIM(SUBSTITUTE($V$2:$V$38,CHAR(160)," ")),
      $W$2:$W$38
    )
  ),
"")</f>
        <v>450</v>
      </c>
      <c r="O33" s="204"/>
      <c r="T33" s="198" t="s">
        <v>156</v>
      </c>
      <c r="U33" s="198" t="s">
        <v>376</v>
      </c>
      <c r="V33" s="198" t="s">
        <v>382</v>
      </c>
      <c r="W33" s="204">
        <v>195</v>
      </c>
      <c r="Z33" s="205"/>
    </row>
    <row r="34" spans="1:26" s="198" customFormat="1" x14ac:dyDescent="0.2">
      <c r="A34" s="195">
        <v>45967</v>
      </c>
      <c r="B34" s="196" t="s">
        <v>325</v>
      </c>
      <c r="C34" s="197" t="s">
        <v>152</v>
      </c>
      <c r="D34" s="198" t="s">
        <v>192</v>
      </c>
      <c r="E34" s="198" t="s">
        <v>432</v>
      </c>
      <c r="F34" s="198" t="s">
        <v>155</v>
      </c>
      <c r="G34" s="199" t="s">
        <v>380</v>
      </c>
      <c r="H34" s="200">
        <v>6</v>
      </c>
      <c r="I34" s="201" cm="1">
        <f t="array" ref="I34">IFERROR(
  VALUE($H34) *
  VALUE(
    _xlfn.XLOOKUP(
      TRIM($F34) &amp; "|" &amp; LEFT(SUBSTITUTE($G34,CHAR(160)," "),5) &amp; "|Full Rate",
      TRIM(SUBSTITUTE($T$2:$T$38,CHAR(160)," ")) &amp; "|" &amp;
      LEFT(SUBSTITUTE($U$2:$U$38,CHAR(160)," "),5) &amp; "|" &amp;
      TRIM(SUBSTITUTE($V$2:$V$38,CHAR(160)," ")),
      $W$2:$W$38
    )
  ),
"")</f>
        <v>1560</v>
      </c>
      <c r="J34" s="202" cm="1">
        <f t="array" ref="J34">IFERROR(
  VALUE($H34) *
  VALUE(
    _xlfn.XLOOKUP(
      TRIM($F34) &amp; "|" &amp; LEFT(SUBSTITUTE($G34,CHAR(160)," "),5) &amp; "|Reduced Rate",
      TRIM(SUBSTITUTE($T$2:$T$38,CHAR(160)," ")) &amp; "|" &amp;
      LEFT(SUBSTITUTE($U$2:$U$38,CHAR(160)," "),5) &amp; "|" &amp;
      TRIM(SUBSTITUTE($V$2:$V$38,CHAR(160)," ")),
      $W$2:$W$38
    )
  ),
"")</f>
        <v>720</v>
      </c>
      <c r="K34" s="203" cm="1">
        <f t="array" ref="K34">IFERROR(
  VALUE($H34) *
  VALUE(
    _xlfn.XLOOKUP(
      TRIM($F34) &amp; "|" &amp; LEFT(SUBSTITUTE($G34,CHAR(160)," "),5) &amp; "|Ideas Rate",
      TRIM(SUBSTITUTE($T$2:$T$38,CHAR(160)," ")) &amp; "|" &amp;
      LEFT(SUBSTITUTE($U$2:$U$38,CHAR(160)," "),5) &amp; "|" &amp;
      TRIM(SUBSTITUTE($V$2:$V$38,CHAR(160)," ")),
      $W$2:$W$38
    )
  ),
"")</f>
        <v>540</v>
      </c>
      <c r="O34" s="204"/>
      <c r="T34" s="198" t="s">
        <v>156</v>
      </c>
      <c r="U34" s="198" t="s">
        <v>376</v>
      </c>
      <c r="V34" s="198" t="s">
        <v>383</v>
      </c>
      <c r="W34" s="204">
        <v>90</v>
      </c>
      <c r="Z34" s="205"/>
    </row>
    <row r="35" spans="1:26" s="198" customFormat="1" x14ac:dyDescent="0.2">
      <c r="A35" s="206">
        <v>45967</v>
      </c>
      <c r="B35" s="207" t="s">
        <v>458</v>
      </c>
      <c r="C35" s="208" t="s">
        <v>152</v>
      </c>
      <c r="D35" s="209" t="s">
        <v>192</v>
      </c>
      <c r="E35" s="209" t="s">
        <v>571</v>
      </c>
      <c r="F35" s="209" t="s">
        <v>9</v>
      </c>
      <c r="G35" s="210" t="s">
        <v>380</v>
      </c>
      <c r="H35" s="211">
        <v>6</v>
      </c>
      <c r="I35" s="201" cm="1">
        <f t="array" ref="I35">IFERROR(
  VALUE($H35) *
  VALUE(
    _xlfn.XLOOKUP(
      TRIM($F35) &amp; "|" &amp; LEFT(SUBSTITUTE($G35,CHAR(160)," "),5) &amp; "|Full Rate",
      TRIM(SUBSTITUTE($T$2:$T$38,CHAR(160)," ")) &amp; "|" &amp;
      LEFT(SUBSTITUTE($U$2:$U$38,CHAR(160)," "),5) &amp; "|" &amp;
      TRIM(SUBSTITUTE($V$2:$V$38,CHAR(160)," ")),
      $W$2:$W$38
    )
  ),
"")</f>
        <v>1500</v>
      </c>
      <c r="J35" s="202" cm="1">
        <f t="array" ref="J35">IFERROR(
  VALUE($H35) *
  VALUE(
    _xlfn.XLOOKUP(
      TRIM($F35) &amp; "|" &amp; LEFT(SUBSTITUTE($G35,CHAR(160)," "),5) &amp; "|Reduced Rate",
      TRIM(SUBSTITUTE($T$2:$T$38,CHAR(160)," ")) &amp; "|" &amp;
      LEFT(SUBSTITUTE($U$2:$U$38,CHAR(160)," "),5) &amp; "|" &amp;
      TRIM(SUBSTITUTE($V$2:$V$38,CHAR(160)," ")),
      $W$2:$W$38
    )
  ),
"")</f>
        <v>900</v>
      </c>
      <c r="K35" s="203" cm="1">
        <f t="array" ref="K35">IFERROR(
  VALUE($H35) *
  VALUE(
    _xlfn.XLOOKUP(
      TRIM($F35) &amp; "|" &amp; LEFT(SUBSTITUTE($G35,CHAR(160)," "),5) &amp; "|Ideas Rate",
      TRIM(SUBSTITUTE($T$2:$T$38,CHAR(160)," ")) &amp; "|" &amp;
      LEFT(SUBSTITUTE($U$2:$U$38,CHAR(160)," "),5) &amp; "|" &amp;
      TRIM(SUBSTITUTE($V$2:$V$38,CHAR(160)," ")),
      $W$2:$W$38
    )
  ),
"")</f>
        <v>450</v>
      </c>
      <c r="O35" s="204"/>
      <c r="T35" s="198" t="s">
        <v>156</v>
      </c>
      <c r="U35" s="198" t="s">
        <v>376</v>
      </c>
      <c r="V35" s="198" t="s">
        <v>384</v>
      </c>
      <c r="W35" s="204">
        <v>45</v>
      </c>
      <c r="Z35" s="205"/>
    </row>
    <row r="36" spans="1:26" s="198" customFormat="1" x14ac:dyDescent="0.2">
      <c r="A36" s="212">
        <v>45971</v>
      </c>
      <c r="B36" s="213" t="s">
        <v>458</v>
      </c>
      <c r="C36" s="214" t="s">
        <v>519</v>
      </c>
      <c r="D36" s="215" t="s">
        <v>184</v>
      </c>
      <c r="E36" s="215" t="s">
        <v>611</v>
      </c>
      <c r="F36" s="215" t="s">
        <v>10</v>
      </c>
      <c r="G36" s="215" t="s">
        <v>368</v>
      </c>
      <c r="H36" s="216">
        <v>6</v>
      </c>
      <c r="I36" s="217" cm="1">
        <f t="array" ref="I36">IFERROR(
  VALUE($H36) *
  VALUE(
    _xlfn.XLOOKUP(
      TRIM($F36) &amp; "|" &amp; LEFT(SUBSTITUTE($G36,CHAR(160)," "),5) &amp; "|Full Rate",
      TRIM(SUBSTITUTE($T$2:$T$38,CHAR(160)," ")) &amp; "|" &amp;
      LEFT(SUBSTITUTE($U$2:$U$38,CHAR(160)," "),5) &amp; "|" &amp;
      TRIM(SUBSTITUTE($V$2:$V$38,CHAR(160)," ")),
      $W$2:$W$38
    )
  ),
"")</f>
        <v>600</v>
      </c>
      <c r="J36" s="218" cm="1">
        <f t="array" ref="J36">IFERROR(
  VALUE($H36) *
  VALUE(
    _xlfn.XLOOKUP(
      TRIM($F36) &amp; "|" &amp; LEFT(SUBSTITUTE($G36,CHAR(160)," "),5) &amp; "|Reduced Rate",
      TRIM(SUBSTITUTE($T$2:$T$38,CHAR(160)," ")) &amp; "|" &amp;
      LEFT(SUBSTITUTE($U$2:$U$38,CHAR(160)," "),5) &amp; "|" &amp;
      TRIM(SUBSTITUTE($V$2:$V$38,CHAR(160)," ")),
      $W$2:$W$38
    )
  ),
"")</f>
        <v>300</v>
      </c>
      <c r="K36" s="218" cm="1">
        <f t="array" ref="K36">IFERROR(
  VALUE($H36) *
  VALUE(
    _xlfn.XLOOKUP(
      TRIM($F36) &amp; "|" &amp; LEFT(SUBSTITUTE($G36,CHAR(160)," "),5) &amp; "|Ideas Rate",
      TRIM(SUBSTITUTE($T$2:$T$38,CHAR(160)," ")) &amp; "|" &amp;
      LEFT(SUBSTITUTE($U$2:$U$38,CHAR(160)," "),5) &amp; "|" &amp;
      TRIM(SUBSTITUTE($V$2:$V$38,CHAR(160)," ")),
      $W$2:$W$38
    )
  ),
"")</f>
        <v>180</v>
      </c>
      <c r="O36" s="204"/>
      <c r="T36" s="198" t="s">
        <v>156</v>
      </c>
      <c r="U36" s="198" t="s">
        <v>368</v>
      </c>
      <c r="V36" s="198" t="s">
        <v>382</v>
      </c>
      <c r="W36" s="204">
        <v>100</v>
      </c>
      <c r="Z36" s="205"/>
    </row>
    <row r="37" spans="1:26" s="198" customFormat="1" x14ac:dyDescent="0.2">
      <c r="A37" s="212">
        <v>45971</v>
      </c>
      <c r="B37" s="213" t="s">
        <v>458</v>
      </c>
      <c r="C37" s="214" t="s">
        <v>519</v>
      </c>
      <c r="D37" s="215" t="s">
        <v>184</v>
      </c>
      <c r="E37" s="215" t="s">
        <v>612</v>
      </c>
      <c r="F37" s="215" t="s">
        <v>155</v>
      </c>
      <c r="G37" s="215" t="s">
        <v>380</v>
      </c>
      <c r="H37" s="216">
        <v>12</v>
      </c>
      <c r="I37" s="217" cm="1">
        <f t="array" ref="I37">IFERROR(
  VALUE($H37) *
  VALUE(
    _xlfn.XLOOKUP(
      TRIM($F37) &amp; "|" &amp; LEFT(SUBSTITUTE($G37,CHAR(160)," "),5) &amp; "|Full Rate",
      TRIM(SUBSTITUTE($T$2:$T$38,CHAR(160)," ")) &amp; "|" &amp;
      LEFT(SUBSTITUTE($U$2:$U$38,CHAR(160)," "),5) &amp; "|" &amp;
      TRIM(SUBSTITUTE($V$2:$V$38,CHAR(160)," ")),
      $W$2:$W$38
    )
  ),
"")</f>
        <v>3120</v>
      </c>
      <c r="J37" s="218" cm="1">
        <f t="array" ref="J37">IFERROR(
  VALUE($H37) *
  VALUE(
    _xlfn.XLOOKUP(
      TRIM($F37) &amp; "|" &amp; LEFT(SUBSTITUTE($G37,CHAR(160)," "),5) &amp; "|Reduced Rate",
      TRIM(SUBSTITUTE($T$2:$T$38,CHAR(160)," ")) &amp; "|" &amp;
      LEFT(SUBSTITUTE($U$2:$U$38,CHAR(160)," "),5) &amp; "|" &amp;
      TRIM(SUBSTITUTE($V$2:$V$38,CHAR(160)," ")),
      $W$2:$W$38
    )
  ),
"")</f>
        <v>1440</v>
      </c>
      <c r="K37" s="218" cm="1">
        <f t="array" ref="K37">IFERROR(
  VALUE($H37) *
  VALUE(
    _xlfn.XLOOKUP(
      TRIM($F37) &amp; "|" &amp; LEFT(SUBSTITUTE($G37,CHAR(160)," "),5) &amp; "|Ideas Rate",
      TRIM(SUBSTITUTE($T$2:$T$38,CHAR(160)," ")) &amp; "|" &amp;
      LEFT(SUBSTITUTE($U$2:$U$38,CHAR(160)," "),5) &amp; "|" &amp;
      TRIM(SUBSTITUTE($V$2:$V$38,CHAR(160)," ")),
      $W$2:$W$38
    )
  ),
"")</f>
        <v>1080</v>
      </c>
      <c r="O37" s="204"/>
      <c r="T37" s="198" t="s">
        <v>156</v>
      </c>
      <c r="U37" s="198" t="s">
        <v>368</v>
      </c>
      <c r="V37" s="198" t="s">
        <v>383</v>
      </c>
      <c r="W37" s="204">
        <v>50</v>
      </c>
      <c r="Z37" s="205"/>
    </row>
    <row r="38" spans="1:26" s="198" customFormat="1" x14ac:dyDescent="0.2">
      <c r="A38" s="212">
        <v>45972</v>
      </c>
      <c r="B38" s="213" t="s">
        <v>458</v>
      </c>
      <c r="C38" s="214" t="s">
        <v>519</v>
      </c>
      <c r="D38" s="215" t="s">
        <v>184</v>
      </c>
      <c r="E38" s="215" t="s">
        <v>612</v>
      </c>
      <c r="F38" s="215" t="s">
        <v>10</v>
      </c>
      <c r="G38" s="215" t="s">
        <v>380</v>
      </c>
      <c r="H38" s="216">
        <v>12</v>
      </c>
      <c r="I38" s="217" cm="1">
        <f t="array" ref="I38">IFERROR(
  VALUE($H38) *
  VALUE(
    _xlfn.XLOOKUP(
      TRIM($F38) &amp; "|" &amp; LEFT(SUBSTITUTE($G38,CHAR(160)," "),5) &amp; "|Full Rate",
      TRIM(SUBSTITUTE($T$2:$T$38,CHAR(160)," ")) &amp; "|" &amp;
      LEFT(SUBSTITUTE($U$2:$U$38,CHAR(160)," "),5) &amp; "|" &amp;
      TRIM(SUBSTITUTE($V$2:$V$38,CHAR(160)," ")),
      $W$2:$W$38
    )
  ),
"")</f>
        <v>3000</v>
      </c>
      <c r="J38" s="218" cm="1">
        <f t="array" ref="J38">IFERROR(
  VALUE($H38) *
  VALUE(
    _xlfn.XLOOKUP(
      TRIM($F38) &amp; "|" &amp; LEFT(SUBSTITUTE($G38,CHAR(160)," "),5) &amp; "|Reduced Rate",
      TRIM(SUBSTITUTE($T$2:$T$38,CHAR(160)," ")) &amp; "|" &amp;
      LEFT(SUBSTITUTE($U$2:$U$38,CHAR(160)," "),5) &amp; "|" &amp;
      TRIM(SUBSTITUTE($V$2:$V$38,CHAR(160)," ")),
      $W$2:$W$38
    )
  ),
"")</f>
        <v>1800</v>
      </c>
      <c r="K38" s="218" cm="1">
        <f t="array" ref="K38">IFERROR(
  VALUE($H38) *
  VALUE(
    _xlfn.XLOOKUP(
      TRIM($F38) &amp; "|" &amp; LEFT(SUBSTITUTE($G38,CHAR(160)," "),5) &amp; "|Ideas Rate",
      TRIM(SUBSTITUTE($T$2:$T$38,CHAR(160)," ")) &amp; "|" &amp;
      LEFT(SUBSTITUTE($U$2:$U$38,CHAR(160)," "),5) &amp; "|" &amp;
      TRIM(SUBSTITUTE($V$2:$V$38,CHAR(160)," ")),
      $W$2:$W$38
    )
  ),
"")</f>
        <v>900</v>
      </c>
      <c r="O38" s="204"/>
      <c r="T38" s="198" t="s">
        <v>156</v>
      </c>
      <c r="U38" s="198" t="s">
        <v>368</v>
      </c>
      <c r="V38" s="198" t="s">
        <v>384</v>
      </c>
      <c r="W38" s="204">
        <v>30</v>
      </c>
      <c r="Z38" s="205"/>
    </row>
    <row r="39" spans="1:26" s="198" customFormat="1" x14ac:dyDescent="0.2">
      <c r="A39" s="212">
        <v>45972</v>
      </c>
      <c r="B39" s="213" t="s">
        <v>458</v>
      </c>
      <c r="C39" s="214" t="s">
        <v>519</v>
      </c>
      <c r="D39" s="215" t="s">
        <v>184</v>
      </c>
      <c r="E39" s="215" t="s">
        <v>611</v>
      </c>
      <c r="F39" s="215" t="s">
        <v>9</v>
      </c>
      <c r="G39" s="215" t="s">
        <v>368</v>
      </c>
      <c r="H39" s="216">
        <v>6</v>
      </c>
      <c r="I39" s="217" cm="1">
        <f t="array" ref="I39">IFERROR(
  VALUE($H39) *
  VALUE(
    _xlfn.XLOOKUP(
      TRIM($F39) &amp; "|" &amp; LEFT(SUBSTITUTE($G39,CHAR(160)," "),5) &amp; "|Full Rate",
      TRIM(SUBSTITUTE($T$2:$T$38,CHAR(160)," ")) &amp; "|" &amp;
      LEFT(SUBSTITUTE($U$2:$U$38,CHAR(160)," "),5) &amp; "|" &amp;
      TRIM(SUBSTITUTE($V$2:$V$38,CHAR(160)," ")),
      $W$2:$W$38
    )
  ),
"")</f>
        <v>600</v>
      </c>
      <c r="J39" s="218" cm="1">
        <f t="array" ref="J39">IFERROR(
  VALUE($H39) *
  VALUE(
    _xlfn.XLOOKUP(
      TRIM($F39) &amp; "|" &amp; LEFT(SUBSTITUTE($G39,CHAR(160)," "),5) &amp; "|Reduced Rate",
      TRIM(SUBSTITUTE($T$2:$T$38,CHAR(160)," ")) &amp; "|" &amp;
      LEFT(SUBSTITUTE($U$2:$U$38,CHAR(160)," "),5) &amp; "|" &amp;
      TRIM(SUBSTITUTE($V$2:$V$38,CHAR(160)," ")),
      $W$2:$W$38
    )
  ),
"")</f>
        <v>300</v>
      </c>
      <c r="K39" s="218" cm="1">
        <f t="array" ref="K39">IFERROR(
  VALUE($H39) *
  VALUE(
    _xlfn.XLOOKUP(
      TRIM($F39) &amp; "|" &amp; LEFT(SUBSTITUTE($G39,CHAR(160)," "),5) &amp; "|Ideas Rate",
      TRIM(SUBSTITUTE($T$2:$T$38,CHAR(160)," ")) &amp; "|" &amp;
      LEFT(SUBSTITUTE($U$2:$U$38,CHAR(160)," "),5) &amp; "|" &amp;
      TRIM(SUBSTITUTE($V$2:$V$38,CHAR(160)," ")),
      $W$2:$W$38
    )
  ),
"")</f>
        <v>180</v>
      </c>
      <c r="O39" s="204"/>
      <c r="Z39" s="205"/>
    </row>
    <row r="40" spans="1:26" s="198" customFormat="1" x14ac:dyDescent="0.2">
      <c r="A40" s="212">
        <v>45973</v>
      </c>
      <c r="B40" s="213" t="s">
        <v>458</v>
      </c>
      <c r="C40" s="214" t="s">
        <v>519</v>
      </c>
      <c r="D40" s="215" t="s">
        <v>184</v>
      </c>
      <c r="E40" s="215" t="s">
        <v>611</v>
      </c>
      <c r="F40" s="215" t="s">
        <v>155</v>
      </c>
      <c r="G40" s="215" t="s">
        <v>368</v>
      </c>
      <c r="H40" s="216">
        <v>6</v>
      </c>
      <c r="I40" s="217" cm="1">
        <f t="array" ref="I40">IFERROR(
  VALUE($H40) *
  VALUE(
    _xlfn.XLOOKUP(
      TRIM($F40) &amp; "|" &amp; LEFT(SUBSTITUTE($G40,CHAR(160)," "),5) &amp; "|Full Rate",
      TRIM(SUBSTITUTE($T$2:$T$38,CHAR(160)," ")) &amp; "|" &amp;
      LEFT(SUBSTITUTE($U$2:$U$38,CHAR(160)," "),5) &amp; "|" &amp;
      TRIM(SUBSTITUTE($V$2:$V$38,CHAR(160)," ")),
      $W$2:$W$38
    )
  ),
"")</f>
        <v>600</v>
      </c>
      <c r="J40" s="218" cm="1">
        <f t="array" ref="J40">IFERROR(
  VALUE($H40) *
  VALUE(
    _xlfn.XLOOKUP(
      TRIM($F40) &amp; "|" &amp; LEFT(SUBSTITUTE($G40,CHAR(160)," "),5) &amp; "|Reduced Rate",
      TRIM(SUBSTITUTE($T$2:$T$38,CHAR(160)," ")) &amp; "|" &amp;
      LEFT(SUBSTITUTE($U$2:$U$38,CHAR(160)," "),5) &amp; "|" &amp;
      TRIM(SUBSTITUTE($V$2:$V$38,CHAR(160)," ")),
      $W$2:$W$38
    )
  ),
"")</f>
        <v>300</v>
      </c>
      <c r="K40" s="218" cm="1">
        <f t="array" ref="K40">IFERROR(
  VALUE($H40) *
  VALUE(
    _xlfn.XLOOKUP(
      TRIM($F40) &amp; "|" &amp; LEFT(SUBSTITUTE($G40,CHAR(160)," "),5) &amp; "|Ideas Rate",
      TRIM(SUBSTITUTE($T$2:$T$38,CHAR(160)," ")) &amp; "|" &amp;
      LEFT(SUBSTITUTE($U$2:$U$38,CHAR(160)," "),5) &amp; "|" &amp;
      TRIM(SUBSTITUTE($V$2:$V$38,CHAR(160)," ")),
      $W$2:$W$38
    )
  ),
"")</f>
        <v>180</v>
      </c>
      <c r="O40" s="204"/>
      <c r="Z40" s="205"/>
    </row>
    <row r="41" spans="1:26" s="215" customFormat="1" x14ac:dyDescent="0.2">
      <c r="A41" s="212">
        <v>45973</v>
      </c>
      <c r="B41" s="213" t="s">
        <v>458</v>
      </c>
      <c r="C41" s="214" t="s">
        <v>519</v>
      </c>
      <c r="D41" s="215" t="s">
        <v>184</v>
      </c>
      <c r="E41" s="215" t="s">
        <v>612</v>
      </c>
      <c r="F41" s="215" t="s">
        <v>9</v>
      </c>
      <c r="G41" s="215" t="s">
        <v>380</v>
      </c>
      <c r="H41" s="216">
        <v>12</v>
      </c>
      <c r="I41" s="217" cm="1">
        <f t="array" ref="I41">IFERROR(
  VALUE($H41) *
  VALUE(
    _xlfn.XLOOKUP(
      TRIM($F41) &amp; "|" &amp; LEFT(SUBSTITUTE($G41,CHAR(160)," "),5) &amp; "|Full Rate",
      TRIM(SUBSTITUTE($T$2:$T$38,CHAR(160)," ")) &amp; "|" &amp;
      LEFT(SUBSTITUTE($U$2:$U$38,CHAR(160)," "),5) &amp; "|" &amp;
      TRIM(SUBSTITUTE($V$2:$V$38,CHAR(160)," ")),
      $W$2:$W$38
    )
  ),
"")</f>
        <v>3000</v>
      </c>
      <c r="J41" s="218" cm="1">
        <f t="array" ref="J41">IFERROR(
  VALUE($H41) *
  VALUE(
    _xlfn.XLOOKUP(
      TRIM($F41) &amp; "|" &amp; LEFT(SUBSTITUTE($G41,CHAR(160)," "),5) &amp; "|Reduced Rate",
      TRIM(SUBSTITUTE($T$2:$T$38,CHAR(160)," ")) &amp; "|" &amp;
      LEFT(SUBSTITUTE($U$2:$U$38,CHAR(160)," "),5) &amp; "|" &amp;
      TRIM(SUBSTITUTE($V$2:$V$38,CHAR(160)," ")),
      $W$2:$W$38
    )
  ),
"")</f>
        <v>1800</v>
      </c>
      <c r="K41" s="218" cm="1">
        <f t="array" ref="K41">IFERROR(
  VALUE($H41) *
  VALUE(
    _xlfn.XLOOKUP(
      TRIM($F41) &amp; "|" &amp; LEFT(SUBSTITUTE($G41,CHAR(160)," "),5) &amp; "|Ideas Rate",
      TRIM(SUBSTITUTE($T$2:$T$38,CHAR(160)," ")) &amp; "|" &amp;
      LEFT(SUBSTITUTE($U$2:$U$38,CHAR(160)," "),5) &amp; "|" &amp;
      TRIM(SUBSTITUTE($V$2:$V$38,CHAR(160)," ")),
      $W$2:$W$38
    )
  ),
"")</f>
        <v>900</v>
      </c>
      <c r="O41" s="218"/>
    </row>
    <row r="42" spans="1:26" s="215" customFormat="1" x14ac:dyDescent="0.2">
      <c r="A42" s="195">
        <v>45974</v>
      </c>
      <c r="B42" s="196" t="s">
        <v>458</v>
      </c>
      <c r="C42" s="197" t="s">
        <v>152</v>
      </c>
      <c r="D42" s="198" t="s">
        <v>190</v>
      </c>
      <c r="E42" s="198" t="s">
        <v>459</v>
      </c>
      <c r="F42" s="198" t="s">
        <v>155</v>
      </c>
      <c r="G42" s="199" t="s">
        <v>380</v>
      </c>
      <c r="H42" s="200">
        <v>1</v>
      </c>
      <c r="I42" s="201" cm="1">
        <f t="array" ref="I42">IFERROR(
  VALUE($H42) *
  VALUE(
    _xlfn.XLOOKUP(
      TRIM($F42) &amp; "|" &amp; LEFT(SUBSTITUTE($G42,CHAR(160)," "),5) &amp; "|Full Rate",
      TRIM(SUBSTITUTE($T$2:$T$38,CHAR(160)," ")) &amp; "|" &amp;
      LEFT(SUBSTITUTE($U$2:$U$38,CHAR(160)," "),5) &amp; "|" &amp;
      TRIM(SUBSTITUTE($V$2:$V$38,CHAR(160)," ")),
      $W$2:$W$38
    )
  ),
"")</f>
        <v>260</v>
      </c>
      <c r="J42" s="202" cm="1">
        <f t="array" ref="J42">IFERROR(
  VALUE($H42) *
  VALUE(
    _xlfn.XLOOKUP(
      TRIM($F42) &amp; "|" &amp; LEFT(SUBSTITUTE($G42,CHAR(160)," "),5) &amp; "|Reduced Rate",
      TRIM(SUBSTITUTE($T$2:$T$38,CHAR(160)," ")) &amp; "|" &amp;
      LEFT(SUBSTITUTE($U$2:$U$38,CHAR(160)," "),5) &amp; "|" &amp;
      TRIM(SUBSTITUTE($V$2:$V$38,CHAR(160)," ")),
      $W$2:$W$38
    )
  ),
"")</f>
        <v>120</v>
      </c>
      <c r="K42" s="203" cm="1">
        <f t="array" ref="K42">IFERROR(
  VALUE($H42) *
  VALUE(
    _xlfn.XLOOKUP(
      TRIM($F42) &amp; "|" &amp; LEFT(SUBSTITUTE($G42,CHAR(160)," "),5) &amp; "|Ideas Rate",
      TRIM(SUBSTITUTE($T$2:$T$38,CHAR(160)," ")) &amp; "|" &amp;
      LEFT(SUBSTITUTE($U$2:$U$38,CHAR(160)," "),5) &amp; "|" &amp;
      TRIM(SUBSTITUTE($V$2:$V$38,CHAR(160)," ")),
      $W$2:$W$38
    )
  ),
"")</f>
        <v>90</v>
      </c>
      <c r="O42" s="218"/>
    </row>
    <row r="43" spans="1:26" s="229" customFormat="1" x14ac:dyDescent="0.2">
      <c r="A43" s="222">
        <v>45975</v>
      </c>
      <c r="B43" s="223" t="s">
        <v>458</v>
      </c>
      <c r="C43" s="224" t="s">
        <v>152</v>
      </c>
      <c r="D43" s="12" t="s">
        <v>191</v>
      </c>
      <c r="E43" s="12" t="s">
        <v>460</v>
      </c>
      <c r="F43" s="12" t="s">
        <v>155</v>
      </c>
      <c r="G43" s="53" t="s">
        <v>380</v>
      </c>
      <c r="H43" s="225">
        <v>4</v>
      </c>
      <c r="I43" s="226" cm="1">
        <f t="array" ref="I43">IFERROR(
  VALUE($H43) *
  VALUE(
    _xlfn.XLOOKUP(
      TRIM($F43) &amp; "|" &amp; LEFT(SUBSTITUTE($G43,CHAR(160)," "),5) &amp; "|Full Rate",
      TRIM(SUBSTITUTE($T$2:$T$38,CHAR(160)," ")) &amp; "|" &amp;
      LEFT(SUBSTITUTE($U$2:$U$38,CHAR(160)," "),5) &amp; "|" &amp;
      TRIM(SUBSTITUTE($V$2:$V$38,CHAR(160)," ")),
      $W$2:$W$38
    )
  ),
"")</f>
        <v>1040</v>
      </c>
      <c r="J43" s="227" cm="1">
        <f t="array" ref="J43">IFERROR(
  VALUE($H43) *
  VALUE(
    _xlfn.XLOOKUP(
      TRIM($F43) &amp; "|" &amp; LEFT(SUBSTITUTE($G43,CHAR(160)," "),5) &amp; "|Reduced Rate",
      TRIM(SUBSTITUTE($T$2:$T$38,CHAR(160)," ")) &amp; "|" &amp;
      LEFT(SUBSTITUTE($U$2:$U$38,CHAR(160)," "),5) &amp; "|" &amp;
      TRIM(SUBSTITUTE($V$2:$V$38,CHAR(160)," ")),
      $W$2:$W$38
    )
  ),
"")</f>
        <v>480</v>
      </c>
      <c r="K43" s="228" cm="1">
        <f t="array" ref="K43">IFERROR(
  VALUE($H43) *
  VALUE(
    _xlfn.XLOOKUP(
      TRIM($F43) &amp; "|" &amp; LEFT(SUBSTITUTE($G43,CHAR(160)," "),5) &amp; "|Ideas Rate",
      TRIM(SUBSTITUTE($T$2:$T$38,CHAR(160)," ")) &amp; "|" &amp;
      LEFT(SUBSTITUTE($U$2:$U$38,CHAR(160)," "),5) &amp; "|" &amp;
      TRIM(SUBSTITUTE($V$2:$V$38,CHAR(160)," ")),
      $W$2:$W$38
    )
  ),
"")</f>
        <v>360</v>
      </c>
      <c r="O43" s="230"/>
    </row>
    <row r="44" spans="1:26" s="229" customFormat="1" x14ac:dyDescent="0.2">
      <c r="A44" s="222">
        <v>45976</v>
      </c>
      <c r="B44" s="223" t="s">
        <v>458</v>
      </c>
      <c r="C44" s="224" t="s">
        <v>152</v>
      </c>
      <c r="D44" s="12" t="s">
        <v>191</v>
      </c>
      <c r="E44" s="12" t="s">
        <v>461</v>
      </c>
      <c r="F44" s="12" t="s">
        <v>155</v>
      </c>
      <c r="G44" s="53" t="s">
        <v>380</v>
      </c>
      <c r="H44" s="225">
        <v>2</v>
      </c>
      <c r="I44" s="226" cm="1">
        <f t="array" ref="I44">IFERROR(
  VALUE($H44) *
  VALUE(
    _xlfn.XLOOKUP(
      TRIM($F44) &amp; "|" &amp; LEFT(SUBSTITUTE($G44,CHAR(160)," "),5) &amp; "|Full Rate",
      TRIM(SUBSTITUTE($T$2:$T$38,CHAR(160)," ")) &amp; "|" &amp;
      LEFT(SUBSTITUTE($U$2:$U$38,CHAR(160)," "),5) &amp; "|" &amp;
      TRIM(SUBSTITUTE($V$2:$V$38,CHAR(160)," ")),
      $W$2:$W$38
    )
  ),
"")</f>
        <v>520</v>
      </c>
      <c r="J44" s="227" cm="1">
        <f t="array" ref="J44">IFERROR(
  VALUE($H44) *
  VALUE(
    _xlfn.XLOOKUP(
      TRIM($F44) &amp; "|" &amp; LEFT(SUBSTITUTE($G44,CHAR(160)," "),5) &amp; "|Reduced Rate",
      TRIM(SUBSTITUTE($T$2:$T$38,CHAR(160)," ")) &amp; "|" &amp;
      LEFT(SUBSTITUTE($U$2:$U$38,CHAR(160)," "),5) &amp; "|" &amp;
      TRIM(SUBSTITUTE($V$2:$V$38,CHAR(160)," ")),
      $W$2:$W$38
    )
  ),
"")</f>
        <v>240</v>
      </c>
      <c r="K44" s="228" cm="1">
        <f t="array" ref="K44">IFERROR(
  VALUE($H44) *
  VALUE(
    _xlfn.XLOOKUP(
      TRIM($F44) &amp; "|" &amp; LEFT(SUBSTITUTE($G44,CHAR(160)," "),5) &amp; "|Ideas Rate",
      TRIM(SUBSTITUTE($T$2:$T$38,CHAR(160)," ")) &amp; "|" &amp;
      LEFT(SUBSTITUTE($U$2:$U$38,CHAR(160)," "),5) &amp; "|" &amp;
      TRIM(SUBSTITUTE($V$2:$V$38,CHAR(160)," ")),
      $W$2:$W$38
    )
  ),
"")</f>
        <v>180</v>
      </c>
      <c r="O44" s="230"/>
    </row>
    <row r="45" spans="1:26" s="229" customFormat="1" x14ac:dyDescent="0.2">
      <c r="A45" s="222">
        <v>45978</v>
      </c>
      <c r="B45" s="223" t="s">
        <v>458</v>
      </c>
      <c r="C45" s="224" t="s">
        <v>152</v>
      </c>
      <c r="D45" s="12" t="s">
        <v>192</v>
      </c>
      <c r="E45" s="12" t="s">
        <v>462</v>
      </c>
      <c r="F45" s="12" t="s">
        <v>10</v>
      </c>
      <c r="G45" s="53" t="s">
        <v>380</v>
      </c>
      <c r="H45" s="225">
        <v>4</v>
      </c>
      <c r="I45" s="226" cm="1">
        <f t="array" ref="I45">IFERROR(
  VALUE($H45) *
  VALUE(
    _xlfn.XLOOKUP(
      TRIM($F45) &amp; "|" &amp; LEFT(SUBSTITUTE($G45,CHAR(160)," "),5) &amp; "|Full Rate",
      TRIM(SUBSTITUTE($T$2:$T$38,CHAR(160)," ")) &amp; "|" &amp;
      LEFT(SUBSTITUTE($U$2:$U$38,CHAR(160)," "),5) &amp; "|" &amp;
      TRIM(SUBSTITUTE($V$2:$V$38,CHAR(160)," ")),
      $W$2:$W$38
    )
  ),
"")</f>
        <v>1000</v>
      </c>
      <c r="J45" s="227" cm="1">
        <f t="array" ref="J45">IFERROR(
  VALUE($H45) *
  VALUE(
    _xlfn.XLOOKUP(
      TRIM($F45) &amp; "|" &amp; LEFT(SUBSTITUTE($G45,CHAR(160)," "),5) &amp; "|Reduced Rate",
      TRIM(SUBSTITUTE($T$2:$T$38,CHAR(160)," ")) &amp; "|" &amp;
      LEFT(SUBSTITUTE($U$2:$U$38,CHAR(160)," "),5) &amp; "|" &amp;
      TRIM(SUBSTITUTE($V$2:$V$38,CHAR(160)," ")),
      $W$2:$W$38
    )
  ),
"")</f>
        <v>600</v>
      </c>
      <c r="K45" s="228" cm="1">
        <f t="array" ref="K45">IFERROR(
  VALUE($H45) *
  VALUE(
    _xlfn.XLOOKUP(
      TRIM($F45) &amp; "|" &amp; LEFT(SUBSTITUTE($G45,CHAR(160)," "),5) &amp; "|Ideas Rate",
      TRIM(SUBSTITUTE($T$2:$T$38,CHAR(160)," ")) &amp; "|" &amp;
      LEFT(SUBSTITUTE($U$2:$U$38,CHAR(160)," "),5) &amp; "|" &amp;
      TRIM(SUBSTITUTE($V$2:$V$38,CHAR(160)," ")),
      $W$2:$W$38
    )
  ),
"")</f>
        <v>300</v>
      </c>
      <c r="O45" s="230"/>
    </row>
    <row r="46" spans="1:26" s="229" customFormat="1" x14ac:dyDescent="0.2">
      <c r="A46" s="222">
        <v>45978</v>
      </c>
      <c r="B46" s="223" t="s">
        <v>458</v>
      </c>
      <c r="C46" s="224" t="s">
        <v>152</v>
      </c>
      <c r="D46" s="12" t="s">
        <v>178</v>
      </c>
      <c r="E46" s="12" t="s">
        <v>463</v>
      </c>
      <c r="F46" s="12" t="s">
        <v>10</v>
      </c>
      <c r="G46" s="53" t="s">
        <v>380</v>
      </c>
      <c r="H46" s="225">
        <v>1</v>
      </c>
      <c r="I46" s="226" cm="1">
        <f t="array" ref="I46">IFERROR(
  VALUE($H46) *
  VALUE(
    _xlfn.XLOOKUP(
      TRIM($F46) &amp; "|" &amp; LEFT(SUBSTITUTE($G46,CHAR(160)," "),5) &amp; "|Full Rate",
      TRIM(SUBSTITUTE($T$2:$T$38,CHAR(160)," ")) &amp; "|" &amp;
      LEFT(SUBSTITUTE($U$2:$U$38,CHAR(160)," "),5) &amp; "|" &amp;
      TRIM(SUBSTITUTE($V$2:$V$38,CHAR(160)," ")),
      $W$2:$W$38
    )
  ),
"")</f>
        <v>250</v>
      </c>
      <c r="J46" s="227" cm="1">
        <f t="array" ref="J46">IFERROR(
  VALUE($H46) *
  VALUE(
    _xlfn.XLOOKUP(
      TRIM($F46) &amp; "|" &amp; LEFT(SUBSTITUTE($G46,CHAR(160)," "),5) &amp; "|Reduced Rate",
      TRIM(SUBSTITUTE($T$2:$T$38,CHAR(160)," ")) &amp; "|" &amp;
      LEFT(SUBSTITUTE($U$2:$U$38,CHAR(160)," "),5) &amp; "|" &amp;
      TRIM(SUBSTITUTE($V$2:$V$38,CHAR(160)," ")),
      $W$2:$W$38
    )
  ),
"")</f>
        <v>150</v>
      </c>
      <c r="K46" s="228" cm="1">
        <f t="array" ref="K46">IFERROR(
  VALUE($H46) *
  VALUE(
    _xlfn.XLOOKUP(
      TRIM($F46) &amp; "|" &amp; LEFT(SUBSTITUTE($G46,CHAR(160)," "),5) &amp; "|Ideas Rate",
      TRIM(SUBSTITUTE($T$2:$T$38,CHAR(160)," ")) &amp; "|" &amp;
      LEFT(SUBSTITUTE($U$2:$U$38,CHAR(160)," "),5) &amp; "|" &amp;
      TRIM(SUBSTITUTE($V$2:$V$38,CHAR(160)," ")),
      $W$2:$W$38
    )
  ),
"")</f>
        <v>75</v>
      </c>
      <c r="O46" s="230"/>
    </row>
    <row r="47" spans="1:26" s="231" customFormat="1" x14ac:dyDescent="0.2">
      <c r="A47" s="222">
        <v>45978</v>
      </c>
      <c r="B47" s="223" t="s">
        <v>458</v>
      </c>
      <c r="C47" s="224" t="s">
        <v>152</v>
      </c>
      <c r="D47" s="12" t="s">
        <v>191</v>
      </c>
      <c r="E47" s="12" t="s">
        <v>476</v>
      </c>
      <c r="F47" s="12" t="s">
        <v>155</v>
      </c>
      <c r="G47" s="53" t="s">
        <v>380</v>
      </c>
      <c r="H47" s="225">
        <v>1</v>
      </c>
      <c r="I47" s="226" cm="1">
        <f t="array" ref="I47">IFERROR(
  VALUE($H47) *
  VALUE(
    _xlfn.XLOOKUP(
      TRIM($F47) &amp; "|" &amp; LEFT(SUBSTITUTE($G47,CHAR(160)," "),5) &amp; "|Full Rate",
      TRIM(SUBSTITUTE($T$2:$T$38,CHAR(160)," ")) &amp; "|" &amp;
      LEFT(SUBSTITUTE($U$2:$U$38,CHAR(160)," "),5) &amp; "|" &amp;
      TRIM(SUBSTITUTE($V$2:$V$38,CHAR(160)," ")),
      $W$2:$W$38
    )
  ),
"")</f>
        <v>260</v>
      </c>
      <c r="J47" s="227" cm="1">
        <f t="array" ref="J47">IFERROR(
  VALUE($H47) *
  VALUE(
    _xlfn.XLOOKUP(
      TRIM($F47) &amp; "|" &amp; LEFT(SUBSTITUTE($G47,CHAR(160)," "),5) &amp; "|Reduced Rate",
      TRIM(SUBSTITUTE($T$2:$T$38,CHAR(160)," ")) &amp; "|" &amp;
      LEFT(SUBSTITUTE($U$2:$U$38,CHAR(160)," "),5) &amp; "|" &amp;
      TRIM(SUBSTITUTE($V$2:$V$38,CHAR(160)," ")),
      $W$2:$W$38
    )
  ),
"")</f>
        <v>120</v>
      </c>
      <c r="K47" s="228" cm="1">
        <f t="array" ref="K47">IFERROR(
  VALUE($H47) *
  VALUE(
    _xlfn.XLOOKUP(
      TRIM($F47) &amp; "|" &amp; LEFT(SUBSTITUTE($G47,CHAR(160)," "),5) &amp; "|Ideas Rate",
      TRIM(SUBSTITUTE($T$2:$T$38,CHAR(160)," ")) &amp; "|" &amp;
      LEFT(SUBSTITUTE($U$2:$U$38,CHAR(160)," "),5) &amp; "|" &amp;
      TRIM(SUBSTITUTE($V$2:$V$38,CHAR(160)," ")),
      $W$2:$W$38
    )
  ),
"")</f>
        <v>90</v>
      </c>
      <c r="O47" s="227"/>
    </row>
    <row r="48" spans="1:26" s="231" customFormat="1" x14ac:dyDescent="0.2">
      <c r="A48" s="222">
        <v>45978</v>
      </c>
      <c r="B48" s="223" t="s">
        <v>458</v>
      </c>
      <c r="C48" s="224" t="s">
        <v>152</v>
      </c>
      <c r="D48" s="12" t="s">
        <v>192</v>
      </c>
      <c r="E48" s="12" t="s">
        <v>462</v>
      </c>
      <c r="F48" s="12" t="s">
        <v>155</v>
      </c>
      <c r="G48" s="53" t="s">
        <v>380</v>
      </c>
      <c r="H48" s="225">
        <v>2</v>
      </c>
      <c r="I48" s="226" cm="1">
        <f t="array" ref="I48">IFERROR(
  VALUE($H48) *
  VALUE(
    _xlfn.XLOOKUP(
      TRIM($F48) &amp; "|" &amp; LEFT(SUBSTITUTE($G48,CHAR(160)," "),5) &amp; "|Full Rate",
      TRIM(SUBSTITUTE($T$2:$T$38,CHAR(160)," ")) &amp; "|" &amp;
      LEFT(SUBSTITUTE($U$2:$U$38,CHAR(160)," "),5) &amp; "|" &amp;
      TRIM(SUBSTITUTE($V$2:$V$38,CHAR(160)," ")),
      $W$2:$W$38
    )
  ),
"")</f>
        <v>520</v>
      </c>
      <c r="J48" s="227" cm="1">
        <f t="array" ref="J48">IFERROR(
  VALUE($H48) *
  VALUE(
    _xlfn.XLOOKUP(
      TRIM($F48) &amp; "|" &amp; LEFT(SUBSTITUTE($G48,CHAR(160)," "),5) &amp; "|Reduced Rate",
      TRIM(SUBSTITUTE($T$2:$T$38,CHAR(160)," ")) &amp; "|" &amp;
      LEFT(SUBSTITUTE($U$2:$U$38,CHAR(160)," "),5) &amp; "|" &amp;
      TRIM(SUBSTITUTE($V$2:$V$38,CHAR(160)," ")),
      $W$2:$W$38
    )
  ),
"")</f>
        <v>240</v>
      </c>
      <c r="K48" s="228" cm="1">
        <f t="array" ref="K48">IFERROR(
  VALUE($H48) *
  VALUE(
    _xlfn.XLOOKUP(
      TRIM($F48) &amp; "|" &amp; LEFT(SUBSTITUTE($G48,CHAR(160)," "),5) &amp; "|Ideas Rate",
      TRIM(SUBSTITUTE($T$2:$T$38,CHAR(160)," ")) &amp; "|" &amp;
      LEFT(SUBSTITUTE($U$2:$U$38,CHAR(160)," "),5) &amp; "|" &amp;
      TRIM(SUBSTITUTE($V$2:$V$38,CHAR(160)," ")),
      $W$2:$W$38
    )
  ),
"")</f>
        <v>180</v>
      </c>
      <c r="O48" s="227"/>
    </row>
    <row r="49" spans="1:15" s="231" customFormat="1" x14ac:dyDescent="0.2">
      <c r="A49" s="222">
        <v>45978</v>
      </c>
      <c r="B49" s="223" t="s">
        <v>458</v>
      </c>
      <c r="C49" s="224" t="s">
        <v>152</v>
      </c>
      <c r="D49" s="12" t="s">
        <v>178</v>
      </c>
      <c r="E49" s="12" t="s">
        <v>465</v>
      </c>
      <c r="F49" s="12" t="s">
        <v>155</v>
      </c>
      <c r="G49" s="53" t="s">
        <v>380</v>
      </c>
      <c r="H49" s="225">
        <v>1</v>
      </c>
      <c r="I49" s="226" cm="1">
        <f t="array" ref="I49">IFERROR(
  VALUE($H49) *
  VALUE(
    _xlfn.XLOOKUP(
      TRIM($F49) &amp; "|" &amp; LEFT(SUBSTITUTE($G49,CHAR(160)," "),5) &amp; "|Full Rate",
      TRIM(SUBSTITUTE($T$2:$T$38,CHAR(160)," ")) &amp; "|" &amp;
      LEFT(SUBSTITUTE($U$2:$U$38,CHAR(160)," "),5) &amp; "|" &amp;
      TRIM(SUBSTITUTE($V$2:$V$38,CHAR(160)," ")),
      $W$2:$W$38
    )
  ),
"")</f>
        <v>260</v>
      </c>
      <c r="J49" s="227" cm="1">
        <f t="array" ref="J49">IFERROR(
  VALUE($H49) *
  VALUE(
    _xlfn.XLOOKUP(
      TRIM($F49) &amp; "|" &amp; LEFT(SUBSTITUTE($G49,CHAR(160)," "),5) &amp; "|Reduced Rate",
      TRIM(SUBSTITUTE($T$2:$T$38,CHAR(160)," ")) &amp; "|" &amp;
      LEFT(SUBSTITUTE($U$2:$U$38,CHAR(160)," "),5) &amp; "|" &amp;
      TRIM(SUBSTITUTE($V$2:$V$38,CHAR(160)," ")),
      $W$2:$W$38
    )
  ),
"")</f>
        <v>120</v>
      </c>
      <c r="K49" s="228" cm="1">
        <f t="array" ref="K49">IFERROR(
  VALUE($H49) *
  VALUE(
    _xlfn.XLOOKUP(
      TRIM($F49) &amp; "|" &amp; LEFT(SUBSTITUTE($G49,CHAR(160)," "),5) &amp; "|Ideas Rate",
      TRIM(SUBSTITUTE($T$2:$T$38,CHAR(160)," ")) &amp; "|" &amp;
      LEFT(SUBSTITUTE($U$2:$U$38,CHAR(160)," "),5) &amp; "|" &amp;
      TRIM(SUBSTITUTE($V$2:$V$38,CHAR(160)," ")),
      $W$2:$W$38
    )
  ),
"")</f>
        <v>90</v>
      </c>
      <c r="O49" s="227"/>
    </row>
    <row r="50" spans="1:15" s="231" customFormat="1" x14ac:dyDescent="0.2">
      <c r="A50" s="232">
        <v>45978</v>
      </c>
      <c r="B50" s="233" t="s">
        <v>458</v>
      </c>
      <c r="C50" s="234" t="s">
        <v>152</v>
      </c>
      <c r="D50" s="235" t="s">
        <v>191</v>
      </c>
      <c r="E50" s="235" t="s">
        <v>572</v>
      </c>
      <c r="F50" s="235" t="s">
        <v>9</v>
      </c>
      <c r="G50" s="236" t="s">
        <v>367</v>
      </c>
      <c r="H50" s="237">
        <v>40</v>
      </c>
      <c r="I50" s="226" cm="1">
        <f t="array" ref="I50">IFERROR(
  VALUE($H50) *
  VALUE(
    _xlfn.XLOOKUP(
      TRIM($F50) &amp; "|" &amp; LEFT(SUBSTITUTE($G50,CHAR(160)," "),5) &amp; "|Full Rate",
      TRIM(SUBSTITUTE($T$2:$T$38,CHAR(160)," ")) &amp; "|" &amp;
      LEFT(SUBSTITUTE($U$2:$U$38,CHAR(160)," "),5) &amp; "|" &amp;
      TRIM(SUBSTITUTE($V$2:$V$38,CHAR(160)," ")),
      $W$2:$W$38
    )
  ),
"")</f>
        <v>20000</v>
      </c>
      <c r="J50" s="227" cm="1">
        <f t="array" ref="J50">IFERROR(
  VALUE($H50) *
  VALUE(
    _xlfn.XLOOKUP(
      TRIM($F50) &amp; "|" &amp; LEFT(SUBSTITUTE($G50,CHAR(160)," "),5) &amp; "|Reduced Rate",
      TRIM(SUBSTITUTE($T$2:$T$38,CHAR(160)," ")) &amp; "|" &amp;
      LEFT(SUBSTITUTE($U$2:$U$38,CHAR(160)," "),5) &amp; "|" &amp;
      TRIM(SUBSTITUTE($V$2:$V$38,CHAR(160)," ")),
      $W$2:$W$38
    )
  ),
"")</f>
        <v>12000</v>
      </c>
      <c r="K50" s="228" cm="1">
        <f t="array" ref="K50">IFERROR(
  VALUE($H50) *
  VALUE(
    _xlfn.XLOOKUP(
      TRIM($F50) &amp; "|" &amp; LEFT(SUBSTITUTE($G50,CHAR(160)," "),5) &amp; "|Ideas Rate",
      TRIM(SUBSTITUTE($T$2:$T$38,CHAR(160)," ")) &amp; "|" &amp;
      LEFT(SUBSTITUTE($U$2:$U$38,CHAR(160)," "),5) &amp; "|" &amp;
      TRIM(SUBSTITUTE($V$2:$V$38,CHAR(160)," ")),
      $W$2:$W$38
    )
  ),
"")</f>
        <v>6000</v>
      </c>
      <c r="O50" s="227"/>
    </row>
    <row r="51" spans="1:15" s="231" customFormat="1" x14ac:dyDescent="0.2">
      <c r="A51" s="232">
        <v>45978</v>
      </c>
      <c r="B51" s="233" t="s">
        <v>458</v>
      </c>
      <c r="C51" s="234" t="s">
        <v>152</v>
      </c>
      <c r="D51" s="235" t="s">
        <v>191</v>
      </c>
      <c r="E51" s="235" t="s">
        <v>572</v>
      </c>
      <c r="F51" s="235" t="s">
        <v>10</v>
      </c>
      <c r="G51" s="236" t="s">
        <v>367</v>
      </c>
      <c r="H51" s="237">
        <v>12</v>
      </c>
      <c r="I51" s="226" cm="1">
        <f t="array" ref="I51">IFERROR(
  VALUE($H51) *
  VALUE(
    _xlfn.XLOOKUP(
      TRIM($F51) &amp; "|" &amp; LEFT(SUBSTITUTE($G51,CHAR(160)," "),5) &amp; "|Full Rate",
      TRIM(SUBSTITUTE($T$2:$T$38,CHAR(160)," ")) &amp; "|" &amp;
      LEFT(SUBSTITUTE($U$2:$U$38,CHAR(160)," "),5) &amp; "|" &amp;
      TRIM(SUBSTITUTE($V$2:$V$38,CHAR(160)," ")),
      $W$2:$W$38
    )
  ),
"")</f>
        <v>6000</v>
      </c>
      <c r="J51" s="227" cm="1">
        <f t="array" ref="J51">IFERROR(
  VALUE($H51) *
  VALUE(
    _xlfn.XLOOKUP(
      TRIM($F51) &amp; "|" &amp; LEFT(SUBSTITUTE($G51,CHAR(160)," "),5) &amp; "|Reduced Rate",
      TRIM(SUBSTITUTE($T$2:$T$38,CHAR(160)," ")) &amp; "|" &amp;
      LEFT(SUBSTITUTE($U$2:$U$38,CHAR(160)," "),5) &amp; "|" &amp;
      TRIM(SUBSTITUTE($V$2:$V$38,CHAR(160)," ")),
      $W$2:$W$38
    )
  ),
"")</f>
        <v>3600</v>
      </c>
      <c r="K51" s="228" cm="1">
        <f t="array" ref="K51">IFERROR(
  VALUE($H51) *
  VALUE(
    _xlfn.XLOOKUP(
      TRIM($F51) &amp; "|" &amp; LEFT(SUBSTITUTE($G51,CHAR(160)," "),5) &amp; "|Ideas Rate",
      TRIM(SUBSTITUTE($T$2:$T$38,CHAR(160)," ")) &amp; "|" &amp;
      LEFT(SUBSTITUTE($U$2:$U$38,CHAR(160)," "),5) &amp; "|" &amp;
      TRIM(SUBSTITUTE($V$2:$V$38,CHAR(160)," ")),
      $W$2:$W$38
    )
  ),
"")</f>
        <v>1800</v>
      </c>
      <c r="O51" s="227"/>
    </row>
    <row r="52" spans="1:15" s="231" customFormat="1" x14ac:dyDescent="0.2">
      <c r="A52" s="222">
        <v>45979</v>
      </c>
      <c r="B52" s="223" t="s">
        <v>458</v>
      </c>
      <c r="C52" s="224" t="s">
        <v>152</v>
      </c>
      <c r="D52" s="12" t="s">
        <v>29</v>
      </c>
      <c r="E52" s="12" t="s">
        <v>464</v>
      </c>
      <c r="F52" s="12" t="s">
        <v>10</v>
      </c>
      <c r="G52" s="53" t="s">
        <v>380</v>
      </c>
      <c r="H52" s="225">
        <v>1.5</v>
      </c>
      <c r="I52" s="226" cm="1">
        <f t="array" ref="I52">IFERROR(
  VALUE($H52) *
  VALUE(
    _xlfn.XLOOKUP(
      TRIM($F52) &amp; "|" &amp; LEFT(SUBSTITUTE($G52,CHAR(160)," "),5) &amp; "|Full Rate",
      TRIM(SUBSTITUTE($T$2:$T$38,CHAR(160)," ")) &amp; "|" &amp;
      LEFT(SUBSTITUTE($U$2:$U$38,CHAR(160)," "),5) &amp; "|" &amp;
      TRIM(SUBSTITUTE($V$2:$V$38,CHAR(160)," ")),
      $W$2:$W$38
    )
  ),
"")</f>
        <v>375</v>
      </c>
      <c r="J52" s="227" cm="1">
        <f t="array" ref="J52">IFERROR(
  VALUE($H52) *
  VALUE(
    _xlfn.XLOOKUP(
      TRIM($F52) &amp; "|" &amp; LEFT(SUBSTITUTE($G52,CHAR(160)," "),5) &amp; "|Reduced Rate",
      TRIM(SUBSTITUTE($T$2:$T$38,CHAR(160)," ")) &amp; "|" &amp;
      LEFT(SUBSTITUTE($U$2:$U$38,CHAR(160)," "),5) &amp; "|" &amp;
      TRIM(SUBSTITUTE($V$2:$V$38,CHAR(160)," ")),
      $W$2:$W$38
    )
  ),
"")</f>
        <v>225</v>
      </c>
      <c r="K52" s="228" cm="1">
        <f t="array" ref="K52">IFERROR(
  VALUE($H52) *
  VALUE(
    _xlfn.XLOOKUP(
      TRIM($F52) &amp; "|" &amp; LEFT(SUBSTITUTE($G52,CHAR(160)," "),5) &amp; "|Ideas Rate",
      TRIM(SUBSTITUTE($T$2:$T$38,CHAR(160)," ")) &amp; "|" &amp;
      LEFT(SUBSTITUTE($U$2:$U$38,CHAR(160)," "),5) &amp; "|" &amp;
      TRIM(SUBSTITUTE($V$2:$V$38,CHAR(160)," ")),
      $W$2:$W$38
    )
  ),
"")</f>
        <v>112.5</v>
      </c>
      <c r="O52" s="227"/>
    </row>
    <row r="53" spans="1:15" s="231" customFormat="1" x14ac:dyDescent="0.2">
      <c r="A53" s="222">
        <v>45979</v>
      </c>
      <c r="B53" s="223" t="s">
        <v>458</v>
      </c>
      <c r="C53" s="224" t="s">
        <v>152</v>
      </c>
      <c r="D53" s="12" t="s">
        <v>178</v>
      </c>
      <c r="E53" s="12" t="s">
        <v>465</v>
      </c>
      <c r="F53" s="12" t="s">
        <v>10</v>
      </c>
      <c r="G53" s="53" t="s">
        <v>380</v>
      </c>
      <c r="H53" s="225">
        <v>2</v>
      </c>
      <c r="I53" s="226" cm="1">
        <f t="array" ref="I53">IFERROR(
  VALUE($H53) *
  VALUE(
    _xlfn.XLOOKUP(
      TRIM($F53) &amp; "|" &amp; LEFT(SUBSTITUTE($G53,CHAR(160)," "),5) &amp; "|Full Rate",
      TRIM(SUBSTITUTE($T$2:$T$38,CHAR(160)," ")) &amp; "|" &amp;
      LEFT(SUBSTITUTE($U$2:$U$38,CHAR(160)," "),5) &amp; "|" &amp;
      TRIM(SUBSTITUTE($V$2:$V$38,CHAR(160)," ")),
      $W$2:$W$38
    )
  ),
"")</f>
        <v>500</v>
      </c>
      <c r="J53" s="227" cm="1">
        <f t="array" ref="J53">IFERROR(
  VALUE($H53) *
  VALUE(
    _xlfn.XLOOKUP(
      TRIM($F53) &amp; "|" &amp; LEFT(SUBSTITUTE($G53,CHAR(160)," "),5) &amp; "|Reduced Rate",
      TRIM(SUBSTITUTE($T$2:$T$38,CHAR(160)," ")) &amp; "|" &amp;
      LEFT(SUBSTITUTE($U$2:$U$38,CHAR(160)," "),5) &amp; "|" &amp;
      TRIM(SUBSTITUTE($V$2:$V$38,CHAR(160)," ")),
      $W$2:$W$38
    )
  ),
"")</f>
        <v>300</v>
      </c>
      <c r="K53" s="228" cm="1">
        <f t="array" ref="K53">IFERROR(
  VALUE($H53) *
  VALUE(
    _xlfn.XLOOKUP(
      TRIM($F53) &amp; "|" &amp; LEFT(SUBSTITUTE($G53,CHAR(160)," "),5) &amp; "|Ideas Rate",
      TRIM(SUBSTITUTE($T$2:$T$38,CHAR(160)," ")) &amp; "|" &amp;
      LEFT(SUBSTITUTE($U$2:$U$38,CHAR(160)," "),5) &amp; "|" &amp;
      TRIM(SUBSTITUTE($V$2:$V$38,CHAR(160)," ")),
      $W$2:$W$38
    )
  ),
"")</f>
        <v>150</v>
      </c>
      <c r="O53" s="227"/>
    </row>
    <row r="54" spans="1:15" s="12" customFormat="1" x14ac:dyDescent="0.2">
      <c r="A54" s="222">
        <v>45979</v>
      </c>
      <c r="B54" s="223" t="s">
        <v>458</v>
      </c>
      <c r="C54" s="224" t="s">
        <v>152</v>
      </c>
      <c r="D54" s="12" t="s">
        <v>178</v>
      </c>
      <c r="E54" s="12" t="s">
        <v>466</v>
      </c>
      <c r="F54" s="12" t="s">
        <v>10</v>
      </c>
      <c r="G54" s="53" t="s">
        <v>367</v>
      </c>
      <c r="H54" s="225">
        <v>2.25</v>
      </c>
      <c r="I54" s="226" cm="1">
        <f t="array" ref="I54">IFERROR(
  VALUE($H54) *
  VALUE(
    _xlfn.XLOOKUP(
      TRIM($F54) &amp; "|" &amp; LEFT(SUBSTITUTE($G54,CHAR(160)," "),5) &amp; "|Full Rate",
      TRIM(SUBSTITUTE($T$2:$T$38,CHAR(160)," ")) &amp; "|" &amp;
      LEFT(SUBSTITUTE($U$2:$U$38,CHAR(160)," "),5) &amp; "|" &amp;
      TRIM(SUBSTITUTE($V$2:$V$38,CHAR(160)," ")),
      $W$2:$W$38
    )
  ),
"")</f>
        <v>1125</v>
      </c>
      <c r="J54" s="227" cm="1">
        <f t="array" ref="J54">IFERROR(
  VALUE($H54) *
  VALUE(
    _xlfn.XLOOKUP(
      TRIM($F54) &amp; "|" &amp; LEFT(SUBSTITUTE($G54,CHAR(160)," "),5) &amp; "|Reduced Rate",
      TRIM(SUBSTITUTE($T$2:$T$38,CHAR(160)," ")) &amp; "|" &amp;
      LEFT(SUBSTITUTE($U$2:$U$38,CHAR(160)," "),5) &amp; "|" &amp;
      TRIM(SUBSTITUTE($V$2:$V$38,CHAR(160)," ")),
      $W$2:$W$38
    )
  ),
"")</f>
        <v>675</v>
      </c>
      <c r="K54" s="228" cm="1">
        <f t="array" ref="K54">IFERROR(
  VALUE($H54) *
  VALUE(
    _xlfn.XLOOKUP(
      TRIM($F54) &amp; "|" &amp; LEFT(SUBSTITUTE($G54,CHAR(160)," "),5) &amp; "|Ideas Rate",
      TRIM(SUBSTITUTE($T$2:$T$38,CHAR(160)," ")) &amp; "|" &amp;
      LEFT(SUBSTITUTE($U$2:$U$38,CHAR(160)," "),5) &amp; "|" &amp;
      TRIM(SUBSTITUTE($V$2:$V$38,CHAR(160)," ")),
      $W$2:$W$38
    )
  ),
"")</f>
        <v>337.5</v>
      </c>
      <c r="O54" s="67"/>
    </row>
    <row r="55" spans="1:15" s="12" customFormat="1" x14ac:dyDescent="0.2">
      <c r="A55" s="222">
        <v>45979</v>
      </c>
      <c r="B55" s="223" t="s">
        <v>458</v>
      </c>
      <c r="C55" s="224" t="s">
        <v>152</v>
      </c>
      <c r="D55" s="12" t="s">
        <v>178</v>
      </c>
      <c r="E55" s="12" t="s">
        <v>477</v>
      </c>
      <c r="F55" s="12" t="s">
        <v>155</v>
      </c>
      <c r="G55" s="53" t="s">
        <v>367</v>
      </c>
      <c r="H55" s="225">
        <v>2.25</v>
      </c>
      <c r="I55" s="226" cm="1">
        <f t="array" ref="I55">IFERROR(
  VALUE($H55) *
  VALUE(
    _xlfn.XLOOKUP(
      TRIM($F55) &amp; "|" &amp; LEFT(SUBSTITUTE($G55,CHAR(160)," "),5) &amp; "|Full Rate",
      TRIM(SUBSTITUTE($T$2:$T$38,CHAR(160)," ")) &amp; "|" &amp;
      LEFT(SUBSTITUTE($U$2:$U$38,CHAR(160)," "),5) &amp; "|" &amp;
      TRIM(SUBSTITUTE($V$2:$V$38,CHAR(160)," ")),
      $W$2:$W$38
    )
  ),
"")</f>
        <v>900</v>
      </c>
      <c r="J55" s="227" cm="1">
        <f t="array" ref="J55">IFERROR(
  VALUE($H55) *
  VALUE(
    _xlfn.XLOOKUP(
      TRIM($F55) &amp; "|" &amp; LEFT(SUBSTITUTE($G55,CHAR(160)," "),5) &amp; "|Reduced Rate",
      TRIM(SUBSTITUTE($T$2:$T$38,CHAR(160)," ")) &amp; "|" &amp;
      LEFT(SUBSTITUTE($U$2:$U$38,CHAR(160)," "),5) &amp; "|" &amp;
      TRIM(SUBSTITUTE($V$2:$V$38,CHAR(160)," ")),
      $W$2:$W$38
    )
  ),
"")</f>
        <v>450</v>
      </c>
      <c r="K55" s="228" cm="1">
        <f t="array" ref="K55">IFERROR(
  VALUE($H55) *
  VALUE(
    _xlfn.XLOOKUP(
      TRIM($F55) &amp; "|" &amp; LEFT(SUBSTITUTE($G55,CHAR(160)," "),5) &amp; "|Ideas Rate",
      TRIM(SUBSTITUTE($T$2:$T$38,CHAR(160)," ")) &amp; "|" &amp;
      LEFT(SUBSTITUTE($U$2:$U$38,CHAR(160)," "),5) &amp; "|" &amp;
      TRIM(SUBSTITUTE($V$2:$V$38,CHAR(160)," ")),
      $W$2:$W$38
    )
  ),
"")</f>
        <v>270</v>
      </c>
      <c r="O55" s="67"/>
    </row>
    <row r="56" spans="1:15" s="12" customFormat="1" x14ac:dyDescent="0.2">
      <c r="A56" s="222">
        <v>45979</v>
      </c>
      <c r="B56" s="223" t="s">
        <v>458</v>
      </c>
      <c r="C56" s="224" t="s">
        <v>152</v>
      </c>
      <c r="D56" s="12" t="s">
        <v>182</v>
      </c>
      <c r="E56" s="12" t="s">
        <v>478</v>
      </c>
      <c r="F56" s="12" t="s">
        <v>155</v>
      </c>
      <c r="G56" s="53" t="s">
        <v>367</v>
      </c>
      <c r="H56" s="225">
        <v>3</v>
      </c>
      <c r="I56" s="226" cm="1">
        <f t="array" ref="I56">IFERROR(
  VALUE($H56) *
  VALUE(
    _xlfn.XLOOKUP(
      TRIM($F56) &amp; "|" &amp; LEFT(SUBSTITUTE($G56,CHAR(160)," "),5) &amp; "|Full Rate",
      TRIM(SUBSTITUTE($T$2:$T$38,CHAR(160)," ")) &amp; "|" &amp;
      LEFT(SUBSTITUTE($U$2:$U$38,CHAR(160)," "),5) &amp; "|" &amp;
      TRIM(SUBSTITUTE($V$2:$V$38,CHAR(160)," ")),
      $W$2:$W$38
    )
  ),
"")</f>
        <v>1200</v>
      </c>
      <c r="J56" s="227" cm="1">
        <f t="array" ref="J56">IFERROR(
  VALUE($H56) *
  VALUE(
    _xlfn.XLOOKUP(
      TRIM($F56) &amp; "|" &amp; LEFT(SUBSTITUTE($G56,CHAR(160)," "),5) &amp; "|Reduced Rate",
      TRIM(SUBSTITUTE($T$2:$T$38,CHAR(160)," ")) &amp; "|" &amp;
      LEFT(SUBSTITUTE($U$2:$U$38,CHAR(160)," "),5) &amp; "|" &amp;
      TRIM(SUBSTITUTE($V$2:$V$38,CHAR(160)," ")),
      $W$2:$W$38
    )
  ),
"")</f>
        <v>600</v>
      </c>
      <c r="K56" s="228" cm="1">
        <f t="array" ref="K56">IFERROR(
  VALUE($H56) *
  VALUE(
    _xlfn.XLOOKUP(
      TRIM($F56) &amp; "|" &amp; LEFT(SUBSTITUTE($G56,CHAR(160)," "),5) &amp; "|Ideas Rate",
      TRIM(SUBSTITUTE($T$2:$T$38,CHAR(160)," ")) &amp; "|" &amp;
      LEFT(SUBSTITUTE($U$2:$U$38,CHAR(160)," "),5) &amp; "|" &amp;
      TRIM(SUBSTITUTE($V$2:$V$38,CHAR(160)," ")),
      $W$2:$W$38
    )
  ),
"")</f>
        <v>360</v>
      </c>
      <c r="O56" s="67"/>
    </row>
    <row r="57" spans="1:15" s="12" customFormat="1" x14ac:dyDescent="0.2">
      <c r="A57" s="222">
        <v>45979</v>
      </c>
      <c r="B57" s="223" t="s">
        <v>458</v>
      </c>
      <c r="C57" s="30" t="s">
        <v>152</v>
      </c>
      <c r="D57" s="26" t="s">
        <v>178</v>
      </c>
      <c r="E57" s="26" t="s">
        <v>479</v>
      </c>
      <c r="F57" s="26" t="s">
        <v>155</v>
      </c>
      <c r="G57" s="53" t="s">
        <v>380</v>
      </c>
      <c r="H57" s="44">
        <v>1</v>
      </c>
      <c r="I57" s="226" cm="1">
        <f t="array" ref="I57">IFERROR(
  VALUE($H57) *
  VALUE(
    _xlfn.XLOOKUP(
      TRIM($F57) &amp; "|" &amp; LEFT(SUBSTITUTE($G57,CHAR(160)," "),5) &amp; "|Full Rate",
      TRIM(SUBSTITUTE($T$2:$T$38,CHAR(160)," ")) &amp; "|" &amp;
      LEFT(SUBSTITUTE($U$2:$U$38,CHAR(160)," "),5) &amp; "|" &amp;
      TRIM(SUBSTITUTE($V$2:$V$38,CHAR(160)," ")),
      $W$2:$W$38
    )
  ),
"")</f>
        <v>260</v>
      </c>
      <c r="J57" s="227" cm="1">
        <f t="array" ref="J57">IFERROR(
  VALUE($H57) *
  VALUE(
    _xlfn.XLOOKUP(
      TRIM($F57) &amp; "|" &amp; LEFT(SUBSTITUTE($G57,CHAR(160)," "),5) &amp; "|Reduced Rate",
      TRIM(SUBSTITUTE($T$2:$T$38,CHAR(160)," ")) &amp; "|" &amp;
      LEFT(SUBSTITUTE($U$2:$U$38,CHAR(160)," "),5) &amp; "|" &amp;
      TRIM(SUBSTITUTE($V$2:$V$38,CHAR(160)," ")),
      $W$2:$W$38
    )
  ),
"")</f>
        <v>120</v>
      </c>
      <c r="K57" s="228" cm="1">
        <f t="array" ref="K57">IFERROR(
  VALUE($H57) *
  VALUE(
    _xlfn.XLOOKUP(
      TRIM($F57) &amp; "|" &amp; LEFT(SUBSTITUTE($G57,CHAR(160)," "),5) &amp; "|Ideas Rate",
      TRIM(SUBSTITUTE($T$2:$T$38,CHAR(160)," ")) &amp; "|" &amp;
      LEFT(SUBSTITUTE($U$2:$U$38,CHAR(160)," "),5) &amp; "|" &amp;
      TRIM(SUBSTITUTE($V$2:$V$38,CHAR(160)," ")),
      $W$2:$W$38
    )
  ),
"")</f>
        <v>90</v>
      </c>
      <c r="O57" s="67"/>
    </row>
    <row r="58" spans="1:15" s="12" customFormat="1" x14ac:dyDescent="0.2">
      <c r="A58" s="222">
        <v>45980</v>
      </c>
      <c r="B58" s="223" t="s">
        <v>458</v>
      </c>
      <c r="C58" s="30" t="s">
        <v>152</v>
      </c>
      <c r="D58" s="26" t="s">
        <v>182</v>
      </c>
      <c r="E58" s="26" t="s">
        <v>483</v>
      </c>
      <c r="F58" s="26" t="s">
        <v>155</v>
      </c>
      <c r="G58" s="53" t="s">
        <v>367</v>
      </c>
      <c r="H58" s="44">
        <v>4</v>
      </c>
      <c r="I58" s="226" cm="1">
        <f t="array" ref="I58">IFERROR(
  VALUE($H58) *
  VALUE(
    _xlfn.XLOOKUP(
      TRIM($F58) &amp; "|" &amp; LEFT(SUBSTITUTE($G58,CHAR(160)," "),5) &amp; "|Full Rate",
      TRIM(SUBSTITUTE($T$2:$T$38,CHAR(160)," ")) &amp; "|" &amp;
      LEFT(SUBSTITUTE($U$2:$U$38,CHAR(160)," "),5) &amp; "|" &amp;
      TRIM(SUBSTITUTE($V$2:$V$38,CHAR(160)," ")),
      $W$2:$W$38
    )
  ),
"")</f>
        <v>1600</v>
      </c>
      <c r="J58" s="227" cm="1">
        <f t="array" ref="J58">IFERROR(
  VALUE($H58) *
  VALUE(
    _xlfn.XLOOKUP(
      TRIM($F58) &amp; "|" &amp; LEFT(SUBSTITUTE($G58,CHAR(160)," "),5) &amp; "|Reduced Rate",
      TRIM(SUBSTITUTE($T$2:$T$38,CHAR(160)," ")) &amp; "|" &amp;
      LEFT(SUBSTITUTE($U$2:$U$38,CHAR(160)," "),5) &amp; "|" &amp;
      TRIM(SUBSTITUTE($V$2:$V$38,CHAR(160)," ")),
      $W$2:$W$38
    )
  ),
"")</f>
        <v>800</v>
      </c>
      <c r="K58" s="228" cm="1">
        <f t="array" ref="K58">IFERROR(
  VALUE($H58) *
  VALUE(
    _xlfn.XLOOKUP(
      TRIM($F58) &amp; "|" &amp; LEFT(SUBSTITUTE($G58,CHAR(160)," "),5) &amp; "|Ideas Rate",
      TRIM(SUBSTITUTE($T$2:$T$38,CHAR(160)," ")) &amp; "|" &amp;
      LEFT(SUBSTITUTE($U$2:$U$38,CHAR(160)," "),5) &amp; "|" &amp;
      TRIM(SUBSTITUTE($V$2:$V$38,CHAR(160)," ")),
      $W$2:$W$38
    )
  ),
"")</f>
        <v>480</v>
      </c>
      <c r="O58" s="67"/>
    </row>
    <row r="59" spans="1:15" s="12" customFormat="1" x14ac:dyDescent="0.2">
      <c r="A59" s="222">
        <v>45980</v>
      </c>
      <c r="B59" s="223" t="s">
        <v>458</v>
      </c>
      <c r="C59" s="30" t="s">
        <v>152</v>
      </c>
      <c r="D59" s="26" t="s">
        <v>192</v>
      </c>
      <c r="E59" s="26" t="s">
        <v>484</v>
      </c>
      <c r="F59" s="26" t="s">
        <v>155</v>
      </c>
      <c r="G59" s="53" t="s">
        <v>368</v>
      </c>
      <c r="H59" s="44">
        <v>0.5</v>
      </c>
      <c r="I59" s="226" cm="1">
        <f t="array" ref="I59">IFERROR(
  VALUE($H59) *
  VALUE(
    _xlfn.XLOOKUP(
      TRIM($F59) &amp; "|" &amp; LEFT(SUBSTITUTE($G59,CHAR(160)," "),5) &amp; "|Full Rate",
      TRIM(SUBSTITUTE($T$2:$T$38,CHAR(160)," ")) &amp; "|" &amp;
      LEFT(SUBSTITUTE($U$2:$U$38,CHAR(160)," "),5) &amp; "|" &amp;
      TRIM(SUBSTITUTE($V$2:$V$38,CHAR(160)," ")),
      $W$2:$W$38
    )
  ),
"")</f>
        <v>50</v>
      </c>
      <c r="J59" s="227" cm="1">
        <f t="array" ref="J59">IFERROR(
  VALUE($H59) *
  VALUE(
    _xlfn.XLOOKUP(
      TRIM($F59) &amp; "|" &amp; LEFT(SUBSTITUTE($G59,CHAR(160)," "),5) &amp; "|Reduced Rate",
      TRIM(SUBSTITUTE($T$2:$T$38,CHAR(160)," ")) &amp; "|" &amp;
      LEFT(SUBSTITUTE($U$2:$U$38,CHAR(160)," "),5) &amp; "|" &amp;
      TRIM(SUBSTITUTE($V$2:$V$38,CHAR(160)," ")),
      $W$2:$W$38
    )
  ),
"")</f>
        <v>25</v>
      </c>
      <c r="K59" s="228" cm="1">
        <f t="array" ref="K59">IFERROR(
  VALUE($H59) *
  VALUE(
    _xlfn.XLOOKUP(
      TRIM($F59) &amp; "|" &amp; LEFT(SUBSTITUTE($G59,CHAR(160)," "),5) &amp; "|Ideas Rate",
      TRIM(SUBSTITUTE($T$2:$T$38,CHAR(160)," ")) &amp; "|" &amp;
      LEFT(SUBSTITUTE($U$2:$U$38,CHAR(160)," "),5) &amp; "|" &amp;
      TRIM(SUBSTITUTE($V$2:$V$38,CHAR(160)," ")),
      $W$2:$W$38
    )
  ),
"")</f>
        <v>15</v>
      </c>
      <c r="O59" s="67"/>
    </row>
    <row r="60" spans="1:15" x14ac:dyDescent="0.2">
      <c r="A60" s="10">
        <v>45980</v>
      </c>
      <c r="B60" s="5" t="s">
        <v>437</v>
      </c>
      <c r="C60" s="20" t="s">
        <v>486</v>
      </c>
      <c r="D60" t="s">
        <v>184</v>
      </c>
      <c r="E60" t="s">
        <v>487</v>
      </c>
      <c r="F60" t="s">
        <v>156</v>
      </c>
      <c r="G60" t="s">
        <v>367</v>
      </c>
      <c r="H60" s="22">
        <v>4.5</v>
      </c>
      <c r="I60" s="160" cm="1">
        <f t="array" ref="I60">IFERROR(
  VALUE($H60) *
  VALUE(
    _xlfn.XLOOKUP(
      TRIM($F60) &amp; "|" &amp; LEFT(SUBSTITUTE($G60,CHAR(160)," "),5) &amp; "|Full Rate",
      TRIM(SUBSTITUTE($T$2:$T$38,CHAR(160)," ")) &amp; "|" &amp;
      LEFT(SUBSTITUTE($U$2:$U$38,CHAR(160)," "),5) &amp; "|" &amp;
      TRIM(SUBSTITUTE($V$2:$V$38,CHAR(160)," ")),
      $W$2:$W$38
    )
  ),
"")</f>
        <v>1462.5</v>
      </c>
      <c r="J60" s="161" cm="1">
        <f t="array" ref="J60">IFERROR(
  VALUE($H60) *
  VALUE(
    _xlfn.XLOOKUP(
      TRIM($F60) &amp; "|" &amp; LEFT(SUBSTITUTE($G60,CHAR(160)," "),5) &amp; "|Reduced Rate",
      TRIM(SUBSTITUTE($T$2:$T$38,CHAR(160)," ")) &amp; "|" &amp;
      LEFT(SUBSTITUTE($U$2:$U$38,CHAR(160)," "),5) &amp; "|" &amp;
      TRIM(SUBSTITUTE($V$2:$V$38,CHAR(160)," ")),
      $W$2:$W$38
    )
  ),
"")</f>
        <v>787.5</v>
      </c>
      <c r="K60" s="42" cm="1">
        <f t="array" ref="K60">IFERROR(
  VALUE($H60) *
  VALUE(
    _xlfn.XLOOKUP(
      TRIM($F60) &amp; "|" &amp; LEFT(SUBSTITUTE($G60,CHAR(160)," "),5) &amp; "|Ideas Rate",
      TRIM(SUBSTITUTE($T$2:$T$38,CHAR(160)," ")) &amp; "|" &amp;
      LEFT(SUBSTITUTE($U$2:$U$38,CHAR(160)," "),5) &amp; "|" &amp;
      TRIM(SUBSTITUTE($V$2:$V$38,CHAR(160)," ")),
      $W$2:$W$38
    )
  ),
"")</f>
        <v>427.5</v>
      </c>
    </row>
    <row r="61" spans="1:15" x14ac:dyDescent="0.2">
      <c r="A61" s="10">
        <v>45981</v>
      </c>
      <c r="B61" s="5" t="s">
        <v>437</v>
      </c>
      <c r="C61" s="20" t="s">
        <v>486</v>
      </c>
      <c r="D61" t="s">
        <v>184</v>
      </c>
      <c r="E61" t="s">
        <v>488</v>
      </c>
      <c r="F61" t="s">
        <v>10</v>
      </c>
      <c r="G61" t="s">
        <v>367</v>
      </c>
      <c r="H61" s="22">
        <v>7</v>
      </c>
      <c r="I61" s="160" cm="1">
        <f t="array" ref="I61">IFERROR(
  VALUE($H61) *
  VALUE(
    _xlfn.XLOOKUP(
      TRIM($F61) &amp; "|" &amp; LEFT(SUBSTITUTE($G61,CHAR(160)," "),5) &amp; "|Full Rate",
      TRIM(SUBSTITUTE($T$2:$T$38,CHAR(160)," ")) &amp; "|" &amp;
      LEFT(SUBSTITUTE($U$2:$U$38,CHAR(160)," "),5) &amp; "|" &amp;
      TRIM(SUBSTITUTE($V$2:$V$38,CHAR(160)," ")),
      $W$2:$W$38
    )
  ),
"")</f>
        <v>3500</v>
      </c>
      <c r="J61" s="161" cm="1">
        <f t="array" ref="J61">IFERROR(
  VALUE($H61) *
  VALUE(
    _xlfn.XLOOKUP(
      TRIM($F61) &amp; "|" &amp; LEFT(SUBSTITUTE($G61,CHAR(160)," "),5) &amp; "|Reduced Rate",
      TRIM(SUBSTITUTE($T$2:$T$38,CHAR(160)," ")) &amp; "|" &amp;
      LEFT(SUBSTITUTE($U$2:$U$38,CHAR(160)," "),5) &amp; "|" &amp;
      TRIM(SUBSTITUTE($V$2:$V$38,CHAR(160)," ")),
      $W$2:$W$38
    )
  ),
"")</f>
        <v>2100</v>
      </c>
      <c r="K61" s="42" cm="1">
        <f t="array" ref="K61">IFERROR(
  VALUE($H61) *
  VALUE(
    _xlfn.XLOOKUP(
      TRIM($F61) &amp; "|" &amp; LEFT(SUBSTITUTE($G61,CHAR(160)," "),5) &amp; "|Ideas Rate",
      TRIM(SUBSTITUTE($T$2:$T$38,CHAR(160)," ")) &amp; "|" &amp;
      LEFT(SUBSTITUTE($U$2:$U$38,CHAR(160)," "),5) &amp; "|" &amp;
      TRIM(SUBSTITUTE($V$2:$V$38,CHAR(160)," ")),
      $W$2:$W$38
    )
  ),
"")</f>
        <v>1050</v>
      </c>
    </row>
    <row r="62" spans="1:15" x14ac:dyDescent="0.2">
      <c r="A62" s="10">
        <v>45981</v>
      </c>
      <c r="B62" s="5" t="s">
        <v>437</v>
      </c>
      <c r="C62" s="20" t="s">
        <v>486</v>
      </c>
      <c r="D62" t="s">
        <v>323</v>
      </c>
      <c r="E62" t="s">
        <v>489</v>
      </c>
      <c r="F62" t="s">
        <v>10</v>
      </c>
      <c r="G62" t="s">
        <v>368</v>
      </c>
      <c r="H62" s="22">
        <v>6</v>
      </c>
      <c r="I62" s="160" cm="1">
        <f t="array" ref="I62">IFERROR(
  VALUE($H62) *
  VALUE(
    _xlfn.XLOOKUP(
      TRIM($F62) &amp; "|" &amp; LEFT(SUBSTITUTE($G62,CHAR(160)," "),5) &amp; "|Full Rate",
      TRIM(SUBSTITUTE($T$2:$T$38,CHAR(160)," ")) &amp; "|" &amp;
      LEFT(SUBSTITUTE($U$2:$U$38,CHAR(160)," "),5) &amp; "|" &amp;
      TRIM(SUBSTITUTE($V$2:$V$38,CHAR(160)," ")),
      $W$2:$W$38
    )
  ),
"")</f>
        <v>600</v>
      </c>
      <c r="J62" s="161" cm="1">
        <f t="array" ref="J62">IFERROR(
  VALUE($H62) *
  VALUE(
    _xlfn.XLOOKUP(
      TRIM($F62) &amp; "|" &amp; LEFT(SUBSTITUTE($G62,CHAR(160)," "),5) &amp; "|Reduced Rate",
      TRIM(SUBSTITUTE($T$2:$T$38,CHAR(160)," ")) &amp; "|" &amp;
      LEFT(SUBSTITUTE($U$2:$U$38,CHAR(160)," "),5) &amp; "|" &amp;
      TRIM(SUBSTITUTE($V$2:$V$38,CHAR(160)," ")),
      $W$2:$W$38
    )
  ),
"")</f>
        <v>300</v>
      </c>
      <c r="K62" s="42" cm="1">
        <f t="array" ref="K62">IFERROR(
  VALUE($H62) *
  VALUE(
    _xlfn.XLOOKUP(
      TRIM($F62) &amp; "|" &amp; LEFT(SUBSTITUTE($G62,CHAR(160)," "),5) &amp; "|Ideas Rate",
      TRIM(SUBSTITUTE($T$2:$T$38,CHAR(160)," ")) &amp; "|" &amp;
      LEFT(SUBSTITUTE($U$2:$U$38,CHAR(160)," "),5) &amp; "|" &amp;
      TRIM(SUBSTITUTE($V$2:$V$38,CHAR(160)," ")),
      $W$2:$W$38
    )
  ),
"")</f>
        <v>180</v>
      </c>
    </row>
    <row r="63" spans="1:15" x14ac:dyDescent="0.2">
      <c r="A63" s="10">
        <v>45981</v>
      </c>
      <c r="B63" s="5" t="s">
        <v>437</v>
      </c>
      <c r="C63" s="20" t="s">
        <v>486</v>
      </c>
      <c r="D63" t="s">
        <v>184</v>
      </c>
      <c r="E63" t="s">
        <v>488</v>
      </c>
      <c r="F63" t="s">
        <v>9</v>
      </c>
      <c r="G63" t="s">
        <v>367</v>
      </c>
      <c r="H63" s="22">
        <v>7</v>
      </c>
      <c r="I63" s="160" cm="1">
        <f t="array" ref="I63">IFERROR(
  VALUE($H63) *
  VALUE(
    _xlfn.XLOOKUP(
      TRIM($F63) &amp; "|" &amp; LEFT(SUBSTITUTE($G63,CHAR(160)," "),5) &amp; "|Full Rate",
      TRIM(SUBSTITUTE($T$2:$T$38,CHAR(160)," ")) &amp; "|" &amp;
      LEFT(SUBSTITUTE($U$2:$U$38,CHAR(160)," "),5) &amp; "|" &amp;
      TRIM(SUBSTITUTE($V$2:$V$38,CHAR(160)," ")),
      $W$2:$W$38
    )
  ),
"")</f>
        <v>3500</v>
      </c>
      <c r="J63" s="161" cm="1">
        <f t="array" ref="J63">IFERROR(
  VALUE($H63) *
  VALUE(
    _xlfn.XLOOKUP(
      TRIM($F63) &amp; "|" &amp; LEFT(SUBSTITUTE($G63,CHAR(160)," "),5) &amp; "|Reduced Rate",
      TRIM(SUBSTITUTE($T$2:$T$38,CHAR(160)," ")) &amp; "|" &amp;
      LEFT(SUBSTITUTE($U$2:$U$38,CHAR(160)," "),5) &amp; "|" &amp;
      TRIM(SUBSTITUTE($V$2:$V$38,CHAR(160)," ")),
      $W$2:$W$38
    )
  ),
"")</f>
        <v>2100</v>
      </c>
      <c r="K63" s="42" cm="1">
        <f t="array" ref="K63">IFERROR(
  VALUE($H63) *
  VALUE(
    _xlfn.XLOOKUP(
      TRIM($F63) &amp; "|" &amp; LEFT(SUBSTITUTE($G63,CHAR(160)," "),5) &amp; "|Ideas Rate",
      TRIM(SUBSTITUTE($T$2:$T$38,CHAR(160)," ")) &amp; "|" &amp;
      LEFT(SUBSTITUTE($U$2:$U$38,CHAR(160)," "),5) &amp; "|" &amp;
      TRIM(SUBSTITUTE($V$2:$V$38,CHAR(160)," ")),
      $W$2:$W$38
    )
  ),
"")</f>
        <v>1050</v>
      </c>
    </row>
    <row r="64" spans="1:15" x14ac:dyDescent="0.2">
      <c r="A64" s="10">
        <v>45981</v>
      </c>
      <c r="B64" s="5" t="s">
        <v>437</v>
      </c>
      <c r="C64" s="20" t="s">
        <v>486</v>
      </c>
      <c r="D64" t="s">
        <v>323</v>
      </c>
      <c r="E64" t="s">
        <v>489</v>
      </c>
      <c r="F64" t="s">
        <v>9</v>
      </c>
      <c r="G64" t="s">
        <v>368</v>
      </c>
      <c r="H64" s="22">
        <v>6</v>
      </c>
      <c r="I64" s="160" cm="1">
        <f t="array" ref="I64">IFERROR(
  VALUE($H64) *
  VALUE(
    _xlfn.XLOOKUP(
      TRIM($F64) &amp; "|" &amp; LEFT(SUBSTITUTE($G64,CHAR(160)," "),5) &amp; "|Full Rate",
      TRIM(SUBSTITUTE($T$2:$T$38,CHAR(160)," ")) &amp; "|" &amp;
      LEFT(SUBSTITUTE($U$2:$U$38,CHAR(160)," "),5) &amp; "|" &amp;
      TRIM(SUBSTITUTE($V$2:$V$38,CHAR(160)," ")),
      $W$2:$W$38
    )
  ),
"")</f>
        <v>600</v>
      </c>
      <c r="J64" s="161" cm="1">
        <f t="array" ref="J64">IFERROR(
  VALUE($H64) *
  VALUE(
    _xlfn.XLOOKUP(
      TRIM($F64) &amp; "|" &amp; LEFT(SUBSTITUTE($G64,CHAR(160)," "),5) &amp; "|Reduced Rate",
      TRIM(SUBSTITUTE($T$2:$T$38,CHAR(160)," ")) &amp; "|" &amp;
      LEFT(SUBSTITUTE($U$2:$U$38,CHAR(160)," "),5) &amp; "|" &amp;
      TRIM(SUBSTITUTE($V$2:$V$38,CHAR(160)," ")),
      $W$2:$W$38
    )
  ),
"")</f>
        <v>300</v>
      </c>
      <c r="K64" s="42" cm="1">
        <f t="array" ref="K64">IFERROR(
  VALUE($H64) *
  VALUE(
    _xlfn.XLOOKUP(
      TRIM($F64) &amp; "|" &amp; LEFT(SUBSTITUTE($G64,CHAR(160)," "),5) &amp; "|Ideas Rate",
      TRIM(SUBSTITUTE($T$2:$T$38,CHAR(160)," ")) &amp; "|" &amp;
      LEFT(SUBSTITUTE($U$2:$U$38,CHAR(160)," "),5) &amp; "|" &amp;
      TRIM(SUBSTITUTE($V$2:$V$38,CHAR(160)," ")),
      $W$2:$W$38
    )
  ),
"")</f>
        <v>180</v>
      </c>
    </row>
    <row r="65" spans="1:15" x14ac:dyDescent="0.2">
      <c r="A65" s="10">
        <v>45981</v>
      </c>
      <c r="B65" s="5" t="s">
        <v>437</v>
      </c>
      <c r="C65" s="20" t="s">
        <v>486</v>
      </c>
      <c r="D65" t="s">
        <v>184</v>
      </c>
      <c r="E65" t="s">
        <v>488</v>
      </c>
      <c r="F65" t="s">
        <v>156</v>
      </c>
      <c r="G65" t="s">
        <v>367</v>
      </c>
      <c r="H65" s="22">
        <v>7</v>
      </c>
      <c r="I65" s="160" cm="1">
        <f t="array" ref="I65">IFERROR(
  VALUE($H65) *
  VALUE(
    _xlfn.XLOOKUP(
      TRIM($F65) &amp; "|" &amp; LEFT(SUBSTITUTE($G65,CHAR(160)," "),5) &amp; "|Full Rate",
      TRIM(SUBSTITUTE($T$2:$T$38,CHAR(160)," ")) &amp; "|" &amp;
      LEFT(SUBSTITUTE($U$2:$U$38,CHAR(160)," "),5) &amp; "|" &amp;
      TRIM(SUBSTITUTE($V$2:$V$38,CHAR(160)," ")),
      $W$2:$W$38
    )
  ),
"")</f>
        <v>2275</v>
      </c>
      <c r="J65" s="161" cm="1">
        <f t="array" ref="J65">IFERROR(
  VALUE($H65) *
  VALUE(
    _xlfn.XLOOKUP(
      TRIM($F65) &amp; "|" &amp; LEFT(SUBSTITUTE($G65,CHAR(160)," "),5) &amp; "|Reduced Rate",
      TRIM(SUBSTITUTE($T$2:$T$38,CHAR(160)," ")) &amp; "|" &amp;
      LEFT(SUBSTITUTE($U$2:$U$38,CHAR(160)," "),5) &amp; "|" &amp;
      TRIM(SUBSTITUTE($V$2:$V$38,CHAR(160)," ")),
      $W$2:$W$38
    )
  ),
"")</f>
        <v>1225</v>
      </c>
      <c r="K65" s="42" cm="1">
        <f t="array" ref="K65">IFERROR(
  VALUE($H65) *
  VALUE(
    _xlfn.XLOOKUP(
      TRIM($F65) &amp; "|" &amp; LEFT(SUBSTITUTE($G65,CHAR(160)," "),5) &amp; "|Ideas Rate",
      TRIM(SUBSTITUTE($T$2:$T$38,CHAR(160)," ")) &amp; "|" &amp;
      LEFT(SUBSTITUTE($U$2:$U$38,CHAR(160)," "),5) &amp; "|" &amp;
      TRIM(SUBSTITUTE($V$2:$V$38,CHAR(160)," ")),
      $W$2:$W$38
    )
  ),
"")</f>
        <v>665</v>
      </c>
    </row>
    <row r="66" spans="1:15" x14ac:dyDescent="0.2">
      <c r="A66" s="10">
        <v>45981</v>
      </c>
      <c r="B66" s="5" t="s">
        <v>437</v>
      </c>
      <c r="C66" s="20" t="s">
        <v>486</v>
      </c>
      <c r="D66" t="s">
        <v>323</v>
      </c>
      <c r="E66" t="s">
        <v>489</v>
      </c>
      <c r="F66" t="s">
        <v>156</v>
      </c>
      <c r="G66" t="s">
        <v>368</v>
      </c>
      <c r="H66" s="22">
        <v>6</v>
      </c>
      <c r="I66" s="160" cm="1">
        <f t="array" ref="I66">IFERROR(
  VALUE($H66) *
  VALUE(
    _xlfn.XLOOKUP(
      TRIM($F66) &amp; "|" &amp; LEFT(SUBSTITUTE($G66,CHAR(160)," "),5) &amp; "|Full Rate",
      TRIM(SUBSTITUTE($T$2:$T$38,CHAR(160)," ")) &amp; "|" &amp;
      LEFT(SUBSTITUTE($U$2:$U$38,CHAR(160)," "),5) &amp; "|" &amp;
      TRIM(SUBSTITUTE($V$2:$V$38,CHAR(160)," ")),
      $W$2:$W$38
    )
  ),
"")</f>
        <v>600</v>
      </c>
      <c r="J66" s="161" cm="1">
        <f t="array" ref="J66">IFERROR(
  VALUE($H66) *
  VALUE(
    _xlfn.XLOOKUP(
      TRIM($F66) &amp; "|" &amp; LEFT(SUBSTITUTE($G66,CHAR(160)," "),5) &amp; "|Reduced Rate",
      TRIM(SUBSTITUTE($T$2:$T$38,CHAR(160)," ")) &amp; "|" &amp;
      LEFT(SUBSTITUTE($U$2:$U$38,CHAR(160)," "),5) &amp; "|" &amp;
      TRIM(SUBSTITUTE($V$2:$V$38,CHAR(160)," ")),
      $W$2:$W$38
    )
  ),
"")</f>
        <v>300</v>
      </c>
      <c r="K66" s="42" cm="1">
        <f t="array" ref="K66">IFERROR(
  VALUE($H66) *
  VALUE(
    _xlfn.XLOOKUP(
      TRIM($F66) &amp; "|" &amp; LEFT(SUBSTITUTE($G66,CHAR(160)," "),5) &amp; "|Ideas Rate",
      TRIM(SUBSTITUTE($T$2:$T$38,CHAR(160)," ")) &amp; "|" &amp;
      LEFT(SUBSTITUTE($U$2:$U$38,CHAR(160)," "),5) &amp; "|" &amp;
      TRIM(SUBSTITUTE($V$2:$V$38,CHAR(160)," ")),
      $W$2:$W$38
    )
  ),
"")</f>
        <v>180</v>
      </c>
    </row>
    <row r="67" spans="1:15" x14ac:dyDescent="0.2">
      <c r="A67" s="21">
        <v>45980</v>
      </c>
      <c r="B67" s="28" t="s">
        <v>458</v>
      </c>
      <c r="C67" s="31" t="s">
        <v>152</v>
      </c>
      <c r="D67" s="18" t="s">
        <v>178</v>
      </c>
      <c r="E67" s="18" t="s">
        <v>485</v>
      </c>
      <c r="F67" s="18" t="s">
        <v>155</v>
      </c>
      <c r="G67" s="22" t="s">
        <v>380</v>
      </c>
      <c r="H67" s="45">
        <v>0.5</v>
      </c>
      <c r="I67" s="160" cm="1">
        <f t="array" ref="I67">IFERROR(
  VALUE($H67) *
  VALUE(
    _xlfn.XLOOKUP(
      TRIM($F67) &amp; "|" &amp; LEFT(SUBSTITUTE($G67,CHAR(160)," "),5) &amp; "|Full Rate",
      TRIM(SUBSTITUTE($T$2:$T$38,CHAR(160)," ")) &amp; "|" &amp;
      LEFT(SUBSTITUTE($U$2:$U$38,CHAR(160)," "),5) &amp; "|" &amp;
      TRIM(SUBSTITUTE($V$2:$V$38,CHAR(160)," ")),
      $W$2:$W$38
    )
  ),
"")</f>
        <v>130</v>
      </c>
      <c r="J67" s="161" cm="1">
        <f t="array" ref="J67">IFERROR(
  VALUE($H67) *
  VALUE(
    _xlfn.XLOOKUP(
      TRIM($F67) &amp; "|" &amp; LEFT(SUBSTITUTE($G67,CHAR(160)," "),5) &amp; "|Reduced Rate",
      TRIM(SUBSTITUTE($T$2:$T$38,CHAR(160)," ")) &amp; "|" &amp;
      LEFT(SUBSTITUTE($U$2:$U$38,CHAR(160)," "),5) &amp; "|" &amp;
      TRIM(SUBSTITUTE($V$2:$V$38,CHAR(160)," ")),
      $W$2:$W$38
    )
  ),
"")</f>
        <v>60</v>
      </c>
      <c r="K67" s="42" cm="1">
        <f t="array" ref="K67">IFERROR(
  VALUE($H67) *
  VALUE(
    _xlfn.XLOOKUP(
      TRIM($F67) &amp; "|" &amp; LEFT(SUBSTITUTE($G67,CHAR(160)," "),5) &amp; "|Ideas Rate",
      TRIM(SUBSTITUTE($T$2:$T$38,CHAR(160)," ")) &amp; "|" &amp;
      LEFT(SUBSTITUTE($U$2:$U$38,CHAR(160)," "),5) &amp; "|" &amp;
      TRIM(SUBSTITUTE($V$2:$V$38,CHAR(160)," ")),
      $W$2:$W$38
    )
  ),
"")</f>
        <v>45</v>
      </c>
    </row>
    <row r="68" spans="1:15" s="12" customFormat="1" x14ac:dyDescent="0.2">
      <c r="A68" s="222">
        <v>45981</v>
      </c>
      <c r="B68" s="223" t="s">
        <v>458</v>
      </c>
      <c r="C68" s="224" t="s">
        <v>152</v>
      </c>
      <c r="D68" s="26" t="s">
        <v>182</v>
      </c>
      <c r="E68" s="26" t="s">
        <v>492</v>
      </c>
      <c r="F68" s="26" t="s">
        <v>155</v>
      </c>
      <c r="G68" s="53" t="s">
        <v>367</v>
      </c>
      <c r="H68" s="44">
        <v>5</v>
      </c>
      <c r="I68" s="226" cm="1">
        <f t="array" ref="I68">IFERROR(
  VALUE($H68) *
  VALUE(
    _xlfn.XLOOKUP(
      TRIM($F68) &amp; "|" &amp; LEFT(SUBSTITUTE($G68,CHAR(160)," "),5) &amp; "|Full Rate",
      TRIM(SUBSTITUTE($T$2:$T$38,CHAR(160)," ")) &amp; "|" &amp;
      LEFT(SUBSTITUTE($U$2:$U$38,CHAR(160)," "),5) &amp; "|" &amp;
      TRIM(SUBSTITUTE($V$2:$V$38,CHAR(160)," ")),
      $W$2:$W$38
    )
  ),
"")</f>
        <v>2000</v>
      </c>
      <c r="J68" s="227" cm="1">
        <f t="array" ref="J68">IFERROR(
  VALUE($H68) *
  VALUE(
    _xlfn.XLOOKUP(
      TRIM($F68) &amp; "|" &amp; LEFT(SUBSTITUTE($G68,CHAR(160)," "),5) &amp; "|Reduced Rate",
      TRIM(SUBSTITUTE($T$2:$T$38,CHAR(160)," ")) &amp; "|" &amp;
      LEFT(SUBSTITUTE($U$2:$U$38,CHAR(160)," "),5) &amp; "|" &amp;
      TRIM(SUBSTITUTE($V$2:$V$38,CHAR(160)," ")),
      $W$2:$W$38
    )
  ),
"")</f>
        <v>1000</v>
      </c>
      <c r="K68" s="228" cm="1">
        <f t="array" ref="K68">IFERROR(
  VALUE($H68) *
  VALUE(
    _xlfn.XLOOKUP(
      TRIM($F68) &amp; "|" &amp; LEFT(SUBSTITUTE($G68,CHAR(160)," "),5) &amp; "|Ideas Rate",
      TRIM(SUBSTITUTE($T$2:$T$38,CHAR(160)," ")) &amp; "|" &amp;
      LEFT(SUBSTITUTE($U$2:$U$38,CHAR(160)," "),5) &amp; "|" &amp;
      TRIM(SUBSTITUTE($V$2:$V$38,CHAR(160)," ")),
      $W$2:$W$38
    )
  ),
"")</f>
        <v>600</v>
      </c>
      <c r="O68" s="67"/>
    </row>
    <row r="69" spans="1:15" s="12" customFormat="1" x14ac:dyDescent="0.2">
      <c r="A69" s="222">
        <v>45982</v>
      </c>
      <c r="B69" s="223" t="s">
        <v>458</v>
      </c>
      <c r="C69" s="224" t="s">
        <v>152</v>
      </c>
      <c r="D69" s="26" t="s">
        <v>182</v>
      </c>
      <c r="E69" s="26" t="s">
        <v>483</v>
      </c>
      <c r="F69" s="26" t="s">
        <v>155</v>
      </c>
      <c r="G69" s="53" t="s">
        <v>367</v>
      </c>
      <c r="H69" s="44">
        <v>4</v>
      </c>
      <c r="I69" s="226" cm="1">
        <f t="array" ref="I69">IFERROR(
  VALUE($H69) *
  VALUE(
    _xlfn.XLOOKUP(
      TRIM($F69) &amp; "|" &amp; LEFT(SUBSTITUTE($G69,CHAR(160)," "),5) &amp; "|Full Rate",
      TRIM(SUBSTITUTE($T$2:$T$38,CHAR(160)," ")) &amp; "|" &amp;
      LEFT(SUBSTITUTE($U$2:$U$38,CHAR(160)," "),5) &amp; "|" &amp;
      TRIM(SUBSTITUTE($V$2:$V$38,CHAR(160)," ")),
      $W$2:$W$38
    )
  ),
"")</f>
        <v>1600</v>
      </c>
      <c r="J69" s="227" cm="1">
        <f t="array" ref="J69">IFERROR(
  VALUE($H69) *
  VALUE(
    _xlfn.XLOOKUP(
      TRIM($F69) &amp; "|" &amp; LEFT(SUBSTITUTE($G69,CHAR(160)," "),5) &amp; "|Reduced Rate",
      TRIM(SUBSTITUTE($T$2:$T$38,CHAR(160)," ")) &amp; "|" &amp;
      LEFT(SUBSTITUTE($U$2:$U$38,CHAR(160)," "),5) &amp; "|" &amp;
      TRIM(SUBSTITUTE($V$2:$V$38,CHAR(160)," ")),
      $W$2:$W$38
    )
  ),
"")</f>
        <v>800</v>
      </c>
      <c r="K69" s="228" cm="1">
        <f t="array" ref="K69">IFERROR(
  VALUE($H69) *
  VALUE(
    _xlfn.XLOOKUP(
      TRIM($F69) &amp; "|" &amp; LEFT(SUBSTITUTE($G69,CHAR(160)," "),5) &amp; "|Ideas Rate",
      TRIM(SUBSTITUTE($T$2:$T$38,CHAR(160)," ")) &amp; "|" &amp;
      LEFT(SUBSTITUTE($U$2:$U$38,CHAR(160)," "),5) &amp; "|" &amp;
      TRIM(SUBSTITUTE($V$2:$V$38,CHAR(160)," ")),
      $W$2:$W$38
    )
  ),
"")</f>
        <v>480</v>
      </c>
      <c r="O69" s="67"/>
    </row>
    <row r="70" spans="1:15" s="12" customFormat="1" x14ac:dyDescent="0.2">
      <c r="A70" s="222">
        <v>45985</v>
      </c>
      <c r="B70" s="223" t="s">
        <v>458</v>
      </c>
      <c r="C70" s="224" t="s">
        <v>152</v>
      </c>
      <c r="D70" s="26" t="s">
        <v>182</v>
      </c>
      <c r="E70" s="26" t="s">
        <v>483</v>
      </c>
      <c r="F70" s="26" t="s">
        <v>155</v>
      </c>
      <c r="G70" s="53" t="s">
        <v>367</v>
      </c>
      <c r="H70" s="44">
        <v>5.5</v>
      </c>
      <c r="I70" s="226" cm="1">
        <f t="array" ref="I70">IFERROR(
  VALUE($H70) *
  VALUE(
    _xlfn.XLOOKUP(
      TRIM($F70) &amp; "|" &amp; LEFT(SUBSTITUTE($G70,CHAR(160)," "),5) &amp; "|Full Rate",
      TRIM(SUBSTITUTE($T$2:$T$38,CHAR(160)," ")) &amp; "|" &amp;
      LEFT(SUBSTITUTE($U$2:$U$38,CHAR(160)," "),5) &amp; "|" &amp;
      TRIM(SUBSTITUTE($V$2:$V$38,CHAR(160)," ")),
      $W$2:$W$38
    )
  ),
"")</f>
        <v>2200</v>
      </c>
      <c r="J70" s="227" cm="1">
        <f t="array" ref="J70">IFERROR(
  VALUE($H70) *
  VALUE(
    _xlfn.XLOOKUP(
      TRIM($F70) &amp; "|" &amp; LEFT(SUBSTITUTE($G70,CHAR(160)," "),5) &amp; "|Reduced Rate",
      TRIM(SUBSTITUTE($T$2:$T$38,CHAR(160)," ")) &amp; "|" &amp;
      LEFT(SUBSTITUTE($U$2:$U$38,CHAR(160)," "),5) &amp; "|" &amp;
      TRIM(SUBSTITUTE($V$2:$V$38,CHAR(160)," ")),
      $W$2:$W$38
    )
  ),
"")</f>
        <v>1100</v>
      </c>
      <c r="K70" s="228" cm="1">
        <f t="array" ref="K70">IFERROR(
  VALUE($H70) *
  VALUE(
    _xlfn.XLOOKUP(
      TRIM($F70) &amp; "|" &amp; LEFT(SUBSTITUTE($G70,CHAR(160)," "),5) &amp; "|Ideas Rate",
      TRIM(SUBSTITUTE($T$2:$T$38,CHAR(160)," ")) &amp; "|" &amp;
      LEFT(SUBSTITUTE($U$2:$U$38,CHAR(160)," "),5) &amp; "|" &amp;
      TRIM(SUBSTITUTE($V$2:$V$38,CHAR(160)," ")),
      $W$2:$W$38
    )
  ),
"")</f>
        <v>660</v>
      </c>
      <c r="O70" s="67"/>
    </row>
    <row r="71" spans="1:15" s="12" customFormat="1" x14ac:dyDescent="0.2">
      <c r="A71" s="232">
        <v>45985</v>
      </c>
      <c r="B71" s="233" t="s">
        <v>458</v>
      </c>
      <c r="C71" s="234" t="s">
        <v>152</v>
      </c>
      <c r="D71" s="238" t="s">
        <v>190</v>
      </c>
      <c r="E71" s="238" t="s">
        <v>573</v>
      </c>
      <c r="F71" s="238" t="s">
        <v>9</v>
      </c>
      <c r="G71" s="236" t="s">
        <v>367</v>
      </c>
      <c r="H71" s="239">
        <v>8</v>
      </c>
      <c r="I71" s="226" cm="1">
        <f t="array" ref="I71">IFERROR(
  VALUE($H71) *
  VALUE(
    _xlfn.XLOOKUP(
      TRIM($F71) &amp; "|" &amp; LEFT(SUBSTITUTE($G71,CHAR(160)," "),5) &amp; "|Full Rate",
      TRIM(SUBSTITUTE($T$2:$T$38,CHAR(160)," ")) &amp; "|" &amp;
      LEFT(SUBSTITUTE($U$2:$U$38,CHAR(160)," "),5) &amp; "|" &amp;
      TRIM(SUBSTITUTE($V$2:$V$38,CHAR(160)," ")),
      $W$2:$W$38
    )
  ),
"")</f>
        <v>4000</v>
      </c>
      <c r="J71" s="227" cm="1">
        <f t="array" ref="J71">IFERROR(
  VALUE($H71) *
  VALUE(
    _xlfn.XLOOKUP(
      TRIM($F71) &amp; "|" &amp; LEFT(SUBSTITUTE($G71,CHAR(160)," "),5) &amp; "|Reduced Rate",
      TRIM(SUBSTITUTE($T$2:$T$38,CHAR(160)," ")) &amp; "|" &amp;
      LEFT(SUBSTITUTE($U$2:$U$38,CHAR(160)," "),5) &amp; "|" &amp;
      TRIM(SUBSTITUTE($V$2:$V$38,CHAR(160)," ")),
      $W$2:$W$38
    )
  ),
"")</f>
        <v>2400</v>
      </c>
      <c r="K71" s="228" cm="1">
        <f t="array" ref="K71">IFERROR(
  VALUE($H71) *
  VALUE(
    _xlfn.XLOOKUP(
      TRIM($F71) &amp; "|" &amp; LEFT(SUBSTITUTE($G71,CHAR(160)," "),5) &amp; "|Ideas Rate",
      TRIM(SUBSTITUTE($T$2:$T$38,CHAR(160)," ")) &amp; "|" &amp;
      LEFT(SUBSTITUTE($U$2:$U$38,CHAR(160)," "),5) &amp; "|" &amp;
      TRIM(SUBSTITUTE($V$2:$V$38,CHAR(160)," ")),
      $W$2:$W$38
    )
  ),
"")</f>
        <v>1200</v>
      </c>
      <c r="O71" s="67"/>
    </row>
    <row r="72" spans="1:15" s="12" customFormat="1" x14ac:dyDescent="0.2">
      <c r="A72" s="232">
        <v>45985</v>
      </c>
      <c r="B72" s="233" t="s">
        <v>458</v>
      </c>
      <c r="C72" s="234" t="s">
        <v>152</v>
      </c>
      <c r="D72" s="238" t="s">
        <v>190</v>
      </c>
      <c r="E72" s="238" t="s">
        <v>573</v>
      </c>
      <c r="F72" s="238" t="s">
        <v>10</v>
      </c>
      <c r="G72" s="236" t="s">
        <v>367</v>
      </c>
      <c r="H72" s="239">
        <v>2</v>
      </c>
      <c r="I72" s="226" cm="1">
        <f t="array" ref="I72">IFERROR(
  VALUE($H72) *
  VALUE(
    _xlfn.XLOOKUP(
      TRIM($F72) &amp; "|" &amp; LEFT(SUBSTITUTE($G72,CHAR(160)," "),5) &amp; "|Full Rate",
      TRIM(SUBSTITUTE($T$2:$T$38,CHAR(160)," ")) &amp; "|" &amp;
      LEFT(SUBSTITUTE($U$2:$U$38,CHAR(160)," "),5) &amp; "|" &amp;
      TRIM(SUBSTITUTE($V$2:$V$38,CHAR(160)," ")),
      $W$2:$W$38
    )
  ),
"")</f>
        <v>1000</v>
      </c>
      <c r="J72" s="227" cm="1">
        <f t="array" ref="J72">IFERROR(
  VALUE($H72) *
  VALUE(
    _xlfn.XLOOKUP(
      TRIM($F72) &amp; "|" &amp; LEFT(SUBSTITUTE($G72,CHAR(160)," "),5) &amp; "|Reduced Rate",
      TRIM(SUBSTITUTE($T$2:$T$38,CHAR(160)," ")) &amp; "|" &amp;
      LEFT(SUBSTITUTE($U$2:$U$38,CHAR(160)," "),5) &amp; "|" &amp;
      TRIM(SUBSTITUTE($V$2:$V$38,CHAR(160)," ")),
      $W$2:$W$38
    )
  ),
"")</f>
        <v>600</v>
      </c>
      <c r="K72" s="228" cm="1">
        <f t="array" ref="K72">IFERROR(
  VALUE($H72) *
  VALUE(
    _xlfn.XLOOKUP(
      TRIM($F72) &amp; "|" &amp; LEFT(SUBSTITUTE($G72,CHAR(160)," "),5) &amp; "|Ideas Rate",
      TRIM(SUBSTITUTE($T$2:$T$38,CHAR(160)," ")) &amp; "|" &amp;
      LEFT(SUBSTITUTE($U$2:$U$38,CHAR(160)," "),5) &amp; "|" &amp;
      TRIM(SUBSTITUTE($V$2:$V$38,CHAR(160)," ")),
      $W$2:$W$38
    )
  ),
"")</f>
        <v>300</v>
      </c>
      <c r="O72" s="67"/>
    </row>
    <row r="73" spans="1:15" s="12" customFormat="1" x14ac:dyDescent="0.2">
      <c r="A73" s="222">
        <v>45986</v>
      </c>
      <c r="B73" s="223" t="s">
        <v>458</v>
      </c>
      <c r="C73" s="224" t="s">
        <v>152</v>
      </c>
      <c r="D73" s="26" t="s">
        <v>182</v>
      </c>
      <c r="E73" s="26" t="s">
        <v>493</v>
      </c>
      <c r="F73" s="26" t="s">
        <v>155</v>
      </c>
      <c r="G73" s="53" t="s">
        <v>367</v>
      </c>
      <c r="H73" s="44">
        <v>4</v>
      </c>
      <c r="I73" s="226" cm="1">
        <f t="array" ref="I73">IFERROR(
  VALUE($H73) *
  VALUE(
    _xlfn.XLOOKUP(
      TRIM($F73) &amp; "|" &amp; LEFT(SUBSTITUTE($G73,CHAR(160)," "),5) &amp; "|Full Rate",
      TRIM(SUBSTITUTE($T$2:$T$38,CHAR(160)," ")) &amp; "|" &amp;
      LEFT(SUBSTITUTE($U$2:$U$38,CHAR(160)," "),5) &amp; "|" &amp;
      TRIM(SUBSTITUTE($V$2:$V$38,CHAR(160)," ")),
      $W$2:$W$38
    )
  ),
"")</f>
        <v>1600</v>
      </c>
      <c r="J73" s="227" cm="1">
        <f t="array" ref="J73">IFERROR(
  VALUE($H73) *
  VALUE(
    _xlfn.XLOOKUP(
      TRIM($F73) &amp; "|" &amp; LEFT(SUBSTITUTE($G73,CHAR(160)," "),5) &amp; "|Reduced Rate",
      TRIM(SUBSTITUTE($T$2:$T$38,CHAR(160)," ")) &amp; "|" &amp;
      LEFT(SUBSTITUTE($U$2:$U$38,CHAR(160)," "),5) &amp; "|" &amp;
      TRIM(SUBSTITUTE($V$2:$V$38,CHAR(160)," ")),
      $W$2:$W$38
    )
  ),
"")</f>
        <v>800</v>
      </c>
      <c r="K73" s="228" cm="1">
        <f t="array" ref="K73">IFERROR(
  VALUE($H73) *
  VALUE(
    _xlfn.XLOOKUP(
      TRIM($F73) &amp; "|" &amp; LEFT(SUBSTITUTE($G73,CHAR(160)," "),5) &amp; "|Ideas Rate",
      TRIM(SUBSTITUTE($T$2:$T$38,CHAR(160)," ")) &amp; "|" &amp;
      LEFT(SUBSTITUTE($U$2:$U$38,CHAR(160)," "),5) &amp; "|" &amp;
      TRIM(SUBSTITUTE($V$2:$V$38,CHAR(160)," ")),
      $W$2:$W$38
    )
  ),
"")</f>
        <v>480</v>
      </c>
      <c r="O73" s="67"/>
    </row>
    <row r="74" spans="1:15" s="12" customFormat="1" x14ac:dyDescent="0.2">
      <c r="A74" s="222">
        <v>45986</v>
      </c>
      <c r="B74" s="223" t="s">
        <v>458</v>
      </c>
      <c r="C74" s="224" t="s">
        <v>152</v>
      </c>
      <c r="D74" s="26" t="s">
        <v>182</v>
      </c>
      <c r="E74" s="26" t="s">
        <v>494</v>
      </c>
      <c r="F74" s="26" t="s">
        <v>155</v>
      </c>
      <c r="G74" s="53" t="s">
        <v>367</v>
      </c>
      <c r="H74" s="44">
        <v>1</v>
      </c>
      <c r="I74" s="226" cm="1">
        <f t="array" ref="I74">IFERROR(
  VALUE($H74) *
  VALUE(
    _xlfn.XLOOKUP(
      TRIM($F74) &amp; "|" &amp; LEFT(SUBSTITUTE($G74,CHAR(160)," "),5) &amp; "|Full Rate",
      TRIM(SUBSTITUTE($T$2:$T$38,CHAR(160)," ")) &amp; "|" &amp;
      LEFT(SUBSTITUTE($U$2:$U$38,CHAR(160)," "),5) &amp; "|" &amp;
      TRIM(SUBSTITUTE($V$2:$V$38,CHAR(160)," ")),
      $W$2:$W$38
    )
  ),
"")</f>
        <v>400</v>
      </c>
      <c r="J74" s="227" cm="1">
        <f t="array" ref="J74">IFERROR(
  VALUE($H74) *
  VALUE(
    _xlfn.XLOOKUP(
      TRIM($F74) &amp; "|" &amp; LEFT(SUBSTITUTE($G74,CHAR(160)," "),5) &amp; "|Reduced Rate",
      TRIM(SUBSTITUTE($T$2:$T$38,CHAR(160)," ")) &amp; "|" &amp;
      LEFT(SUBSTITUTE($U$2:$U$38,CHAR(160)," "),5) &amp; "|" &amp;
      TRIM(SUBSTITUTE($V$2:$V$38,CHAR(160)," ")),
      $W$2:$W$38
    )
  ),
"")</f>
        <v>200</v>
      </c>
      <c r="K74" s="228" cm="1">
        <f t="array" ref="K74">IFERROR(
  VALUE($H74) *
  VALUE(
    _xlfn.XLOOKUP(
      TRIM($F74) &amp; "|" &amp; LEFT(SUBSTITUTE($G74,CHAR(160)," "),5) &amp; "|Ideas Rate",
      TRIM(SUBSTITUTE($T$2:$T$38,CHAR(160)," ")) &amp; "|" &amp;
      LEFT(SUBSTITUTE($U$2:$U$38,CHAR(160)," "),5) &amp; "|" &amp;
      TRIM(SUBSTITUTE($V$2:$V$38,CHAR(160)," ")),
      $W$2:$W$38
    )
  ),
"")</f>
        <v>120</v>
      </c>
      <c r="O74" s="67"/>
    </row>
    <row r="75" spans="1:15" s="12" customFormat="1" x14ac:dyDescent="0.2">
      <c r="A75" s="222">
        <v>45987</v>
      </c>
      <c r="B75" s="223" t="s">
        <v>458</v>
      </c>
      <c r="C75" s="224" t="s">
        <v>152</v>
      </c>
      <c r="D75" s="26" t="s">
        <v>182</v>
      </c>
      <c r="E75" s="26" t="s">
        <v>483</v>
      </c>
      <c r="F75" s="26" t="s">
        <v>155</v>
      </c>
      <c r="G75" s="53" t="s">
        <v>367</v>
      </c>
      <c r="H75" s="44">
        <v>4</v>
      </c>
      <c r="I75" s="226" cm="1">
        <f t="array" ref="I75">IFERROR(
  VALUE($H75) *
  VALUE(
    _xlfn.XLOOKUP(
      TRIM($F75) &amp; "|" &amp; LEFT(SUBSTITUTE($G75,CHAR(160)," "),5) &amp; "|Full Rate",
      TRIM(SUBSTITUTE($T$2:$T$38,CHAR(160)," ")) &amp; "|" &amp;
      LEFT(SUBSTITUTE($U$2:$U$38,CHAR(160)," "),5) &amp; "|" &amp;
      TRIM(SUBSTITUTE($V$2:$V$38,CHAR(160)," ")),
      $W$2:$W$38
    )
  ),
"")</f>
        <v>1600</v>
      </c>
      <c r="J75" s="227" cm="1">
        <f t="array" ref="J75">IFERROR(
  VALUE($H75) *
  VALUE(
    _xlfn.XLOOKUP(
      TRIM($F75) &amp; "|" &amp; LEFT(SUBSTITUTE($G75,CHAR(160)," "),5) &amp; "|Reduced Rate",
      TRIM(SUBSTITUTE($T$2:$T$38,CHAR(160)," ")) &amp; "|" &amp;
      LEFT(SUBSTITUTE($U$2:$U$38,CHAR(160)," "),5) &amp; "|" &amp;
      TRIM(SUBSTITUTE($V$2:$V$38,CHAR(160)," ")),
      $W$2:$W$38
    )
  ),
"")</f>
        <v>800</v>
      </c>
      <c r="K75" s="228" cm="1">
        <f t="array" ref="K75">IFERROR(
  VALUE($H75) *
  VALUE(
    _xlfn.XLOOKUP(
      TRIM($F75) &amp; "|" &amp; LEFT(SUBSTITUTE($G75,CHAR(160)," "),5) &amp; "|Ideas Rate",
      TRIM(SUBSTITUTE($T$2:$T$38,CHAR(160)," ")) &amp; "|" &amp;
      LEFT(SUBSTITUTE($U$2:$U$38,CHAR(160)," "),5) &amp; "|" &amp;
      TRIM(SUBSTITUTE($V$2:$V$38,CHAR(160)," ")),
      $W$2:$W$38
    )
  ),
"")</f>
        <v>480</v>
      </c>
      <c r="O75" s="67"/>
    </row>
    <row r="76" spans="1:15" s="12" customFormat="1" x14ac:dyDescent="0.2">
      <c r="A76" s="222">
        <v>45987</v>
      </c>
      <c r="B76" s="223" t="s">
        <v>458</v>
      </c>
      <c r="C76" s="224" t="s">
        <v>152</v>
      </c>
      <c r="D76" s="26" t="s">
        <v>182</v>
      </c>
      <c r="E76" s="26" t="s">
        <v>495</v>
      </c>
      <c r="F76" s="26" t="s">
        <v>155</v>
      </c>
      <c r="G76" s="53" t="s">
        <v>367</v>
      </c>
      <c r="H76" s="44">
        <v>2</v>
      </c>
      <c r="I76" s="226" cm="1">
        <f t="array" ref="I76">IFERROR(
  VALUE($H76) *
  VALUE(
    _xlfn.XLOOKUP(
      TRIM($F76) &amp; "|" &amp; LEFT(SUBSTITUTE($G76,CHAR(160)," "),5) &amp; "|Full Rate",
      TRIM(SUBSTITUTE($T$2:$T$38,CHAR(160)," ")) &amp; "|" &amp;
      LEFT(SUBSTITUTE($U$2:$U$38,CHAR(160)," "),5) &amp; "|" &amp;
      TRIM(SUBSTITUTE($V$2:$V$38,CHAR(160)," ")),
      $W$2:$W$38
    )
  ),
"")</f>
        <v>800</v>
      </c>
      <c r="J76" s="227" cm="1">
        <f t="array" ref="J76">IFERROR(
  VALUE($H76) *
  VALUE(
    _xlfn.XLOOKUP(
      TRIM($F76) &amp; "|" &amp; LEFT(SUBSTITUTE($G76,CHAR(160)," "),5) &amp; "|Reduced Rate",
      TRIM(SUBSTITUTE($T$2:$T$38,CHAR(160)," ")) &amp; "|" &amp;
      LEFT(SUBSTITUTE($U$2:$U$38,CHAR(160)," "),5) &amp; "|" &amp;
      TRIM(SUBSTITUTE($V$2:$V$38,CHAR(160)," ")),
      $W$2:$W$38
    )
  ),
"")</f>
        <v>400</v>
      </c>
      <c r="K76" s="228" cm="1">
        <f t="array" ref="K76">IFERROR(
  VALUE($H76) *
  VALUE(
    _xlfn.XLOOKUP(
      TRIM($F76) &amp; "|" &amp; LEFT(SUBSTITUTE($G76,CHAR(160)," "),5) &amp; "|Ideas Rate",
      TRIM(SUBSTITUTE($T$2:$T$38,CHAR(160)," ")) &amp; "|" &amp;
      LEFT(SUBSTITUTE($U$2:$U$38,CHAR(160)," "),5) &amp; "|" &amp;
      TRIM(SUBSTITUTE($V$2:$V$38,CHAR(160)," ")),
      $W$2:$W$38
    )
  ),
"")</f>
        <v>240</v>
      </c>
      <c r="O76" s="67"/>
    </row>
    <row r="77" spans="1:15" s="12" customFormat="1" x14ac:dyDescent="0.2">
      <c r="A77" s="222">
        <v>45988</v>
      </c>
      <c r="B77" s="223" t="s">
        <v>458</v>
      </c>
      <c r="C77" s="224" t="s">
        <v>152</v>
      </c>
      <c r="D77" s="26" t="s">
        <v>182</v>
      </c>
      <c r="E77" s="26" t="s">
        <v>496</v>
      </c>
      <c r="F77" s="26" t="s">
        <v>155</v>
      </c>
      <c r="G77" s="53" t="s">
        <v>367</v>
      </c>
      <c r="H77" s="44">
        <v>4</v>
      </c>
      <c r="I77" s="226" cm="1">
        <f t="array" ref="I77">IFERROR(
  VALUE($H77) *
  VALUE(
    _xlfn.XLOOKUP(
      TRIM($F77) &amp; "|" &amp; LEFT(SUBSTITUTE($G77,CHAR(160)," "),5) &amp; "|Full Rate",
      TRIM(SUBSTITUTE($T$2:$T$38,CHAR(160)," ")) &amp; "|" &amp;
      LEFT(SUBSTITUTE($U$2:$U$38,CHAR(160)," "),5) &amp; "|" &amp;
      TRIM(SUBSTITUTE($V$2:$V$38,CHAR(160)," ")),
      $W$2:$W$38
    )
  ),
"")</f>
        <v>1600</v>
      </c>
      <c r="J77" s="227" cm="1">
        <f t="array" ref="J77">IFERROR(
  VALUE($H77) *
  VALUE(
    _xlfn.XLOOKUP(
      TRIM($F77) &amp; "|" &amp; LEFT(SUBSTITUTE($G77,CHAR(160)," "),5) &amp; "|Reduced Rate",
      TRIM(SUBSTITUTE($T$2:$T$38,CHAR(160)," ")) &amp; "|" &amp;
      LEFT(SUBSTITUTE($U$2:$U$38,CHAR(160)," "),5) &amp; "|" &amp;
      TRIM(SUBSTITUTE($V$2:$V$38,CHAR(160)," ")),
      $W$2:$W$38
    )
  ),
"")</f>
        <v>800</v>
      </c>
      <c r="K77" s="228" cm="1">
        <f t="array" ref="K77">IFERROR(
  VALUE($H77) *
  VALUE(
    _xlfn.XLOOKUP(
      TRIM($F77) &amp; "|" &amp; LEFT(SUBSTITUTE($G77,CHAR(160)," "),5) &amp; "|Ideas Rate",
      TRIM(SUBSTITUTE($T$2:$T$38,CHAR(160)," ")) &amp; "|" &amp;
      LEFT(SUBSTITUTE($U$2:$U$38,CHAR(160)," "),5) &amp; "|" &amp;
      TRIM(SUBSTITUTE($V$2:$V$38,CHAR(160)," ")),
      $W$2:$W$38
    )
  ),
"")</f>
        <v>480</v>
      </c>
      <c r="O77" s="67"/>
    </row>
    <row r="78" spans="1:15" s="12" customFormat="1" x14ac:dyDescent="0.2">
      <c r="A78" s="222">
        <v>45988</v>
      </c>
      <c r="B78" s="223" t="s">
        <v>458</v>
      </c>
      <c r="C78" s="224" t="s">
        <v>152</v>
      </c>
      <c r="D78" s="26" t="s">
        <v>182</v>
      </c>
      <c r="E78" s="26" t="s">
        <v>497</v>
      </c>
      <c r="F78" s="26" t="s">
        <v>155</v>
      </c>
      <c r="G78" s="53" t="s">
        <v>380</v>
      </c>
      <c r="H78" s="44">
        <v>1</v>
      </c>
      <c r="I78" s="226" cm="1">
        <f t="array" ref="I78">IFERROR(
  VALUE($H78) *
  VALUE(
    _xlfn.XLOOKUP(
      TRIM($F78) &amp; "|" &amp; LEFT(SUBSTITUTE($G78,CHAR(160)," "),5) &amp; "|Full Rate",
      TRIM(SUBSTITUTE($T$2:$T$38,CHAR(160)," ")) &amp; "|" &amp;
      LEFT(SUBSTITUTE($U$2:$U$38,CHAR(160)," "),5) &amp; "|" &amp;
      TRIM(SUBSTITUTE($V$2:$V$38,CHAR(160)," ")),
      $W$2:$W$38
    )
  ),
"")</f>
        <v>260</v>
      </c>
      <c r="J78" s="227" cm="1">
        <f t="array" ref="J78">IFERROR(
  VALUE($H78) *
  VALUE(
    _xlfn.XLOOKUP(
      TRIM($F78) &amp; "|" &amp; LEFT(SUBSTITUTE($G78,CHAR(160)," "),5) &amp; "|Reduced Rate",
      TRIM(SUBSTITUTE($T$2:$T$38,CHAR(160)," ")) &amp; "|" &amp;
      LEFT(SUBSTITUTE($U$2:$U$38,CHAR(160)," "),5) &amp; "|" &amp;
      TRIM(SUBSTITUTE($V$2:$V$38,CHAR(160)," ")),
      $W$2:$W$38
    )
  ),
"")</f>
        <v>120</v>
      </c>
      <c r="K78" s="228" cm="1">
        <f t="array" ref="K78">IFERROR(
  VALUE($H78) *
  VALUE(
    _xlfn.XLOOKUP(
      TRIM($F78) &amp; "|" &amp; LEFT(SUBSTITUTE($G78,CHAR(160)," "),5) &amp; "|Ideas Rate",
      TRIM(SUBSTITUTE($T$2:$T$38,CHAR(160)," ")) &amp; "|" &amp;
      LEFT(SUBSTITUTE($U$2:$U$38,CHAR(160)," "),5) &amp; "|" &amp;
      TRIM(SUBSTITUTE($V$2:$V$38,CHAR(160)," ")),
      $W$2:$W$38
    )
  ),
"")</f>
        <v>90</v>
      </c>
      <c r="O78" s="67"/>
    </row>
    <row r="79" spans="1:15" s="12" customFormat="1" x14ac:dyDescent="0.2">
      <c r="A79" s="222">
        <v>45988</v>
      </c>
      <c r="B79" s="223" t="s">
        <v>458</v>
      </c>
      <c r="C79" s="224" t="s">
        <v>152</v>
      </c>
      <c r="D79" s="26" t="s">
        <v>182</v>
      </c>
      <c r="E79" s="26" t="s">
        <v>498</v>
      </c>
      <c r="F79" s="26" t="s">
        <v>155</v>
      </c>
      <c r="G79" s="53" t="s">
        <v>380</v>
      </c>
      <c r="H79" s="44">
        <v>0.5</v>
      </c>
      <c r="I79" s="226" cm="1">
        <f t="array" ref="I79">IFERROR(
  VALUE($H79) *
  VALUE(
    _xlfn.XLOOKUP(
      TRIM($F79) &amp; "|" &amp; LEFT(SUBSTITUTE($G79,CHAR(160)," "),5) &amp; "|Full Rate",
      TRIM(SUBSTITUTE($T$2:$T$38,CHAR(160)," ")) &amp; "|" &amp;
      LEFT(SUBSTITUTE($U$2:$U$38,CHAR(160)," "),5) &amp; "|" &amp;
      TRIM(SUBSTITUTE($V$2:$V$38,CHAR(160)," ")),
      $W$2:$W$38
    )
  ),
"")</f>
        <v>130</v>
      </c>
      <c r="J79" s="227" cm="1">
        <f t="array" ref="J79">IFERROR(
  VALUE($H79) *
  VALUE(
    _xlfn.XLOOKUP(
      TRIM($F79) &amp; "|" &amp; LEFT(SUBSTITUTE($G79,CHAR(160)," "),5) &amp; "|Reduced Rate",
      TRIM(SUBSTITUTE($T$2:$T$38,CHAR(160)," ")) &amp; "|" &amp;
      LEFT(SUBSTITUTE($U$2:$U$38,CHAR(160)," "),5) &amp; "|" &amp;
      TRIM(SUBSTITUTE($V$2:$V$38,CHAR(160)," ")),
      $W$2:$W$38
    )
  ),
"")</f>
        <v>60</v>
      </c>
      <c r="K79" s="228" cm="1">
        <f t="array" ref="K79">IFERROR(
  VALUE($H79) *
  VALUE(
    _xlfn.XLOOKUP(
      TRIM($F79) &amp; "|" &amp; LEFT(SUBSTITUTE($G79,CHAR(160)," "),5) &amp; "|Ideas Rate",
      TRIM(SUBSTITUTE($T$2:$T$38,CHAR(160)," ")) &amp; "|" &amp;
      LEFT(SUBSTITUTE($U$2:$U$38,CHAR(160)," "),5) &amp; "|" &amp;
      TRIM(SUBSTITUTE($V$2:$V$38,CHAR(160)," ")),
      $W$2:$W$38
    )
  ),
"")</f>
        <v>45</v>
      </c>
      <c r="O79" s="67"/>
    </row>
    <row r="80" spans="1:15" s="12" customFormat="1" x14ac:dyDescent="0.2">
      <c r="A80" s="232">
        <v>45997</v>
      </c>
      <c r="B80" s="233" t="s">
        <v>502</v>
      </c>
      <c r="C80" s="234" t="s">
        <v>152</v>
      </c>
      <c r="D80" s="238" t="s">
        <v>190</v>
      </c>
      <c r="E80" s="238" t="s">
        <v>606</v>
      </c>
      <c r="F80" s="238" t="s">
        <v>9</v>
      </c>
      <c r="G80" s="236" t="s">
        <v>367</v>
      </c>
      <c r="H80" s="239">
        <v>3</v>
      </c>
      <c r="I80" s="226" cm="1">
        <f t="array" ref="I80">IFERROR(
  VALUE($H80) *
  VALUE(
    _xlfn.XLOOKUP(
      TRIM($F80) &amp; "|" &amp; LEFT(SUBSTITUTE($G80,CHAR(160)," "),5) &amp; "|Full Rate",
      TRIM(SUBSTITUTE($T$2:$T$38,CHAR(160)," ")) &amp; "|" &amp;
      LEFT(SUBSTITUTE($U$2:$U$38,CHAR(160)," "),5) &amp; "|" &amp;
      TRIM(SUBSTITUTE($V$2:$V$38,CHAR(160)," ")),
      $W$2:$W$38
    )
  ),
"")</f>
        <v>1500</v>
      </c>
      <c r="J80" s="227" cm="1">
        <f t="array" ref="J80">IFERROR(
  VALUE($H80) *
  VALUE(
    _xlfn.XLOOKUP(
      TRIM($F80) &amp; "|" &amp; LEFT(SUBSTITUTE($G80,CHAR(160)," "),5) &amp; "|Reduced Rate",
      TRIM(SUBSTITUTE($T$2:$T$38,CHAR(160)," ")) &amp; "|" &amp;
      LEFT(SUBSTITUTE($U$2:$U$38,CHAR(160)," "),5) &amp; "|" &amp;
      TRIM(SUBSTITUTE($V$2:$V$38,CHAR(160)," ")),
      $W$2:$W$38
    )
  ),
"")</f>
        <v>900</v>
      </c>
      <c r="K80" s="228" cm="1">
        <f t="array" ref="K80">IFERROR(
  VALUE($H80) *
  VALUE(
    _xlfn.XLOOKUP(
      TRIM($F80) &amp; "|" &amp; LEFT(SUBSTITUTE($G80,CHAR(160)," "),5) &amp; "|Ideas Rate",
      TRIM(SUBSTITUTE($T$2:$T$38,CHAR(160)," ")) &amp; "|" &amp;
      LEFT(SUBSTITUTE($U$2:$U$38,CHAR(160)," "),5) &amp; "|" &amp;
      TRIM(SUBSTITUTE($V$2:$V$38,CHAR(160)," ")),
      $W$2:$W$38
    )
  ),
"")</f>
        <v>450</v>
      </c>
      <c r="O80" s="67"/>
    </row>
    <row r="81" spans="1:15" x14ac:dyDescent="0.2">
      <c r="A81" s="21">
        <v>46007</v>
      </c>
      <c r="B81" s="28" t="s">
        <v>502</v>
      </c>
      <c r="C81" s="20" t="s">
        <v>152</v>
      </c>
      <c r="D81" s="18" t="s">
        <v>182</v>
      </c>
      <c r="E81" s="18" t="s">
        <v>505</v>
      </c>
      <c r="F81" s="18" t="s">
        <v>155</v>
      </c>
      <c r="G81" s="22" t="s">
        <v>367</v>
      </c>
      <c r="H81" s="45">
        <v>1</v>
      </c>
      <c r="I81" s="160" cm="1">
        <f t="array" ref="I81">IFERROR(
  VALUE($H81) *
  VALUE(
    _xlfn.XLOOKUP(
      TRIM($F81) &amp; "|" &amp; LEFT(SUBSTITUTE($G81,CHAR(160)," "),5) &amp; "|Full Rate",
      TRIM(SUBSTITUTE($T$2:$T$38,CHAR(160)," ")) &amp; "|" &amp;
      LEFT(SUBSTITUTE($U$2:$U$38,CHAR(160)," "),5) &amp; "|" &amp;
      TRIM(SUBSTITUTE($V$2:$V$38,CHAR(160)," ")),
      $W$2:$W$38
    )
  ),
"")</f>
        <v>400</v>
      </c>
      <c r="J81" s="161" cm="1">
        <f t="array" ref="J81">IFERROR(
  VALUE($H81) *
  VALUE(
    _xlfn.XLOOKUP(
      TRIM($F81) &amp; "|" &amp; LEFT(SUBSTITUTE($G81,CHAR(160)," "),5) &amp; "|Reduced Rate",
      TRIM(SUBSTITUTE($T$2:$T$38,CHAR(160)," ")) &amp; "|" &amp;
      LEFT(SUBSTITUTE($U$2:$U$38,CHAR(160)," "),5) &amp; "|" &amp;
      TRIM(SUBSTITUTE($V$2:$V$38,CHAR(160)," ")),
      $W$2:$W$38
    )
  ),
"")</f>
        <v>200</v>
      </c>
      <c r="K81" s="42" cm="1">
        <f t="array" ref="K81">IFERROR(
  VALUE($H81) *
  VALUE(
    _xlfn.XLOOKUP(
      TRIM($F81) &amp; "|" &amp; LEFT(SUBSTITUTE($G81,CHAR(160)," "),5) &amp; "|Ideas Rate",
      TRIM(SUBSTITUTE($T$2:$T$38,CHAR(160)," ")) &amp; "|" &amp;
      LEFT(SUBSTITUTE($U$2:$U$38,CHAR(160)," "),5) &amp; "|" &amp;
      TRIM(SUBSTITUTE($V$2:$V$38,CHAR(160)," ")),
      $W$2:$W$38
    )
  ),
"")</f>
        <v>120</v>
      </c>
    </row>
    <row r="82" spans="1:15" x14ac:dyDescent="0.2">
      <c r="A82" s="21">
        <v>46007</v>
      </c>
      <c r="B82" s="28" t="s">
        <v>502</v>
      </c>
      <c r="C82" s="20" t="s">
        <v>152</v>
      </c>
      <c r="D82" s="18" t="s">
        <v>178</v>
      </c>
      <c r="E82" s="18" t="s">
        <v>506</v>
      </c>
      <c r="F82" s="18" t="s">
        <v>155</v>
      </c>
      <c r="G82" s="22" t="s">
        <v>367</v>
      </c>
      <c r="H82" s="45">
        <v>2</v>
      </c>
      <c r="I82" s="160" cm="1">
        <f t="array" ref="I82">IFERROR(
  VALUE($H82) *
  VALUE(
    _xlfn.XLOOKUP(
      TRIM($F82) &amp; "|" &amp; LEFT(SUBSTITUTE($G82,CHAR(160)," "),5) &amp; "|Full Rate",
      TRIM(SUBSTITUTE($T$2:$T$38,CHAR(160)," ")) &amp; "|" &amp;
      LEFT(SUBSTITUTE($U$2:$U$38,CHAR(160)," "),5) &amp; "|" &amp;
      TRIM(SUBSTITUTE($V$2:$V$38,CHAR(160)," ")),
      $W$2:$W$38
    )
  ),
"")</f>
        <v>800</v>
      </c>
      <c r="J82" s="161" cm="1">
        <f t="array" ref="J82">IFERROR(
  VALUE($H82) *
  VALUE(
    _xlfn.XLOOKUP(
      TRIM($F82) &amp; "|" &amp; LEFT(SUBSTITUTE($G82,CHAR(160)," "),5) &amp; "|Reduced Rate",
      TRIM(SUBSTITUTE($T$2:$T$38,CHAR(160)," ")) &amp; "|" &amp;
      LEFT(SUBSTITUTE($U$2:$U$38,CHAR(160)," "),5) &amp; "|" &amp;
      TRIM(SUBSTITUTE($V$2:$V$38,CHAR(160)," ")),
      $W$2:$W$38
    )
  ),
"")</f>
        <v>400</v>
      </c>
      <c r="K82" s="42" cm="1">
        <f t="array" ref="K82">IFERROR(
  VALUE($H82) *
  VALUE(
    _xlfn.XLOOKUP(
      TRIM($F82) &amp; "|" &amp; LEFT(SUBSTITUTE($G82,CHAR(160)," "),5) &amp; "|Ideas Rate",
      TRIM(SUBSTITUTE($T$2:$T$38,CHAR(160)," ")) &amp; "|" &amp;
      LEFT(SUBSTITUTE($U$2:$U$38,CHAR(160)," "),5) &amp; "|" &amp;
      TRIM(SUBSTITUTE($V$2:$V$38,CHAR(160)," ")),
      $W$2:$W$38
    )
  ),
"")</f>
        <v>240</v>
      </c>
    </row>
    <row r="83" spans="1:15" x14ac:dyDescent="0.2">
      <c r="A83" s="162">
        <v>46013</v>
      </c>
      <c r="B83" s="163" t="s">
        <v>502</v>
      </c>
      <c r="C83" s="164" t="s">
        <v>152</v>
      </c>
      <c r="D83" s="165" t="s">
        <v>178</v>
      </c>
      <c r="E83" s="165" t="s">
        <v>603</v>
      </c>
      <c r="F83" s="165" t="s">
        <v>10</v>
      </c>
      <c r="G83" s="166" t="s">
        <v>380</v>
      </c>
      <c r="H83" s="169">
        <v>2.5</v>
      </c>
      <c r="I83" s="160" cm="1">
        <f t="array" ref="I83">IFERROR(
  VALUE($H83) *
  VALUE(
    _xlfn.XLOOKUP(
      TRIM($F83) &amp; "|" &amp; LEFT(SUBSTITUTE($G83,CHAR(160)," "),5) &amp; "|Full Rate",
      TRIM(SUBSTITUTE($T$2:$T$38,CHAR(160)," ")) &amp; "|" &amp;
      LEFT(SUBSTITUTE($U$2:$U$38,CHAR(160)," "),5) &amp; "|" &amp;
      TRIM(SUBSTITUTE($V$2:$V$38,CHAR(160)," ")),
      $W$2:$W$38
    )
  ),
"")</f>
        <v>625</v>
      </c>
      <c r="J83" s="161" cm="1">
        <f t="array" ref="J83">IFERROR(
  VALUE($H83) *
  VALUE(
    _xlfn.XLOOKUP(
      TRIM($F83) &amp; "|" &amp; LEFT(SUBSTITUTE($G83,CHAR(160)," "),5) &amp; "|Reduced Rate",
      TRIM(SUBSTITUTE($T$2:$T$38,CHAR(160)," ")) &amp; "|" &amp;
      LEFT(SUBSTITUTE($U$2:$U$38,CHAR(160)," "),5) &amp; "|" &amp;
      TRIM(SUBSTITUTE($V$2:$V$38,CHAR(160)," ")),
      $W$2:$W$38
    )
  ),
"")</f>
        <v>375</v>
      </c>
      <c r="K83" s="42" cm="1">
        <f t="array" ref="K83">IFERROR(
  VALUE($H83) *
  VALUE(
    _xlfn.XLOOKUP(
      TRIM($F83) &amp; "|" &amp; LEFT(SUBSTITUTE($G83,CHAR(160)," "),5) &amp; "|Ideas Rate",
      TRIM(SUBSTITUTE($T$2:$T$38,CHAR(160)," ")) &amp; "|" &amp;
      LEFT(SUBSTITUTE($U$2:$U$38,CHAR(160)," "),5) &amp; "|" &amp;
      TRIM(SUBSTITUTE($V$2:$V$38,CHAR(160)," ")),
      $W$2:$W$38
    )
  ),
"")</f>
        <v>187.5</v>
      </c>
    </row>
    <row r="84" spans="1:15" x14ac:dyDescent="0.2">
      <c r="A84" s="170">
        <v>46013</v>
      </c>
      <c r="B84" s="171" t="s">
        <v>502</v>
      </c>
      <c r="C84" s="172" t="s">
        <v>152</v>
      </c>
      <c r="D84" s="165" t="s">
        <v>178</v>
      </c>
      <c r="E84" s="173" t="s">
        <v>603</v>
      </c>
      <c r="F84" s="173" t="s">
        <v>155</v>
      </c>
      <c r="G84" s="175" t="s">
        <v>380</v>
      </c>
      <c r="H84" s="176">
        <v>2.5</v>
      </c>
      <c r="I84" s="160" cm="1">
        <f t="array" ref="I84">IFERROR(
  VALUE($H84) *
  VALUE(
    _xlfn.XLOOKUP(
      TRIM($F84) &amp; "|" &amp; LEFT(SUBSTITUTE($G84,CHAR(160)," "),5) &amp; "|Full Rate",
      TRIM(SUBSTITUTE($T$2:$T$38,CHAR(160)," ")) &amp; "|" &amp;
      LEFT(SUBSTITUTE($U$2:$U$38,CHAR(160)," "),5) &amp; "|" &amp;
      TRIM(SUBSTITUTE($V$2:$V$38,CHAR(160)," ")),
      $W$2:$W$38
    )
  ),
"")</f>
        <v>650</v>
      </c>
      <c r="J84" s="161" cm="1">
        <f t="array" ref="J84">IFERROR(
  VALUE($H84) *
  VALUE(
    _xlfn.XLOOKUP(
      TRIM($F84) &amp; "|" &amp; LEFT(SUBSTITUTE($G84,CHAR(160)," "),5) &amp; "|Reduced Rate",
      TRIM(SUBSTITUTE($T$2:$T$38,CHAR(160)," ")) &amp; "|" &amp;
      LEFT(SUBSTITUTE($U$2:$U$38,CHAR(160)," "),5) &amp; "|" &amp;
      TRIM(SUBSTITUTE($V$2:$V$38,CHAR(160)," ")),
      $W$2:$W$38
    )
  ),
"")</f>
        <v>300</v>
      </c>
      <c r="K84" s="42" cm="1">
        <f t="array" ref="K84">IFERROR(
  VALUE($H84) *
  VALUE(
    _xlfn.XLOOKUP(
      TRIM($F84) &amp; "|" &amp; LEFT(SUBSTITUTE($G84,CHAR(160)," "),5) &amp; "|Ideas Rate",
      TRIM(SUBSTITUTE($T$2:$T$38,CHAR(160)," ")) &amp; "|" &amp;
      LEFT(SUBSTITUTE($U$2:$U$38,CHAR(160)," "),5) &amp; "|" &amp;
      TRIM(SUBSTITUTE($V$2:$V$38,CHAR(160)," ")),
      $W$2:$W$38
    )
  ),
"")</f>
        <v>225</v>
      </c>
    </row>
    <row r="85" spans="1:15" x14ac:dyDescent="0.2">
      <c r="A85" s="162">
        <v>46013</v>
      </c>
      <c r="B85" s="163" t="s">
        <v>502</v>
      </c>
      <c r="C85" s="164" t="s">
        <v>152</v>
      </c>
      <c r="D85" s="165" t="s">
        <v>178</v>
      </c>
      <c r="E85" s="165" t="s">
        <v>603</v>
      </c>
      <c r="F85" s="165" t="s">
        <v>9</v>
      </c>
      <c r="G85" s="166" t="s">
        <v>380</v>
      </c>
      <c r="H85" s="169">
        <v>2.5</v>
      </c>
      <c r="I85" s="160" cm="1">
        <f t="array" ref="I85">IFERROR(
  VALUE($H85) *
  VALUE(
    _xlfn.XLOOKUP(
      TRIM($F85) &amp; "|" &amp; LEFT(SUBSTITUTE($G85,CHAR(160)," "),5) &amp; "|Full Rate",
      TRIM(SUBSTITUTE($T$2:$T$38,CHAR(160)," ")) &amp; "|" &amp;
      LEFT(SUBSTITUTE($U$2:$U$38,CHAR(160)," "),5) &amp; "|" &amp;
      TRIM(SUBSTITUTE($V$2:$V$38,CHAR(160)," ")),
      $W$2:$W$38
    )
  ),
"")</f>
        <v>625</v>
      </c>
      <c r="J85" s="161" cm="1">
        <f t="array" ref="J85">IFERROR(
  VALUE($H85) *
  VALUE(
    _xlfn.XLOOKUP(
      TRIM($F85) &amp; "|" &amp; LEFT(SUBSTITUTE($G85,CHAR(160)," "),5) &amp; "|Reduced Rate",
      TRIM(SUBSTITUTE($T$2:$T$38,CHAR(160)," ")) &amp; "|" &amp;
      LEFT(SUBSTITUTE($U$2:$U$38,CHAR(160)," "),5) &amp; "|" &amp;
      TRIM(SUBSTITUTE($V$2:$V$38,CHAR(160)," ")),
      $W$2:$W$38
    )
  ),
"")</f>
        <v>375</v>
      </c>
      <c r="K85" s="42" cm="1">
        <f t="array" ref="K85">IFERROR(
  VALUE($H85) *
  VALUE(
    _xlfn.XLOOKUP(
      TRIM($F85) &amp; "|" &amp; LEFT(SUBSTITUTE($G85,CHAR(160)," "),5) &amp; "|Ideas Rate",
      TRIM(SUBSTITUTE($T$2:$T$38,CHAR(160)," ")) &amp; "|" &amp;
      LEFT(SUBSTITUTE($U$2:$U$38,CHAR(160)," "),5) &amp; "|" &amp;
      TRIM(SUBSTITUTE($V$2:$V$38,CHAR(160)," ")),
      $W$2:$W$38
    )
  ),
"")</f>
        <v>187.5</v>
      </c>
    </row>
    <row r="86" spans="1:15" x14ac:dyDescent="0.2">
      <c r="A86" s="189">
        <v>46013</v>
      </c>
      <c r="B86" s="163" t="s">
        <v>502</v>
      </c>
      <c r="C86" s="164" t="s">
        <v>152</v>
      </c>
      <c r="D86" s="165" t="s">
        <v>178</v>
      </c>
      <c r="E86" s="165" t="s">
        <v>604</v>
      </c>
      <c r="F86" s="165" t="s">
        <v>10</v>
      </c>
      <c r="G86" s="166" t="s">
        <v>380</v>
      </c>
      <c r="H86" s="169">
        <v>4</v>
      </c>
      <c r="I86" s="160" cm="1">
        <f t="array" ref="I86">IFERROR(
  VALUE($H86) *
  VALUE(
    _xlfn.XLOOKUP(
      TRIM($F86) &amp; "|" &amp; LEFT(SUBSTITUTE($G86,CHAR(160)," "),5) &amp; "|Full Rate",
      TRIM(SUBSTITUTE($T$2:$T$38,CHAR(160)," ")) &amp; "|" &amp;
      LEFT(SUBSTITUTE($U$2:$U$38,CHAR(160)," "),5) &amp; "|" &amp;
      TRIM(SUBSTITUTE($V$2:$V$38,CHAR(160)," ")),
      $W$2:$W$38
    )
  ),
"")</f>
        <v>1000</v>
      </c>
      <c r="J86" s="161" cm="1">
        <f t="array" ref="J86">IFERROR(
  VALUE($H86) *
  VALUE(
    _xlfn.XLOOKUP(
      TRIM($F86) &amp; "|" &amp; LEFT(SUBSTITUTE($G86,CHAR(160)," "),5) &amp; "|Reduced Rate",
      TRIM(SUBSTITUTE($T$2:$T$38,CHAR(160)," ")) &amp; "|" &amp;
      LEFT(SUBSTITUTE($U$2:$U$38,CHAR(160)," "),5) &amp; "|" &amp;
      TRIM(SUBSTITUTE($V$2:$V$38,CHAR(160)," ")),
      $W$2:$W$38
    )
  ),
"")</f>
        <v>600</v>
      </c>
      <c r="K86" s="42" cm="1">
        <f t="array" ref="K86">IFERROR(
  VALUE($H86) *
  VALUE(
    _xlfn.XLOOKUP(
      TRIM($F86) &amp; "|" &amp; LEFT(SUBSTITUTE($G86,CHAR(160)," "),5) &amp; "|Ideas Rate",
      TRIM(SUBSTITUTE($T$2:$T$38,CHAR(160)," ")) &amp; "|" &amp;
      LEFT(SUBSTITUTE($U$2:$U$38,CHAR(160)," "),5) &amp; "|" &amp;
      TRIM(SUBSTITUTE($V$2:$V$38,CHAR(160)," ")),
      $W$2:$W$38
    )
  ),
"")</f>
        <v>300</v>
      </c>
    </row>
    <row r="87" spans="1:15" x14ac:dyDescent="0.2">
      <c r="A87" s="170">
        <v>46013</v>
      </c>
      <c r="B87" s="171" t="s">
        <v>502</v>
      </c>
      <c r="C87" s="172" t="s">
        <v>152</v>
      </c>
      <c r="D87" s="165" t="s">
        <v>178</v>
      </c>
      <c r="E87" s="173" t="s">
        <v>604</v>
      </c>
      <c r="F87" s="173" t="s">
        <v>155</v>
      </c>
      <c r="G87" s="175" t="s">
        <v>380</v>
      </c>
      <c r="H87" s="176">
        <v>3</v>
      </c>
      <c r="I87" s="160" cm="1">
        <f t="array" ref="I87">IFERROR(
  VALUE($H87) *
  VALUE(
    _xlfn.XLOOKUP(
      TRIM($F87) &amp; "|" &amp; LEFT(SUBSTITUTE($G87,CHAR(160)," "),5) &amp; "|Full Rate",
      TRIM(SUBSTITUTE($T$2:$T$38,CHAR(160)," ")) &amp; "|" &amp;
      LEFT(SUBSTITUTE($U$2:$U$38,CHAR(160)," "),5) &amp; "|" &amp;
      TRIM(SUBSTITUTE($V$2:$V$38,CHAR(160)," ")),
      $W$2:$W$38
    )
  ),
"")</f>
        <v>780</v>
      </c>
      <c r="J87" s="161" cm="1">
        <f t="array" ref="J87">IFERROR(
  VALUE($H87) *
  VALUE(
    _xlfn.XLOOKUP(
      TRIM($F87) &amp; "|" &amp; LEFT(SUBSTITUTE($G87,CHAR(160)," "),5) &amp; "|Reduced Rate",
      TRIM(SUBSTITUTE($T$2:$T$38,CHAR(160)," ")) &amp; "|" &amp;
      LEFT(SUBSTITUTE($U$2:$U$38,CHAR(160)," "),5) &amp; "|" &amp;
      TRIM(SUBSTITUTE($V$2:$V$38,CHAR(160)," ")),
      $W$2:$W$38
    )
  ),
"")</f>
        <v>360</v>
      </c>
      <c r="K87" s="42" cm="1">
        <f t="array" ref="K87">IFERROR(
  VALUE($H87) *
  VALUE(
    _xlfn.XLOOKUP(
      TRIM($F87) &amp; "|" &amp; LEFT(SUBSTITUTE($G87,CHAR(160)," "),5) &amp; "|Ideas Rate",
      TRIM(SUBSTITUTE($T$2:$T$38,CHAR(160)," ")) &amp; "|" &amp;
      LEFT(SUBSTITUTE($U$2:$U$38,CHAR(160)," "),5) &amp; "|" &amp;
      TRIM(SUBSTITUTE($V$2:$V$38,CHAR(160)," ")),
      $W$2:$W$38
    )
  ),
"")</f>
        <v>270</v>
      </c>
    </row>
    <row r="88" spans="1:15" x14ac:dyDescent="0.2">
      <c r="A88" s="162">
        <v>46013</v>
      </c>
      <c r="B88" s="163" t="s">
        <v>502</v>
      </c>
      <c r="C88" s="164" t="s">
        <v>152</v>
      </c>
      <c r="D88" s="165" t="s">
        <v>178</v>
      </c>
      <c r="E88" s="165" t="s">
        <v>604</v>
      </c>
      <c r="F88" s="165" t="s">
        <v>9</v>
      </c>
      <c r="G88" s="166" t="s">
        <v>380</v>
      </c>
      <c r="H88" s="169">
        <v>4</v>
      </c>
      <c r="I88" s="160" cm="1">
        <f t="array" ref="I88">IFERROR(
  VALUE($H88) *
  VALUE(
    _xlfn.XLOOKUP(
      TRIM($F88) &amp; "|" &amp; LEFT(SUBSTITUTE($G88,CHAR(160)," "),5) &amp; "|Full Rate",
      TRIM(SUBSTITUTE($T$2:$T$38,CHAR(160)," ")) &amp; "|" &amp;
      LEFT(SUBSTITUTE($U$2:$U$38,CHAR(160)," "),5) &amp; "|" &amp;
      TRIM(SUBSTITUTE($V$2:$V$38,CHAR(160)," ")),
      $W$2:$W$38
    )
  ),
"")</f>
        <v>1000</v>
      </c>
      <c r="J88" s="161" cm="1">
        <f t="array" ref="J88">IFERROR(
  VALUE($H88) *
  VALUE(
    _xlfn.XLOOKUP(
      TRIM($F88) &amp; "|" &amp; LEFT(SUBSTITUTE($G88,CHAR(160)," "),5) &amp; "|Reduced Rate",
      TRIM(SUBSTITUTE($T$2:$T$38,CHAR(160)," ")) &amp; "|" &amp;
      LEFT(SUBSTITUTE($U$2:$U$38,CHAR(160)," "),5) &amp; "|" &amp;
      TRIM(SUBSTITUTE($V$2:$V$38,CHAR(160)," ")),
      $W$2:$W$38
    )
  ),
"")</f>
        <v>600</v>
      </c>
      <c r="K88" s="42" cm="1">
        <f t="array" ref="K88">IFERROR(
  VALUE($H88) *
  VALUE(
    _xlfn.XLOOKUP(
      TRIM($F88) &amp; "|" &amp; LEFT(SUBSTITUTE($G88,CHAR(160)," "),5) &amp; "|Ideas Rate",
      TRIM(SUBSTITUTE($T$2:$T$38,CHAR(160)," ")) &amp; "|" &amp;
      LEFT(SUBSTITUTE($U$2:$U$38,CHAR(160)," "),5) &amp; "|" &amp;
      TRIM(SUBSTITUTE($V$2:$V$38,CHAR(160)," ")),
      $W$2:$W$38
    )
  ),
"")</f>
        <v>300</v>
      </c>
    </row>
    <row r="89" spans="1:15" s="12" customFormat="1" x14ac:dyDescent="0.2">
      <c r="A89" s="232"/>
      <c r="B89" s="233" t="s">
        <v>502</v>
      </c>
      <c r="C89" s="234" t="s">
        <v>152</v>
      </c>
      <c r="D89" s="238" t="s">
        <v>323</v>
      </c>
      <c r="E89" s="238" t="s">
        <v>574</v>
      </c>
      <c r="F89" s="238" t="s">
        <v>9</v>
      </c>
      <c r="G89" s="236" t="s">
        <v>368</v>
      </c>
      <c r="H89" s="239">
        <v>18</v>
      </c>
      <c r="I89" s="226" cm="1">
        <f t="array" ref="I89">IFERROR(
  VALUE($H89) *
  VALUE(
    _xlfn.XLOOKUP(
      TRIM($F89) &amp; "|" &amp; LEFT(SUBSTITUTE($G89,CHAR(160)," "),5) &amp; "|Full Rate",
      TRIM(SUBSTITUTE($T$2:$T$38,CHAR(160)," ")) &amp; "|" &amp;
      LEFT(SUBSTITUTE($U$2:$U$38,CHAR(160)," "),5) &amp; "|" &amp;
      TRIM(SUBSTITUTE($V$2:$V$38,CHAR(160)," ")),
      $W$2:$W$38
    )
  ),
"")</f>
        <v>1800</v>
      </c>
      <c r="J89" s="227" cm="1">
        <f t="array" ref="J89">IFERROR(
  VALUE($H89) *
  VALUE(
    _xlfn.XLOOKUP(
      TRIM($F89) &amp; "|" &amp; LEFT(SUBSTITUTE($G89,CHAR(160)," "),5) &amp; "|Reduced Rate",
      TRIM(SUBSTITUTE($T$2:$T$38,CHAR(160)," ")) &amp; "|" &amp;
      LEFT(SUBSTITUTE($U$2:$U$38,CHAR(160)," "),5) &amp; "|" &amp;
      TRIM(SUBSTITUTE($V$2:$V$38,CHAR(160)," ")),
      $W$2:$W$38
    )
  ),
"")</f>
        <v>900</v>
      </c>
      <c r="K89" s="228" cm="1">
        <f t="array" ref="K89">IFERROR(
  VALUE($H89) *
  VALUE(
    _xlfn.XLOOKUP(
      TRIM($F89) &amp; "|" &amp; LEFT(SUBSTITUTE($G89,CHAR(160)," "),5) &amp; "|Ideas Rate",
      TRIM(SUBSTITUTE($T$2:$T$38,CHAR(160)," ")) &amp; "|" &amp;
      LEFT(SUBSTITUTE($U$2:$U$38,CHAR(160)," "),5) &amp; "|" &amp;
      TRIM(SUBSTITUTE($V$2:$V$38,CHAR(160)," ")),
      $W$2:$W$38
    )
  ),
"")</f>
        <v>540</v>
      </c>
      <c r="O89" s="67"/>
    </row>
    <row r="90" spans="1:15" s="12" customFormat="1" x14ac:dyDescent="0.2">
      <c r="A90" s="232"/>
      <c r="B90" s="233" t="s">
        <v>502</v>
      </c>
      <c r="C90" s="234" t="s">
        <v>152</v>
      </c>
      <c r="D90" s="238" t="s">
        <v>323</v>
      </c>
      <c r="E90" s="238" t="s">
        <v>574</v>
      </c>
      <c r="F90" s="238" t="s">
        <v>10</v>
      </c>
      <c r="G90" s="236" t="s">
        <v>368</v>
      </c>
      <c r="H90" s="239">
        <v>18</v>
      </c>
      <c r="I90" s="226" cm="1">
        <f t="array" ref="I90">IFERROR(
  VALUE($H90) *
  VALUE(
    _xlfn.XLOOKUP(
      TRIM($F90) &amp; "|" &amp; LEFT(SUBSTITUTE($G90,CHAR(160)," "),5) &amp; "|Full Rate",
      TRIM(SUBSTITUTE($T$2:$T$38,CHAR(160)," ")) &amp; "|" &amp;
      LEFT(SUBSTITUTE($U$2:$U$38,CHAR(160)," "),5) &amp; "|" &amp;
      TRIM(SUBSTITUTE($V$2:$V$38,CHAR(160)," ")),
      $W$2:$W$38
    )
  ),
"")</f>
        <v>1800</v>
      </c>
      <c r="J90" s="227" cm="1">
        <f t="array" ref="J90">IFERROR(
  VALUE($H90) *
  VALUE(
    _xlfn.XLOOKUP(
      TRIM($F90) &amp; "|" &amp; LEFT(SUBSTITUTE($G90,CHAR(160)," "),5) &amp; "|Reduced Rate",
      TRIM(SUBSTITUTE($T$2:$T$38,CHAR(160)," ")) &amp; "|" &amp;
      LEFT(SUBSTITUTE($U$2:$U$38,CHAR(160)," "),5) &amp; "|" &amp;
      TRIM(SUBSTITUTE($V$2:$V$38,CHAR(160)," ")),
      $W$2:$W$38
    )
  ),
"")</f>
        <v>900</v>
      </c>
      <c r="K90" s="228" cm="1">
        <f t="array" ref="K90">IFERROR(
  VALUE($H90) *
  VALUE(
    _xlfn.XLOOKUP(
      TRIM($F90) &amp; "|" &amp; LEFT(SUBSTITUTE($G90,CHAR(160)," "),5) &amp; "|Ideas Rate",
      TRIM(SUBSTITUTE($T$2:$T$38,CHAR(160)," ")) &amp; "|" &amp;
      LEFT(SUBSTITUTE($U$2:$U$38,CHAR(160)," "),5) &amp; "|" &amp;
      TRIM(SUBSTITUTE($V$2:$V$38,CHAR(160)," ")),
      $W$2:$W$38
    )
  ),
"")</f>
        <v>540</v>
      </c>
      <c r="O90" s="67"/>
    </row>
    <row r="91" spans="1:15" s="12" customFormat="1" x14ac:dyDescent="0.2">
      <c r="A91" s="240"/>
      <c r="B91" s="233" t="s">
        <v>502</v>
      </c>
      <c r="C91" s="234" t="s">
        <v>152</v>
      </c>
      <c r="D91" s="238" t="s">
        <v>323</v>
      </c>
      <c r="E91" s="235" t="s">
        <v>574</v>
      </c>
      <c r="F91" s="238" t="s">
        <v>155</v>
      </c>
      <c r="G91" s="236" t="s">
        <v>368</v>
      </c>
      <c r="H91" s="239">
        <v>18</v>
      </c>
      <c r="I91" s="226" cm="1">
        <f t="array" ref="I91">IFERROR(
  VALUE($H91) *
  VALUE(
    _xlfn.XLOOKUP(
      TRIM($F91) &amp; "|" &amp; LEFT(SUBSTITUTE($G91,CHAR(160)," "),5) &amp; "|Full Rate",
      TRIM(SUBSTITUTE($T$2:$T$38,CHAR(160)," ")) &amp; "|" &amp;
      LEFT(SUBSTITUTE($U$2:$U$38,CHAR(160)," "),5) &amp; "|" &amp;
      TRIM(SUBSTITUTE($V$2:$V$38,CHAR(160)," ")),
      $W$2:$W$38
    )
  ),
"")</f>
        <v>1800</v>
      </c>
      <c r="J91" s="227" cm="1">
        <f t="array" ref="J91">IFERROR(
  VALUE($H91) *
  VALUE(
    _xlfn.XLOOKUP(
      TRIM($F91) &amp; "|" &amp; LEFT(SUBSTITUTE($G91,CHAR(160)," "),5) &amp; "|Reduced Rate",
      TRIM(SUBSTITUTE($T$2:$T$38,CHAR(160)," ")) &amp; "|" &amp;
      LEFT(SUBSTITUTE($U$2:$U$38,CHAR(160)," "),5) &amp; "|" &amp;
      TRIM(SUBSTITUTE($V$2:$V$38,CHAR(160)," ")),
      $W$2:$W$38
    )
  ),
"")</f>
        <v>900</v>
      </c>
      <c r="K91" s="228" cm="1">
        <f t="array" ref="K91">IFERROR(
  VALUE($H91) *
  VALUE(
    _xlfn.XLOOKUP(
      TRIM($F91) &amp; "|" &amp; LEFT(SUBSTITUTE($G91,CHAR(160)," "),5) &amp; "|Ideas Rate",
      TRIM(SUBSTITUTE($T$2:$T$38,CHAR(160)," ")) &amp; "|" &amp;
      LEFT(SUBSTITUTE($U$2:$U$38,CHAR(160)," "),5) &amp; "|" &amp;
      TRIM(SUBSTITUTE($V$2:$V$38,CHAR(160)," ")),
      $W$2:$W$38
    )
  ),
"")</f>
        <v>540</v>
      </c>
      <c r="O91" s="67"/>
    </row>
    <row r="92" spans="1:15" s="12" customFormat="1" x14ac:dyDescent="0.2">
      <c r="A92" s="232"/>
      <c r="B92" s="233" t="s">
        <v>502</v>
      </c>
      <c r="C92" s="234" t="s">
        <v>152</v>
      </c>
      <c r="D92" s="238" t="s">
        <v>323</v>
      </c>
      <c r="E92" s="235" t="s">
        <v>602</v>
      </c>
      <c r="F92" s="238" t="s">
        <v>9</v>
      </c>
      <c r="G92" s="236" t="s">
        <v>368</v>
      </c>
      <c r="H92" s="239">
        <v>20</v>
      </c>
      <c r="I92" s="226" cm="1">
        <f t="array" ref="I92">IFERROR(
  VALUE($H92) *
  VALUE(
    _xlfn.XLOOKUP(
      TRIM($F92) &amp; "|" &amp; LEFT(SUBSTITUTE($G92,CHAR(160)," "),5) &amp; "|Full Rate",
      TRIM(SUBSTITUTE($T$2:$T$38,CHAR(160)," ")) &amp; "|" &amp;
      LEFT(SUBSTITUTE($U$2:$U$38,CHAR(160)," "),5) &amp; "|" &amp;
      TRIM(SUBSTITUTE($V$2:$V$38,CHAR(160)," ")),
      $W$2:$W$38
    )
  ),
"")</f>
        <v>2000</v>
      </c>
      <c r="J92" s="227" cm="1">
        <f t="array" ref="J92">IFERROR(
  VALUE($H92) *
  VALUE(
    _xlfn.XLOOKUP(
      TRIM($F92) &amp; "|" &amp; LEFT(SUBSTITUTE($G92,CHAR(160)," "),5) &amp; "|Reduced Rate",
      TRIM(SUBSTITUTE($T$2:$T$38,CHAR(160)," ")) &amp; "|" &amp;
      LEFT(SUBSTITUTE($U$2:$U$38,CHAR(160)," "),5) &amp; "|" &amp;
      TRIM(SUBSTITUTE($V$2:$V$38,CHAR(160)," ")),
      $W$2:$W$38
    )
  ),
"")</f>
        <v>1000</v>
      </c>
      <c r="K92" s="228" cm="1">
        <f t="array" ref="K92">IFERROR(
  VALUE($H92) *
  VALUE(
    _xlfn.XLOOKUP(
      TRIM($F92) &amp; "|" &amp; LEFT(SUBSTITUTE($G92,CHAR(160)," "),5) &amp; "|Ideas Rate",
      TRIM(SUBSTITUTE($T$2:$T$38,CHAR(160)," ")) &amp; "|" &amp;
      LEFT(SUBSTITUTE($U$2:$U$38,CHAR(160)," "),5) &amp; "|" &amp;
      TRIM(SUBSTITUTE($V$2:$V$38,CHAR(160)," ")),
      $W$2:$W$38
    )
  ),
"")</f>
        <v>600</v>
      </c>
      <c r="O92" s="67"/>
    </row>
    <row r="93" spans="1:15" s="12" customFormat="1" x14ac:dyDescent="0.2">
      <c r="A93" s="232"/>
      <c r="B93" s="233" t="s">
        <v>502</v>
      </c>
      <c r="C93" s="234" t="s">
        <v>152</v>
      </c>
      <c r="D93" s="238" t="s">
        <v>323</v>
      </c>
      <c r="E93" s="235" t="s">
        <v>575</v>
      </c>
      <c r="F93" s="238" t="s">
        <v>10</v>
      </c>
      <c r="G93" s="236" t="s">
        <v>368</v>
      </c>
      <c r="H93" s="239">
        <v>19</v>
      </c>
      <c r="I93" s="226" cm="1">
        <f t="array" ref="I93">IFERROR(
  VALUE($H93) *
  VALUE(
    _xlfn.XLOOKUP(
      TRIM($F93) &amp; "|" &amp; LEFT(SUBSTITUTE($G93,CHAR(160)," "),5) &amp; "|Full Rate",
      TRIM(SUBSTITUTE($T$2:$T$38,CHAR(160)," ")) &amp; "|" &amp;
      LEFT(SUBSTITUTE($U$2:$U$38,CHAR(160)," "),5) &amp; "|" &amp;
      TRIM(SUBSTITUTE($V$2:$V$38,CHAR(160)," ")),
      $W$2:$W$38
    )
  ),
"")</f>
        <v>1900</v>
      </c>
      <c r="J93" s="227" cm="1">
        <f t="array" ref="J93">IFERROR(
  VALUE($H93) *
  VALUE(
    _xlfn.XLOOKUP(
      TRIM($F93) &amp; "|" &amp; LEFT(SUBSTITUTE($G93,CHAR(160)," "),5) &amp; "|Reduced Rate",
      TRIM(SUBSTITUTE($T$2:$T$38,CHAR(160)," ")) &amp; "|" &amp;
      LEFT(SUBSTITUTE($U$2:$U$38,CHAR(160)," "),5) &amp; "|" &amp;
      TRIM(SUBSTITUTE($V$2:$V$38,CHAR(160)," ")),
      $W$2:$W$38
    )
  ),
"")</f>
        <v>950</v>
      </c>
      <c r="K93" s="228" cm="1">
        <f t="array" ref="K93">IFERROR(
  VALUE($H93) *
  VALUE(
    _xlfn.XLOOKUP(
      TRIM($F93) &amp; "|" &amp; LEFT(SUBSTITUTE($G93,CHAR(160)," "),5) &amp; "|Ideas Rate",
      TRIM(SUBSTITUTE($T$2:$T$38,CHAR(160)," ")) &amp; "|" &amp;
      LEFT(SUBSTITUTE($U$2:$U$38,CHAR(160)," "),5) &amp; "|" &amp;
      TRIM(SUBSTITUTE($V$2:$V$38,CHAR(160)," ")),
      $W$2:$W$38
    )
  ),
"")</f>
        <v>570</v>
      </c>
      <c r="O93" s="67"/>
    </row>
    <row r="94" spans="1:15" s="12" customFormat="1" x14ac:dyDescent="0.2">
      <c r="A94" s="232"/>
      <c r="B94" s="233" t="s">
        <v>502</v>
      </c>
      <c r="C94" s="234" t="s">
        <v>152</v>
      </c>
      <c r="D94" s="238" t="s">
        <v>323</v>
      </c>
      <c r="E94" s="235" t="s">
        <v>575</v>
      </c>
      <c r="F94" s="238" t="s">
        <v>155</v>
      </c>
      <c r="G94" s="236" t="s">
        <v>368</v>
      </c>
      <c r="H94" s="239">
        <v>19</v>
      </c>
      <c r="I94" s="226" cm="1">
        <f t="array" ref="I94">IFERROR(
  VALUE($H94) *
  VALUE(
    _xlfn.XLOOKUP(
      TRIM($F94) &amp; "|" &amp; LEFT(SUBSTITUTE($G94,CHAR(160)," "),5) &amp; "|Full Rate",
      TRIM(SUBSTITUTE($T$2:$T$38,CHAR(160)," ")) &amp; "|" &amp;
      LEFT(SUBSTITUTE($U$2:$U$38,CHAR(160)," "),5) &amp; "|" &amp;
      TRIM(SUBSTITUTE($V$2:$V$38,CHAR(160)," ")),
      $W$2:$W$38
    )
  ),
"")</f>
        <v>1900</v>
      </c>
      <c r="J94" s="227" cm="1">
        <f t="array" ref="J94">IFERROR(
  VALUE($H94) *
  VALUE(
    _xlfn.XLOOKUP(
      TRIM($F94) &amp; "|" &amp; LEFT(SUBSTITUTE($G94,CHAR(160)," "),5) &amp; "|Reduced Rate",
      TRIM(SUBSTITUTE($T$2:$T$38,CHAR(160)," ")) &amp; "|" &amp;
      LEFT(SUBSTITUTE($U$2:$U$38,CHAR(160)," "),5) &amp; "|" &amp;
      TRIM(SUBSTITUTE($V$2:$V$38,CHAR(160)," ")),
      $W$2:$W$38
    )
  ),
"")</f>
        <v>950</v>
      </c>
      <c r="K94" s="228" cm="1">
        <f t="array" ref="K94">IFERROR(
  VALUE($H94) *
  VALUE(
    _xlfn.XLOOKUP(
      TRIM($F94) &amp; "|" &amp; LEFT(SUBSTITUTE($G94,CHAR(160)," "),5) &amp; "|Ideas Rate",
      TRIM(SUBSTITUTE($T$2:$T$38,CHAR(160)," ")) &amp; "|" &amp;
      LEFT(SUBSTITUTE($U$2:$U$38,CHAR(160)," "),5) &amp; "|" &amp;
      TRIM(SUBSTITUTE($V$2:$V$38,CHAR(160)," ")),
      $W$2:$W$38
    )
  ),
"")</f>
        <v>570</v>
      </c>
      <c r="O94" s="67"/>
    </row>
    <row r="95" spans="1:15" s="12" customFormat="1" x14ac:dyDescent="0.2">
      <c r="A95" s="232"/>
      <c r="B95" s="233" t="s">
        <v>502</v>
      </c>
      <c r="C95" s="234" t="s">
        <v>152</v>
      </c>
      <c r="D95" s="238" t="s">
        <v>184</v>
      </c>
      <c r="E95" s="235" t="s">
        <v>578</v>
      </c>
      <c r="F95" s="238" t="s">
        <v>9</v>
      </c>
      <c r="G95" s="236" t="s">
        <v>367</v>
      </c>
      <c r="H95" s="239">
        <v>20</v>
      </c>
      <c r="I95" s="226" cm="1">
        <f t="array" ref="I95">IFERROR(
  VALUE($H95) *
  VALUE(
    _xlfn.XLOOKUP(
      TRIM($F95) &amp; "|" &amp; LEFT(SUBSTITUTE($G95,CHAR(160)," "),5) &amp; "|Full Rate",
      TRIM(SUBSTITUTE($T$2:$T$38,CHAR(160)," ")) &amp; "|" &amp;
      LEFT(SUBSTITUTE($U$2:$U$38,CHAR(160)," "),5) &amp; "|" &amp;
      TRIM(SUBSTITUTE($V$2:$V$38,CHAR(160)," ")),
      $W$2:$W$38
    )
  ),
"")</f>
        <v>10000</v>
      </c>
      <c r="J95" s="227" cm="1">
        <f t="array" ref="J95">IFERROR(
  VALUE($H95) *
  VALUE(
    _xlfn.XLOOKUP(
      TRIM($F95) &amp; "|" &amp; LEFT(SUBSTITUTE($G95,CHAR(160)," "),5) &amp; "|Reduced Rate",
      TRIM(SUBSTITUTE($T$2:$T$38,CHAR(160)," ")) &amp; "|" &amp;
      LEFT(SUBSTITUTE($U$2:$U$38,CHAR(160)," "),5) &amp; "|" &amp;
      TRIM(SUBSTITUTE($V$2:$V$38,CHAR(160)," ")),
      $W$2:$W$38
    )
  ),
"")</f>
        <v>6000</v>
      </c>
      <c r="K95" s="228" cm="1">
        <f t="array" ref="K95">IFERROR(
  VALUE($H95) *
  VALUE(
    _xlfn.XLOOKUP(
      TRIM($F95) &amp; "|" &amp; LEFT(SUBSTITUTE($G95,CHAR(160)," "),5) &amp; "|Ideas Rate",
      TRIM(SUBSTITUTE($T$2:$T$38,CHAR(160)," ")) &amp; "|" &amp;
      LEFT(SUBSTITUTE($U$2:$U$38,CHAR(160)," "),5) &amp; "|" &amp;
      TRIM(SUBSTITUTE($V$2:$V$38,CHAR(160)," ")),
      $W$2:$W$38
    )
  ),
"")</f>
        <v>3000</v>
      </c>
      <c r="O95" s="67"/>
    </row>
    <row r="96" spans="1:15" s="12" customFormat="1" x14ac:dyDescent="0.2">
      <c r="A96" s="232"/>
      <c r="B96" s="233" t="s">
        <v>502</v>
      </c>
      <c r="C96" s="234" t="s">
        <v>152</v>
      </c>
      <c r="D96" s="238" t="s">
        <v>184</v>
      </c>
      <c r="E96" s="235" t="s">
        <v>578</v>
      </c>
      <c r="F96" s="238" t="s">
        <v>10</v>
      </c>
      <c r="G96" s="236" t="s">
        <v>380</v>
      </c>
      <c r="H96" s="239">
        <v>20</v>
      </c>
      <c r="I96" s="226" cm="1">
        <f t="array" ref="I96">IFERROR(
  VALUE($H96) *
  VALUE(
    _xlfn.XLOOKUP(
      TRIM($F96) &amp; "|" &amp; LEFT(SUBSTITUTE($G96,CHAR(160)," "),5) &amp; "|Full Rate",
      TRIM(SUBSTITUTE($T$2:$T$38,CHAR(160)," ")) &amp; "|" &amp;
      LEFT(SUBSTITUTE($U$2:$U$38,CHAR(160)," "),5) &amp; "|" &amp;
      TRIM(SUBSTITUTE($V$2:$V$38,CHAR(160)," ")),
      $W$2:$W$38
    )
  ),
"")</f>
        <v>5000</v>
      </c>
      <c r="J96" s="227" cm="1">
        <f t="array" ref="J96">IFERROR(
  VALUE($H96) *
  VALUE(
    _xlfn.XLOOKUP(
      TRIM($F96) &amp; "|" &amp; LEFT(SUBSTITUTE($G96,CHAR(160)," "),5) &amp; "|Reduced Rate",
      TRIM(SUBSTITUTE($T$2:$T$38,CHAR(160)," ")) &amp; "|" &amp;
      LEFT(SUBSTITUTE($U$2:$U$38,CHAR(160)," "),5) &amp; "|" &amp;
      TRIM(SUBSTITUTE($V$2:$V$38,CHAR(160)," ")),
      $W$2:$W$38
    )
  ),
"")</f>
        <v>3000</v>
      </c>
      <c r="K96" s="228" cm="1">
        <f t="array" ref="K96">IFERROR(
  VALUE($H96) *
  VALUE(
    _xlfn.XLOOKUP(
      TRIM($F96) &amp; "|" &amp; LEFT(SUBSTITUTE($G96,CHAR(160)," "),5) &amp; "|Ideas Rate",
      TRIM(SUBSTITUTE($T$2:$T$38,CHAR(160)," ")) &amp; "|" &amp;
      LEFT(SUBSTITUTE($U$2:$U$38,CHAR(160)," "),5) &amp; "|" &amp;
      TRIM(SUBSTITUTE($V$2:$V$38,CHAR(160)," ")),
      $W$2:$W$38
    )
  ),
"")</f>
        <v>1500</v>
      </c>
      <c r="O96" s="67"/>
    </row>
    <row r="97" spans="1:15" s="12" customFormat="1" x14ac:dyDescent="0.2">
      <c r="A97" s="232"/>
      <c r="B97" s="233" t="s">
        <v>502</v>
      </c>
      <c r="C97" s="234" t="s">
        <v>152</v>
      </c>
      <c r="D97" s="238" t="s">
        <v>184</v>
      </c>
      <c r="E97" s="238" t="s">
        <v>578</v>
      </c>
      <c r="F97" s="238" t="s">
        <v>155</v>
      </c>
      <c r="G97" s="236" t="s">
        <v>380</v>
      </c>
      <c r="H97" s="239">
        <v>20</v>
      </c>
      <c r="I97" s="226" cm="1">
        <f t="array" ref="I97">IFERROR(
  VALUE($H97) *
  VALUE(
    _xlfn.XLOOKUP(
      TRIM($F97) &amp; "|" &amp; LEFT(SUBSTITUTE($G97,CHAR(160)," "),5) &amp; "|Full Rate",
      TRIM(SUBSTITUTE($T$2:$T$38,CHAR(160)," ")) &amp; "|" &amp;
      LEFT(SUBSTITUTE($U$2:$U$38,CHAR(160)," "),5) &amp; "|" &amp;
      TRIM(SUBSTITUTE($V$2:$V$38,CHAR(160)," ")),
      $W$2:$W$38
    )
  ),
"")</f>
        <v>5200</v>
      </c>
      <c r="J97" s="227" cm="1">
        <f t="array" ref="J97">IFERROR(
  VALUE($H97) *
  VALUE(
    _xlfn.XLOOKUP(
      TRIM($F97) &amp; "|" &amp; LEFT(SUBSTITUTE($G97,CHAR(160)," "),5) &amp; "|Reduced Rate",
      TRIM(SUBSTITUTE($T$2:$T$38,CHAR(160)," ")) &amp; "|" &amp;
      LEFT(SUBSTITUTE($U$2:$U$38,CHAR(160)," "),5) &amp; "|" &amp;
      TRIM(SUBSTITUTE($V$2:$V$38,CHAR(160)," ")),
      $W$2:$W$38
    )
  ),
"")</f>
        <v>2400</v>
      </c>
      <c r="K97" s="228" cm="1">
        <f t="array" ref="K97">IFERROR(
  VALUE($H97) *
  VALUE(
    _xlfn.XLOOKUP(
      TRIM($F97) &amp; "|" &amp; LEFT(SUBSTITUTE($G97,CHAR(160)," "),5) &amp; "|Ideas Rate",
      TRIM(SUBSTITUTE($T$2:$T$38,CHAR(160)," ")) &amp; "|" &amp;
      LEFT(SUBSTITUTE($U$2:$U$38,CHAR(160)," "),5) &amp; "|" &amp;
      TRIM(SUBSTITUTE($V$2:$V$38,CHAR(160)," ")),
      $W$2:$W$38
    )
  ),
"")</f>
        <v>1800</v>
      </c>
      <c r="O97" s="67"/>
    </row>
    <row r="98" spans="1:15" s="250" customFormat="1" x14ac:dyDescent="0.2">
      <c r="A98" s="241"/>
      <c r="B98" s="242" t="s">
        <v>502</v>
      </c>
      <c r="C98" s="243" t="s">
        <v>152</v>
      </c>
      <c r="D98" s="244" t="s">
        <v>323</v>
      </c>
      <c r="E98" s="244" t="s">
        <v>579</v>
      </c>
      <c r="F98" s="244" t="s">
        <v>155</v>
      </c>
      <c r="G98" s="245" t="s">
        <v>368</v>
      </c>
      <c r="H98" s="246">
        <v>12</v>
      </c>
      <c r="I98" s="247" cm="1">
        <f t="array" ref="I98">IFERROR(
  VALUE($H98) *
  VALUE(
    _xlfn.XLOOKUP(
      TRIM($F98) &amp; "|" &amp; LEFT(SUBSTITUTE($G98,CHAR(160)," "),5) &amp; "|Full Rate",
      TRIM(SUBSTITUTE($T$2:$T$38,CHAR(160)," ")) &amp; "|" &amp;
      LEFT(SUBSTITUTE($U$2:$U$38,CHAR(160)," "),5) &amp; "|" &amp;
      TRIM(SUBSTITUTE($V$2:$V$38,CHAR(160)," ")),
      $W$2:$W$38
    )
  ),
"")</f>
        <v>1200</v>
      </c>
      <c r="J98" s="248" cm="1">
        <f t="array" ref="J98">IFERROR(
  VALUE($H98) *
  VALUE(
    _xlfn.XLOOKUP(
      TRIM($F98) &amp; "|" &amp; LEFT(SUBSTITUTE($G98,CHAR(160)," "),5) &amp; "|Reduced Rate",
      TRIM(SUBSTITUTE($T$2:$T$38,CHAR(160)," ")) &amp; "|" &amp;
      LEFT(SUBSTITUTE($U$2:$U$38,CHAR(160)," "),5) &amp; "|" &amp;
      TRIM(SUBSTITUTE($V$2:$V$38,CHAR(160)," ")),
      $W$2:$W$38
    )
  ),
"")</f>
        <v>600</v>
      </c>
      <c r="K98" s="249" cm="1">
        <f t="array" ref="K98">IFERROR(
  VALUE($H98) *
  VALUE(
    _xlfn.XLOOKUP(
      TRIM($F98) &amp; "|" &amp; LEFT(SUBSTITUTE($G98,CHAR(160)," "),5) &amp; "|Ideas Rate",
      TRIM(SUBSTITUTE($T$2:$T$38,CHAR(160)," ")) &amp; "|" &amp;
      LEFT(SUBSTITUTE($U$2:$U$38,CHAR(160)," "),5) &amp; "|" &amp;
      TRIM(SUBSTITUTE($V$2:$V$38,CHAR(160)," ")),
      $W$2:$W$38
    )
  ),
"")</f>
        <v>360</v>
      </c>
      <c r="O98" s="251"/>
    </row>
    <row r="99" spans="1:15" s="250" customFormat="1" x14ac:dyDescent="0.2">
      <c r="A99" s="241"/>
      <c r="B99" s="242" t="s">
        <v>502</v>
      </c>
      <c r="C99" s="243" t="s">
        <v>152</v>
      </c>
      <c r="D99" s="244" t="s">
        <v>323</v>
      </c>
      <c r="E99" s="244" t="s">
        <v>579</v>
      </c>
      <c r="F99" s="244" t="s">
        <v>10</v>
      </c>
      <c r="G99" s="245" t="s">
        <v>368</v>
      </c>
      <c r="H99" s="246">
        <v>12</v>
      </c>
      <c r="I99" s="247" cm="1">
        <f t="array" ref="I99">IFERROR(
  VALUE($H99) *
  VALUE(
    _xlfn.XLOOKUP(
      TRIM($F99) &amp; "|" &amp; LEFT(SUBSTITUTE($G99,CHAR(160)," "),5) &amp; "|Full Rate",
      TRIM(SUBSTITUTE($T$2:$T$38,CHAR(160)," ")) &amp; "|" &amp;
      LEFT(SUBSTITUTE($U$2:$U$38,CHAR(160)," "),5) &amp; "|" &amp;
      TRIM(SUBSTITUTE($V$2:$V$38,CHAR(160)," ")),
      $W$2:$W$38
    )
  ),
"")</f>
        <v>1200</v>
      </c>
      <c r="J99" s="248" cm="1">
        <f t="array" ref="J99">IFERROR(
  VALUE($H99) *
  VALUE(
    _xlfn.XLOOKUP(
      TRIM($F99) &amp; "|" &amp; LEFT(SUBSTITUTE($G99,CHAR(160)," "),5) &amp; "|Reduced Rate",
      TRIM(SUBSTITUTE($T$2:$T$38,CHAR(160)," ")) &amp; "|" &amp;
      LEFT(SUBSTITUTE($U$2:$U$38,CHAR(160)," "),5) &amp; "|" &amp;
      TRIM(SUBSTITUTE($V$2:$V$38,CHAR(160)," ")),
      $W$2:$W$38
    )
  ),
"")</f>
        <v>600</v>
      </c>
      <c r="K99" s="249" cm="1">
        <f t="array" ref="K99">IFERROR(
  VALUE($H99) *
  VALUE(
    _xlfn.XLOOKUP(
      TRIM($F99) &amp; "|" &amp; LEFT(SUBSTITUTE($G99,CHAR(160)," "),5) &amp; "|Ideas Rate",
      TRIM(SUBSTITUTE($T$2:$T$38,CHAR(160)," ")) &amp; "|" &amp;
      LEFT(SUBSTITUTE($U$2:$U$38,CHAR(160)," "),5) &amp; "|" &amp;
      TRIM(SUBSTITUTE($V$2:$V$38,CHAR(160)," ")),
      $W$2:$W$38
    )
  ),
"")</f>
        <v>360</v>
      </c>
      <c r="O99" s="251"/>
    </row>
    <row r="100" spans="1:15" s="250" customFormat="1" x14ac:dyDescent="0.2">
      <c r="A100" s="241"/>
      <c r="B100" s="242" t="s">
        <v>502</v>
      </c>
      <c r="C100" s="243" t="s">
        <v>152</v>
      </c>
      <c r="D100" s="244" t="s">
        <v>323</v>
      </c>
      <c r="E100" s="244" t="s">
        <v>580</v>
      </c>
      <c r="F100" s="244" t="s">
        <v>9</v>
      </c>
      <c r="G100" s="245" t="s">
        <v>368</v>
      </c>
      <c r="H100" s="246">
        <v>10</v>
      </c>
      <c r="I100" s="247" cm="1">
        <f t="array" ref="I100">IFERROR(
  VALUE($H100) *
  VALUE(
    _xlfn.XLOOKUP(
      TRIM($F100) &amp; "|" &amp; LEFT(SUBSTITUTE($G100,CHAR(160)," "),5) &amp; "|Full Rate",
      TRIM(SUBSTITUTE($T$2:$T$38,CHAR(160)," ")) &amp; "|" &amp;
      LEFT(SUBSTITUTE($U$2:$U$38,CHAR(160)," "),5) &amp; "|" &amp;
      TRIM(SUBSTITUTE($V$2:$V$38,CHAR(160)," ")),
      $W$2:$W$38
    )
  ),
"")</f>
        <v>1000</v>
      </c>
      <c r="J100" s="248" cm="1">
        <f t="array" ref="J100">IFERROR(
  VALUE($H100) *
  VALUE(
    _xlfn.XLOOKUP(
      TRIM($F100) &amp; "|" &amp; LEFT(SUBSTITUTE($G100,CHAR(160)," "),5) &amp; "|Reduced Rate",
      TRIM(SUBSTITUTE($T$2:$T$38,CHAR(160)," ")) &amp; "|" &amp;
      LEFT(SUBSTITUTE($U$2:$U$38,CHAR(160)," "),5) &amp; "|" &amp;
      TRIM(SUBSTITUTE($V$2:$V$38,CHAR(160)," ")),
      $W$2:$W$38
    )
  ),
"")</f>
        <v>500</v>
      </c>
      <c r="K100" s="249" cm="1">
        <f t="array" ref="K100">IFERROR(
  VALUE($H100) *
  VALUE(
    _xlfn.XLOOKUP(
      TRIM($F100) &amp; "|" &amp; LEFT(SUBSTITUTE($G100,CHAR(160)," "),5) &amp; "|Ideas Rate",
      TRIM(SUBSTITUTE($T$2:$T$38,CHAR(160)," ")) &amp; "|" &amp;
      LEFT(SUBSTITUTE($U$2:$U$38,CHAR(160)," "),5) &amp; "|" &amp;
      TRIM(SUBSTITUTE($V$2:$V$38,CHAR(160)," ")),
      $W$2:$W$38
    )
  ),
"")</f>
        <v>300</v>
      </c>
      <c r="O100" s="251"/>
    </row>
    <row r="101" spans="1:15" s="250" customFormat="1" x14ac:dyDescent="0.2">
      <c r="A101" s="241"/>
      <c r="B101" s="242" t="s">
        <v>502</v>
      </c>
      <c r="C101" s="243" t="s">
        <v>152</v>
      </c>
      <c r="D101" s="244" t="s">
        <v>323</v>
      </c>
      <c r="E101" s="244" t="s">
        <v>580</v>
      </c>
      <c r="F101" s="244" t="s">
        <v>155</v>
      </c>
      <c r="G101" s="245" t="s">
        <v>368</v>
      </c>
      <c r="H101" s="246">
        <v>16</v>
      </c>
      <c r="I101" s="247" cm="1">
        <f t="array" ref="I101">IFERROR(
  VALUE($H101) *
  VALUE(
    _xlfn.XLOOKUP(
      TRIM($F101) &amp; "|" &amp; LEFT(SUBSTITUTE($G101,CHAR(160)," "),5) &amp; "|Full Rate",
      TRIM(SUBSTITUTE($T$2:$T$38,CHAR(160)," ")) &amp; "|" &amp;
      LEFT(SUBSTITUTE($U$2:$U$38,CHAR(160)," "),5) &amp; "|" &amp;
      TRIM(SUBSTITUTE($V$2:$V$38,CHAR(160)," ")),
      $W$2:$W$38
    )
  ),
"")</f>
        <v>1600</v>
      </c>
      <c r="J101" s="248" cm="1">
        <f t="array" ref="J101">IFERROR(
  VALUE($H101) *
  VALUE(
    _xlfn.XLOOKUP(
      TRIM($F101) &amp; "|" &amp; LEFT(SUBSTITUTE($G101,CHAR(160)," "),5) &amp; "|Reduced Rate",
      TRIM(SUBSTITUTE($T$2:$T$38,CHAR(160)," ")) &amp; "|" &amp;
      LEFT(SUBSTITUTE($U$2:$U$38,CHAR(160)," "),5) &amp; "|" &amp;
      TRIM(SUBSTITUTE($V$2:$V$38,CHAR(160)," ")),
      $W$2:$W$38
    )
  ),
"")</f>
        <v>800</v>
      </c>
      <c r="K101" s="249" cm="1">
        <f t="array" ref="K101">IFERROR(
  VALUE($H101) *
  VALUE(
    _xlfn.XLOOKUP(
      TRIM($F101) &amp; "|" &amp; LEFT(SUBSTITUTE($G101,CHAR(160)," "),5) &amp; "|Ideas Rate",
      TRIM(SUBSTITUTE($T$2:$T$38,CHAR(160)," ")) &amp; "|" &amp;
      LEFT(SUBSTITUTE($U$2:$U$38,CHAR(160)," "),5) &amp; "|" &amp;
      TRIM(SUBSTITUTE($V$2:$V$38,CHAR(160)," ")),
      $W$2:$W$38
    )
  ),
"")</f>
        <v>480</v>
      </c>
      <c r="O101" s="251"/>
    </row>
    <row r="102" spans="1:15" s="250" customFormat="1" x14ac:dyDescent="0.2">
      <c r="A102" s="241"/>
      <c r="B102" s="242" t="s">
        <v>502</v>
      </c>
      <c r="C102" s="243" t="s">
        <v>152</v>
      </c>
      <c r="D102" s="244" t="s">
        <v>323</v>
      </c>
      <c r="E102" s="244" t="s">
        <v>580</v>
      </c>
      <c r="F102" s="244" t="s">
        <v>10</v>
      </c>
      <c r="G102" s="245" t="s">
        <v>368</v>
      </c>
      <c r="H102" s="246">
        <v>16</v>
      </c>
      <c r="I102" s="247" cm="1">
        <f t="array" ref="I102">IFERROR(
  VALUE($H102) *
  VALUE(
    _xlfn.XLOOKUP(
      TRIM($F102) &amp; "|" &amp; LEFT(SUBSTITUTE($G102,CHAR(160)," "),5) &amp; "|Full Rate",
      TRIM(SUBSTITUTE($T$2:$T$38,CHAR(160)," ")) &amp; "|" &amp;
      LEFT(SUBSTITUTE($U$2:$U$38,CHAR(160)," "),5) &amp; "|" &amp;
      TRIM(SUBSTITUTE($V$2:$V$38,CHAR(160)," ")),
      $W$2:$W$38
    )
  ),
"")</f>
        <v>1600</v>
      </c>
      <c r="J102" s="248" cm="1">
        <f t="array" ref="J102">IFERROR(
  VALUE($H102) *
  VALUE(
    _xlfn.XLOOKUP(
      TRIM($F102) &amp; "|" &amp; LEFT(SUBSTITUTE($G102,CHAR(160)," "),5) &amp; "|Reduced Rate",
      TRIM(SUBSTITUTE($T$2:$T$38,CHAR(160)," ")) &amp; "|" &amp;
      LEFT(SUBSTITUTE($U$2:$U$38,CHAR(160)," "),5) &amp; "|" &amp;
      TRIM(SUBSTITUTE($V$2:$V$38,CHAR(160)," ")),
      $W$2:$W$38
    )
  ),
"")</f>
        <v>800</v>
      </c>
      <c r="K102" s="249" cm="1">
        <f t="array" ref="K102">IFERROR(
  VALUE($H102) *
  VALUE(
    _xlfn.XLOOKUP(
      TRIM($F102) &amp; "|" &amp; LEFT(SUBSTITUTE($G102,CHAR(160)," "),5) &amp; "|Ideas Rate",
      TRIM(SUBSTITUTE($T$2:$T$38,CHAR(160)," ")) &amp; "|" &amp;
      LEFT(SUBSTITUTE($U$2:$U$38,CHAR(160)," "),5) &amp; "|" &amp;
      TRIM(SUBSTITUTE($V$2:$V$38,CHAR(160)," ")),
      $W$2:$W$38
    )
  ),
"")</f>
        <v>480</v>
      </c>
      <c r="O102" s="251"/>
    </row>
    <row r="103" spans="1:15" s="250" customFormat="1" x14ac:dyDescent="0.2">
      <c r="A103" s="241"/>
      <c r="B103" s="242" t="s">
        <v>502</v>
      </c>
      <c r="C103" s="243" t="s">
        <v>152</v>
      </c>
      <c r="D103" s="244" t="s">
        <v>184</v>
      </c>
      <c r="E103" s="244" t="s">
        <v>581</v>
      </c>
      <c r="F103" s="244" t="s">
        <v>9</v>
      </c>
      <c r="G103" s="245" t="s">
        <v>367</v>
      </c>
      <c r="H103" s="246">
        <v>20</v>
      </c>
      <c r="I103" s="247" cm="1">
        <f t="array" ref="I103">IFERROR(
  VALUE($H103) *
  VALUE(
    _xlfn.XLOOKUP(
      TRIM($F103) &amp; "|" &amp; LEFT(SUBSTITUTE($G103,CHAR(160)," "),5) &amp; "|Full Rate",
      TRIM(SUBSTITUTE($T$2:$T$38,CHAR(160)," ")) &amp; "|" &amp;
      LEFT(SUBSTITUTE($U$2:$U$38,CHAR(160)," "),5) &amp; "|" &amp;
      TRIM(SUBSTITUTE($V$2:$V$38,CHAR(160)," ")),
      $W$2:$W$38
    )
  ),
"")</f>
        <v>10000</v>
      </c>
      <c r="J103" s="248" cm="1">
        <f t="array" ref="J103">IFERROR(
  VALUE($H103) *
  VALUE(
    _xlfn.XLOOKUP(
      TRIM($F103) &amp; "|" &amp; LEFT(SUBSTITUTE($G103,CHAR(160)," "),5) &amp; "|Reduced Rate",
      TRIM(SUBSTITUTE($T$2:$T$38,CHAR(160)," ")) &amp; "|" &amp;
      LEFT(SUBSTITUTE($U$2:$U$38,CHAR(160)," "),5) &amp; "|" &amp;
      TRIM(SUBSTITUTE($V$2:$V$38,CHAR(160)," ")),
      $W$2:$W$38
    )
  ),
"")</f>
        <v>6000</v>
      </c>
      <c r="K103" s="249" cm="1">
        <f t="array" ref="K103">IFERROR(
  VALUE($H103) *
  VALUE(
    _xlfn.XLOOKUP(
      TRIM($F103) &amp; "|" &amp; LEFT(SUBSTITUTE($G103,CHAR(160)," "),5) &amp; "|Ideas Rate",
      TRIM(SUBSTITUTE($T$2:$T$38,CHAR(160)," ")) &amp; "|" &amp;
      LEFT(SUBSTITUTE($U$2:$U$38,CHAR(160)," "),5) &amp; "|" &amp;
      TRIM(SUBSTITUTE($V$2:$V$38,CHAR(160)," ")),
      $W$2:$W$38
    )
  ),
"")</f>
        <v>3000</v>
      </c>
      <c r="O103" s="251"/>
    </row>
    <row r="104" spans="1:15" s="250" customFormat="1" x14ac:dyDescent="0.2">
      <c r="A104" s="241"/>
      <c r="B104" s="242" t="s">
        <v>502</v>
      </c>
      <c r="C104" s="243" t="s">
        <v>152</v>
      </c>
      <c r="D104" s="244" t="s">
        <v>184</v>
      </c>
      <c r="E104" s="244" t="s">
        <v>581</v>
      </c>
      <c r="F104" s="244" t="s">
        <v>10</v>
      </c>
      <c r="G104" s="245" t="s">
        <v>380</v>
      </c>
      <c r="H104" s="246">
        <v>20</v>
      </c>
      <c r="I104" s="247" cm="1">
        <f t="array" ref="I104">IFERROR(
  VALUE($H104) *
  VALUE(
    _xlfn.XLOOKUP(
      TRIM($F104) &amp; "|" &amp; LEFT(SUBSTITUTE($G104,CHAR(160)," "),5) &amp; "|Full Rate",
      TRIM(SUBSTITUTE($T$2:$T$38,CHAR(160)," ")) &amp; "|" &amp;
      LEFT(SUBSTITUTE($U$2:$U$38,CHAR(160)," "),5) &amp; "|" &amp;
      TRIM(SUBSTITUTE($V$2:$V$38,CHAR(160)," ")),
      $W$2:$W$38
    )
  ),
"")</f>
        <v>5000</v>
      </c>
      <c r="J104" s="248" cm="1">
        <f t="array" ref="J104">IFERROR(
  VALUE($H104) *
  VALUE(
    _xlfn.XLOOKUP(
      TRIM($F104) &amp; "|" &amp; LEFT(SUBSTITUTE($G104,CHAR(160)," "),5) &amp; "|Reduced Rate",
      TRIM(SUBSTITUTE($T$2:$T$38,CHAR(160)," ")) &amp; "|" &amp;
      LEFT(SUBSTITUTE($U$2:$U$38,CHAR(160)," "),5) &amp; "|" &amp;
      TRIM(SUBSTITUTE($V$2:$V$38,CHAR(160)," ")),
      $W$2:$W$38
    )
  ),
"")</f>
        <v>3000</v>
      </c>
      <c r="K104" s="249" cm="1">
        <f t="array" ref="K104">IFERROR(
  VALUE($H104) *
  VALUE(
    _xlfn.XLOOKUP(
      TRIM($F104) &amp; "|" &amp; LEFT(SUBSTITUTE($G104,CHAR(160)," "),5) &amp; "|Ideas Rate",
      TRIM(SUBSTITUTE($T$2:$T$38,CHAR(160)," ")) &amp; "|" &amp;
      LEFT(SUBSTITUTE($U$2:$U$38,CHAR(160)," "),5) &amp; "|" &amp;
      TRIM(SUBSTITUTE($V$2:$V$38,CHAR(160)," ")),
      $W$2:$W$38
    )
  ),
"")</f>
        <v>1500</v>
      </c>
      <c r="O104" s="251"/>
    </row>
    <row r="105" spans="1:15" s="250" customFormat="1" x14ac:dyDescent="0.2">
      <c r="A105" s="241"/>
      <c r="B105" s="242" t="s">
        <v>502</v>
      </c>
      <c r="C105" s="243" t="s">
        <v>152</v>
      </c>
      <c r="D105" s="244" t="s">
        <v>184</v>
      </c>
      <c r="E105" s="244" t="s">
        <v>581</v>
      </c>
      <c r="F105" s="244" t="s">
        <v>155</v>
      </c>
      <c r="G105" s="245" t="s">
        <v>368</v>
      </c>
      <c r="H105" s="246">
        <v>20</v>
      </c>
      <c r="I105" s="247" cm="1">
        <f t="array" ref="I105">IFERROR(
  VALUE($H105) *
  VALUE(
    _xlfn.XLOOKUP(
      TRIM($F105) &amp; "|" &amp; LEFT(SUBSTITUTE($G105,CHAR(160)," "),5) &amp; "|Full Rate",
      TRIM(SUBSTITUTE($T$2:$T$38,CHAR(160)," ")) &amp; "|" &amp;
      LEFT(SUBSTITUTE($U$2:$U$38,CHAR(160)," "),5) &amp; "|" &amp;
      TRIM(SUBSTITUTE($V$2:$V$38,CHAR(160)," ")),
      $W$2:$W$38
    )
  ),
"")</f>
        <v>2000</v>
      </c>
      <c r="J105" s="248" cm="1">
        <f t="array" ref="J105">IFERROR(
  VALUE($H105) *
  VALUE(
    _xlfn.XLOOKUP(
      TRIM($F105) &amp; "|" &amp; LEFT(SUBSTITUTE($G105,CHAR(160)," "),5) &amp; "|Reduced Rate",
      TRIM(SUBSTITUTE($T$2:$T$38,CHAR(160)," ")) &amp; "|" &amp;
      LEFT(SUBSTITUTE($U$2:$U$38,CHAR(160)," "),5) &amp; "|" &amp;
      TRIM(SUBSTITUTE($V$2:$V$38,CHAR(160)," ")),
      $W$2:$W$38
    )
  ),
"")</f>
        <v>1000</v>
      </c>
      <c r="K105" s="249" cm="1">
        <f t="array" ref="K105">IFERROR(
  VALUE($H105) *
  VALUE(
    _xlfn.XLOOKUP(
      TRIM($F105) &amp; "|" &amp; LEFT(SUBSTITUTE($G105,CHAR(160)," "),5) &amp; "|Ideas Rate",
      TRIM(SUBSTITUTE($T$2:$T$38,CHAR(160)," ")) &amp; "|" &amp;
      LEFT(SUBSTITUTE($U$2:$U$38,CHAR(160)," "),5) &amp; "|" &amp;
      TRIM(SUBSTITUTE($V$2:$V$38,CHAR(160)," ")),
      $W$2:$W$38
    )
  ),
"")</f>
        <v>600</v>
      </c>
      <c r="O105" s="251"/>
    </row>
    <row r="106" spans="1:15" s="8" customFormat="1" x14ac:dyDescent="0.2">
      <c r="A106" s="252"/>
      <c r="B106" s="253" t="s">
        <v>508</v>
      </c>
      <c r="C106" s="254" t="s">
        <v>152</v>
      </c>
      <c r="D106" s="255" t="s">
        <v>29</v>
      </c>
      <c r="E106" s="255" t="s">
        <v>587</v>
      </c>
      <c r="F106" s="255" t="s">
        <v>9</v>
      </c>
      <c r="G106" s="256" t="s">
        <v>367</v>
      </c>
      <c r="H106" s="257">
        <v>12</v>
      </c>
      <c r="I106" s="258" cm="1">
        <f t="array" ref="I106">IFERROR(
  VALUE($H106) *
  VALUE(
    _xlfn.XLOOKUP(
      TRIM($F106) &amp; "|" &amp; LEFT(SUBSTITUTE($G106,CHAR(160)," "),5) &amp; "|Full Rate",
      TRIM(SUBSTITUTE($T$2:$T$38,CHAR(160)," ")) &amp; "|" &amp;
      LEFT(SUBSTITUTE($U$2:$U$38,CHAR(160)," "),5) &amp; "|" &amp;
      TRIM(SUBSTITUTE($V$2:$V$38,CHAR(160)," ")),
      $W$2:$W$38
    )
  ),
"")</f>
        <v>6000</v>
      </c>
      <c r="J106" s="55" cm="1">
        <f t="array" ref="J106">IFERROR(
  VALUE($H106) *
  VALUE(
    _xlfn.XLOOKUP(
      TRIM($F106) &amp; "|" &amp; LEFT(SUBSTITUTE($G106,CHAR(160)," "),5) &amp; "|Reduced Rate",
      TRIM(SUBSTITUTE($T$2:$T$38,CHAR(160)," ")) &amp; "|" &amp;
      LEFT(SUBSTITUTE($U$2:$U$38,CHAR(160)," "),5) &amp; "|" &amp;
      TRIM(SUBSTITUTE($V$2:$V$38,CHAR(160)," ")),
      $W$2:$W$38
    )
  ),
"")</f>
        <v>3600</v>
      </c>
      <c r="K106" s="259" cm="1">
        <f t="array" ref="K106">IFERROR(
  VALUE($H106) *
  VALUE(
    _xlfn.XLOOKUP(
      TRIM($F106) &amp; "|" &amp; LEFT(SUBSTITUTE($G106,CHAR(160)," "),5) &amp; "|Ideas Rate",
      TRIM(SUBSTITUTE($T$2:$T$38,CHAR(160)," ")) &amp; "|" &amp;
      LEFT(SUBSTITUTE($U$2:$U$38,CHAR(160)," "),5) &amp; "|" &amp;
      TRIM(SUBSTITUTE($V$2:$V$38,CHAR(160)," ")),
      $W$2:$W$38
    )
  ),
"")</f>
        <v>1800</v>
      </c>
      <c r="O106" s="260"/>
    </row>
    <row r="107" spans="1:15" s="8" customFormat="1" x14ac:dyDescent="0.2">
      <c r="A107" s="252"/>
      <c r="B107" s="253" t="s">
        <v>508</v>
      </c>
      <c r="C107" s="254" t="s">
        <v>152</v>
      </c>
      <c r="D107" s="255" t="s">
        <v>29</v>
      </c>
      <c r="E107" s="255" t="s">
        <v>587</v>
      </c>
      <c r="F107" s="255" t="s">
        <v>9</v>
      </c>
      <c r="G107" s="256" t="s">
        <v>380</v>
      </c>
      <c r="H107" s="257">
        <v>48</v>
      </c>
      <c r="I107" s="258" cm="1">
        <f t="array" ref="I107">IFERROR(
  VALUE($H107) *
  VALUE(
    _xlfn.XLOOKUP(
      TRIM($F107) &amp; "|" &amp; LEFT(SUBSTITUTE($G107,CHAR(160)," "),5) &amp; "|Full Rate",
      TRIM(SUBSTITUTE($T$2:$T$38,CHAR(160)," ")) &amp; "|" &amp;
      LEFT(SUBSTITUTE($U$2:$U$38,CHAR(160)," "),5) &amp; "|" &amp;
      TRIM(SUBSTITUTE($V$2:$V$38,CHAR(160)," ")),
      $W$2:$W$38
    )
  ),
"")</f>
        <v>12000</v>
      </c>
      <c r="J107" s="55" cm="1">
        <f t="array" ref="J107">IFERROR(
  VALUE($H107) *
  VALUE(
    _xlfn.XLOOKUP(
      TRIM($F107) &amp; "|" &amp; LEFT(SUBSTITUTE($G107,CHAR(160)," "),5) &amp; "|Reduced Rate",
      TRIM(SUBSTITUTE($T$2:$T$38,CHAR(160)," ")) &amp; "|" &amp;
      LEFT(SUBSTITUTE($U$2:$U$38,CHAR(160)," "),5) &amp; "|" &amp;
      TRIM(SUBSTITUTE($V$2:$V$38,CHAR(160)," ")),
      $W$2:$W$38
    )
  ),
"")</f>
        <v>7200</v>
      </c>
      <c r="K107" s="259" cm="1">
        <f t="array" ref="K107">IFERROR(
  VALUE($H107) *
  VALUE(
    _xlfn.XLOOKUP(
      TRIM($F107) &amp; "|" &amp; LEFT(SUBSTITUTE($G107,CHAR(160)," "),5) &amp; "|Ideas Rate",
      TRIM(SUBSTITUTE($T$2:$T$38,CHAR(160)," ")) &amp; "|" &amp;
      LEFT(SUBSTITUTE($U$2:$U$38,CHAR(160)," "),5) &amp; "|" &amp;
      TRIM(SUBSTITUTE($V$2:$V$38,CHAR(160)," ")),
      $W$2:$W$38
    )
  ),
"")</f>
        <v>3600</v>
      </c>
      <c r="O107" s="260"/>
    </row>
    <row r="108" spans="1:15" s="8" customFormat="1" x14ac:dyDescent="0.2">
      <c r="A108" s="252"/>
      <c r="B108" s="253" t="s">
        <v>508</v>
      </c>
      <c r="C108" s="254" t="s">
        <v>152</v>
      </c>
      <c r="D108" s="255" t="s">
        <v>29</v>
      </c>
      <c r="E108" s="255" t="s">
        <v>587</v>
      </c>
      <c r="F108" s="255" t="s">
        <v>10</v>
      </c>
      <c r="G108" s="256" t="s">
        <v>367</v>
      </c>
      <c r="H108" s="257">
        <v>8</v>
      </c>
      <c r="I108" s="258" cm="1">
        <f t="array" ref="I108">IFERROR(
  VALUE($H108) *
  VALUE(
    _xlfn.XLOOKUP(
      TRIM($F108) &amp; "|" &amp; LEFT(SUBSTITUTE($G108,CHAR(160)," "),5) &amp; "|Full Rate",
      TRIM(SUBSTITUTE($T$2:$T$38,CHAR(160)," ")) &amp; "|" &amp;
      LEFT(SUBSTITUTE($U$2:$U$38,CHAR(160)," "),5) &amp; "|" &amp;
      TRIM(SUBSTITUTE($V$2:$V$38,CHAR(160)," ")),
      $W$2:$W$38
    )
  ),
"")</f>
        <v>4000</v>
      </c>
      <c r="J108" s="55" cm="1">
        <f t="array" ref="J108">IFERROR(
  VALUE($H108) *
  VALUE(
    _xlfn.XLOOKUP(
      TRIM($F108) &amp; "|" &amp; LEFT(SUBSTITUTE($G108,CHAR(160)," "),5) &amp; "|Reduced Rate",
      TRIM(SUBSTITUTE($T$2:$T$38,CHAR(160)," ")) &amp; "|" &amp;
      LEFT(SUBSTITUTE($U$2:$U$38,CHAR(160)," "),5) &amp; "|" &amp;
      TRIM(SUBSTITUTE($V$2:$V$38,CHAR(160)," ")),
      $W$2:$W$38
    )
  ),
"")</f>
        <v>2400</v>
      </c>
      <c r="K108" s="259" cm="1">
        <f t="array" ref="K108">IFERROR(
  VALUE($H108) *
  VALUE(
    _xlfn.XLOOKUP(
      TRIM($F108) &amp; "|" &amp; LEFT(SUBSTITUTE($G108,CHAR(160)," "),5) &amp; "|Ideas Rate",
      TRIM(SUBSTITUTE($T$2:$T$38,CHAR(160)," ")) &amp; "|" &amp;
      LEFT(SUBSTITUTE($U$2:$U$38,CHAR(160)," "),5) &amp; "|" &amp;
      TRIM(SUBSTITUTE($V$2:$V$38,CHAR(160)," ")),
      $W$2:$W$38
    )
  ),
"")</f>
        <v>1200</v>
      </c>
      <c r="O108" s="260"/>
    </row>
    <row r="109" spans="1:15" s="8" customFormat="1" x14ac:dyDescent="0.2">
      <c r="A109" s="252"/>
      <c r="B109" s="253" t="s">
        <v>508</v>
      </c>
      <c r="C109" s="254" t="s">
        <v>152</v>
      </c>
      <c r="D109" s="255" t="s">
        <v>29</v>
      </c>
      <c r="E109" s="255" t="s">
        <v>587</v>
      </c>
      <c r="F109" s="255" t="s">
        <v>10</v>
      </c>
      <c r="G109" s="256" t="s">
        <v>380</v>
      </c>
      <c r="H109" s="257">
        <v>12</v>
      </c>
      <c r="I109" s="258" cm="1">
        <f t="array" ref="I109">IFERROR(
  VALUE($H109) *
  VALUE(
    _xlfn.XLOOKUP(
      TRIM($F109) &amp; "|" &amp; LEFT(SUBSTITUTE($G109,CHAR(160)," "),5) &amp; "|Full Rate",
      TRIM(SUBSTITUTE($T$2:$T$38,CHAR(160)," ")) &amp; "|" &amp;
      LEFT(SUBSTITUTE($U$2:$U$38,CHAR(160)," "),5) &amp; "|" &amp;
      TRIM(SUBSTITUTE($V$2:$V$38,CHAR(160)," ")),
      $W$2:$W$38
    )
  ),
"")</f>
        <v>3000</v>
      </c>
      <c r="J109" s="55" cm="1">
        <f t="array" ref="J109">IFERROR(
  VALUE($H109) *
  VALUE(
    _xlfn.XLOOKUP(
      TRIM($F109) &amp; "|" &amp; LEFT(SUBSTITUTE($G109,CHAR(160)," "),5) &amp; "|Reduced Rate",
      TRIM(SUBSTITUTE($T$2:$T$38,CHAR(160)," ")) &amp; "|" &amp;
      LEFT(SUBSTITUTE($U$2:$U$38,CHAR(160)," "),5) &amp; "|" &amp;
      TRIM(SUBSTITUTE($V$2:$V$38,CHAR(160)," ")),
      $W$2:$W$38
    )
  ),
"")</f>
        <v>1800</v>
      </c>
      <c r="K109" s="259" cm="1">
        <f t="array" ref="K109">IFERROR(
  VALUE($H109) *
  VALUE(
    _xlfn.XLOOKUP(
      TRIM($F109) &amp; "|" &amp; LEFT(SUBSTITUTE($G109,CHAR(160)," "),5) &amp; "|Ideas Rate",
      TRIM(SUBSTITUTE($T$2:$T$38,CHAR(160)," ")) &amp; "|" &amp;
      LEFT(SUBSTITUTE($U$2:$U$38,CHAR(160)," "),5) &amp; "|" &amp;
      TRIM(SUBSTITUTE($V$2:$V$38,CHAR(160)," ")),
      $W$2:$W$38
    )
  ),
"")</f>
        <v>900</v>
      </c>
      <c r="O109" s="260"/>
    </row>
    <row r="110" spans="1:15" s="8" customFormat="1" x14ac:dyDescent="0.2">
      <c r="A110" s="261"/>
      <c r="B110" s="262" t="s">
        <v>508</v>
      </c>
      <c r="C110" s="263" t="s">
        <v>152</v>
      </c>
      <c r="D110" s="264" t="s">
        <v>323</v>
      </c>
      <c r="E110" s="264" t="s">
        <v>576</v>
      </c>
      <c r="F110" s="264" t="s">
        <v>9</v>
      </c>
      <c r="G110" s="265" t="s">
        <v>368</v>
      </c>
      <c r="H110" s="266">
        <v>18</v>
      </c>
      <c r="I110" s="258" cm="1">
        <f t="array" ref="I110">IFERROR(
  VALUE($H110) *
  VALUE(
    _xlfn.XLOOKUP(
      TRIM($F110) &amp; "|" &amp; LEFT(SUBSTITUTE($G110,CHAR(160)," "),5) &amp; "|Full Rate",
      TRIM(SUBSTITUTE($T$2:$T$38,CHAR(160)," ")) &amp; "|" &amp;
      LEFT(SUBSTITUTE($U$2:$U$38,CHAR(160)," "),5) &amp; "|" &amp;
      TRIM(SUBSTITUTE($V$2:$V$38,CHAR(160)," ")),
      $W$2:$W$38
    )
  ),
"")</f>
        <v>1800</v>
      </c>
      <c r="J110" s="55" cm="1">
        <f t="array" ref="J110">IFERROR(
  VALUE($H110) *
  VALUE(
    _xlfn.XLOOKUP(
      TRIM($F110) &amp; "|" &amp; LEFT(SUBSTITUTE($G110,CHAR(160)," "),5) &amp; "|Reduced Rate",
      TRIM(SUBSTITUTE($T$2:$T$38,CHAR(160)," ")) &amp; "|" &amp;
      LEFT(SUBSTITUTE($U$2:$U$38,CHAR(160)," "),5) &amp; "|" &amp;
      TRIM(SUBSTITUTE($V$2:$V$38,CHAR(160)," ")),
      $W$2:$W$38
    )
  ),
"")</f>
        <v>900</v>
      </c>
      <c r="K110" s="259" cm="1">
        <f t="array" ref="K110">IFERROR(
  VALUE($H110) *
  VALUE(
    _xlfn.XLOOKUP(
      TRIM($F110) &amp; "|" &amp; LEFT(SUBSTITUTE($G110,CHAR(160)," "),5) &amp; "|Ideas Rate",
      TRIM(SUBSTITUTE($T$2:$T$38,CHAR(160)," ")) &amp; "|" &amp;
      LEFT(SUBSTITUTE($U$2:$U$38,CHAR(160)," "),5) &amp; "|" &amp;
      TRIM(SUBSTITUTE($V$2:$V$38,CHAR(160)," ")),
      $W$2:$W$38
    )
  ),
"")</f>
        <v>540</v>
      </c>
      <c r="O110" s="260"/>
    </row>
    <row r="111" spans="1:15" s="8" customFormat="1" x14ac:dyDescent="0.2">
      <c r="A111" s="261"/>
      <c r="B111" s="262" t="s">
        <v>508</v>
      </c>
      <c r="C111" s="263" t="s">
        <v>152</v>
      </c>
      <c r="D111" s="264" t="s">
        <v>323</v>
      </c>
      <c r="E111" s="264" t="s">
        <v>576</v>
      </c>
      <c r="F111" s="264" t="s">
        <v>10</v>
      </c>
      <c r="G111" s="265" t="s">
        <v>368</v>
      </c>
      <c r="H111" s="266">
        <v>18</v>
      </c>
      <c r="I111" s="258" cm="1">
        <f t="array" ref="I111">IFERROR(
  VALUE($H111) *
  VALUE(
    _xlfn.XLOOKUP(
      TRIM($F111) &amp; "|" &amp; LEFT(SUBSTITUTE($G111,CHAR(160)," "),5) &amp; "|Full Rate",
      TRIM(SUBSTITUTE($T$2:$T$38,CHAR(160)," ")) &amp; "|" &amp;
      LEFT(SUBSTITUTE($U$2:$U$38,CHAR(160)," "),5) &amp; "|" &amp;
      TRIM(SUBSTITUTE($V$2:$V$38,CHAR(160)," ")),
      $W$2:$W$38
    )
  ),
"")</f>
        <v>1800</v>
      </c>
      <c r="J111" s="55" cm="1">
        <f t="array" ref="J111">IFERROR(
  VALUE($H111) *
  VALUE(
    _xlfn.XLOOKUP(
      TRIM($F111) &amp; "|" &amp; LEFT(SUBSTITUTE($G111,CHAR(160)," "),5) &amp; "|Reduced Rate",
      TRIM(SUBSTITUTE($T$2:$T$38,CHAR(160)," ")) &amp; "|" &amp;
      LEFT(SUBSTITUTE($U$2:$U$38,CHAR(160)," "),5) &amp; "|" &amp;
      TRIM(SUBSTITUTE($V$2:$V$38,CHAR(160)," ")),
      $W$2:$W$38
    )
  ),
"")</f>
        <v>900</v>
      </c>
      <c r="K111" s="259" cm="1">
        <f t="array" ref="K111">IFERROR(
  VALUE($H111) *
  VALUE(
    _xlfn.XLOOKUP(
      TRIM($F111) &amp; "|" &amp; LEFT(SUBSTITUTE($G111,CHAR(160)," "),5) &amp; "|Ideas Rate",
      TRIM(SUBSTITUTE($T$2:$T$38,CHAR(160)," ")) &amp; "|" &amp;
      LEFT(SUBSTITUTE($U$2:$U$38,CHAR(160)," "),5) &amp; "|" &amp;
      TRIM(SUBSTITUTE($V$2:$V$38,CHAR(160)," ")),
      $W$2:$W$38
    )
  ),
"")</f>
        <v>540</v>
      </c>
      <c r="O111" s="260"/>
    </row>
    <row r="112" spans="1:15" s="8" customFormat="1" x14ac:dyDescent="0.2">
      <c r="A112" s="261"/>
      <c r="B112" s="262" t="s">
        <v>508</v>
      </c>
      <c r="C112" s="263" t="s">
        <v>152</v>
      </c>
      <c r="D112" s="264" t="s">
        <v>323</v>
      </c>
      <c r="E112" s="264" t="s">
        <v>576</v>
      </c>
      <c r="F112" s="264" t="s">
        <v>155</v>
      </c>
      <c r="G112" s="265" t="s">
        <v>368</v>
      </c>
      <c r="H112" s="266">
        <v>18</v>
      </c>
      <c r="I112" s="258" cm="1">
        <f t="array" ref="I112">IFERROR(
  VALUE($H112) *
  VALUE(
    _xlfn.XLOOKUP(
      TRIM($F112) &amp; "|" &amp; LEFT(SUBSTITUTE($G112,CHAR(160)," "),5) &amp; "|Full Rate",
      TRIM(SUBSTITUTE($T$2:$T$38,CHAR(160)," ")) &amp; "|" &amp;
      LEFT(SUBSTITUTE($U$2:$U$38,CHAR(160)," "),5) &amp; "|" &amp;
      TRIM(SUBSTITUTE($V$2:$V$38,CHAR(160)," ")),
      $W$2:$W$38
    )
  ),
"")</f>
        <v>1800</v>
      </c>
      <c r="J112" s="55" cm="1">
        <f t="array" ref="J112">IFERROR(
  VALUE($H112) *
  VALUE(
    _xlfn.XLOOKUP(
      TRIM($F112) &amp; "|" &amp; LEFT(SUBSTITUTE($G112,CHAR(160)," "),5) &amp; "|Reduced Rate",
      TRIM(SUBSTITUTE($T$2:$T$38,CHAR(160)," ")) &amp; "|" &amp;
      LEFT(SUBSTITUTE($U$2:$U$38,CHAR(160)," "),5) &amp; "|" &amp;
      TRIM(SUBSTITUTE($V$2:$V$38,CHAR(160)," ")),
      $W$2:$W$38
    )
  ),
"")</f>
        <v>900</v>
      </c>
      <c r="K112" s="259" cm="1">
        <f t="array" ref="K112">IFERROR(
  VALUE($H112) *
  VALUE(
    _xlfn.XLOOKUP(
      TRIM($F112) &amp; "|" &amp; LEFT(SUBSTITUTE($G112,CHAR(160)," "),5) &amp; "|Ideas Rate",
      TRIM(SUBSTITUTE($T$2:$T$38,CHAR(160)," ")) &amp; "|" &amp;
      LEFT(SUBSTITUTE($U$2:$U$38,CHAR(160)," "),5) &amp; "|" &amp;
      TRIM(SUBSTITUTE($V$2:$V$38,CHAR(160)," ")),
      $W$2:$W$38
    )
  ),
"")</f>
        <v>540</v>
      </c>
      <c r="O112" s="260"/>
    </row>
    <row r="113" spans="1:15" s="8" customFormat="1" x14ac:dyDescent="0.2">
      <c r="A113" s="261"/>
      <c r="B113" s="262" t="s">
        <v>508</v>
      </c>
      <c r="C113" s="263" t="s">
        <v>152</v>
      </c>
      <c r="D113" s="264" t="s">
        <v>323</v>
      </c>
      <c r="E113" s="264" t="s">
        <v>577</v>
      </c>
      <c r="F113" s="264" t="s">
        <v>9</v>
      </c>
      <c r="G113" s="265" t="s">
        <v>368</v>
      </c>
      <c r="H113" s="266">
        <v>19</v>
      </c>
      <c r="I113" s="258" cm="1">
        <f t="array" ref="I113">IFERROR(
  VALUE($H113) *
  VALUE(
    _xlfn.XLOOKUP(
      TRIM($F113) &amp; "|" &amp; LEFT(SUBSTITUTE($G113,CHAR(160)," "),5) &amp; "|Full Rate",
      TRIM(SUBSTITUTE($T$2:$T$38,CHAR(160)," ")) &amp; "|" &amp;
      LEFT(SUBSTITUTE($U$2:$U$38,CHAR(160)," "),5) &amp; "|" &amp;
      TRIM(SUBSTITUTE($V$2:$V$38,CHAR(160)," ")),
      $W$2:$W$38
    )
  ),
"")</f>
        <v>1900</v>
      </c>
      <c r="J113" s="55" cm="1">
        <f t="array" ref="J113">IFERROR(
  VALUE($H113) *
  VALUE(
    _xlfn.XLOOKUP(
      TRIM($F113) &amp; "|" &amp; LEFT(SUBSTITUTE($G113,CHAR(160)," "),5) &amp; "|Reduced Rate",
      TRIM(SUBSTITUTE($T$2:$T$38,CHAR(160)," ")) &amp; "|" &amp;
      LEFT(SUBSTITUTE($U$2:$U$38,CHAR(160)," "),5) &amp; "|" &amp;
      TRIM(SUBSTITUTE($V$2:$V$38,CHAR(160)," ")),
      $W$2:$W$38
    )
  ),
"")</f>
        <v>950</v>
      </c>
      <c r="K113" s="259" cm="1">
        <f t="array" ref="K113">IFERROR(
  VALUE($H113) *
  VALUE(
    _xlfn.XLOOKUP(
      TRIM($F113) &amp; "|" &amp; LEFT(SUBSTITUTE($G113,CHAR(160)," "),5) &amp; "|Ideas Rate",
      TRIM(SUBSTITUTE($T$2:$T$38,CHAR(160)," ")) &amp; "|" &amp;
      LEFT(SUBSTITUTE($U$2:$U$38,CHAR(160)," "),5) &amp; "|" &amp;
      TRIM(SUBSTITUTE($V$2:$V$38,CHAR(160)," ")),
      $W$2:$W$38
    )
  ),
"")</f>
        <v>570</v>
      </c>
      <c r="O113" s="260"/>
    </row>
    <row r="114" spans="1:15" s="8" customFormat="1" x14ac:dyDescent="0.2">
      <c r="A114" s="261"/>
      <c r="B114" s="262" t="s">
        <v>508</v>
      </c>
      <c r="C114" s="263" t="s">
        <v>152</v>
      </c>
      <c r="D114" s="264" t="s">
        <v>323</v>
      </c>
      <c r="E114" s="264" t="s">
        <v>577</v>
      </c>
      <c r="F114" s="264" t="s">
        <v>10</v>
      </c>
      <c r="G114" s="265" t="s">
        <v>368</v>
      </c>
      <c r="H114" s="266">
        <v>19</v>
      </c>
      <c r="I114" s="258" cm="1">
        <f t="array" ref="I114">IFERROR(
  VALUE($H114) *
  VALUE(
    _xlfn.XLOOKUP(
      TRIM($F114) &amp; "|" &amp; LEFT(SUBSTITUTE($G114,CHAR(160)," "),5) &amp; "|Full Rate",
      TRIM(SUBSTITUTE($T$2:$T$38,CHAR(160)," ")) &amp; "|" &amp;
      LEFT(SUBSTITUTE($U$2:$U$38,CHAR(160)," "),5) &amp; "|" &amp;
      TRIM(SUBSTITUTE($V$2:$V$38,CHAR(160)," ")),
      $W$2:$W$38
    )
  ),
"")</f>
        <v>1900</v>
      </c>
      <c r="J114" s="55" cm="1">
        <f t="array" ref="J114">IFERROR(
  VALUE($H114) *
  VALUE(
    _xlfn.XLOOKUP(
      TRIM($F114) &amp; "|" &amp; LEFT(SUBSTITUTE($G114,CHAR(160)," "),5) &amp; "|Reduced Rate",
      TRIM(SUBSTITUTE($T$2:$T$38,CHAR(160)," ")) &amp; "|" &amp;
      LEFT(SUBSTITUTE($U$2:$U$38,CHAR(160)," "),5) &amp; "|" &amp;
      TRIM(SUBSTITUTE($V$2:$V$38,CHAR(160)," ")),
      $W$2:$W$38
    )
  ),
"")</f>
        <v>950</v>
      </c>
      <c r="K114" s="259" cm="1">
        <f t="array" ref="K114">IFERROR(
  VALUE($H114) *
  VALUE(
    _xlfn.XLOOKUP(
      TRIM($F114) &amp; "|" &amp; LEFT(SUBSTITUTE($G114,CHAR(160)," "),5) &amp; "|Ideas Rate",
      TRIM(SUBSTITUTE($T$2:$T$38,CHAR(160)," ")) &amp; "|" &amp;
      LEFT(SUBSTITUTE($U$2:$U$38,CHAR(160)," "),5) &amp; "|" &amp;
      TRIM(SUBSTITUTE($V$2:$V$38,CHAR(160)," ")),
      $W$2:$W$38
    )
  ),
"")</f>
        <v>570</v>
      </c>
      <c r="O114" s="260"/>
    </row>
    <row r="115" spans="1:15" s="8" customFormat="1" x14ac:dyDescent="0.2">
      <c r="A115" s="261"/>
      <c r="B115" s="262" t="s">
        <v>508</v>
      </c>
      <c r="C115" s="263" t="s">
        <v>152</v>
      </c>
      <c r="D115" s="264" t="s">
        <v>323</v>
      </c>
      <c r="E115" s="264" t="s">
        <v>577</v>
      </c>
      <c r="F115" s="264" t="s">
        <v>155</v>
      </c>
      <c r="G115" s="265" t="s">
        <v>368</v>
      </c>
      <c r="H115" s="266">
        <v>19</v>
      </c>
      <c r="I115" s="258" cm="1">
        <f t="array" ref="I115">IFERROR(
  VALUE($H115) *
  VALUE(
    _xlfn.XLOOKUP(
      TRIM($F115) &amp; "|" &amp; LEFT(SUBSTITUTE($G115,CHAR(160)," "),5) &amp; "|Full Rate",
      TRIM(SUBSTITUTE($T$2:$T$38,CHAR(160)," ")) &amp; "|" &amp;
      LEFT(SUBSTITUTE($U$2:$U$38,CHAR(160)," "),5) &amp; "|" &amp;
      TRIM(SUBSTITUTE($V$2:$V$38,CHAR(160)," ")),
      $W$2:$W$38
    )
  ),
"")</f>
        <v>1900</v>
      </c>
      <c r="J115" s="55" cm="1">
        <f t="array" ref="J115">IFERROR(
  VALUE($H115) *
  VALUE(
    _xlfn.XLOOKUP(
      TRIM($F115) &amp; "|" &amp; LEFT(SUBSTITUTE($G115,CHAR(160)," "),5) &amp; "|Reduced Rate",
      TRIM(SUBSTITUTE($T$2:$T$38,CHAR(160)," ")) &amp; "|" &amp;
      LEFT(SUBSTITUTE($U$2:$U$38,CHAR(160)," "),5) &amp; "|" &amp;
      TRIM(SUBSTITUTE($V$2:$V$38,CHAR(160)," ")),
      $W$2:$W$38
    )
  ),
"")</f>
        <v>950</v>
      </c>
      <c r="K115" s="259" cm="1">
        <f t="array" ref="K115">IFERROR(
  VALUE($H115) *
  VALUE(
    _xlfn.XLOOKUP(
      TRIM($F115) &amp; "|" &amp; LEFT(SUBSTITUTE($G115,CHAR(160)," "),5) &amp; "|Ideas Rate",
      TRIM(SUBSTITUTE($T$2:$T$38,CHAR(160)," ")) &amp; "|" &amp;
      LEFT(SUBSTITUTE($U$2:$U$38,CHAR(160)," "),5) &amp; "|" &amp;
      TRIM(SUBSTITUTE($V$2:$V$38,CHAR(160)," ")),
      $W$2:$W$38
    )
  ),
"")</f>
        <v>570</v>
      </c>
      <c r="O115" s="260"/>
    </row>
    <row r="116" spans="1:15" s="8" customFormat="1" x14ac:dyDescent="0.2">
      <c r="A116" s="252"/>
      <c r="B116" s="253" t="s">
        <v>508</v>
      </c>
      <c r="C116" s="254" t="s">
        <v>152</v>
      </c>
      <c r="D116" s="255" t="s">
        <v>184</v>
      </c>
      <c r="E116" s="255" t="s">
        <v>588</v>
      </c>
      <c r="F116" s="255" t="s">
        <v>9</v>
      </c>
      <c r="G116" s="256" t="s">
        <v>380</v>
      </c>
      <c r="H116" s="257">
        <v>20</v>
      </c>
      <c r="I116" s="258" cm="1">
        <f t="array" ref="I116">IFERROR(
  VALUE($H116) *
  VALUE(
    _xlfn.XLOOKUP(
      TRIM($F116) &amp; "|" &amp; LEFT(SUBSTITUTE($G116,CHAR(160)," "),5) &amp; "|Full Rate",
      TRIM(SUBSTITUTE($T$2:$T$38,CHAR(160)," ")) &amp; "|" &amp;
      LEFT(SUBSTITUTE($U$2:$U$38,CHAR(160)," "),5) &amp; "|" &amp;
      TRIM(SUBSTITUTE($V$2:$V$38,CHAR(160)," ")),
      $W$2:$W$38
    )
  ),
"")</f>
        <v>5000</v>
      </c>
      <c r="J116" s="55" cm="1">
        <f t="array" ref="J116">IFERROR(
  VALUE($H116) *
  VALUE(
    _xlfn.XLOOKUP(
      TRIM($F116) &amp; "|" &amp; LEFT(SUBSTITUTE($G116,CHAR(160)," "),5) &amp; "|Reduced Rate",
      TRIM(SUBSTITUTE($T$2:$T$38,CHAR(160)," ")) &amp; "|" &amp;
      LEFT(SUBSTITUTE($U$2:$U$38,CHAR(160)," "),5) &amp; "|" &amp;
      TRIM(SUBSTITUTE($V$2:$V$38,CHAR(160)," ")),
      $W$2:$W$38
    )
  ),
"")</f>
        <v>3000</v>
      </c>
      <c r="K116" s="259" cm="1">
        <f t="array" ref="K116">IFERROR(
  VALUE($H116) *
  VALUE(
    _xlfn.XLOOKUP(
      TRIM($F116) &amp; "|" &amp; LEFT(SUBSTITUTE($G116,CHAR(160)," "),5) &amp; "|Ideas Rate",
      TRIM(SUBSTITUTE($T$2:$T$38,CHAR(160)," ")) &amp; "|" &amp;
      LEFT(SUBSTITUTE($U$2:$U$38,CHAR(160)," "),5) &amp; "|" &amp;
      TRIM(SUBSTITUTE($V$2:$V$38,CHAR(160)," ")),
      $W$2:$W$38
    )
  ),
"")</f>
        <v>1500</v>
      </c>
      <c r="O116" s="260"/>
    </row>
    <row r="117" spans="1:15" s="8" customFormat="1" x14ac:dyDescent="0.2">
      <c r="A117" s="252"/>
      <c r="B117" s="253" t="s">
        <v>508</v>
      </c>
      <c r="C117" s="254" t="s">
        <v>152</v>
      </c>
      <c r="D117" s="255" t="s">
        <v>184</v>
      </c>
      <c r="E117" s="255" t="s">
        <v>588</v>
      </c>
      <c r="F117" s="255" t="s">
        <v>10</v>
      </c>
      <c r="G117" s="256" t="s">
        <v>367</v>
      </c>
      <c r="H117" s="257">
        <v>20</v>
      </c>
      <c r="I117" s="258" cm="1">
        <f t="array" ref="I117">IFERROR(
  VALUE($H117) *
  VALUE(
    _xlfn.XLOOKUP(
      TRIM($F117) &amp; "|" &amp; LEFT(SUBSTITUTE($G117,CHAR(160)," "),5) &amp; "|Full Rate",
      TRIM(SUBSTITUTE($T$2:$T$38,CHAR(160)," ")) &amp; "|" &amp;
      LEFT(SUBSTITUTE($U$2:$U$38,CHAR(160)," "),5) &amp; "|" &amp;
      TRIM(SUBSTITUTE($V$2:$V$38,CHAR(160)," ")),
      $W$2:$W$38
    )
  ),
"")</f>
        <v>10000</v>
      </c>
      <c r="J117" s="55" cm="1">
        <f t="array" ref="J117">IFERROR(
  VALUE($H117) *
  VALUE(
    _xlfn.XLOOKUP(
      TRIM($F117) &amp; "|" &amp; LEFT(SUBSTITUTE($G117,CHAR(160)," "),5) &amp; "|Reduced Rate",
      TRIM(SUBSTITUTE($T$2:$T$38,CHAR(160)," ")) &amp; "|" &amp;
      LEFT(SUBSTITUTE($U$2:$U$38,CHAR(160)," "),5) &amp; "|" &amp;
      TRIM(SUBSTITUTE($V$2:$V$38,CHAR(160)," ")),
      $W$2:$W$38
    )
  ),
"")</f>
        <v>6000</v>
      </c>
      <c r="K117" s="259" cm="1">
        <f t="array" ref="K117">IFERROR(
  VALUE($H117) *
  VALUE(
    _xlfn.XLOOKUP(
      TRIM($F117) &amp; "|" &amp; LEFT(SUBSTITUTE($G117,CHAR(160)," "),5) &amp; "|Ideas Rate",
      TRIM(SUBSTITUTE($T$2:$T$38,CHAR(160)," ")) &amp; "|" &amp;
      LEFT(SUBSTITUTE($U$2:$U$38,CHAR(160)," "),5) &amp; "|" &amp;
      TRIM(SUBSTITUTE($V$2:$V$38,CHAR(160)," ")),
      $W$2:$W$38
    )
  ),
"")</f>
        <v>3000</v>
      </c>
      <c r="O117" s="260"/>
    </row>
    <row r="118" spans="1:15" s="8" customFormat="1" x14ac:dyDescent="0.2">
      <c r="A118" s="252"/>
      <c r="B118" s="253" t="s">
        <v>508</v>
      </c>
      <c r="C118" s="254" t="s">
        <v>152</v>
      </c>
      <c r="D118" s="255" t="s">
        <v>184</v>
      </c>
      <c r="E118" s="255" t="s">
        <v>588</v>
      </c>
      <c r="F118" s="255" t="s">
        <v>155</v>
      </c>
      <c r="G118" s="256" t="s">
        <v>368</v>
      </c>
      <c r="H118" s="257">
        <v>20</v>
      </c>
      <c r="I118" s="258" cm="1">
        <f t="array" ref="I118">IFERROR(
  VALUE($H118) *
  VALUE(
    _xlfn.XLOOKUP(
      TRIM($F118) &amp; "|" &amp; LEFT(SUBSTITUTE($G118,CHAR(160)," "),5) &amp; "|Full Rate",
      TRIM(SUBSTITUTE($T$2:$T$38,CHAR(160)," ")) &amp; "|" &amp;
      LEFT(SUBSTITUTE($U$2:$U$38,CHAR(160)," "),5) &amp; "|" &amp;
      TRIM(SUBSTITUTE($V$2:$V$38,CHAR(160)," ")),
      $W$2:$W$38
    )
  ),
"")</f>
        <v>2000</v>
      </c>
      <c r="J118" s="55" cm="1">
        <f t="array" ref="J118">IFERROR(
  VALUE($H118) *
  VALUE(
    _xlfn.XLOOKUP(
      TRIM($F118) &amp; "|" &amp; LEFT(SUBSTITUTE($G118,CHAR(160)," "),5) &amp; "|Reduced Rate",
      TRIM(SUBSTITUTE($T$2:$T$38,CHAR(160)," ")) &amp; "|" &amp;
      LEFT(SUBSTITUTE($U$2:$U$38,CHAR(160)," "),5) &amp; "|" &amp;
      TRIM(SUBSTITUTE($V$2:$V$38,CHAR(160)," ")),
      $W$2:$W$38
    )
  ),
"")</f>
        <v>1000</v>
      </c>
      <c r="K118" s="259" cm="1">
        <f t="array" ref="K118">IFERROR(
  VALUE($H118) *
  VALUE(
    _xlfn.XLOOKUP(
      TRIM($F118) &amp; "|" &amp; LEFT(SUBSTITUTE($G118,CHAR(160)," "),5) &amp; "|Ideas Rate",
      TRIM(SUBSTITUTE($T$2:$T$38,CHAR(160)," ")) &amp; "|" &amp;
      LEFT(SUBSTITUTE($U$2:$U$38,CHAR(160)," "),5) &amp; "|" &amp;
      TRIM(SUBSTITUTE($V$2:$V$38,CHAR(160)," ")),
      $W$2:$W$38
    )
  ),
"")</f>
        <v>600</v>
      </c>
      <c r="O118" s="260"/>
    </row>
    <row r="119" spans="1:15" s="8" customFormat="1" x14ac:dyDescent="0.2">
      <c r="A119" s="252"/>
      <c r="B119" s="253" t="s">
        <v>508</v>
      </c>
      <c r="C119" s="254" t="s">
        <v>152</v>
      </c>
      <c r="D119" s="255" t="s">
        <v>191</v>
      </c>
      <c r="E119" s="255" t="s">
        <v>607</v>
      </c>
      <c r="F119" s="255" t="s">
        <v>9</v>
      </c>
      <c r="G119" s="256" t="s">
        <v>367</v>
      </c>
      <c r="H119" s="257">
        <v>3</v>
      </c>
      <c r="I119" s="258" cm="1">
        <f t="array" ref="I119">IFERROR(
  VALUE($H119) *
  VALUE(
    _xlfn.XLOOKUP(
      TRIM($F119) &amp; "|" &amp; LEFT(SUBSTITUTE($G119,CHAR(160)," "),5) &amp; "|Full Rate",
      TRIM(SUBSTITUTE($T$2:$T$38,CHAR(160)," ")) &amp; "|" &amp;
      LEFT(SUBSTITUTE($U$2:$U$38,CHAR(160)," "),5) &amp; "|" &amp;
      TRIM(SUBSTITUTE($V$2:$V$38,CHAR(160)," ")),
      $W$2:$W$38
    )
  ),
"")</f>
        <v>1500</v>
      </c>
      <c r="J119" s="55" cm="1">
        <f t="array" ref="J119">IFERROR(
  VALUE($H119) *
  VALUE(
    _xlfn.XLOOKUP(
      TRIM($F119) &amp; "|" &amp; LEFT(SUBSTITUTE($G119,CHAR(160)," "),5) &amp; "|Reduced Rate",
      TRIM(SUBSTITUTE($T$2:$T$38,CHAR(160)," ")) &amp; "|" &amp;
      LEFT(SUBSTITUTE($U$2:$U$38,CHAR(160)," "),5) &amp; "|" &amp;
      TRIM(SUBSTITUTE($V$2:$V$38,CHAR(160)," ")),
      $W$2:$W$38
    )
  ),
"")</f>
        <v>900</v>
      </c>
      <c r="K119" s="259" cm="1">
        <f t="array" ref="K119">IFERROR(
  VALUE($H119) *
  VALUE(
    _xlfn.XLOOKUP(
      TRIM($F119) &amp; "|" &amp; LEFT(SUBSTITUTE($G119,CHAR(160)," "),5) &amp; "|Ideas Rate",
      TRIM(SUBSTITUTE($T$2:$T$38,CHAR(160)," ")) &amp; "|" &amp;
      LEFT(SUBSTITUTE($U$2:$U$38,CHAR(160)," "),5) &amp; "|" &amp;
      TRIM(SUBSTITUTE($V$2:$V$38,CHAR(160)," ")),
      $W$2:$W$38
    )
  ),
"")</f>
        <v>450</v>
      </c>
      <c r="O119" s="260"/>
    </row>
    <row r="120" spans="1:15" x14ac:dyDescent="0.2">
      <c r="A120" s="170"/>
      <c r="B120" s="171" t="s">
        <v>508</v>
      </c>
      <c r="C120" s="172" t="s">
        <v>152</v>
      </c>
      <c r="D120" s="173" t="s">
        <v>178</v>
      </c>
      <c r="E120" s="173" t="s">
        <v>589</v>
      </c>
      <c r="F120" s="173" t="s">
        <v>9</v>
      </c>
      <c r="G120" s="175" t="s">
        <v>380</v>
      </c>
      <c r="H120" s="176">
        <v>12</v>
      </c>
      <c r="I120" s="160" cm="1">
        <f t="array" ref="I120">IFERROR(
  VALUE($H120) *
  VALUE(
    _xlfn.XLOOKUP(
      TRIM($F120) &amp; "|" &amp; LEFT(SUBSTITUTE($G120,CHAR(160)," "),5) &amp; "|Full Rate",
      TRIM(SUBSTITUTE($T$2:$T$38,CHAR(160)," ")) &amp; "|" &amp;
      LEFT(SUBSTITUTE($U$2:$U$38,CHAR(160)," "),5) &amp; "|" &amp;
      TRIM(SUBSTITUTE($V$2:$V$38,CHAR(160)," ")),
      $W$2:$W$38
    )
  ),
"")</f>
        <v>3000</v>
      </c>
      <c r="J120" s="161" cm="1">
        <f t="array" ref="J120">IFERROR(
  VALUE($H120) *
  VALUE(
    _xlfn.XLOOKUP(
      TRIM($F120) &amp; "|" &amp; LEFT(SUBSTITUTE($G120,CHAR(160)," "),5) &amp; "|Reduced Rate",
      TRIM(SUBSTITUTE($T$2:$T$38,CHAR(160)," ")) &amp; "|" &amp;
      LEFT(SUBSTITUTE($U$2:$U$38,CHAR(160)," "),5) &amp; "|" &amp;
      TRIM(SUBSTITUTE($V$2:$V$38,CHAR(160)," ")),
      $W$2:$W$38
    )
  ),
"")</f>
        <v>1800</v>
      </c>
      <c r="K120" s="42" cm="1">
        <f t="array" ref="K120">IFERROR(
  VALUE($H120) *
  VALUE(
    _xlfn.XLOOKUP(
      TRIM($F120) &amp; "|" &amp; LEFT(SUBSTITUTE($G120,CHAR(160)," "),5) &amp; "|Ideas Rate",
      TRIM(SUBSTITUTE($T$2:$T$38,CHAR(160)," ")) &amp; "|" &amp;
      LEFT(SUBSTITUTE($U$2:$U$38,CHAR(160)," "),5) &amp; "|" &amp;
      TRIM(SUBSTITUTE($V$2:$V$38,CHAR(160)," ")),
      $W$2:$W$38
    )
  ),
"")</f>
        <v>900</v>
      </c>
    </row>
    <row r="121" spans="1:15" x14ac:dyDescent="0.2">
      <c r="A121" s="170"/>
      <c r="B121" s="171" t="s">
        <v>508</v>
      </c>
      <c r="C121" s="172" t="s">
        <v>152</v>
      </c>
      <c r="D121" s="173" t="s">
        <v>178</v>
      </c>
      <c r="E121" s="173" t="s">
        <v>589</v>
      </c>
      <c r="F121" s="173" t="s">
        <v>10</v>
      </c>
      <c r="G121" s="175" t="s">
        <v>380</v>
      </c>
      <c r="H121" s="176">
        <v>6</v>
      </c>
      <c r="I121" s="160" cm="1">
        <f t="array" ref="I121">IFERROR(
  VALUE($H121) *
  VALUE(
    _xlfn.XLOOKUP(
      TRIM($F121) &amp; "|" &amp; LEFT(SUBSTITUTE($G121,CHAR(160)," "),5) &amp; "|Full Rate",
      TRIM(SUBSTITUTE($T$2:$T$38,CHAR(160)," ")) &amp; "|" &amp;
      LEFT(SUBSTITUTE($U$2:$U$38,CHAR(160)," "),5) &amp; "|" &amp;
      TRIM(SUBSTITUTE($V$2:$V$38,CHAR(160)," ")),
      $W$2:$W$38
    )
  ),
"")</f>
        <v>1500</v>
      </c>
      <c r="J121" s="161" cm="1">
        <f t="array" ref="J121">IFERROR(
  VALUE($H121) *
  VALUE(
    _xlfn.XLOOKUP(
      TRIM($F121) &amp; "|" &amp; LEFT(SUBSTITUTE($G121,CHAR(160)," "),5) &amp; "|Reduced Rate",
      TRIM(SUBSTITUTE($T$2:$T$38,CHAR(160)," ")) &amp; "|" &amp;
      LEFT(SUBSTITUTE($U$2:$U$38,CHAR(160)," "),5) &amp; "|" &amp;
      TRIM(SUBSTITUTE($V$2:$V$38,CHAR(160)," ")),
      $W$2:$W$38
    )
  ),
"")</f>
        <v>900</v>
      </c>
      <c r="K121" s="42" cm="1">
        <f t="array" ref="K121">IFERROR(
  VALUE($H121) *
  VALUE(
    _xlfn.XLOOKUP(
      TRIM($F121) &amp; "|" &amp; LEFT(SUBSTITUTE($G121,CHAR(160)," "),5) &amp; "|Ideas Rate",
      TRIM(SUBSTITUTE($T$2:$T$38,CHAR(160)," ")) &amp; "|" &amp;
      LEFT(SUBSTITUTE($U$2:$U$38,CHAR(160)," "),5) &amp; "|" &amp;
      TRIM(SUBSTITUTE($V$2:$V$38,CHAR(160)," ")),
      $W$2:$W$38
    )
  ),
"")</f>
        <v>450</v>
      </c>
    </row>
    <row r="122" spans="1:15" x14ac:dyDescent="0.2">
      <c r="A122" s="170"/>
      <c r="B122" s="171" t="s">
        <v>508</v>
      </c>
      <c r="C122" s="172" t="s">
        <v>152</v>
      </c>
      <c r="D122" s="173" t="s">
        <v>178</v>
      </c>
      <c r="E122" s="173" t="s">
        <v>590</v>
      </c>
      <c r="F122" s="173" t="s">
        <v>9</v>
      </c>
      <c r="G122" s="175" t="s">
        <v>380</v>
      </c>
      <c r="H122" s="176">
        <v>12</v>
      </c>
      <c r="I122" s="160" cm="1">
        <f t="array" ref="I122">IFERROR(
  VALUE($H122) *
  VALUE(
    _xlfn.XLOOKUP(
      TRIM($F122) &amp; "|" &amp; LEFT(SUBSTITUTE($G122,CHAR(160)," "),5) &amp; "|Full Rate",
      TRIM(SUBSTITUTE($T$2:$T$38,CHAR(160)," ")) &amp; "|" &amp;
      LEFT(SUBSTITUTE($U$2:$U$38,CHAR(160)," "),5) &amp; "|" &amp;
      TRIM(SUBSTITUTE($V$2:$V$38,CHAR(160)," ")),
      $W$2:$W$38
    )
  ),
"")</f>
        <v>3000</v>
      </c>
      <c r="J122" s="161" cm="1">
        <f t="array" ref="J122">IFERROR(
  VALUE($H122) *
  VALUE(
    _xlfn.XLOOKUP(
      TRIM($F122) &amp; "|" &amp; LEFT(SUBSTITUTE($G122,CHAR(160)," "),5) &amp; "|Reduced Rate",
      TRIM(SUBSTITUTE($T$2:$T$38,CHAR(160)," ")) &amp; "|" &amp;
      LEFT(SUBSTITUTE($U$2:$U$38,CHAR(160)," "),5) &amp; "|" &amp;
      TRIM(SUBSTITUTE($V$2:$V$38,CHAR(160)," ")),
      $W$2:$W$38
    )
  ),
"")</f>
        <v>1800</v>
      </c>
      <c r="K122" s="42" cm="1">
        <f t="array" ref="K122">IFERROR(
  VALUE($H122) *
  VALUE(
    _xlfn.XLOOKUP(
      TRIM($F122) &amp; "|" &amp; LEFT(SUBSTITUTE($G122,CHAR(160)," "),5) &amp; "|Ideas Rate",
      TRIM(SUBSTITUTE($T$2:$T$38,CHAR(160)," ")) &amp; "|" &amp;
      LEFT(SUBSTITUTE($U$2:$U$38,CHAR(160)," "),5) &amp; "|" &amp;
      TRIM(SUBSTITUTE($V$2:$V$38,CHAR(160)," ")),
      $W$2:$W$38
    )
  ),
"")</f>
        <v>900</v>
      </c>
    </row>
    <row r="123" spans="1:15" x14ac:dyDescent="0.2">
      <c r="A123" s="170"/>
      <c r="B123" s="171" t="s">
        <v>508</v>
      </c>
      <c r="C123" s="172" t="s">
        <v>152</v>
      </c>
      <c r="D123" s="173" t="s">
        <v>178</v>
      </c>
      <c r="E123" s="173" t="s">
        <v>591</v>
      </c>
      <c r="F123" s="173" t="s">
        <v>9</v>
      </c>
      <c r="G123" s="175" t="s">
        <v>380</v>
      </c>
      <c r="H123" s="176">
        <v>4</v>
      </c>
      <c r="I123" s="160" cm="1">
        <f t="array" ref="I123">IFERROR(
  VALUE($H123) *
  VALUE(
    _xlfn.XLOOKUP(
      TRIM($F123) &amp; "|" &amp; LEFT(SUBSTITUTE($G123,CHAR(160)," "),5) &amp; "|Full Rate",
      TRIM(SUBSTITUTE($T$2:$T$38,CHAR(160)," ")) &amp; "|" &amp;
      LEFT(SUBSTITUTE($U$2:$U$38,CHAR(160)," "),5) &amp; "|" &amp;
      TRIM(SUBSTITUTE($V$2:$V$38,CHAR(160)," ")),
      $W$2:$W$38
    )
  ),
"")</f>
        <v>1000</v>
      </c>
      <c r="J123" s="161" cm="1">
        <f t="array" ref="J123">IFERROR(
  VALUE($H123) *
  VALUE(
    _xlfn.XLOOKUP(
      TRIM($F123) &amp; "|" &amp; LEFT(SUBSTITUTE($G123,CHAR(160)," "),5) &amp; "|Reduced Rate",
      TRIM(SUBSTITUTE($T$2:$T$38,CHAR(160)," ")) &amp; "|" &amp;
      LEFT(SUBSTITUTE($U$2:$U$38,CHAR(160)," "),5) &amp; "|" &amp;
      TRIM(SUBSTITUTE($V$2:$V$38,CHAR(160)," ")),
      $W$2:$W$38
    )
  ),
"")</f>
        <v>600</v>
      </c>
      <c r="K123" s="42" cm="1">
        <f t="array" ref="K123">IFERROR(
  VALUE($H123) *
  VALUE(
    _xlfn.XLOOKUP(
      TRIM($F123) &amp; "|" &amp; LEFT(SUBSTITUTE($G123,CHAR(160)," "),5) &amp; "|Ideas Rate",
      TRIM(SUBSTITUTE($T$2:$T$38,CHAR(160)," ")) &amp; "|" &amp;
      LEFT(SUBSTITUTE($U$2:$U$38,CHAR(160)," "),5) &amp; "|" &amp;
      TRIM(SUBSTITUTE($V$2:$V$38,CHAR(160)," ")),
      $W$2:$W$38
    )
  ),
"")</f>
        <v>300</v>
      </c>
    </row>
    <row r="124" spans="1:15" x14ac:dyDescent="0.2">
      <c r="A124" s="170"/>
      <c r="B124" s="171" t="s">
        <v>508</v>
      </c>
      <c r="C124" s="172" t="s">
        <v>152</v>
      </c>
      <c r="D124" s="173" t="s">
        <v>178</v>
      </c>
      <c r="E124" s="173" t="s">
        <v>592</v>
      </c>
      <c r="F124" s="173" t="s">
        <v>9</v>
      </c>
      <c r="G124" s="175" t="s">
        <v>380</v>
      </c>
      <c r="H124" s="176">
        <v>1</v>
      </c>
      <c r="I124" s="160" cm="1">
        <f t="array" ref="I124">IFERROR(
  VALUE($H124) *
  VALUE(
    _xlfn.XLOOKUP(
      TRIM($F124) &amp; "|" &amp; LEFT(SUBSTITUTE($G124,CHAR(160)," "),5) &amp; "|Full Rate",
      TRIM(SUBSTITUTE($T$2:$T$38,CHAR(160)," ")) &amp; "|" &amp;
      LEFT(SUBSTITUTE($U$2:$U$38,CHAR(160)," "),5) &amp; "|" &amp;
      TRIM(SUBSTITUTE($V$2:$V$38,CHAR(160)," ")),
      $W$2:$W$38
    )
  ),
"")</f>
        <v>250</v>
      </c>
      <c r="J124" s="161" cm="1">
        <f t="array" ref="J124">IFERROR(
  VALUE($H124) *
  VALUE(
    _xlfn.XLOOKUP(
      TRIM($F124) &amp; "|" &amp; LEFT(SUBSTITUTE($G124,CHAR(160)," "),5) &amp; "|Reduced Rate",
      TRIM(SUBSTITUTE($T$2:$T$38,CHAR(160)," ")) &amp; "|" &amp;
      LEFT(SUBSTITUTE($U$2:$U$38,CHAR(160)," "),5) &amp; "|" &amp;
      TRIM(SUBSTITUTE($V$2:$V$38,CHAR(160)," ")),
      $W$2:$W$38
    )
  ),
"")</f>
        <v>150</v>
      </c>
      <c r="K124" s="42" cm="1">
        <f t="array" ref="K124">IFERROR(
  VALUE($H124) *
  VALUE(
    _xlfn.XLOOKUP(
      TRIM($F124) &amp; "|" &amp; LEFT(SUBSTITUTE($G124,CHAR(160)," "),5) &amp; "|Ideas Rate",
      TRIM(SUBSTITUTE($T$2:$T$38,CHAR(160)," ")) &amp; "|" &amp;
      LEFT(SUBSTITUTE($U$2:$U$38,CHAR(160)," "),5) &amp; "|" &amp;
      TRIM(SUBSTITUTE($V$2:$V$38,CHAR(160)," ")),
      $W$2:$W$38
    )
  ),
"")</f>
        <v>75</v>
      </c>
    </row>
    <row r="125" spans="1:15" x14ac:dyDescent="0.2">
      <c r="A125" s="170"/>
      <c r="B125" s="171" t="s">
        <v>508</v>
      </c>
      <c r="C125" s="172" t="s">
        <v>152</v>
      </c>
      <c r="D125" s="173" t="s">
        <v>190</v>
      </c>
      <c r="E125" s="173" t="s">
        <v>608</v>
      </c>
      <c r="F125" s="173" t="s">
        <v>9</v>
      </c>
      <c r="G125" s="175" t="s">
        <v>380</v>
      </c>
      <c r="H125" s="176">
        <v>4</v>
      </c>
      <c r="I125" s="160" cm="1">
        <f t="array" ref="I125">IFERROR(
  VALUE($H125) *
  VALUE(
    _xlfn.XLOOKUP(
      TRIM($F125) &amp; "|" &amp; LEFT(SUBSTITUTE($G125,CHAR(160)," "),5) &amp; "|Full Rate",
      TRIM(SUBSTITUTE($T$2:$T$38,CHAR(160)," ")) &amp; "|" &amp;
      LEFT(SUBSTITUTE($U$2:$U$38,CHAR(160)," "),5) &amp; "|" &amp;
      TRIM(SUBSTITUTE($V$2:$V$38,CHAR(160)," ")),
      $W$2:$W$38
    )
  ),
"")</f>
        <v>1000</v>
      </c>
      <c r="J125" s="161" cm="1">
        <f t="array" ref="J125">IFERROR(
  VALUE($H125) *
  VALUE(
    _xlfn.XLOOKUP(
      TRIM($F125) &amp; "|" &amp; LEFT(SUBSTITUTE($G125,CHAR(160)," "),5) &amp; "|Reduced Rate",
      TRIM(SUBSTITUTE($T$2:$T$38,CHAR(160)," ")) &amp; "|" &amp;
      LEFT(SUBSTITUTE($U$2:$U$38,CHAR(160)," "),5) &amp; "|" &amp;
      TRIM(SUBSTITUTE($V$2:$V$38,CHAR(160)," ")),
      $W$2:$W$38
    )
  ),
"")</f>
        <v>600</v>
      </c>
      <c r="K125" s="42" cm="1">
        <f t="array" ref="K125">IFERROR(
  VALUE($H125) *
  VALUE(
    _xlfn.XLOOKUP(
      TRIM($F125) &amp; "|" &amp; LEFT(SUBSTITUTE($G125,CHAR(160)," "),5) &amp; "|Ideas Rate",
      TRIM(SUBSTITUTE($T$2:$T$38,CHAR(160)," ")) &amp; "|" &amp;
      LEFT(SUBSTITUTE($U$2:$U$38,CHAR(160)," "),5) &amp; "|" &amp;
      TRIM(SUBSTITUTE($V$2:$V$38,CHAR(160)," ")),
      $W$2:$W$38
    )
  ),
"")</f>
        <v>300</v>
      </c>
    </row>
    <row r="126" spans="1:15" x14ac:dyDescent="0.2">
      <c r="A126" s="170"/>
      <c r="B126" s="171" t="s">
        <v>508</v>
      </c>
      <c r="C126" s="172" t="s">
        <v>152</v>
      </c>
      <c r="D126" s="173" t="s">
        <v>29</v>
      </c>
      <c r="E126" s="173" t="s">
        <v>593</v>
      </c>
      <c r="F126" s="173" t="s">
        <v>9</v>
      </c>
      <c r="G126" s="175" t="s">
        <v>380</v>
      </c>
      <c r="H126" s="176">
        <v>3</v>
      </c>
      <c r="I126" s="160" cm="1">
        <f t="array" ref="I126">IFERROR(
  VALUE($H126) *
  VALUE(
    _xlfn.XLOOKUP(
      TRIM($F126) &amp; "|" &amp; LEFT(SUBSTITUTE($G126,CHAR(160)," "),5) &amp; "|Full Rate",
      TRIM(SUBSTITUTE($T$2:$T$38,CHAR(160)," ")) &amp; "|" &amp;
      LEFT(SUBSTITUTE($U$2:$U$38,CHAR(160)," "),5) &amp; "|" &amp;
      TRIM(SUBSTITUTE($V$2:$V$38,CHAR(160)," ")),
      $W$2:$W$38
    )
  ),
"")</f>
        <v>750</v>
      </c>
      <c r="J126" s="161" cm="1">
        <f t="array" ref="J126">IFERROR(
  VALUE($H126) *
  VALUE(
    _xlfn.XLOOKUP(
      TRIM($F126) &amp; "|" &amp; LEFT(SUBSTITUTE($G126,CHAR(160)," "),5) &amp; "|Reduced Rate",
      TRIM(SUBSTITUTE($T$2:$T$38,CHAR(160)," ")) &amp; "|" &amp;
      LEFT(SUBSTITUTE($U$2:$U$38,CHAR(160)," "),5) &amp; "|" &amp;
      TRIM(SUBSTITUTE($V$2:$V$38,CHAR(160)," ")),
      $W$2:$W$38
    )
  ),
"")</f>
        <v>450</v>
      </c>
      <c r="K126" s="42" cm="1">
        <f t="array" ref="K126">IFERROR(
  VALUE($H126) *
  VALUE(
    _xlfn.XLOOKUP(
      TRIM($F126) &amp; "|" &amp; LEFT(SUBSTITUTE($G126,CHAR(160)," "),5) &amp; "|Ideas Rate",
      TRIM(SUBSTITUTE($T$2:$T$38,CHAR(160)," ")) &amp; "|" &amp;
      LEFT(SUBSTITUTE($U$2:$U$38,CHAR(160)," "),5) &amp; "|" &amp;
      TRIM(SUBSTITUTE($V$2:$V$38,CHAR(160)," ")),
      $W$2:$W$38
    )
  ),
"")</f>
        <v>225</v>
      </c>
    </row>
    <row r="127" spans="1:15" x14ac:dyDescent="0.2">
      <c r="A127" s="188"/>
      <c r="B127" s="190" t="s">
        <v>508</v>
      </c>
      <c r="C127" s="172" t="s">
        <v>152</v>
      </c>
      <c r="D127" s="174" t="s">
        <v>178</v>
      </c>
      <c r="E127" s="174" t="s">
        <v>609</v>
      </c>
      <c r="F127" s="192" t="s">
        <v>9</v>
      </c>
      <c r="G127" s="175" t="s">
        <v>380</v>
      </c>
      <c r="H127" s="176">
        <v>3</v>
      </c>
      <c r="I127" s="160" cm="1">
        <f t="array" ref="I127">IFERROR(
  VALUE($H127) *
  VALUE(
    _xlfn.XLOOKUP(
      TRIM($F127) &amp; "|" &amp; LEFT(SUBSTITUTE($G127,CHAR(160)," "),5) &amp; "|Full Rate",
      TRIM(SUBSTITUTE($T$2:$T$38,CHAR(160)," ")) &amp; "|" &amp;
      LEFT(SUBSTITUTE($U$2:$U$38,CHAR(160)," "),5) &amp; "|" &amp;
      TRIM(SUBSTITUTE($V$2:$V$38,CHAR(160)," ")),
      $W$2:$W$38
    )
  ),
"")</f>
        <v>750</v>
      </c>
      <c r="J127" s="161" cm="1">
        <f t="array" ref="J127">IFERROR(
  VALUE($H127) *
  VALUE(
    _xlfn.XLOOKUP(
      TRIM($F127) &amp; "|" &amp; LEFT(SUBSTITUTE($G127,CHAR(160)," "),5) &amp; "|Reduced Rate",
      TRIM(SUBSTITUTE($T$2:$T$38,CHAR(160)," ")) &amp; "|" &amp;
      LEFT(SUBSTITUTE($U$2:$U$38,CHAR(160)," "),5) &amp; "|" &amp;
      TRIM(SUBSTITUTE($V$2:$V$38,CHAR(160)," ")),
      $W$2:$W$38
    )
  ),
"")</f>
        <v>450</v>
      </c>
      <c r="K127" s="42" cm="1">
        <f t="array" ref="K127">IFERROR(
  VALUE($H127) *
  VALUE(
    _xlfn.XLOOKUP(
      TRIM($F127) &amp; "|" &amp; LEFT(SUBSTITUTE($G127,CHAR(160)," "),5) &amp; "|Ideas Rate",
      TRIM(SUBSTITUTE($T$2:$T$38,CHAR(160)," ")) &amp; "|" &amp;
      LEFT(SUBSTITUTE($U$2:$U$38,CHAR(160)," "),5) &amp; "|" &amp;
      TRIM(SUBSTITUTE($V$2:$V$38,CHAR(160)," ")),
      $W$2:$W$38
    )
  ),
"")</f>
        <v>225</v>
      </c>
    </row>
    <row r="128" spans="1:15" x14ac:dyDescent="0.2">
      <c r="A128" s="188"/>
      <c r="B128" s="190" t="s">
        <v>508</v>
      </c>
      <c r="C128" s="172" t="s">
        <v>152</v>
      </c>
      <c r="D128" s="174" t="s">
        <v>178</v>
      </c>
      <c r="E128" s="174" t="s">
        <v>594</v>
      </c>
      <c r="F128" s="174" t="s">
        <v>9</v>
      </c>
      <c r="G128" s="175" t="s">
        <v>380</v>
      </c>
      <c r="H128" s="187">
        <v>5</v>
      </c>
      <c r="I128" s="160" cm="1">
        <f t="array" ref="I128">IFERROR(
  VALUE($H128) *
  VALUE(
    _xlfn.XLOOKUP(
      TRIM($F128) &amp; "|" &amp; LEFT(SUBSTITUTE($G128,CHAR(160)," "),5) &amp; "|Full Rate",
      TRIM(SUBSTITUTE($T$2:$T$38,CHAR(160)," ")) &amp; "|" &amp;
      LEFT(SUBSTITUTE($U$2:$U$38,CHAR(160)," "),5) &amp; "|" &amp;
      TRIM(SUBSTITUTE($V$2:$V$38,CHAR(160)," ")),
      $W$2:$W$38
    )
  ),
"")</f>
        <v>1250</v>
      </c>
      <c r="J128" s="161" cm="1">
        <f t="array" ref="J128">IFERROR(
  VALUE($H128) *
  VALUE(
    _xlfn.XLOOKUP(
      TRIM($F128) &amp; "|" &amp; LEFT(SUBSTITUTE($G128,CHAR(160)," "),5) &amp; "|Reduced Rate",
      TRIM(SUBSTITUTE($T$2:$T$38,CHAR(160)," ")) &amp; "|" &amp;
      LEFT(SUBSTITUTE($U$2:$U$38,CHAR(160)," "),5) &amp; "|" &amp;
      TRIM(SUBSTITUTE($V$2:$V$38,CHAR(160)," ")),
      $W$2:$W$38
    )
  ),
"")</f>
        <v>750</v>
      </c>
      <c r="K128" s="42" cm="1">
        <f t="array" ref="K128">IFERROR(
  VALUE($H128) *
  VALUE(
    _xlfn.XLOOKUP(
      TRIM($F128) &amp; "|" &amp; LEFT(SUBSTITUTE($G128,CHAR(160)," "),5) &amp; "|Ideas Rate",
      TRIM(SUBSTITUTE($T$2:$T$38,CHAR(160)," ")) &amp; "|" &amp;
      LEFT(SUBSTITUTE($U$2:$U$38,CHAR(160)," "),5) &amp; "|" &amp;
      TRIM(SUBSTITUTE($V$2:$V$38,CHAR(160)," ")),
      $W$2:$W$38
    )
  ),
"")</f>
        <v>375</v>
      </c>
    </row>
    <row r="129" spans="1:11" x14ac:dyDescent="0.2">
      <c r="A129" s="188"/>
      <c r="B129" s="190" t="s">
        <v>508</v>
      </c>
      <c r="C129" s="172" t="s">
        <v>152</v>
      </c>
      <c r="D129" s="174" t="s">
        <v>178</v>
      </c>
      <c r="E129" s="174" t="s">
        <v>594</v>
      </c>
      <c r="F129" s="174" t="s">
        <v>10</v>
      </c>
      <c r="G129" s="175" t="s">
        <v>380</v>
      </c>
      <c r="H129" s="187">
        <v>5</v>
      </c>
      <c r="I129" s="160" cm="1">
        <f t="array" ref="I129">IFERROR(
  VALUE($H129) *
  VALUE(
    _xlfn.XLOOKUP(
      TRIM($F129) &amp; "|" &amp; LEFT(SUBSTITUTE($G129,CHAR(160)," "),5) &amp; "|Full Rate",
      TRIM(SUBSTITUTE($T$2:$T$38,CHAR(160)," ")) &amp; "|" &amp;
      LEFT(SUBSTITUTE($U$2:$U$38,CHAR(160)," "),5) &amp; "|" &amp;
      TRIM(SUBSTITUTE($V$2:$V$38,CHAR(160)," ")),
      $W$2:$W$38
    )
  ),
"")</f>
        <v>1250</v>
      </c>
      <c r="J129" s="161" cm="1">
        <f t="array" ref="J129">IFERROR(
  VALUE($H129) *
  VALUE(
    _xlfn.XLOOKUP(
      TRIM($F129) &amp; "|" &amp; LEFT(SUBSTITUTE($G129,CHAR(160)," "),5) &amp; "|Reduced Rate",
      TRIM(SUBSTITUTE($T$2:$T$38,CHAR(160)," ")) &amp; "|" &amp;
      LEFT(SUBSTITUTE($U$2:$U$38,CHAR(160)," "),5) &amp; "|" &amp;
      TRIM(SUBSTITUTE($V$2:$V$38,CHAR(160)," ")),
      $W$2:$W$38
    )
  ),
"")</f>
        <v>750</v>
      </c>
      <c r="K129" s="42" cm="1">
        <f t="array" ref="K129">IFERROR(
  VALUE($H129) *
  VALUE(
    _xlfn.XLOOKUP(
      TRIM($F129) &amp; "|" &amp; LEFT(SUBSTITUTE($G129,CHAR(160)," "),5) &amp; "|Ideas Rate",
      TRIM(SUBSTITUTE($T$2:$T$38,CHAR(160)," ")) &amp; "|" &amp;
      LEFT(SUBSTITUTE($U$2:$U$38,CHAR(160)," "),5) &amp; "|" &amp;
      TRIM(SUBSTITUTE($V$2:$V$38,CHAR(160)," ")),
      $W$2:$W$38
    )
  ),
"")</f>
        <v>375</v>
      </c>
    </row>
    <row r="130" spans="1:11" x14ac:dyDescent="0.2">
      <c r="A130" s="188"/>
      <c r="B130" s="190" t="s">
        <v>508</v>
      </c>
      <c r="C130" s="172" t="s">
        <v>152</v>
      </c>
      <c r="D130" s="174" t="s">
        <v>190</v>
      </c>
      <c r="E130" s="174" t="s">
        <v>597</v>
      </c>
      <c r="F130" s="174" t="s">
        <v>9</v>
      </c>
      <c r="G130" s="175" t="s">
        <v>368</v>
      </c>
      <c r="H130" s="187">
        <v>4</v>
      </c>
      <c r="I130" s="160" cm="1">
        <f t="array" ref="I130">IFERROR(
  VALUE($H130) *
  VALUE(
    _xlfn.XLOOKUP(
      TRIM($F130) &amp; "|" &amp; LEFT(SUBSTITUTE($G130,CHAR(160)," "),5) &amp; "|Full Rate",
      TRIM(SUBSTITUTE($T$2:$T$38,CHAR(160)," ")) &amp; "|" &amp;
      LEFT(SUBSTITUTE($U$2:$U$38,CHAR(160)," "),5) &amp; "|" &amp;
      TRIM(SUBSTITUTE($V$2:$V$38,CHAR(160)," ")),
      $W$2:$W$38
    )
  ),
"")</f>
        <v>400</v>
      </c>
      <c r="J130" s="161" cm="1">
        <f t="array" ref="J130">IFERROR(
  VALUE($H130) *
  VALUE(
    _xlfn.XLOOKUP(
      TRIM($F130) &amp; "|" &amp; LEFT(SUBSTITUTE($G130,CHAR(160)," "),5) &amp; "|Reduced Rate",
      TRIM(SUBSTITUTE($T$2:$T$38,CHAR(160)," ")) &amp; "|" &amp;
      LEFT(SUBSTITUTE($U$2:$U$38,CHAR(160)," "),5) &amp; "|" &amp;
      TRIM(SUBSTITUTE($V$2:$V$38,CHAR(160)," ")),
      $W$2:$W$38
    )
  ),
"")</f>
        <v>200</v>
      </c>
      <c r="K130" s="42" cm="1">
        <f t="array" ref="K130">IFERROR(
  VALUE($H130) *
  VALUE(
    _xlfn.XLOOKUP(
      TRIM($F130) &amp; "|" &amp; LEFT(SUBSTITUTE($G130,CHAR(160)," "),5) &amp; "|Ideas Rate",
      TRIM(SUBSTITUTE($T$2:$T$38,CHAR(160)," ")) &amp; "|" &amp;
      LEFT(SUBSTITUTE($U$2:$U$38,CHAR(160)," "),5) &amp; "|" &amp;
      TRIM(SUBSTITUTE($V$2:$V$38,CHAR(160)," ")),
      $W$2:$W$38
    )
  ),
"")</f>
        <v>120</v>
      </c>
    </row>
    <row r="131" spans="1:11" x14ac:dyDescent="0.2">
      <c r="A131" s="188"/>
      <c r="B131" s="190" t="s">
        <v>508</v>
      </c>
      <c r="C131" s="172" t="s">
        <v>152</v>
      </c>
      <c r="D131" s="174" t="s">
        <v>190</v>
      </c>
      <c r="E131" s="174" t="s">
        <v>597</v>
      </c>
      <c r="F131" s="174" t="s">
        <v>156</v>
      </c>
      <c r="G131" s="175" t="s">
        <v>368</v>
      </c>
      <c r="H131" s="187">
        <v>30</v>
      </c>
      <c r="I131" s="160" cm="1">
        <f t="array" ref="I131">IFERROR(
  VALUE($H131) *
  VALUE(
    _xlfn.XLOOKUP(
      TRIM($F131) &amp; "|" &amp; LEFT(SUBSTITUTE($G131,CHAR(160)," "),5) &amp; "|Full Rate",
      TRIM(SUBSTITUTE($T$2:$T$38,CHAR(160)," ")) &amp; "|" &amp;
      LEFT(SUBSTITUTE($U$2:$U$38,CHAR(160)," "),5) &amp; "|" &amp;
      TRIM(SUBSTITUTE($V$2:$V$38,CHAR(160)," ")),
      $W$2:$W$38
    )
  ),
"")</f>
        <v>3000</v>
      </c>
      <c r="J131" s="161" cm="1">
        <f t="array" ref="J131">IFERROR(
  VALUE($H131) *
  VALUE(
    _xlfn.XLOOKUP(
      TRIM($F131) &amp; "|" &amp; LEFT(SUBSTITUTE($G131,CHAR(160)," "),5) &amp; "|Reduced Rate",
      TRIM(SUBSTITUTE($T$2:$T$38,CHAR(160)," ")) &amp; "|" &amp;
      LEFT(SUBSTITUTE($U$2:$U$38,CHAR(160)," "),5) &amp; "|" &amp;
      TRIM(SUBSTITUTE($V$2:$V$38,CHAR(160)," ")),
      $W$2:$W$38
    )
  ),
"")</f>
        <v>1500</v>
      </c>
      <c r="K131" s="42" cm="1">
        <f t="array" ref="K131">IFERROR(
  VALUE($H131) *
  VALUE(
    _xlfn.XLOOKUP(
      TRIM($F131) &amp; "|" &amp; LEFT(SUBSTITUTE($G131,CHAR(160)," "),5) &amp; "|Ideas Rate",
      TRIM(SUBSTITUTE($T$2:$T$38,CHAR(160)," ")) &amp; "|" &amp;
      LEFT(SUBSTITUTE($U$2:$U$38,CHAR(160)," "),5) &amp; "|" &amp;
      TRIM(SUBSTITUTE($V$2:$V$38,CHAR(160)," ")),
      $W$2:$W$38
    )
  ),
"")</f>
        <v>900</v>
      </c>
    </row>
    <row r="132" spans="1:11" x14ac:dyDescent="0.2">
      <c r="A132" s="188"/>
      <c r="B132" s="190" t="s">
        <v>508</v>
      </c>
      <c r="C132" s="172" t="s">
        <v>152</v>
      </c>
      <c r="D132" s="174" t="s">
        <v>190</v>
      </c>
      <c r="E132" s="174" t="s">
        <v>597</v>
      </c>
      <c r="F132" s="174" t="s">
        <v>10</v>
      </c>
      <c r="G132" s="175" t="s">
        <v>368</v>
      </c>
      <c r="H132" s="187">
        <v>10</v>
      </c>
      <c r="I132" s="160" cm="1">
        <f t="array" ref="I132">IFERROR(
  VALUE($H132) *
  VALUE(
    _xlfn.XLOOKUP(
      TRIM($F132) &amp; "|" &amp; LEFT(SUBSTITUTE($G132,CHAR(160)," "),5) &amp; "|Full Rate",
      TRIM(SUBSTITUTE($T$2:$T$38,CHAR(160)," ")) &amp; "|" &amp;
      LEFT(SUBSTITUTE($U$2:$U$38,CHAR(160)," "),5) &amp; "|" &amp;
      TRIM(SUBSTITUTE($V$2:$V$38,CHAR(160)," ")),
      $W$2:$W$38
    )
  ),
"")</f>
        <v>1000</v>
      </c>
      <c r="J132" s="161" cm="1">
        <f t="array" ref="J132">IFERROR(
  VALUE($H132) *
  VALUE(
    _xlfn.XLOOKUP(
      TRIM($F132) &amp; "|" &amp; LEFT(SUBSTITUTE($G132,CHAR(160)," "),5) &amp; "|Reduced Rate",
      TRIM(SUBSTITUTE($T$2:$T$38,CHAR(160)," ")) &amp; "|" &amp;
      LEFT(SUBSTITUTE($U$2:$U$38,CHAR(160)," "),5) &amp; "|" &amp;
      TRIM(SUBSTITUTE($V$2:$V$38,CHAR(160)," ")),
      $W$2:$W$38
    )
  ),
"")</f>
        <v>500</v>
      </c>
      <c r="K132" s="42" cm="1">
        <f t="array" ref="K132">IFERROR(
  VALUE($H132) *
  VALUE(
    _xlfn.XLOOKUP(
      TRIM($F132) &amp; "|" &amp; LEFT(SUBSTITUTE($G132,CHAR(160)," "),5) &amp; "|Ideas Rate",
      TRIM(SUBSTITUTE($T$2:$T$38,CHAR(160)," ")) &amp; "|" &amp;
      LEFT(SUBSTITUTE($U$2:$U$38,CHAR(160)," "),5) &amp; "|" &amp;
      TRIM(SUBSTITUTE($V$2:$V$38,CHAR(160)," ")),
      $W$2:$W$38
    )
  ),
"")</f>
        <v>300</v>
      </c>
    </row>
    <row r="133" spans="1:11" x14ac:dyDescent="0.2">
      <c r="A133" s="102">
        <v>46027</v>
      </c>
      <c r="B133" s="103" t="s">
        <v>518</v>
      </c>
      <c r="C133" s="64" t="s">
        <v>519</v>
      </c>
      <c r="D133" s="104" t="s">
        <v>178</v>
      </c>
      <c r="E133" s="104" t="s">
        <v>520</v>
      </c>
      <c r="F133" s="104" t="s">
        <v>10</v>
      </c>
      <c r="G133" s="105" t="s">
        <v>380</v>
      </c>
      <c r="H133" s="106">
        <v>1</v>
      </c>
      <c r="I133" s="107" cm="1">
        <f t="array" ref="I133">IFERROR(
  VALUE($H133) *
  VALUE(
    _xlfn.XLOOKUP(
      TRIM($F133) &amp; "|" &amp; LEFT(SUBSTITUTE($G133,CHAR(160)," "),5) &amp; "|Full Rate",
      TRIM(SUBSTITUTE($T$2:$T$38,CHAR(160)," ")) &amp; "|" &amp;
      LEFT(SUBSTITUTE($U$2:$U$38,CHAR(160)," "),5) &amp; "|" &amp;
      TRIM(SUBSTITUTE($V$2:$V$38,CHAR(160)," ")),
      $W$2:$W$38
    )
  ),
"")</f>
        <v>250</v>
      </c>
      <c r="J133" s="42" cm="1">
        <f t="array" ref="J133">IFERROR(
  VALUE($H133) *
  VALUE(
    _xlfn.XLOOKUP(
      TRIM($F133) &amp; "|" &amp; LEFT(SUBSTITUTE($G133,CHAR(160)," "),5) &amp; "|Reduced Rate",
      TRIM(SUBSTITUTE($T$2:$T$38,CHAR(160)," ")) &amp; "|" &amp;
      LEFT(SUBSTITUTE($U$2:$U$38,CHAR(160)," "),5) &amp; "|" &amp;
      TRIM(SUBSTITUTE($V$2:$V$38,CHAR(160)," ")),
      $W$2:$W$38
    )
  ),
"")</f>
        <v>150</v>
      </c>
      <c r="K133" s="42" cm="1">
        <f t="array" ref="K133">IFERROR(
  VALUE($H133) *
  VALUE(
    _xlfn.XLOOKUP(
      TRIM($F133) &amp; "|" &amp; LEFT(SUBSTITUTE($G133,CHAR(160)," "),5) &amp; "|Ideas Rate",
      TRIM(SUBSTITUTE($T$2:$T$38,CHAR(160)," ")) &amp; "|" &amp;
      LEFT(SUBSTITUTE($U$2:$U$38,CHAR(160)," "),5) &amp; "|" &amp;
      TRIM(SUBSTITUTE($V$2:$V$38,CHAR(160)," ")),
      $W$2:$W$38
    )
  ),
"")</f>
        <v>75</v>
      </c>
    </row>
    <row r="134" spans="1:11" x14ac:dyDescent="0.2">
      <c r="A134" s="102">
        <v>46027</v>
      </c>
      <c r="B134" s="103" t="s">
        <v>518</v>
      </c>
      <c r="C134" s="64" t="s">
        <v>519</v>
      </c>
      <c r="D134" s="104" t="s">
        <v>178</v>
      </c>
      <c r="E134" s="104" t="s">
        <v>521</v>
      </c>
      <c r="F134" s="104" t="s">
        <v>10</v>
      </c>
      <c r="G134" s="105" t="s">
        <v>380</v>
      </c>
      <c r="H134" s="106">
        <v>1.5</v>
      </c>
      <c r="I134" s="107" cm="1">
        <f t="array" ref="I134">IFERROR(
  VALUE($H134) *
  VALUE(
    _xlfn.XLOOKUP(
      TRIM($F134) &amp; "|" &amp; LEFT(SUBSTITUTE($G134,CHAR(160)," "),5) &amp; "|Full Rate",
      TRIM(SUBSTITUTE($T$2:$T$38,CHAR(160)," ")) &amp; "|" &amp;
      LEFT(SUBSTITUTE($U$2:$U$38,CHAR(160)," "),5) &amp; "|" &amp;
      TRIM(SUBSTITUTE($V$2:$V$38,CHAR(160)," ")),
      $W$2:$W$38
    )
  ),
"")</f>
        <v>375</v>
      </c>
      <c r="J134" s="42" cm="1">
        <f t="array" ref="J134">IFERROR(
  VALUE($H134) *
  VALUE(
    _xlfn.XLOOKUP(
      TRIM($F134) &amp; "|" &amp; LEFT(SUBSTITUTE($G134,CHAR(160)," "),5) &amp; "|Reduced Rate",
      TRIM(SUBSTITUTE($T$2:$T$38,CHAR(160)," ")) &amp; "|" &amp;
      LEFT(SUBSTITUTE($U$2:$U$38,CHAR(160)," "),5) &amp; "|" &amp;
      TRIM(SUBSTITUTE($V$2:$V$38,CHAR(160)," ")),
      $W$2:$W$38
    )
  ),
"")</f>
        <v>225</v>
      </c>
      <c r="K134" s="42" cm="1">
        <f t="array" ref="K134">IFERROR(
  VALUE($H134) *
  VALUE(
    _xlfn.XLOOKUP(
      TRIM($F134) &amp; "|" &amp; LEFT(SUBSTITUTE($G134,CHAR(160)," "),5) &amp; "|Ideas Rate",
      TRIM(SUBSTITUTE($T$2:$T$38,CHAR(160)," ")) &amp; "|" &amp;
      LEFT(SUBSTITUTE($U$2:$U$38,CHAR(160)," "),5) &amp; "|" &amp;
      TRIM(SUBSTITUTE($V$2:$V$38,CHAR(160)," ")),
      $W$2:$W$38
    )
  ),
"")</f>
        <v>112.5</v>
      </c>
    </row>
    <row r="135" spans="1:11" x14ac:dyDescent="0.2">
      <c r="A135" s="102">
        <v>46027</v>
      </c>
      <c r="B135" s="103" t="s">
        <v>518</v>
      </c>
      <c r="C135" s="64" t="s">
        <v>519</v>
      </c>
      <c r="D135" s="104" t="s">
        <v>192</v>
      </c>
      <c r="E135" s="104" t="s">
        <v>522</v>
      </c>
      <c r="F135" s="104" t="s">
        <v>10</v>
      </c>
      <c r="G135" s="105" t="s">
        <v>380</v>
      </c>
      <c r="H135" s="106">
        <v>2</v>
      </c>
      <c r="I135" s="107" cm="1">
        <f t="array" ref="I135">IFERROR(
  VALUE($H135) *
  VALUE(
    _xlfn.XLOOKUP(
      TRIM($F135) &amp; "|" &amp; LEFT(SUBSTITUTE($G135,CHAR(160)," "),5) &amp; "|Full Rate",
      TRIM(SUBSTITUTE($T$2:$T$38,CHAR(160)," ")) &amp; "|" &amp;
      LEFT(SUBSTITUTE($U$2:$U$38,CHAR(160)," "),5) &amp; "|" &amp;
      TRIM(SUBSTITUTE($V$2:$V$38,CHAR(160)," ")),
      $W$2:$W$38
    )
  ),
"")</f>
        <v>500</v>
      </c>
      <c r="J135" s="42" cm="1">
        <f t="array" ref="J135">IFERROR(
  VALUE($H135) *
  VALUE(
    _xlfn.XLOOKUP(
      TRIM($F135) &amp; "|" &amp; LEFT(SUBSTITUTE($G135,CHAR(160)," "),5) &amp; "|Reduced Rate",
      TRIM(SUBSTITUTE($T$2:$T$38,CHAR(160)," ")) &amp; "|" &amp;
      LEFT(SUBSTITUTE($U$2:$U$38,CHAR(160)," "),5) &amp; "|" &amp;
      TRIM(SUBSTITUTE($V$2:$V$38,CHAR(160)," ")),
      $W$2:$W$38
    )
  ),
"")</f>
        <v>300</v>
      </c>
      <c r="K135" s="42" cm="1">
        <f t="array" ref="K135">IFERROR(
  VALUE($H135) *
  VALUE(
    _xlfn.XLOOKUP(
      TRIM($F135) &amp; "|" &amp; LEFT(SUBSTITUTE($G135,CHAR(160)," "),5) &amp; "|Ideas Rate",
      TRIM(SUBSTITUTE($T$2:$T$38,CHAR(160)," ")) &amp; "|" &amp;
      LEFT(SUBSTITUTE($U$2:$U$38,CHAR(160)," "),5) &amp; "|" &amp;
      TRIM(SUBSTITUTE($V$2:$V$38,CHAR(160)," ")),
      $W$2:$W$38
    )
  ),
"")</f>
        <v>150</v>
      </c>
    </row>
    <row r="136" spans="1:11" x14ac:dyDescent="0.2">
      <c r="A136" s="21">
        <v>46027</v>
      </c>
      <c r="B136" s="28" t="s">
        <v>508</v>
      </c>
      <c r="C136" s="20" t="s">
        <v>152</v>
      </c>
      <c r="D136" s="18" t="s">
        <v>192</v>
      </c>
      <c r="E136" s="18" t="s">
        <v>509</v>
      </c>
      <c r="F136" s="18" t="s">
        <v>155</v>
      </c>
      <c r="G136" s="22" t="s">
        <v>380</v>
      </c>
      <c r="H136" s="45">
        <v>1</v>
      </c>
      <c r="I136" s="160" cm="1">
        <f t="array" ref="I136">IFERROR(
  VALUE($H136) *
  VALUE(
    _xlfn.XLOOKUP(
      TRIM($F136) &amp; "|" &amp; LEFT(SUBSTITUTE($G136,CHAR(160)," "),5) &amp; "|Full Rate",
      TRIM(SUBSTITUTE($T$2:$T$38,CHAR(160)," ")) &amp; "|" &amp;
      LEFT(SUBSTITUTE($U$2:$U$38,CHAR(160)," "),5) &amp; "|" &amp;
      TRIM(SUBSTITUTE($V$2:$V$38,CHAR(160)," ")),
      $W$2:$W$38
    )
  ),
"")</f>
        <v>260</v>
      </c>
      <c r="J136" s="161" cm="1">
        <f t="array" ref="J136">IFERROR(
  VALUE($H136) *
  VALUE(
    _xlfn.XLOOKUP(
      TRIM($F136) &amp; "|" &amp; LEFT(SUBSTITUTE($G136,CHAR(160)," "),5) &amp; "|Reduced Rate",
      TRIM(SUBSTITUTE($T$2:$T$38,CHAR(160)," ")) &amp; "|" &amp;
      LEFT(SUBSTITUTE($U$2:$U$38,CHAR(160)," "),5) &amp; "|" &amp;
      TRIM(SUBSTITUTE($V$2:$V$38,CHAR(160)," ")),
      $W$2:$W$38
    )
  ),
"")</f>
        <v>120</v>
      </c>
      <c r="K136" s="42" cm="1">
        <f t="array" ref="K136">IFERROR(
  VALUE($H136) *
  VALUE(
    _xlfn.XLOOKUP(
      TRIM($F136) &amp; "|" &amp; LEFT(SUBSTITUTE($G136,CHAR(160)," "),5) &amp; "|Ideas Rate",
      TRIM(SUBSTITUTE($T$2:$T$38,CHAR(160)," ")) &amp; "|" &amp;
      LEFT(SUBSTITUTE($U$2:$U$38,CHAR(160)," "),5) &amp; "|" &amp;
      TRIM(SUBSTITUTE($V$2:$V$38,CHAR(160)," ")),
      $W$2:$W$38
    )
  ),
"")</f>
        <v>90</v>
      </c>
    </row>
    <row r="137" spans="1:11" x14ac:dyDescent="0.2">
      <c r="A137" s="21">
        <v>46027</v>
      </c>
      <c r="B137" s="28" t="s">
        <v>508</v>
      </c>
      <c r="C137" s="20" t="s">
        <v>152</v>
      </c>
      <c r="D137" s="18" t="s">
        <v>178</v>
      </c>
      <c r="E137" s="18" t="s">
        <v>510</v>
      </c>
      <c r="F137" s="18" t="s">
        <v>155</v>
      </c>
      <c r="G137" s="22" t="s">
        <v>380</v>
      </c>
      <c r="H137" s="45">
        <v>1</v>
      </c>
      <c r="I137" s="160" cm="1">
        <f t="array" ref="I137">IFERROR(
  VALUE($H137) *
  VALUE(
    _xlfn.XLOOKUP(
      TRIM($F137) &amp; "|" &amp; LEFT(SUBSTITUTE($G137,CHAR(160)," "),5) &amp; "|Full Rate",
      TRIM(SUBSTITUTE($T$2:$T$38,CHAR(160)," ")) &amp; "|" &amp;
      LEFT(SUBSTITUTE($U$2:$U$38,CHAR(160)," "),5) &amp; "|" &amp;
      TRIM(SUBSTITUTE($V$2:$V$38,CHAR(160)," ")),
      $W$2:$W$38
    )
  ),
"")</f>
        <v>260</v>
      </c>
      <c r="J137" s="161" cm="1">
        <f t="array" ref="J137">IFERROR(
  VALUE($H137) *
  VALUE(
    _xlfn.XLOOKUP(
      TRIM($F137) &amp; "|" &amp; LEFT(SUBSTITUTE($G137,CHAR(160)," "),5) &amp; "|Reduced Rate",
      TRIM(SUBSTITUTE($T$2:$T$38,CHAR(160)," ")) &amp; "|" &amp;
      LEFT(SUBSTITUTE($U$2:$U$38,CHAR(160)," "),5) &amp; "|" &amp;
      TRIM(SUBSTITUTE($V$2:$V$38,CHAR(160)," ")),
      $W$2:$W$38
    )
  ),
"")</f>
        <v>120</v>
      </c>
      <c r="K137" s="42" cm="1">
        <f t="array" ref="K137">IFERROR(
  VALUE($H137) *
  VALUE(
    _xlfn.XLOOKUP(
      TRIM($F137) &amp; "|" &amp; LEFT(SUBSTITUTE($G137,CHAR(160)," "),5) &amp; "|Ideas Rate",
      TRIM(SUBSTITUTE($T$2:$T$38,CHAR(160)," ")) &amp; "|" &amp;
      LEFT(SUBSTITUTE($U$2:$U$38,CHAR(160)," "),5) &amp; "|" &amp;
      TRIM(SUBSTITUTE($V$2:$V$38,CHAR(160)," ")),
      $W$2:$W$38
    )
  ),
"")</f>
        <v>90</v>
      </c>
    </row>
    <row r="138" spans="1:11" x14ac:dyDescent="0.2">
      <c r="A138" s="21">
        <v>46027</v>
      </c>
      <c r="B138" s="28" t="s">
        <v>508</v>
      </c>
      <c r="C138" s="20" t="s">
        <v>152</v>
      </c>
      <c r="D138" s="18" t="s">
        <v>178</v>
      </c>
      <c r="E138" s="18" t="s">
        <v>511</v>
      </c>
      <c r="F138" s="18" t="s">
        <v>155</v>
      </c>
      <c r="G138" s="22" t="s">
        <v>380</v>
      </c>
      <c r="H138" s="45">
        <v>1.5</v>
      </c>
      <c r="I138" s="160" cm="1">
        <f t="array" ref="I138">IFERROR(
  VALUE($H138) *
  VALUE(
    _xlfn.XLOOKUP(
      TRIM($F138) &amp; "|" &amp; LEFT(SUBSTITUTE($G138,CHAR(160)," "),5) &amp; "|Full Rate",
      TRIM(SUBSTITUTE($T$2:$T$38,CHAR(160)," ")) &amp; "|" &amp;
      LEFT(SUBSTITUTE($U$2:$U$38,CHAR(160)," "),5) &amp; "|" &amp;
      TRIM(SUBSTITUTE($V$2:$V$38,CHAR(160)," ")),
      $W$2:$W$38
    )
  ),
"")</f>
        <v>390</v>
      </c>
      <c r="J138" s="161" cm="1">
        <f t="array" ref="J138">IFERROR(
  VALUE($H138) *
  VALUE(
    _xlfn.XLOOKUP(
      TRIM($F138) &amp; "|" &amp; LEFT(SUBSTITUTE($G138,CHAR(160)," "),5) &amp; "|Reduced Rate",
      TRIM(SUBSTITUTE($T$2:$T$38,CHAR(160)," ")) &amp; "|" &amp;
      LEFT(SUBSTITUTE($U$2:$U$38,CHAR(160)," "),5) &amp; "|" &amp;
      TRIM(SUBSTITUTE($V$2:$V$38,CHAR(160)," ")),
      $W$2:$W$38
    )
  ),
"")</f>
        <v>180</v>
      </c>
      <c r="K138" s="42" cm="1">
        <f t="array" ref="K138">IFERROR(
  VALUE($H138) *
  VALUE(
    _xlfn.XLOOKUP(
      TRIM($F138) &amp; "|" &amp; LEFT(SUBSTITUTE($G138,CHAR(160)," "),5) &amp; "|Ideas Rate",
      TRIM(SUBSTITUTE($T$2:$T$38,CHAR(160)," ")) &amp; "|" &amp;
      LEFT(SUBSTITUTE($U$2:$U$38,CHAR(160)," "),5) &amp; "|" &amp;
      TRIM(SUBSTITUTE($V$2:$V$38,CHAR(160)," ")),
      $W$2:$W$38
    )
  ),
"")</f>
        <v>135</v>
      </c>
    </row>
    <row r="139" spans="1:11" x14ac:dyDescent="0.2">
      <c r="A139" s="21">
        <v>46027</v>
      </c>
      <c r="B139" s="28" t="s">
        <v>508</v>
      </c>
      <c r="C139" s="20" t="s">
        <v>152</v>
      </c>
      <c r="D139" s="18" t="s">
        <v>190</v>
      </c>
      <c r="E139" s="18" t="s">
        <v>512</v>
      </c>
      <c r="F139" s="18" t="s">
        <v>155</v>
      </c>
      <c r="G139" s="22" t="s">
        <v>368</v>
      </c>
      <c r="H139" s="45">
        <v>3</v>
      </c>
      <c r="I139" s="160" cm="1">
        <f t="array" ref="I139">IFERROR(
  VALUE($H139) *
  VALUE(
    _xlfn.XLOOKUP(
      TRIM($F139) &amp; "|" &amp; LEFT(SUBSTITUTE($G139,CHAR(160)," "),5) &amp; "|Full Rate",
      TRIM(SUBSTITUTE($T$2:$T$38,CHAR(160)," ")) &amp; "|" &amp;
      LEFT(SUBSTITUTE($U$2:$U$38,CHAR(160)," "),5) &amp; "|" &amp;
      TRIM(SUBSTITUTE($V$2:$V$38,CHAR(160)," ")),
      $W$2:$W$38
    )
  ),
"")</f>
        <v>300</v>
      </c>
      <c r="J139" s="161" cm="1">
        <f t="array" ref="J139">IFERROR(
  VALUE($H139) *
  VALUE(
    _xlfn.XLOOKUP(
      TRIM($F139) &amp; "|" &amp; LEFT(SUBSTITUTE($G139,CHAR(160)," "),5) &amp; "|Reduced Rate",
      TRIM(SUBSTITUTE($T$2:$T$38,CHAR(160)," ")) &amp; "|" &amp;
      LEFT(SUBSTITUTE($U$2:$U$38,CHAR(160)," "),5) &amp; "|" &amp;
      TRIM(SUBSTITUTE($V$2:$V$38,CHAR(160)," ")),
      $W$2:$W$38
    )
  ),
"")</f>
        <v>150</v>
      </c>
      <c r="K139" s="42" cm="1">
        <f t="array" ref="K139">IFERROR(
  VALUE($H139) *
  VALUE(
    _xlfn.XLOOKUP(
      TRIM($F139) &amp; "|" &amp; LEFT(SUBSTITUTE($G139,CHAR(160)," "),5) &amp; "|Ideas Rate",
      TRIM(SUBSTITUTE($T$2:$T$38,CHAR(160)," ")) &amp; "|" &amp;
      LEFT(SUBSTITUTE($U$2:$U$38,CHAR(160)," "),5) &amp; "|" &amp;
      TRIM(SUBSTITUTE($V$2:$V$38,CHAR(160)," ")),
      $W$2:$W$38
    )
  ),
"")</f>
        <v>90</v>
      </c>
    </row>
    <row r="140" spans="1:11" x14ac:dyDescent="0.2">
      <c r="A140" s="170">
        <v>46027</v>
      </c>
      <c r="B140" s="171" t="s">
        <v>508</v>
      </c>
      <c r="C140" s="172" t="s">
        <v>152</v>
      </c>
      <c r="D140" s="173" t="s">
        <v>190</v>
      </c>
      <c r="E140" s="173" t="s">
        <v>582</v>
      </c>
      <c r="F140" s="173" t="s">
        <v>9</v>
      </c>
      <c r="G140" s="175" t="s">
        <v>380</v>
      </c>
      <c r="H140" s="176">
        <v>1.5</v>
      </c>
      <c r="I140" s="160" cm="1">
        <f t="array" ref="I140">IFERROR(
  VALUE($H140) *
  VALUE(
    _xlfn.XLOOKUP(
      TRIM($F140) &amp; "|" &amp; LEFT(SUBSTITUTE($G140,CHAR(160)," "),5) &amp; "|Full Rate",
      TRIM(SUBSTITUTE($T$2:$T$38,CHAR(160)," ")) &amp; "|" &amp;
      LEFT(SUBSTITUTE($U$2:$U$38,CHAR(160)," "),5) &amp; "|" &amp;
      TRIM(SUBSTITUTE($V$2:$V$38,CHAR(160)," ")),
      $W$2:$W$38
    )
  ),
"")</f>
        <v>375</v>
      </c>
      <c r="J140" s="161" cm="1">
        <f t="array" ref="J140">IFERROR(
  VALUE($H140) *
  VALUE(
    _xlfn.XLOOKUP(
      TRIM($F140) &amp; "|" &amp; LEFT(SUBSTITUTE($G140,CHAR(160)," "),5) &amp; "|Reduced Rate",
      TRIM(SUBSTITUTE($T$2:$T$38,CHAR(160)," ")) &amp; "|" &amp;
      LEFT(SUBSTITUTE($U$2:$U$38,CHAR(160)," "),5) &amp; "|" &amp;
      TRIM(SUBSTITUTE($V$2:$V$38,CHAR(160)," ")),
      $W$2:$W$38
    )
  ),
"")</f>
        <v>225</v>
      </c>
      <c r="K140" s="42" cm="1">
        <f t="array" ref="K140">IFERROR(
  VALUE($H140) *
  VALUE(
    _xlfn.XLOOKUP(
      TRIM($F140) &amp; "|" &amp; LEFT(SUBSTITUTE($G140,CHAR(160)," "),5) &amp; "|Ideas Rate",
      TRIM(SUBSTITUTE($T$2:$T$38,CHAR(160)," ")) &amp; "|" &amp;
      LEFT(SUBSTITUTE($U$2:$U$38,CHAR(160)," "),5) &amp; "|" &amp;
      TRIM(SUBSTITUTE($V$2:$V$38,CHAR(160)," ")),
      $W$2:$W$38
    )
  ),
"")</f>
        <v>112.5</v>
      </c>
    </row>
    <row r="141" spans="1:11" x14ac:dyDescent="0.2">
      <c r="A141" s="170">
        <v>46027</v>
      </c>
      <c r="B141" s="171" t="s">
        <v>508</v>
      </c>
      <c r="C141" s="172" t="s">
        <v>152</v>
      </c>
      <c r="D141" s="173" t="s">
        <v>190</v>
      </c>
      <c r="E141" s="173" t="s">
        <v>582</v>
      </c>
      <c r="F141" s="173" t="s">
        <v>10</v>
      </c>
      <c r="G141" s="175" t="s">
        <v>380</v>
      </c>
      <c r="H141" s="176">
        <v>2.5</v>
      </c>
      <c r="I141" s="160" cm="1">
        <f t="array" ref="I141">IFERROR(
  VALUE($H141) *
  VALUE(
    _xlfn.XLOOKUP(
      TRIM($F141) &amp; "|" &amp; LEFT(SUBSTITUTE($G141,CHAR(160)," "),5) &amp; "|Full Rate",
      TRIM(SUBSTITUTE($T$2:$T$38,CHAR(160)," ")) &amp; "|" &amp;
      LEFT(SUBSTITUTE($U$2:$U$38,CHAR(160)," "),5) &amp; "|" &amp;
      TRIM(SUBSTITUTE($V$2:$V$38,CHAR(160)," ")),
      $W$2:$W$38
    )
  ),
"")</f>
        <v>625</v>
      </c>
      <c r="J141" s="161" cm="1">
        <f t="array" ref="J141">IFERROR(
  VALUE($H141) *
  VALUE(
    _xlfn.XLOOKUP(
      TRIM($F141) &amp; "|" &amp; LEFT(SUBSTITUTE($G141,CHAR(160)," "),5) &amp; "|Reduced Rate",
      TRIM(SUBSTITUTE($T$2:$T$38,CHAR(160)," ")) &amp; "|" &amp;
      LEFT(SUBSTITUTE($U$2:$U$38,CHAR(160)," "),5) &amp; "|" &amp;
      TRIM(SUBSTITUTE($V$2:$V$38,CHAR(160)," ")),
      $W$2:$W$38
    )
  ),
"")</f>
        <v>375</v>
      </c>
      <c r="K141" s="42" cm="1">
        <f t="array" ref="K141">IFERROR(
  VALUE($H141) *
  VALUE(
    _xlfn.XLOOKUP(
      TRIM($F141) &amp; "|" &amp; LEFT(SUBSTITUTE($G141,CHAR(160)," "),5) &amp; "|Ideas Rate",
      TRIM(SUBSTITUTE($T$2:$T$38,CHAR(160)," ")) &amp; "|" &amp;
      LEFT(SUBSTITUTE($U$2:$U$38,CHAR(160)," "),5) &amp; "|" &amp;
      TRIM(SUBSTITUTE($V$2:$V$38,CHAR(160)," ")),
      $W$2:$W$38
    )
  ),
"")</f>
        <v>187.5</v>
      </c>
    </row>
    <row r="142" spans="1:11" x14ac:dyDescent="0.2">
      <c r="A142" s="102">
        <v>46028</v>
      </c>
      <c r="B142" s="103" t="s">
        <v>518</v>
      </c>
      <c r="C142" s="64" t="s">
        <v>519</v>
      </c>
      <c r="D142" s="104" t="s">
        <v>192</v>
      </c>
      <c r="E142" s="104" t="s">
        <v>523</v>
      </c>
      <c r="F142" s="104" t="s">
        <v>10</v>
      </c>
      <c r="G142" s="105" t="s">
        <v>380</v>
      </c>
      <c r="H142" s="106">
        <v>1</v>
      </c>
      <c r="I142" s="107" cm="1">
        <f t="array" ref="I142">IFERROR(
  VALUE($H142) *
  VALUE(
    _xlfn.XLOOKUP(
      TRIM($F142) &amp; "|" &amp; LEFT(SUBSTITUTE($G142,CHAR(160)," "),5) &amp; "|Full Rate",
      TRIM(SUBSTITUTE($T$2:$T$38,CHAR(160)," ")) &amp; "|" &amp;
      LEFT(SUBSTITUTE($U$2:$U$38,CHAR(160)," "),5) &amp; "|" &amp;
      TRIM(SUBSTITUTE($V$2:$V$38,CHAR(160)," ")),
      $W$2:$W$38
    )
  ),
"")</f>
        <v>250</v>
      </c>
      <c r="J142" s="42" cm="1">
        <f t="array" ref="J142">IFERROR(
  VALUE($H142) *
  VALUE(
    _xlfn.XLOOKUP(
      TRIM($F142) &amp; "|" &amp; LEFT(SUBSTITUTE($G142,CHAR(160)," "),5) &amp; "|Reduced Rate",
      TRIM(SUBSTITUTE($T$2:$T$38,CHAR(160)," ")) &amp; "|" &amp;
      LEFT(SUBSTITUTE($U$2:$U$38,CHAR(160)," "),5) &amp; "|" &amp;
      TRIM(SUBSTITUTE($V$2:$V$38,CHAR(160)," ")),
      $W$2:$W$38
    )
  ),
"")</f>
        <v>150</v>
      </c>
      <c r="K142" s="42" cm="1">
        <f t="array" ref="K142">IFERROR(
  VALUE($H142) *
  VALUE(
    _xlfn.XLOOKUP(
      TRIM($F142) &amp; "|" &amp; LEFT(SUBSTITUTE($G142,CHAR(160)," "),5) &amp; "|Ideas Rate",
      TRIM(SUBSTITUTE($T$2:$T$38,CHAR(160)," ")) &amp; "|" &amp;
      LEFT(SUBSTITUTE($U$2:$U$38,CHAR(160)," "),5) &amp; "|" &amp;
      TRIM(SUBSTITUTE($V$2:$V$38,CHAR(160)," ")),
      $W$2:$W$38
    )
  ),
"")</f>
        <v>75</v>
      </c>
    </row>
    <row r="143" spans="1:11" x14ac:dyDescent="0.2">
      <c r="A143" s="21">
        <v>46028</v>
      </c>
      <c r="B143" s="28" t="s">
        <v>508</v>
      </c>
      <c r="C143" s="20" t="s">
        <v>152</v>
      </c>
      <c r="D143" s="18" t="s">
        <v>190</v>
      </c>
      <c r="E143" s="18" t="s">
        <v>515</v>
      </c>
      <c r="F143" s="18" t="s">
        <v>155</v>
      </c>
      <c r="G143" s="22" t="s">
        <v>368</v>
      </c>
      <c r="H143" s="45">
        <v>5</v>
      </c>
      <c r="I143" s="160" cm="1">
        <f t="array" ref="I143">IFERROR(
  VALUE($H143) *
  VALUE(
    _xlfn.XLOOKUP(
      TRIM($F143) &amp; "|" &amp; LEFT(SUBSTITUTE($G143,CHAR(160)," "),5) &amp; "|Full Rate",
      TRIM(SUBSTITUTE($T$2:$T$38,CHAR(160)," ")) &amp; "|" &amp;
      LEFT(SUBSTITUTE($U$2:$U$38,CHAR(160)," "),5) &amp; "|" &amp;
      TRIM(SUBSTITUTE($V$2:$V$38,CHAR(160)," ")),
      $W$2:$W$38
    )
  ),
"")</f>
        <v>500</v>
      </c>
      <c r="J143" s="161" cm="1">
        <f t="array" ref="J143">IFERROR(
  VALUE($H143) *
  VALUE(
    _xlfn.XLOOKUP(
      TRIM($F143) &amp; "|" &amp; LEFT(SUBSTITUTE($G143,CHAR(160)," "),5) &amp; "|Reduced Rate",
      TRIM(SUBSTITUTE($T$2:$T$38,CHAR(160)," ")) &amp; "|" &amp;
      LEFT(SUBSTITUTE($U$2:$U$38,CHAR(160)," "),5) &amp; "|" &amp;
      TRIM(SUBSTITUTE($V$2:$V$38,CHAR(160)," ")),
      $W$2:$W$38
    )
  ),
"")</f>
        <v>250</v>
      </c>
      <c r="K143" s="42" cm="1">
        <f t="array" ref="K143">IFERROR(
  VALUE($H143) *
  VALUE(
    _xlfn.XLOOKUP(
      TRIM($F143) &amp; "|" &amp; LEFT(SUBSTITUTE($G143,CHAR(160)," "),5) &amp; "|Ideas Rate",
      TRIM(SUBSTITUTE($T$2:$T$38,CHAR(160)," ")) &amp; "|" &amp;
      LEFT(SUBSTITUTE($U$2:$U$38,CHAR(160)," "),5) &amp; "|" &amp;
      TRIM(SUBSTITUTE($V$2:$V$38,CHAR(160)," ")),
      $W$2:$W$38
    )
  ),
"")</f>
        <v>150</v>
      </c>
    </row>
    <row r="144" spans="1:11" x14ac:dyDescent="0.2">
      <c r="A144" s="102">
        <v>46029</v>
      </c>
      <c r="B144" s="103" t="s">
        <v>518</v>
      </c>
      <c r="C144" s="64" t="s">
        <v>519</v>
      </c>
      <c r="D144" s="104" t="s">
        <v>192</v>
      </c>
      <c r="E144" s="104" t="s">
        <v>509</v>
      </c>
      <c r="F144" s="104" t="s">
        <v>155</v>
      </c>
      <c r="G144" s="105" t="s">
        <v>380</v>
      </c>
      <c r="H144" s="106">
        <v>1</v>
      </c>
      <c r="I144" s="107" cm="1">
        <f t="array" ref="I144">IFERROR(
  VALUE($H144) *
  VALUE(
    _xlfn.XLOOKUP(
      TRIM($F144) &amp; "|" &amp; LEFT(SUBSTITUTE($G144,CHAR(160)," "),5) &amp; "|Full Rate",
      TRIM(SUBSTITUTE($T$2:$T$38,CHAR(160)," ")) &amp; "|" &amp;
      LEFT(SUBSTITUTE($U$2:$U$38,CHAR(160)," "),5) &amp; "|" &amp;
      TRIM(SUBSTITUTE($V$2:$V$38,CHAR(160)," ")),
      $W$2:$W$38
    )
  ),
"")</f>
        <v>260</v>
      </c>
      <c r="J144" s="42" cm="1">
        <f t="array" ref="J144">IFERROR(
  VALUE($H144) *
  VALUE(
    _xlfn.XLOOKUP(
      TRIM($F144) &amp; "|" &amp; LEFT(SUBSTITUTE($G144,CHAR(160)," "),5) &amp; "|Reduced Rate",
      TRIM(SUBSTITUTE($T$2:$T$38,CHAR(160)," ")) &amp; "|" &amp;
      LEFT(SUBSTITUTE($U$2:$U$38,CHAR(160)," "),5) &amp; "|" &amp;
      TRIM(SUBSTITUTE($V$2:$V$38,CHAR(160)," ")),
      $W$2:$W$38
    )
  ),
"")</f>
        <v>120</v>
      </c>
      <c r="K144" s="42" cm="1">
        <f t="array" ref="K144">IFERROR(
  VALUE($H144) *
  VALUE(
    _xlfn.XLOOKUP(
      TRIM($F144) &amp; "|" &amp; LEFT(SUBSTITUTE($G144,CHAR(160)," "),5) &amp; "|Ideas Rate",
      TRIM(SUBSTITUTE($T$2:$T$38,CHAR(160)," ")) &amp; "|" &amp;
      LEFT(SUBSTITUTE($U$2:$U$38,CHAR(160)," "),5) &amp; "|" &amp;
      TRIM(SUBSTITUTE($V$2:$V$38,CHAR(160)," ")),
      $W$2:$W$38
    )
  ),
"")</f>
        <v>90</v>
      </c>
    </row>
    <row r="145" spans="1:11" x14ac:dyDescent="0.2">
      <c r="A145" s="102">
        <v>46029</v>
      </c>
      <c r="B145" s="103" t="s">
        <v>518</v>
      </c>
      <c r="C145" s="64" t="s">
        <v>519</v>
      </c>
      <c r="D145" s="104" t="s">
        <v>178</v>
      </c>
      <c r="E145" s="104" t="s">
        <v>524</v>
      </c>
      <c r="F145" s="104" t="s">
        <v>155</v>
      </c>
      <c r="G145" s="105" t="s">
        <v>368</v>
      </c>
      <c r="H145" s="106">
        <v>1</v>
      </c>
      <c r="I145" s="107" cm="1">
        <f t="array" ref="I145">IFERROR(
  VALUE($H145) *
  VALUE(
    _xlfn.XLOOKUP(
      TRIM($F145) &amp; "|" &amp; LEFT(SUBSTITUTE($G145,CHAR(160)," "),5) &amp; "|Full Rate",
      TRIM(SUBSTITUTE($T$2:$T$38,CHAR(160)," ")) &amp; "|" &amp;
      LEFT(SUBSTITUTE($U$2:$U$38,CHAR(160)," "),5) &amp; "|" &amp;
      TRIM(SUBSTITUTE($V$2:$V$38,CHAR(160)," ")),
      $W$2:$W$38
    )
  ),
"")</f>
        <v>100</v>
      </c>
      <c r="J145" s="42" cm="1">
        <f t="array" ref="J145">IFERROR(
  VALUE($H145) *
  VALUE(
    _xlfn.XLOOKUP(
      TRIM($F145) &amp; "|" &amp; LEFT(SUBSTITUTE($G145,CHAR(160)," "),5) &amp; "|Reduced Rate",
      TRIM(SUBSTITUTE($T$2:$T$38,CHAR(160)," ")) &amp; "|" &amp;
      LEFT(SUBSTITUTE($U$2:$U$38,CHAR(160)," "),5) &amp; "|" &amp;
      TRIM(SUBSTITUTE($V$2:$V$38,CHAR(160)," ")),
      $W$2:$W$38
    )
  ),
"")</f>
        <v>50</v>
      </c>
      <c r="K145" s="42" cm="1">
        <f t="array" ref="K145">IFERROR(
  VALUE($H145) *
  VALUE(
    _xlfn.XLOOKUP(
      TRIM($F145) &amp; "|" &amp; LEFT(SUBSTITUTE($G145,CHAR(160)," "),5) &amp; "|Ideas Rate",
      TRIM(SUBSTITUTE($T$2:$T$38,CHAR(160)," ")) &amp; "|" &amp;
      LEFT(SUBSTITUTE($U$2:$U$38,CHAR(160)," "),5) &amp; "|" &amp;
      TRIM(SUBSTITUTE($V$2:$V$38,CHAR(160)," ")),
      $W$2:$W$38
    )
  ),
"")</f>
        <v>30</v>
      </c>
    </row>
    <row r="146" spans="1:11" x14ac:dyDescent="0.2">
      <c r="A146" s="102">
        <v>46029</v>
      </c>
      <c r="B146" s="103" t="s">
        <v>518</v>
      </c>
      <c r="C146" s="64" t="s">
        <v>519</v>
      </c>
      <c r="D146" s="104" t="s">
        <v>29</v>
      </c>
      <c r="E146" s="104" t="s">
        <v>529</v>
      </c>
      <c r="F146" s="104" t="s">
        <v>10</v>
      </c>
      <c r="G146" s="105" t="s">
        <v>367</v>
      </c>
      <c r="H146" s="106">
        <v>1</v>
      </c>
      <c r="I146" s="107" cm="1">
        <f t="array" ref="I146">IFERROR(
  VALUE($H146) *
  VALUE(
    _xlfn.XLOOKUP(
      TRIM($F146) &amp; "|" &amp; LEFT(SUBSTITUTE($G146,CHAR(160)," "),5) &amp; "|Full Rate",
      TRIM(SUBSTITUTE($T$2:$T$38,CHAR(160)," ")) &amp; "|" &amp;
      LEFT(SUBSTITUTE($U$2:$U$38,CHAR(160)," "),5) &amp; "|" &amp;
      TRIM(SUBSTITUTE($V$2:$V$38,CHAR(160)," ")),
      $W$2:$W$38
    )
  ),
"")</f>
        <v>500</v>
      </c>
      <c r="J146" s="42" cm="1">
        <f t="array" ref="J146">IFERROR(
  VALUE($H146) *
  VALUE(
    _xlfn.XLOOKUP(
      TRIM($F146) &amp; "|" &amp; LEFT(SUBSTITUTE($G146,CHAR(160)," "),5) &amp; "|Reduced Rate",
      TRIM(SUBSTITUTE($T$2:$T$38,CHAR(160)," ")) &amp; "|" &amp;
      LEFT(SUBSTITUTE($U$2:$U$38,CHAR(160)," "),5) &amp; "|" &amp;
      TRIM(SUBSTITUTE($V$2:$V$38,CHAR(160)," ")),
      $W$2:$W$38
    )
  ),
"")</f>
        <v>300</v>
      </c>
      <c r="K146" s="42" cm="1">
        <f t="array" ref="K146">IFERROR(
  VALUE($H146) *
  VALUE(
    _xlfn.XLOOKUP(
      TRIM($F146) &amp; "|" &amp; LEFT(SUBSTITUTE($G146,CHAR(160)," "),5) &amp; "|Ideas Rate",
      TRIM(SUBSTITUTE($T$2:$T$38,CHAR(160)," ")) &amp; "|" &amp;
      LEFT(SUBSTITUTE($U$2:$U$38,CHAR(160)," "),5) &amp; "|" &amp;
      TRIM(SUBSTITUTE($V$2:$V$38,CHAR(160)," ")),
      $W$2:$W$38
    )
  ),
"")</f>
        <v>150</v>
      </c>
    </row>
    <row r="147" spans="1:11" x14ac:dyDescent="0.2">
      <c r="A147" s="102">
        <v>46030</v>
      </c>
      <c r="B147" s="103" t="s">
        <v>518</v>
      </c>
      <c r="C147" s="64" t="s">
        <v>519</v>
      </c>
      <c r="D147" s="104" t="s">
        <v>190</v>
      </c>
      <c r="E147" s="104" t="s">
        <v>532</v>
      </c>
      <c r="F147" s="104" t="s">
        <v>10</v>
      </c>
      <c r="G147" s="105" t="s">
        <v>380</v>
      </c>
      <c r="H147" s="106">
        <v>1.5</v>
      </c>
      <c r="I147" s="107" cm="1">
        <f t="array" ref="I147">IFERROR(
  VALUE($H147) *
  VALUE(
    _xlfn.XLOOKUP(
      TRIM($F147) &amp; "|" &amp; LEFT(SUBSTITUTE($G147,CHAR(160)," "),5) &amp; "|Full Rate",
      TRIM(SUBSTITUTE($T$2:$T$38,CHAR(160)," ")) &amp; "|" &amp;
      LEFT(SUBSTITUTE($U$2:$U$38,CHAR(160)," "),5) &amp; "|" &amp;
      TRIM(SUBSTITUTE($V$2:$V$38,CHAR(160)," ")),
      $W$2:$W$38
    )
  ),
"")</f>
        <v>375</v>
      </c>
      <c r="J147" s="42" cm="1">
        <f t="array" ref="J147">IFERROR(
  VALUE($H147) *
  VALUE(
    _xlfn.XLOOKUP(
      TRIM($F147) &amp; "|" &amp; LEFT(SUBSTITUTE($G147,CHAR(160)," "),5) &amp; "|Reduced Rate",
      TRIM(SUBSTITUTE($T$2:$T$38,CHAR(160)," ")) &amp; "|" &amp;
      LEFT(SUBSTITUTE($U$2:$U$38,CHAR(160)," "),5) &amp; "|" &amp;
      TRIM(SUBSTITUTE($V$2:$V$38,CHAR(160)," ")),
      $W$2:$W$38
    )
  ),
"")</f>
        <v>225</v>
      </c>
      <c r="K147" s="42" cm="1">
        <f t="array" ref="K147">IFERROR(
  VALUE($H147) *
  VALUE(
    _xlfn.XLOOKUP(
      TRIM($F147) &amp; "|" &amp; LEFT(SUBSTITUTE($G147,CHAR(160)," "),5) &amp; "|Ideas Rate",
      TRIM(SUBSTITUTE($T$2:$T$38,CHAR(160)," ")) &amp; "|" &amp;
      LEFT(SUBSTITUTE($U$2:$U$38,CHAR(160)," "),5) &amp; "|" &amp;
      TRIM(SUBSTITUTE($V$2:$V$38,CHAR(160)," ")),
      $W$2:$W$38
    )
  ),
"")</f>
        <v>112.5</v>
      </c>
    </row>
    <row r="148" spans="1:11" x14ac:dyDescent="0.2">
      <c r="A148" s="102">
        <v>46031</v>
      </c>
      <c r="B148" s="103" t="s">
        <v>508</v>
      </c>
      <c r="C148" s="64" t="s">
        <v>519</v>
      </c>
      <c r="D148" s="104" t="s">
        <v>178</v>
      </c>
      <c r="E148" s="104" t="s">
        <v>535</v>
      </c>
      <c r="F148" s="104" t="s">
        <v>10</v>
      </c>
      <c r="G148" s="105" t="s">
        <v>380</v>
      </c>
      <c r="H148" s="106">
        <v>0.5</v>
      </c>
      <c r="I148" s="107" cm="1">
        <f t="array" ref="I148">IFERROR(
  VALUE($H148) *
  VALUE(
    _xlfn.XLOOKUP(
      TRIM($F148) &amp; "|" &amp; LEFT(SUBSTITUTE($G148,CHAR(160)," "),5) &amp; "|Full Rate",
      TRIM(SUBSTITUTE($T$2:$T$38,CHAR(160)," ")) &amp; "|" &amp;
      LEFT(SUBSTITUTE($U$2:$U$38,CHAR(160)," "),5) &amp; "|" &amp;
      TRIM(SUBSTITUTE($V$2:$V$38,CHAR(160)," ")),
      $W$2:$W$38
    )
  ),
"")</f>
        <v>125</v>
      </c>
      <c r="J148" s="42" cm="1">
        <f t="array" ref="J148">IFERROR(
  VALUE($H148) *
  VALUE(
    _xlfn.XLOOKUP(
      TRIM($F148) &amp; "|" &amp; LEFT(SUBSTITUTE($G148,CHAR(160)," "),5) &amp; "|Reduced Rate",
      TRIM(SUBSTITUTE($T$2:$T$38,CHAR(160)," ")) &amp; "|" &amp;
      LEFT(SUBSTITUTE($U$2:$U$38,CHAR(160)," "),5) &amp; "|" &amp;
      TRIM(SUBSTITUTE($V$2:$V$38,CHAR(160)," ")),
      $W$2:$W$38
    )
  ),
"")</f>
        <v>75</v>
      </c>
      <c r="K148" s="42" cm="1">
        <f t="array" ref="K148">IFERROR(
  VALUE($H148) *
  VALUE(
    _xlfn.XLOOKUP(
      TRIM($F148) &amp; "|" &amp; LEFT(SUBSTITUTE($G148,CHAR(160)," "),5) &amp; "|Ideas Rate",
      TRIM(SUBSTITUTE($T$2:$T$38,CHAR(160)," ")) &amp; "|" &amp;
      LEFT(SUBSTITUTE($U$2:$U$38,CHAR(160)," "),5) &amp; "|" &amp;
      TRIM(SUBSTITUTE($V$2:$V$38,CHAR(160)," ")),
      $W$2:$W$38
    )
  ),
"")</f>
        <v>37.5</v>
      </c>
    </row>
    <row r="149" spans="1:11" x14ac:dyDescent="0.2">
      <c r="A149" s="102">
        <v>46034</v>
      </c>
      <c r="B149" s="103" t="s">
        <v>508</v>
      </c>
      <c r="C149" s="64" t="s">
        <v>519</v>
      </c>
      <c r="D149" s="18" t="s">
        <v>190</v>
      </c>
      <c r="E149" s="18" t="s">
        <v>545</v>
      </c>
      <c r="F149" s="18" t="s">
        <v>155</v>
      </c>
      <c r="G149" t="s">
        <v>368</v>
      </c>
      <c r="H149" s="106">
        <v>1</v>
      </c>
      <c r="I149" s="107" cm="1">
        <f t="array" ref="I149">IFERROR(
  VALUE($H149) *
  VALUE(
    _xlfn.XLOOKUP(
      TRIM($F149) &amp; "|" &amp; LEFT(SUBSTITUTE($G149,CHAR(160)," "),5) &amp; "|Full Rate",
      TRIM(SUBSTITUTE($T$2:$T$38,CHAR(160)," ")) &amp; "|" &amp;
      LEFT(SUBSTITUTE($U$2:$U$38,CHAR(160)," "),5) &amp; "|" &amp;
      TRIM(SUBSTITUTE($V$2:$V$38,CHAR(160)," ")),
      $W$2:$W$38
    )
  ),
"")</f>
        <v>100</v>
      </c>
      <c r="J149" s="42" cm="1">
        <f t="array" ref="J149">IFERROR(
  VALUE($H149) *
  VALUE(
    _xlfn.XLOOKUP(
      TRIM($F149) &amp; "|" &amp; LEFT(SUBSTITUTE($G149,CHAR(160)," "),5) &amp; "|Reduced Rate",
      TRIM(SUBSTITUTE($T$2:$T$38,CHAR(160)," ")) &amp; "|" &amp;
      LEFT(SUBSTITUTE($U$2:$U$38,CHAR(160)," "),5) &amp; "|" &amp;
      TRIM(SUBSTITUTE($V$2:$V$38,CHAR(160)," ")),
      $W$2:$W$38
    )
  ),
"")</f>
        <v>50</v>
      </c>
      <c r="K149" s="42" cm="1">
        <f t="array" ref="K149">IFERROR(
  VALUE($H149) *
  VALUE(
    _xlfn.XLOOKUP(
      TRIM($F149) &amp; "|" &amp; LEFT(SUBSTITUTE($G149,CHAR(160)," "),5) &amp; "|Ideas Rate",
      TRIM(SUBSTITUTE($T$2:$T$38,CHAR(160)," ")) &amp; "|" &amp;
      LEFT(SUBSTITUTE($U$2:$U$38,CHAR(160)," "),5) &amp; "|" &amp;
      TRIM(SUBSTITUTE($V$2:$V$38,CHAR(160)," ")),
      $W$2:$W$38
    )
  ),
"")</f>
        <v>30</v>
      </c>
    </row>
    <row r="150" spans="1:11" x14ac:dyDescent="0.2">
      <c r="A150" s="102">
        <v>46035</v>
      </c>
      <c r="B150" s="103" t="s">
        <v>508</v>
      </c>
      <c r="C150" s="64" t="s">
        <v>519</v>
      </c>
      <c r="D150" s="18" t="s">
        <v>190</v>
      </c>
      <c r="E150" s="18" t="s">
        <v>547</v>
      </c>
      <c r="F150" s="18" t="s">
        <v>155</v>
      </c>
      <c r="G150" t="s">
        <v>368</v>
      </c>
      <c r="H150" s="106">
        <v>1</v>
      </c>
      <c r="I150" s="107" cm="1">
        <f t="array" ref="I150">IFERROR(
  VALUE($H150) *
  VALUE(
    _xlfn.XLOOKUP(
      TRIM($F150) &amp; "|" &amp; LEFT(SUBSTITUTE($G150,CHAR(160)," "),5) &amp; "|Full Rate",
      TRIM(SUBSTITUTE($T$2:$T$38,CHAR(160)," ")) &amp; "|" &amp;
      LEFT(SUBSTITUTE($U$2:$U$38,CHAR(160)," "),5) &amp; "|" &amp;
      TRIM(SUBSTITUTE($V$2:$V$38,CHAR(160)," ")),
      $W$2:$W$38
    )
  ),
"")</f>
        <v>100</v>
      </c>
      <c r="J150" s="42" cm="1">
        <f t="array" ref="J150">IFERROR(
  VALUE($H150) *
  VALUE(
    _xlfn.XLOOKUP(
      TRIM($F150) &amp; "|" &amp; LEFT(SUBSTITUTE($G150,CHAR(160)," "),5) &amp; "|Reduced Rate",
      TRIM(SUBSTITUTE($T$2:$T$38,CHAR(160)," ")) &amp; "|" &amp;
      LEFT(SUBSTITUTE($U$2:$U$38,CHAR(160)," "),5) &amp; "|" &amp;
      TRIM(SUBSTITUTE($V$2:$V$38,CHAR(160)," ")),
      $W$2:$W$38
    )
  ),
"")</f>
        <v>50</v>
      </c>
      <c r="K150" s="42" cm="1">
        <f t="array" ref="K150">IFERROR(
  VALUE($H150) *
  VALUE(
    _xlfn.XLOOKUP(
      TRIM($F150) &amp; "|" &amp; LEFT(SUBSTITUTE($G150,CHAR(160)," "),5) &amp; "|Ideas Rate",
      TRIM(SUBSTITUTE($T$2:$T$38,CHAR(160)," ")) &amp; "|" &amp;
      LEFT(SUBSTITUTE($U$2:$U$38,CHAR(160)," "),5) &amp; "|" &amp;
      TRIM(SUBSTITUTE($V$2:$V$38,CHAR(160)," ")),
      $W$2:$W$38
    )
  ),
"")</f>
        <v>30</v>
      </c>
    </row>
    <row r="151" spans="1:11" x14ac:dyDescent="0.2">
      <c r="A151" s="102">
        <v>46035</v>
      </c>
      <c r="B151" s="103" t="s">
        <v>508</v>
      </c>
      <c r="C151" s="64" t="s">
        <v>519</v>
      </c>
      <c r="D151" s="18" t="s">
        <v>192</v>
      </c>
      <c r="E151" s="18" t="s">
        <v>509</v>
      </c>
      <c r="F151" s="18" t="s">
        <v>155</v>
      </c>
      <c r="G151" t="s">
        <v>380</v>
      </c>
      <c r="H151" s="106">
        <v>1</v>
      </c>
      <c r="I151" s="107" cm="1">
        <f t="array" ref="I151">IFERROR(
  VALUE($H151) *
  VALUE(
    _xlfn.XLOOKUP(
      TRIM($F151) &amp; "|" &amp; LEFT(SUBSTITUTE($G151,CHAR(160)," "),5) &amp; "|Full Rate",
      TRIM(SUBSTITUTE($T$2:$T$38,CHAR(160)," ")) &amp; "|" &amp;
      LEFT(SUBSTITUTE($U$2:$U$38,CHAR(160)," "),5) &amp; "|" &amp;
      TRIM(SUBSTITUTE($V$2:$V$38,CHAR(160)," ")),
      $W$2:$W$38
    )
  ),
"")</f>
        <v>260</v>
      </c>
      <c r="J151" s="42" cm="1">
        <f t="array" ref="J151">IFERROR(
  VALUE($H151) *
  VALUE(
    _xlfn.XLOOKUP(
      TRIM($F151) &amp; "|" &amp; LEFT(SUBSTITUTE($G151,CHAR(160)," "),5) &amp; "|Reduced Rate",
      TRIM(SUBSTITUTE($T$2:$T$38,CHAR(160)," ")) &amp; "|" &amp;
      LEFT(SUBSTITUTE($U$2:$U$38,CHAR(160)," "),5) &amp; "|" &amp;
      TRIM(SUBSTITUTE($V$2:$V$38,CHAR(160)," ")),
      $W$2:$W$38
    )
  ),
"")</f>
        <v>120</v>
      </c>
      <c r="K151" s="42" cm="1">
        <f t="array" ref="K151">IFERROR(
  VALUE($H151) *
  VALUE(
    _xlfn.XLOOKUP(
      TRIM($F151) &amp; "|" &amp; LEFT(SUBSTITUTE($G151,CHAR(160)," "),5) &amp; "|Ideas Rate",
      TRIM(SUBSTITUTE($T$2:$T$38,CHAR(160)," ")) &amp; "|" &amp;
      LEFT(SUBSTITUTE($U$2:$U$38,CHAR(160)," "),5) &amp; "|" &amp;
      TRIM(SUBSTITUTE($V$2:$V$38,CHAR(160)," ")),
      $W$2:$W$38
    )
  ),
"")</f>
        <v>90</v>
      </c>
    </row>
    <row r="152" spans="1:11" x14ac:dyDescent="0.2">
      <c r="A152" s="102">
        <v>46035</v>
      </c>
      <c r="B152" s="103" t="s">
        <v>508</v>
      </c>
      <c r="C152" s="64" t="s">
        <v>519</v>
      </c>
      <c r="D152" s="18" t="s">
        <v>188</v>
      </c>
      <c r="E152" s="18" t="s">
        <v>548</v>
      </c>
      <c r="F152" s="18" t="s">
        <v>155</v>
      </c>
      <c r="G152" t="s">
        <v>367</v>
      </c>
      <c r="H152" s="106">
        <v>3</v>
      </c>
      <c r="I152" s="107" cm="1">
        <f t="array" ref="I152">IFERROR(
  VALUE($H152) *
  VALUE(
    _xlfn.XLOOKUP(
      TRIM($F152) &amp; "|" &amp; LEFT(SUBSTITUTE($G152,CHAR(160)," "),5) &amp; "|Full Rate",
      TRIM(SUBSTITUTE($T$2:$T$38,CHAR(160)," ")) &amp; "|" &amp;
      LEFT(SUBSTITUTE($U$2:$U$38,CHAR(160)," "),5) &amp; "|" &amp;
      TRIM(SUBSTITUTE($V$2:$V$38,CHAR(160)," ")),
      $W$2:$W$38
    )
  ),
"")</f>
        <v>1200</v>
      </c>
      <c r="J152" s="42" cm="1">
        <f t="array" ref="J152">IFERROR(
  VALUE($H152) *
  VALUE(
    _xlfn.XLOOKUP(
      TRIM($F152) &amp; "|" &amp; LEFT(SUBSTITUTE($G152,CHAR(160)," "),5) &amp; "|Reduced Rate",
      TRIM(SUBSTITUTE($T$2:$T$38,CHAR(160)," ")) &amp; "|" &amp;
      LEFT(SUBSTITUTE($U$2:$U$38,CHAR(160)," "),5) &amp; "|" &amp;
      TRIM(SUBSTITUTE($V$2:$V$38,CHAR(160)," ")),
      $W$2:$W$38
    )
  ),
"")</f>
        <v>600</v>
      </c>
      <c r="K152" s="42" cm="1">
        <f t="array" ref="K152">IFERROR(
  VALUE($H152) *
  VALUE(
    _xlfn.XLOOKUP(
      TRIM($F152) &amp; "|" &amp; LEFT(SUBSTITUTE($G152,CHAR(160)," "),5) &amp; "|Ideas Rate",
      TRIM(SUBSTITUTE($T$2:$T$38,CHAR(160)," ")) &amp; "|" &amp;
      LEFT(SUBSTITUTE($U$2:$U$38,CHAR(160)," "),5) &amp; "|" &amp;
      TRIM(SUBSTITUTE($V$2:$V$38,CHAR(160)," ")),
      $W$2:$W$38
    )
  ),
"")</f>
        <v>360</v>
      </c>
    </row>
    <row r="153" spans="1:11" x14ac:dyDescent="0.2">
      <c r="A153" s="102">
        <v>46036</v>
      </c>
      <c r="B153" s="103" t="s">
        <v>508</v>
      </c>
      <c r="C153" s="64" t="s">
        <v>519</v>
      </c>
      <c r="D153" s="18" t="s">
        <v>190</v>
      </c>
      <c r="E153" s="18" t="s">
        <v>550</v>
      </c>
      <c r="F153" s="18" t="s">
        <v>155</v>
      </c>
      <c r="G153" t="s">
        <v>380</v>
      </c>
      <c r="H153" s="106">
        <v>0.5</v>
      </c>
      <c r="I153" s="107" cm="1">
        <f t="array" ref="I153">IFERROR(
  VALUE($H153) *
  VALUE(
    _xlfn.XLOOKUP(
      TRIM($F153) &amp; "|" &amp; LEFT(SUBSTITUTE($G153,CHAR(160)," "),5) &amp; "|Full Rate",
      TRIM(SUBSTITUTE($T$2:$T$38,CHAR(160)," ")) &amp; "|" &amp;
      LEFT(SUBSTITUTE($U$2:$U$38,CHAR(160)," "),5) &amp; "|" &amp;
      TRIM(SUBSTITUTE($V$2:$V$38,CHAR(160)," ")),
      $W$2:$W$38
    )
  ),
"")</f>
        <v>130</v>
      </c>
      <c r="J153" s="42" cm="1">
        <f t="array" ref="J153">IFERROR(
  VALUE($H153) *
  VALUE(
    _xlfn.XLOOKUP(
      TRIM($F153) &amp; "|" &amp; LEFT(SUBSTITUTE($G153,CHAR(160)," "),5) &amp; "|Reduced Rate",
      TRIM(SUBSTITUTE($T$2:$T$38,CHAR(160)," ")) &amp; "|" &amp;
      LEFT(SUBSTITUTE($U$2:$U$38,CHAR(160)," "),5) &amp; "|" &amp;
      TRIM(SUBSTITUTE($V$2:$V$38,CHAR(160)," ")),
      $W$2:$W$38
    )
  ),
"")</f>
        <v>60</v>
      </c>
      <c r="K153" s="42" cm="1">
        <f t="array" ref="K153">IFERROR(
  VALUE($H153) *
  VALUE(
    _xlfn.XLOOKUP(
      TRIM($F153) &amp; "|" &amp; LEFT(SUBSTITUTE($G153,CHAR(160)," "),5) &amp; "|Ideas Rate",
      TRIM(SUBSTITUTE($T$2:$T$38,CHAR(160)," ")) &amp; "|" &amp;
      LEFT(SUBSTITUTE($U$2:$U$38,CHAR(160)," "),5) &amp; "|" &amp;
      TRIM(SUBSTITUTE($V$2:$V$38,CHAR(160)," ")),
      $W$2:$W$38
    )
  ),
"")</f>
        <v>45</v>
      </c>
    </row>
    <row r="154" spans="1:11" x14ac:dyDescent="0.2">
      <c r="A154" s="102">
        <v>46036</v>
      </c>
      <c r="B154" s="103" t="s">
        <v>508</v>
      </c>
      <c r="C154" s="64" t="s">
        <v>519</v>
      </c>
      <c r="D154" s="18" t="s">
        <v>190</v>
      </c>
      <c r="E154" s="18" t="s">
        <v>551</v>
      </c>
      <c r="F154" s="18" t="s">
        <v>155</v>
      </c>
      <c r="G154" t="s">
        <v>380</v>
      </c>
      <c r="H154" s="106">
        <v>0.5</v>
      </c>
      <c r="I154" s="107" cm="1">
        <f t="array" ref="I154">IFERROR(
  VALUE($H154) *
  VALUE(
    _xlfn.XLOOKUP(
      TRIM($F154) &amp; "|" &amp; LEFT(SUBSTITUTE($G154,CHAR(160)," "),5) &amp; "|Full Rate",
      TRIM(SUBSTITUTE($T$2:$T$38,CHAR(160)," ")) &amp; "|" &amp;
      LEFT(SUBSTITUTE($U$2:$U$38,CHAR(160)," "),5) &amp; "|" &amp;
      TRIM(SUBSTITUTE($V$2:$V$38,CHAR(160)," ")),
      $W$2:$W$38
    )
  ),
"")</f>
        <v>130</v>
      </c>
      <c r="J154" s="42" cm="1">
        <f t="array" ref="J154">IFERROR(
  VALUE($H154) *
  VALUE(
    _xlfn.XLOOKUP(
      TRIM($F154) &amp; "|" &amp; LEFT(SUBSTITUTE($G154,CHAR(160)," "),5) &amp; "|Reduced Rate",
      TRIM(SUBSTITUTE($T$2:$T$38,CHAR(160)," ")) &amp; "|" &amp;
      LEFT(SUBSTITUTE($U$2:$U$38,CHAR(160)," "),5) &amp; "|" &amp;
      TRIM(SUBSTITUTE($V$2:$V$38,CHAR(160)," ")),
      $W$2:$W$38
    )
  ),
"")</f>
        <v>60</v>
      </c>
      <c r="K154" s="42" cm="1">
        <f t="array" ref="K154">IFERROR(
  VALUE($H154) *
  VALUE(
    _xlfn.XLOOKUP(
      TRIM($F154) &amp; "|" &amp; LEFT(SUBSTITUTE($G154,CHAR(160)," "),5) &amp; "|Ideas Rate",
      TRIM(SUBSTITUTE($T$2:$T$38,CHAR(160)," ")) &amp; "|" &amp;
      LEFT(SUBSTITUTE($U$2:$U$38,CHAR(160)," "),5) &amp; "|" &amp;
      TRIM(SUBSTITUTE($V$2:$V$38,CHAR(160)," ")),
      $W$2:$W$38
    )
  ),
"")</f>
        <v>45</v>
      </c>
    </row>
    <row r="155" spans="1:11" x14ac:dyDescent="0.2">
      <c r="A155" s="102">
        <v>46036</v>
      </c>
      <c r="B155" s="103" t="s">
        <v>508</v>
      </c>
      <c r="C155" s="64" t="s">
        <v>519</v>
      </c>
      <c r="D155" s="18" t="s">
        <v>192</v>
      </c>
      <c r="E155" s="18" t="s">
        <v>509</v>
      </c>
      <c r="F155" s="18" t="s">
        <v>155</v>
      </c>
      <c r="G155" t="s">
        <v>380</v>
      </c>
      <c r="H155" s="106">
        <v>1</v>
      </c>
      <c r="I155" s="107" cm="1">
        <f t="array" ref="I155">IFERROR(
  VALUE($H155) *
  VALUE(
    _xlfn.XLOOKUP(
      TRIM($F155) &amp; "|" &amp; LEFT(SUBSTITUTE($G155,CHAR(160)," "),5) &amp; "|Full Rate",
      TRIM(SUBSTITUTE($T$2:$T$38,CHAR(160)," ")) &amp; "|" &amp;
      LEFT(SUBSTITUTE($U$2:$U$38,CHAR(160)," "),5) &amp; "|" &amp;
      TRIM(SUBSTITUTE($V$2:$V$38,CHAR(160)," ")),
      $W$2:$W$38
    )
  ),
"")</f>
        <v>260</v>
      </c>
      <c r="J155" s="42" cm="1">
        <f t="array" ref="J155">IFERROR(
  VALUE($H155) *
  VALUE(
    _xlfn.XLOOKUP(
      TRIM($F155) &amp; "|" &amp; LEFT(SUBSTITUTE($G155,CHAR(160)," "),5) &amp; "|Reduced Rate",
      TRIM(SUBSTITUTE($T$2:$T$38,CHAR(160)," ")) &amp; "|" &amp;
      LEFT(SUBSTITUTE($U$2:$U$38,CHAR(160)," "),5) &amp; "|" &amp;
      TRIM(SUBSTITUTE($V$2:$V$38,CHAR(160)," ")),
      $W$2:$W$38
    )
  ),
"")</f>
        <v>120</v>
      </c>
      <c r="K155" s="42" cm="1">
        <f t="array" ref="K155">IFERROR(
  VALUE($H155) *
  VALUE(
    _xlfn.XLOOKUP(
      TRIM($F155) &amp; "|" &amp; LEFT(SUBSTITUTE($G155,CHAR(160)," "),5) &amp; "|Ideas Rate",
      TRIM(SUBSTITUTE($T$2:$T$38,CHAR(160)," ")) &amp; "|" &amp;
      LEFT(SUBSTITUTE($U$2:$U$38,CHAR(160)," "),5) &amp; "|" &amp;
      TRIM(SUBSTITUTE($V$2:$V$38,CHAR(160)," ")),
      $W$2:$W$38
    )
  ),
"")</f>
        <v>90</v>
      </c>
    </row>
    <row r="156" spans="1:11" x14ac:dyDescent="0.2">
      <c r="A156" s="102">
        <v>46036</v>
      </c>
      <c r="B156" s="103" t="s">
        <v>508</v>
      </c>
      <c r="C156" s="64" t="s">
        <v>519</v>
      </c>
      <c r="D156" s="18" t="s">
        <v>191</v>
      </c>
      <c r="E156" s="18" t="s">
        <v>552</v>
      </c>
      <c r="F156" s="18" t="s">
        <v>155</v>
      </c>
      <c r="G156" t="s">
        <v>367</v>
      </c>
      <c r="H156" s="193">
        <v>2</v>
      </c>
      <c r="I156" s="107" cm="1">
        <f t="array" ref="I156">IFERROR(
  VALUE($H156) *
  VALUE(
    _xlfn.XLOOKUP(
      TRIM($F156) &amp; "|" &amp; LEFT(SUBSTITUTE($G156,CHAR(160)," "),5) &amp; "|Full Rate",
      TRIM(SUBSTITUTE($T$2:$T$38,CHAR(160)," ")) &amp; "|" &amp;
      LEFT(SUBSTITUTE($U$2:$U$38,CHAR(160)," "),5) &amp; "|" &amp;
      TRIM(SUBSTITUTE($V$2:$V$38,CHAR(160)," ")),
      $W$2:$W$38
    )
  ),
"")</f>
        <v>800</v>
      </c>
      <c r="J156" s="42" cm="1">
        <f t="array" ref="J156">IFERROR(
  VALUE($H156) *
  VALUE(
    _xlfn.XLOOKUP(
      TRIM($F156) &amp; "|" &amp; LEFT(SUBSTITUTE($G156,CHAR(160)," "),5) &amp; "|Reduced Rate",
      TRIM(SUBSTITUTE($T$2:$T$38,CHAR(160)," ")) &amp; "|" &amp;
      LEFT(SUBSTITUTE($U$2:$U$38,CHAR(160)," "),5) &amp; "|" &amp;
      TRIM(SUBSTITUTE($V$2:$V$38,CHAR(160)," ")),
      $W$2:$W$38
    )
  ),
"")</f>
        <v>400</v>
      </c>
      <c r="K156" s="42" cm="1">
        <f t="array" ref="K156">IFERROR(
  VALUE($H156) *
  VALUE(
    _xlfn.XLOOKUP(
      TRIM($F156) &amp; "|" &amp; LEFT(SUBSTITUTE($G156,CHAR(160)," "),5) &amp; "|Ideas Rate",
      TRIM(SUBSTITUTE($T$2:$T$38,CHAR(160)," ")) &amp; "|" &amp;
      LEFT(SUBSTITUTE($U$2:$U$38,CHAR(160)," "),5) &amp; "|" &amp;
      TRIM(SUBSTITUTE($V$2:$V$38,CHAR(160)," ")),
      $W$2:$W$38
    )
  ),
"")</f>
        <v>240</v>
      </c>
    </row>
    <row r="157" spans="1:11" x14ac:dyDescent="0.2">
      <c r="A157" s="102">
        <v>46037</v>
      </c>
      <c r="B157" s="103" t="s">
        <v>508</v>
      </c>
      <c r="C157" s="64" t="s">
        <v>519</v>
      </c>
      <c r="D157" s="18" t="s">
        <v>191</v>
      </c>
      <c r="E157" s="191" t="s">
        <v>551</v>
      </c>
      <c r="F157" s="18" t="s">
        <v>155</v>
      </c>
      <c r="G157" t="s">
        <v>380</v>
      </c>
      <c r="H157" s="106">
        <v>5</v>
      </c>
      <c r="I157" s="107" cm="1">
        <f t="array" ref="I157">IFERROR(
  VALUE($H157) *
  VALUE(
    _xlfn.XLOOKUP(
      TRIM($F157) &amp; "|" &amp; LEFT(SUBSTITUTE($G157,CHAR(160)," "),5) &amp; "|Full Rate",
      TRIM(SUBSTITUTE($T$2:$T$38,CHAR(160)," ")) &amp; "|" &amp;
      LEFT(SUBSTITUTE($U$2:$U$38,CHAR(160)," "),5) &amp; "|" &amp;
      TRIM(SUBSTITUTE($V$2:$V$38,CHAR(160)," ")),
      $W$2:$W$38
    )
  ),
"")</f>
        <v>1300</v>
      </c>
      <c r="J157" s="42" cm="1">
        <f t="array" ref="J157">IFERROR(
  VALUE($H157) *
  VALUE(
    _xlfn.XLOOKUP(
      TRIM($F157) &amp; "|" &amp; LEFT(SUBSTITUTE($G157,CHAR(160)," "),5) &amp; "|Reduced Rate",
      TRIM(SUBSTITUTE($T$2:$T$38,CHAR(160)," ")) &amp; "|" &amp;
      LEFT(SUBSTITUTE($U$2:$U$38,CHAR(160)," "),5) &amp; "|" &amp;
      TRIM(SUBSTITUTE($V$2:$V$38,CHAR(160)," ")),
      $W$2:$W$38
    )
  ),
"")</f>
        <v>600</v>
      </c>
      <c r="K157" s="42" cm="1">
        <f t="array" ref="K157">IFERROR(
  VALUE($H157) *
  VALUE(
    _xlfn.XLOOKUP(
      TRIM($F157) &amp; "|" &amp; LEFT(SUBSTITUTE($G157,CHAR(160)," "),5) &amp; "|Ideas Rate",
      TRIM(SUBSTITUTE($T$2:$T$38,CHAR(160)," ")) &amp; "|" &amp;
      LEFT(SUBSTITUTE($U$2:$U$38,CHAR(160)," "),5) &amp; "|" &amp;
      TRIM(SUBSTITUTE($V$2:$V$38,CHAR(160)," ")),
      $W$2:$W$38
    )
  ),
"")</f>
        <v>450</v>
      </c>
    </row>
    <row r="158" spans="1:11" x14ac:dyDescent="0.2">
      <c r="A158" s="102">
        <v>46038</v>
      </c>
      <c r="B158" s="103" t="s">
        <v>508</v>
      </c>
      <c r="C158" s="64" t="s">
        <v>519</v>
      </c>
      <c r="D158" s="18" t="s">
        <v>190</v>
      </c>
      <c r="E158" s="18" t="s">
        <v>553</v>
      </c>
      <c r="F158" s="18" t="s">
        <v>10</v>
      </c>
      <c r="G158" t="s">
        <v>380</v>
      </c>
      <c r="H158" s="106">
        <v>3.5</v>
      </c>
      <c r="I158" s="107" cm="1">
        <f t="array" ref="I158">IFERROR(
  VALUE($H158) *
  VALUE(
    _xlfn.XLOOKUP(
      TRIM($F158) &amp; "|" &amp; LEFT(SUBSTITUTE($G158,CHAR(160)," "),5) &amp; "|Full Rate",
      TRIM(SUBSTITUTE($T$2:$T$38,CHAR(160)," ")) &amp; "|" &amp;
      LEFT(SUBSTITUTE($U$2:$U$38,CHAR(160)," "),5) &amp; "|" &amp;
      TRIM(SUBSTITUTE($V$2:$V$38,CHAR(160)," ")),
      $W$2:$W$38
    )
  ),
"")</f>
        <v>875</v>
      </c>
      <c r="J158" s="42" cm="1">
        <f t="array" ref="J158">IFERROR(
  VALUE($H158) *
  VALUE(
    _xlfn.XLOOKUP(
      TRIM($F158) &amp; "|" &amp; LEFT(SUBSTITUTE($G158,CHAR(160)," "),5) &amp; "|Reduced Rate",
      TRIM(SUBSTITUTE($T$2:$T$38,CHAR(160)," ")) &amp; "|" &amp;
      LEFT(SUBSTITUTE($U$2:$U$38,CHAR(160)," "),5) &amp; "|" &amp;
      TRIM(SUBSTITUTE($V$2:$V$38,CHAR(160)," ")),
      $W$2:$W$38
    )
  ),
"")</f>
        <v>525</v>
      </c>
      <c r="K158" s="42" cm="1">
        <f t="array" ref="K158">IFERROR(
  VALUE($H158) *
  VALUE(
    _xlfn.XLOOKUP(
      TRIM($F158) &amp; "|" &amp; LEFT(SUBSTITUTE($G158,CHAR(160)," "),5) &amp; "|Ideas Rate",
      TRIM(SUBSTITUTE($T$2:$T$38,CHAR(160)," ")) &amp; "|" &amp;
      LEFT(SUBSTITUTE($U$2:$U$38,CHAR(160)," "),5) &amp; "|" &amp;
      TRIM(SUBSTITUTE($V$2:$V$38,CHAR(160)," ")),
      $W$2:$W$38
    )
  ),
"")</f>
        <v>262.5</v>
      </c>
    </row>
    <row r="159" spans="1:11" x14ac:dyDescent="0.2">
      <c r="A159" s="102">
        <v>46038</v>
      </c>
      <c r="B159" s="103" t="s">
        <v>508</v>
      </c>
      <c r="C159" s="64" t="s">
        <v>519</v>
      </c>
      <c r="D159" s="18" t="s">
        <v>191</v>
      </c>
      <c r="E159" s="18" t="s">
        <v>554</v>
      </c>
      <c r="F159" s="18" t="s">
        <v>10</v>
      </c>
      <c r="G159" t="s">
        <v>367</v>
      </c>
      <c r="H159" s="106">
        <v>0.5</v>
      </c>
      <c r="I159" s="107" cm="1">
        <f t="array" ref="I159">IFERROR(
  VALUE($H159) *
  VALUE(
    _xlfn.XLOOKUP(
      TRIM($F159) &amp; "|" &amp; LEFT(SUBSTITUTE($G159,CHAR(160)," "),5) &amp; "|Full Rate",
      TRIM(SUBSTITUTE($T$2:$T$38,CHAR(160)," ")) &amp; "|" &amp;
      LEFT(SUBSTITUTE($U$2:$U$38,CHAR(160)," "),5) &amp; "|" &amp;
      TRIM(SUBSTITUTE($V$2:$V$38,CHAR(160)," ")),
      $W$2:$W$38
    )
  ),
"")</f>
        <v>250</v>
      </c>
      <c r="J159" s="42" cm="1">
        <f t="array" ref="J159">IFERROR(
  VALUE($H159) *
  VALUE(
    _xlfn.XLOOKUP(
      TRIM($F159) &amp; "|" &amp; LEFT(SUBSTITUTE($G159,CHAR(160)," "),5) &amp; "|Reduced Rate",
      TRIM(SUBSTITUTE($T$2:$T$38,CHAR(160)," ")) &amp; "|" &amp;
      LEFT(SUBSTITUTE($U$2:$U$38,CHAR(160)," "),5) &amp; "|" &amp;
      TRIM(SUBSTITUTE($V$2:$V$38,CHAR(160)," ")),
      $W$2:$W$38
    )
  ),
"")</f>
        <v>150</v>
      </c>
      <c r="K159" s="42" cm="1">
        <f t="array" ref="K159">IFERROR(
  VALUE($H159) *
  VALUE(
    _xlfn.XLOOKUP(
      TRIM($F159) &amp; "|" &amp; LEFT(SUBSTITUTE($G159,CHAR(160)," "),5) &amp; "|Ideas Rate",
      TRIM(SUBSTITUTE($T$2:$T$38,CHAR(160)," ")) &amp; "|" &amp;
      LEFT(SUBSTITUTE($U$2:$U$38,CHAR(160)," "),5) &amp; "|" &amp;
      TRIM(SUBSTITUTE($V$2:$V$38,CHAR(160)," ")),
      $W$2:$W$38
    )
  ),
"")</f>
        <v>75</v>
      </c>
    </row>
    <row r="160" spans="1:11" x14ac:dyDescent="0.2">
      <c r="A160" s="102">
        <v>46038</v>
      </c>
      <c r="B160" s="103" t="s">
        <v>508</v>
      </c>
      <c r="C160" s="64" t="s">
        <v>519</v>
      </c>
      <c r="D160" s="18" t="s">
        <v>178</v>
      </c>
      <c r="E160" s="18" t="s">
        <v>555</v>
      </c>
      <c r="F160" s="18" t="s">
        <v>10</v>
      </c>
      <c r="G160" t="s">
        <v>380</v>
      </c>
      <c r="H160" s="106">
        <v>0.5</v>
      </c>
      <c r="I160" s="107" cm="1">
        <f t="array" ref="I160">IFERROR(
  VALUE($H160) *
  VALUE(
    _xlfn.XLOOKUP(
      TRIM($F160) &amp; "|" &amp; LEFT(SUBSTITUTE($G160,CHAR(160)," "),5) &amp; "|Full Rate",
      TRIM(SUBSTITUTE($T$2:$T$38,CHAR(160)," ")) &amp; "|" &amp;
      LEFT(SUBSTITUTE($U$2:$U$38,CHAR(160)," "),5) &amp; "|" &amp;
      TRIM(SUBSTITUTE($V$2:$V$38,CHAR(160)," ")),
      $W$2:$W$38
    )
  ),
"")</f>
        <v>125</v>
      </c>
      <c r="J160" s="42" cm="1">
        <f t="array" ref="J160">IFERROR(
  VALUE($H160) *
  VALUE(
    _xlfn.XLOOKUP(
      TRIM($F160) &amp; "|" &amp; LEFT(SUBSTITUTE($G160,CHAR(160)," "),5) &amp; "|Reduced Rate",
      TRIM(SUBSTITUTE($T$2:$T$38,CHAR(160)," ")) &amp; "|" &amp;
      LEFT(SUBSTITUTE($U$2:$U$38,CHAR(160)," "),5) &amp; "|" &amp;
      TRIM(SUBSTITUTE($V$2:$V$38,CHAR(160)," ")),
      $W$2:$W$38
    )
  ),
"")</f>
        <v>75</v>
      </c>
      <c r="K160" s="42" cm="1">
        <f t="array" ref="K160">IFERROR(
  VALUE($H160) *
  VALUE(
    _xlfn.XLOOKUP(
      TRIM($F160) &amp; "|" &amp; LEFT(SUBSTITUTE($G160,CHAR(160)," "),5) &amp; "|Ideas Rate",
      TRIM(SUBSTITUTE($T$2:$T$38,CHAR(160)," ")) &amp; "|" &amp;
      LEFT(SUBSTITUTE($U$2:$U$38,CHAR(160)," "),5) &amp; "|" &amp;
      TRIM(SUBSTITUTE($V$2:$V$38,CHAR(160)," ")),
      $W$2:$W$38
    )
  ),
"")</f>
        <v>37.5</v>
      </c>
    </row>
    <row r="161" spans="1:11" x14ac:dyDescent="0.2">
      <c r="A161" s="102">
        <v>46038</v>
      </c>
      <c r="B161" s="103" t="s">
        <v>508</v>
      </c>
      <c r="C161" s="64" t="s">
        <v>519</v>
      </c>
      <c r="D161" s="18" t="s">
        <v>191</v>
      </c>
      <c r="E161" s="18" t="s">
        <v>551</v>
      </c>
      <c r="F161" s="18" t="s">
        <v>155</v>
      </c>
      <c r="G161" t="s">
        <v>380</v>
      </c>
      <c r="H161" s="106">
        <v>4</v>
      </c>
      <c r="I161" s="107" cm="1">
        <f t="array" ref="I161">IFERROR(
  VALUE($H161) *
  VALUE(
    _xlfn.XLOOKUP(
      TRIM($F161) &amp; "|" &amp; LEFT(SUBSTITUTE($G161,CHAR(160)," "),5) &amp; "|Full Rate",
      TRIM(SUBSTITUTE($T$2:$T$38,CHAR(160)," ")) &amp; "|" &amp;
      LEFT(SUBSTITUTE($U$2:$U$38,CHAR(160)," "),5) &amp; "|" &amp;
      TRIM(SUBSTITUTE($V$2:$V$38,CHAR(160)," ")),
      $W$2:$W$38
    )
  ),
"")</f>
        <v>1040</v>
      </c>
      <c r="J161" s="42" cm="1">
        <f t="array" ref="J161">IFERROR(
  VALUE($H161) *
  VALUE(
    _xlfn.XLOOKUP(
      TRIM($F161) &amp; "|" &amp; LEFT(SUBSTITUTE($G161,CHAR(160)," "),5) &amp; "|Reduced Rate",
      TRIM(SUBSTITUTE($T$2:$T$38,CHAR(160)," ")) &amp; "|" &amp;
      LEFT(SUBSTITUTE($U$2:$U$38,CHAR(160)," "),5) &amp; "|" &amp;
      TRIM(SUBSTITUTE($V$2:$V$38,CHAR(160)," ")),
      $W$2:$W$38
    )
  ),
"")</f>
        <v>480</v>
      </c>
      <c r="K161" s="42" cm="1">
        <f t="array" ref="K161">IFERROR(
  VALUE($H161) *
  VALUE(
    _xlfn.XLOOKUP(
      TRIM($F161) &amp; "|" &amp; LEFT(SUBSTITUTE($G161,CHAR(160)," "),5) &amp; "|Ideas Rate",
      TRIM(SUBSTITUTE($T$2:$T$38,CHAR(160)," ")) &amp; "|" &amp;
      LEFT(SUBSTITUTE($U$2:$U$38,CHAR(160)," "),5) &amp; "|" &amp;
      TRIM(SUBSTITUTE($V$2:$V$38,CHAR(160)," ")),
      $W$2:$W$38
    )
  ),
"")</f>
        <v>360</v>
      </c>
    </row>
    <row r="162" spans="1:11" x14ac:dyDescent="0.2">
      <c r="A162" s="102">
        <v>46038</v>
      </c>
      <c r="B162" s="103" t="s">
        <v>508</v>
      </c>
      <c r="C162" s="64" t="s">
        <v>519</v>
      </c>
      <c r="D162" s="18" t="s">
        <v>192</v>
      </c>
      <c r="E162" s="18" t="s">
        <v>509</v>
      </c>
      <c r="F162" s="18" t="s">
        <v>155</v>
      </c>
      <c r="G162" t="s">
        <v>380</v>
      </c>
      <c r="H162" s="106">
        <v>1</v>
      </c>
      <c r="I162" s="107" cm="1">
        <f t="array" ref="I162">IFERROR(
  VALUE($H162) *
  VALUE(
    _xlfn.XLOOKUP(
      TRIM($F162) &amp; "|" &amp; LEFT(SUBSTITUTE($G162,CHAR(160)," "),5) &amp; "|Full Rate",
      TRIM(SUBSTITUTE($T$2:$T$38,CHAR(160)," ")) &amp; "|" &amp;
      LEFT(SUBSTITUTE($U$2:$U$38,CHAR(160)," "),5) &amp; "|" &amp;
      TRIM(SUBSTITUTE($V$2:$V$38,CHAR(160)," ")),
      $W$2:$W$38
    )
  ),
"")</f>
        <v>260</v>
      </c>
      <c r="J162" s="42" cm="1">
        <f t="array" ref="J162">IFERROR(
  VALUE($H162) *
  VALUE(
    _xlfn.XLOOKUP(
      TRIM($F162) &amp; "|" &amp; LEFT(SUBSTITUTE($G162,CHAR(160)," "),5) &amp; "|Reduced Rate",
      TRIM(SUBSTITUTE($T$2:$T$38,CHAR(160)," ")) &amp; "|" &amp;
      LEFT(SUBSTITUTE($U$2:$U$38,CHAR(160)," "),5) &amp; "|" &amp;
      TRIM(SUBSTITUTE($V$2:$V$38,CHAR(160)," ")),
      $W$2:$W$38
    )
  ),
"")</f>
        <v>120</v>
      </c>
      <c r="K162" s="42" cm="1">
        <f t="array" ref="K162">IFERROR(
  VALUE($H162) *
  VALUE(
    _xlfn.XLOOKUP(
      TRIM($F162) &amp; "|" &amp; LEFT(SUBSTITUTE($G162,CHAR(160)," "),5) &amp; "|Ideas Rate",
      TRIM(SUBSTITUTE($T$2:$T$38,CHAR(160)," ")) &amp; "|" &amp;
      LEFT(SUBSTITUTE($U$2:$U$38,CHAR(160)," "),5) &amp; "|" &amp;
      TRIM(SUBSTITUTE($V$2:$V$38,CHAR(160)," ")),
      $W$2:$W$38
    )
  ),
"")</f>
        <v>90</v>
      </c>
    </row>
    <row r="163" spans="1:11" x14ac:dyDescent="0.2">
      <c r="A163" s="102">
        <v>46048</v>
      </c>
      <c r="B163" s="103" t="s">
        <v>508</v>
      </c>
      <c r="C163" s="64" t="s">
        <v>519</v>
      </c>
      <c r="D163" s="18" t="s">
        <v>190</v>
      </c>
      <c r="E163" s="18" t="s">
        <v>547</v>
      </c>
      <c r="F163" s="18" t="s">
        <v>155</v>
      </c>
      <c r="G163" t="s">
        <v>368</v>
      </c>
      <c r="H163" s="106">
        <v>4</v>
      </c>
      <c r="I163" s="107" cm="1">
        <f t="array" ref="I163">IFERROR(
  VALUE($H163) *
  VALUE(
    _xlfn.XLOOKUP(
      TRIM($F163) &amp; "|" &amp; LEFT(SUBSTITUTE($G163,CHAR(160)," "),5) &amp; "|Full Rate",
      TRIM(SUBSTITUTE($T$2:$T$38,CHAR(160)," ")) &amp; "|" &amp;
      LEFT(SUBSTITUTE($U$2:$U$38,CHAR(160)," "),5) &amp; "|" &amp;
      TRIM(SUBSTITUTE($V$2:$V$38,CHAR(160)," ")),
      $W$2:$W$38
    )
  ),
"")</f>
        <v>400</v>
      </c>
      <c r="J163" s="42" cm="1">
        <f t="array" ref="J163">IFERROR(
  VALUE($H163) *
  VALUE(
    _xlfn.XLOOKUP(
      TRIM($F163) &amp; "|" &amp; LEFT(SUBSTITUTE($G163,CHAR(160)," "),5) &amp; "|Reduced Rate",
      TRIM(SUBSTITUTE($T$2:$T$38,CHAR(160)," ")) &amp; "|" &amp;
      LEFT(SUBSTITUTE($U$2:$U$38,CHAR(160)," "),5) &amp; "|" &amp;
      TRIM(SUBSTITUTE($V$2:$V$38,CHAR(160)," ")),
      $W$2:$W$38
    )
  ),
"")</f>
        <v>200</v>
      </c>
      <c r="K163" s="42" cm="1">
        <f t="array" ref="K163">IFERROR(
  VALUE($H163) *
  VALUE(
    _xlfn.XLOOKUP(
      TRIM($F163) &amp; "|" &amp; LEFT(SUBSTITUTE($G163,CHAR(160)," "),5) &amp; "|Ideas Rate",
      TRIM(SUBSTITUTE($T$2:$T$38,CHAR(160)," ")) &amp; "|" &amp;
      LEFT(SUBSTITUTE($U$2:$U$38,CHAR(160)," "),5) &amp; "|" &amp;
      TRIM(SUBSTITUTE($V$2:$V$38,CHAR(160)," ")),
      $W$2:$W$38
    )
  ),
"")</f>
        <v>120</v>
      </c>
    </row>
    <row r="164" spans="1:11" x14ac:dyDescent="0.2">
      <c r="A164" s="102">
        <v>46048</v>
      </c>
      <c r="B164" s="103" t="s">
        <v>508</v>
      </c>
      <c r="C164" s="64" t="s">
        <v>519</v>
      </c>
      <c r="D164" s="18" t="s">
        <v>192</v>
      </c>
      <c r="E164" s="18" t="s">
        <v>509</v>
      </c>
      <c r="F164" s="18" t="s">
        <v>155</v>
      </c>
      <c r="G164" t="s">
        <v>368</v>
      </c>
      <c r="H164" s="106">
        <v>1</v>
      </c>
      <c r="I164" s="107" cm="1">
        <f t="array" ref="I164">IFERROR(
  VALUE($H164) *
  VALUE(
    _xlfn.XLOOKUP(
      TRIM($F164) &amp; "|" &amp; LEFT(SUBSTITUTE($G164,CHAR(160)," "),5) &amp; "|Full Rate",
      TRIM(SUBSTITUTE($T$2:$T$38,CHAR(160)," ")) &amp; "|" &amp;
      LEFT(SUBSTITUTE($U$2:$U$38,CHAR(160)," "),5) &amp; "|" &amp;
      TRIM(SUBSTITUTE($V$2:$V$38,CHAR(160)," ")),
      $W$2:$W$38
    )
  ),
"")</f>
        <v>100</v>
      </c>
      <c r="J164" s="42" cm="1">
        <f t="array" ref="J164">IFERROR(
  VALUE($H164) *
  VALUE(
    _xlfn.XLOOKUP(
      TRIM($F164) &amp; "|" &amp; LEFT(SUBSTITUTE($G164,CHAR(160)," "),5) &amp; "|Reduced Rate",
      TRIM(SUBSTITUTE($T$2:$T$38,CHAR(160)," ")) &amp; "|" &amp;
      LEFT(SUBSTITUTE($U$2:$U$38,CHAR(160)," "),5) &amp; "|" &amp;
      TRIM(SUBSTITUTE($V$2:$V$38,CHAR(160)," ")),
      $W$2:$W$38
    )
  ),
"")</f>
        <v>50</v>
      </c>
      <c r="K164" s="42" cm="1">
        <f t="array" ref="K164">IFERROR(
  VALUE($H164) *
  VALUE(
    _xlfn.XLOOKUP(
      TRIM($F164) &amp; "|" &amp; LEFT(SUBSTITUTE($G164,CHAR(160)," "),5) &amp; "|Ideas Rate",
      TRIM(SUBSTITUTE($T$2:$T$38,CHAR(160)," ")) &amp; "|" &amp;
      LEFT(SUBSTITUTE($U$2:$U$38,CHAR(160)," "),5) &amp; "|" &amp;
      TRIM(SUBSTITUTE($V$2:$V$38,CHAR(160)," ")),
      $W$2:$W$38
    )
  ),
"")</f>
        <v>30</v>
      </c>
    </row>
    <row r="165" spans="1:11" x14ac:dyDescent="0.2">
      <c r="A165" s="102">
        <v>46048</v>
      </c>
      <c r="B165" s="103" t="s">
        <v>508</v>
      </c>
      <c r="C165" s="64" t="s">
        <v>519</v>
      </c>
      <c r="D165" s="18" t="s">
        <v>178</v>
      </c>
      <c r="E165" s="18" t="s">
        <v>557</v>
      </c>
      <c r="F165" s="18" t="s">
        <v>155</v>
      </c>
      <c r="G165" t="s">
        <v>380</v>
      </c>
      <c r="H165" s="106">
        <v>0.5</v>
      </c>
      <c r="I165" s="107" cm="1">
        <f t="array" ref="I165">IFERROR(
  VALUE($H165) *
  VALUE(
    _xlfn.XLOOKUP(
      TRIM($F165) &amp; "|" &amp; LEFT(SUBSTITUTE($G165,CHAR(160)," "),5) &amp; "|Full Rate",
      TRIM(SUBSTITUTE($T$2:$T$38,CHAR(160)," ")) &amp; "|" &amp;
      LEFT(SUBSTITUTE($U$2:$U$38,CHAR(160)," "),5) &amp; "|" &amp;
      TRIM(SUBSTITUTE($V$2:$V$38,CHAR(160)," ")),
      $W$2:$W$38
    )
  ),
"")</f>
        <v>130</v>
      </c>
      <c r="J165" s="42" cm="1">
        <f t="array" ref="J165">IFERROR(
  VALUE($H165) *
  VALUE(
    _xlfn.XLOOKUP(
      TRIM($F165) &amp; "|" &amp; LEFT(SUBSTITUTE($G165,CHAR(160)," "),5) &amp; "|Reduced Rate",
      TRIM(SUBSTITUTE($T$2:$T$38,CHAR(160)," ")) &amp; "|" &amp;
      LEFT(SUBSTITUTE($U$2:$U$38,CHAR(160)," "),5) &amp; "|" &amp;
      TRIM(SUBSTITUTE($V$2:$V$38,CHAR(160)," ")),
      $W$2:$W$38
    )
  ),
"")</f>
        <v>60</v>
      </c>
      <c r="K165" s="42" cm="1">
        <f t="array" ref="K165">IFERROR(
  VALUE($H165) *
  VALUE(
    _xlfn.XLOOKUP(
      TRIM($F165) &amp; "|" &amp; LEFT(SUBSTITUTE($G165,CHAR(160)," "),5) &amp; "|Ideas Rate",
      TRIM(SUBSTITUTE($T$2:$T$38,CHAR(160)," ")) &amp; "|" &amp;
      LEFT(SUBSTITUTE($U$2:$U$38,CHAR(160)," "),5) &amp; "|" &amp;
      TRIM(SUBSTITUTE($V$2:$V$38,CHAR(160)," ")),
      $W$2:$W$38
    )
  ),
"")</f>
        <v>45</v>
      </c>
    </row>
    <row r="166" spans="1:11" x14ac:dyDescent="0.2">
      <c r="A166" s="102">
        <v>46049</v>
      </c>
      <c r="B166" s="103" t="s">
        <v>508</v>
      </c>
      <c r="C166" s="64" t="s">
        <v>519</v>
      </c>
      <c r="D166" s="18" t="s">
        <v>178</v>
      </c>
      <c r="E166" s="18" t="s">
        <v>524</v>
      </c>
      <c r="F166" s="18" t="s">
        <v>155</v>
      </c>
      <c r="G166" t="s">
        <v>380</v>
      </c>
      <c r="H166" s="106">
        <v>0.5</v>
      </c>
      <c r="I166" s="107" cm="1">
        <f t="array" ref="I166">IFERROR(
  VALUE($H166) *
  VALUE(
    _xlfn.XLOOKUP(
      TRIM($F166) &amp; "|" &amp; LEFT(SUBSTITUTE($G166,CHAR(160)," "),5) &amp; "|Full Rate",
      TRIM(SUBSTITUTE($T$2:$T$38,CHAR(160)," ")) &amp; "|" &amp;
      LEFT(SUBSTITUTE($U$2:$U$38,CHAR(160)," "),5) &amp; "|" &amp;
      TRIM(SUBSTITUTE($V$2:$V$38,CHAR(160)," ")),
      $W$2:$W$38
    )
  ),
"")</f>
        <v>130</v>
      </c>
      <c r="J166" s="42" cm="1">
        <f t="array" ref="J166">IFERROR(
  VALUE($H166) *
  VALUE(
    _xlfn.XLOOKUP(
      TRIM($F166) &amp; "|" &amp; LEFT(SUBSTITUTE($G166,CHAR(160)," "),5) &amp; "|Reduced Rate",
      TRIM(SUBSTITUTE($T$2:$T$38,CHAR(160)," ")) &amp; "|" &amp;
      LEFT(SUBSTITUTE($U$2:$U$38,CHAR(160)," "),5) &amp; "|" &amp;
      TRIM(SUBSTITUTE($V$2:$V$38,CHAR(160)," ")),
      $W$2:$W$38
    )
  ),
"")</f>
        <v>60</v>
      </c>
      <c r="K166" s="42" cm="1">
        <f t="array" ref="K166">IFERROR(
  VALUE($H166) *
  VALUE(
    _xlfn.XLOOKUP(
      TRIM($F166) &amp; "|" &amp; LEFT(SUBSTITUTE($G166,CHAR(160)," "),5) &amp; "|Ideas Rate",
      TRIM(SUBSTITUTE($T$2:$T$38,CHAR(160)," ")) &amp; "|" &amp;
      LEFT(SUBSTITUTE($U$2:$U$38,CHAR(160)," "),5) &amp; "|" &amp;
      TRIM(SUBSTITUTE($V$2:$V$38,CHAR(160)," ")),
      $W$2:$W$38
    )
  ),
"")</f>
        <v>45</v>
      </c>
    </row>
    <row r="167" spans="1:11" x14ac:dyDescent="0.2">
      <c r="A167" s="102">
        <v>46049</v>
      </c>
      <c r="B167" s="103" t="s">
        <v>508</v>
      </c>
      <c r="C167" s="64" t="s">
        <v>519</v>
      </c>
      <c r="D167" s="18" t="s">
        <v>190</v>
      </c>
      <c r="E167" s="18" t="s">
        <v>558</v>
      </c>
      <c r="F167" s="18" t="s">
        <v>155</v>
      </c>
      <c r="G167" t="s">
        <v>380</v>
      </c>
      <c r="H167" s="106">
        <v>3</v>
      </c>
      <c r="I167" s="107" cm="1">
        <f t="array" ref="I167">IFERROR(
  VALUE($H167) *
  VALUE(
    _xlfn.XLOOKUP(
      TRIM($F167) &amp; "|" &amp; LEFT(SUBSTITUTE($G167,CHAR(160)," "),5) &amp; "|Full Rate",
      TRIM(SUBSTITUTE($T$2:$T$38,CHAR(160)," ")) &amp; "|" &amp;
      LEFT(SUBSTITUTE($U$2:$U$38,CHAR(160)," "),5) &amp; "|" &amp;
      TRIM(SUBSTITUTE($V$2:$V$38,CHAR(160)," ")),
      $W$2:$W$38
    )
  ),
"")</f>
        <v>780</v>
      </c>
      <c r="J167" s="42" cm="1">
        <f t="array" ref="J167">IFERROR(
  VALUE($H167) *
  VALUE(
    _xlfn.XLOOKUP(
      TRIM($F167) &amp; "|" &amp; LEFT(SUBSTITUTE($G167,CHAR(160)," "),5) &amp; "|Reduced Rate",
      TRIM(SUBSTITUTE($T$2:$T$38,CHAR(160)," ")) &amp; "|" &amp;
      LEFT(SUBSTITUTE($U$2:$U$38,CHAR(160)," "),5) &amp; "|" &amp;
      TRIM(SUBSTITUTE($V$2:$V$38,CHAR(160)," ")),
      $W$2:$W$38
    )
  ),
"")</f>
        <v>360</v>
      </c>
      <c r="K167" s="42" cm="1">
        <f t="array" ref="K167">IFERROR(
  VALUE($H167) *
  VALUE(
    _xlfn.XLOOKUP(
      TRIM($F167) &amp; "|" &amp; LEFT(SUBSTITUTE($G167,CHAR(160)," "),5) &amp; "|Ideas Rate",
      TRIM(SUBSTITUTE($T$2:$T$38,CHAR(160)," ")) &amp; "|" &amp;
      LEFT(SUBSTITUTE($U$2:$U$38,CHAR(160)," "),5) &amp; "|" &amp;
      TRIM(SUBSTITUTE($V$2:$V$38,CHAR(160)," ")),
      $W$2:$W$38
    )
  ),
"")</f>
        <v>270</v>
      </c>
    </row>
    <row r="168" spans="1:11" x14ac:dyDescent="0.2">
      <c r="A168" s="102">
        <v>46049</v>
      </c>
      <c r="B168" s="103" t="s">
        <v>508</v>
      </c>
      <c r="C168" s="64" t="s">
        <v>519</v>
      </c>
      <c r="D168" s="18" t="s">
        <v>178</v>
      </c>
      <c r="E168" s="18" t="s">
        <v>559</v>
      </c>
      <c r="F168" s="18" t="s">
        <v>155</v>
      </c>
      <c r="G168" t="s">
        <v>380</v>
      </c>
      <c r="H168" s="106">
        <v>1.5</v>
      </c>
      <c r="I168" s="107" cm="1">
        <f t="array" ref="I168">IFERROR(
  VALUE($H168) *
  VALUE(
    _xlfn.XLOOKUP(
      TRIM($F168) &amp; "|" &amp; LEFT(SUBSTITUTE($G168,CHAR(160)," "),5) &amp; "|Full Rate",
      TRIM(SUBSTITUTE($T$2:$T$38,CHAR(160)," ")) &amp; "|" &amp;
      LEFT(SUBSTITUTE($U$2:$U$38,CHAR(160)," "),5) &amp; "|" &amp;
      TRIM(SUBSTITUTE($V$2:$V$38,CHAR(160)," ")),
      $W$2:$W$38
    )
  ),
"")</f>
        <v>390</v>
      </c>
      <c r="J168" s="42" cm="1">
        <f t="array" ref="J168">IFERROR(
  VALUE($H168) *
  VALUE(
    _xlfn.XLOOKUP(
      TRIM($F168) &amp; "|" &amp; LEFT(SUBSTITUTE($G168,CHAR(160)," "),5) &amp; "|Reduced Rate",
      TRIM(SUBSTITUTE($T$2:$T$38,CHAR(160)," ")) &amp; "|" &amp;
      LEFT(SUBSTITUTE($U$2:$U$38,CHAR(160)," "),5) &amp; "|" &amp;
      TRIM(SUBSTITUTE($V$2:$V$38,CHAR(160)," ")),
      $W$2:$W$38
    )
  ),
"")</f>
        <v>180</v>
      </c>
      <c r="K168" s="42" cm="1">
        <f t="array" ref="K168">IFERROR(
  VALUE($H168) *
  VALUE(
    _xlfn.XLOOKUP(
      TRIM($F168) &amp; "|" &amp; LEFT(SUBSTITUTE($G168,CHAR(160)," "),5) &amp; "|Ideas Rate",
      TRIM(SUBSTITUTE($T$2:$T$38,CHAR(160)," ")) &amp; "|" &amp;
      LEFT(SUBSTITUTE($U$2:$U$38,CHAR(160)," "),5) &amp; "|" &amp;
      TRIM(SUBSTITUTE($V$2:$V$38,CHAR(160)," ")),
      $W$2:$W$38
    )
  ),
"")</f>
        <v>135</v>
      </c>
    </row>
    <row r="169" spans="1:11" x14ac:dyDescent="0.2">
      <c r="A169" s="102">
        <v>46049</v>
      </c>
      <c r="B169" s="103" t="s">
        <v>508</v>
      </c>
      <c r="C169" s="64" t="s">
        <v>519</v>
      </c>
      <c r="D169" s="18" t="s">
        <v>178</v>
      </c>
      <c r="E169" s="18" t="s">
        <v>560</v>
      </c>
      <c r="F169" s="18" t="s">
        <v>155</v>
      </c>
      <c r="G169" t="s">
        <v>380</v>
      </c>
      <c r="H169" s="106">
        <v>0.75</v>
      </c>
      <c r="I169" s="107" cm="1">
        <f t="array" ref="I169">IFERROR(
  VALUE($H169) *
  VALUE(
    _xlfn.XLOOKUP(
      TRIM($F169) &amp; "|" &amp; LEFT(SUBSTITUTE($G169,CHAR(160)," "),5) &amp; "|Full Rate",
      TRIM(SUBSTITUTE($T$2:$T$38,CHAR(160)," ")) &amp; "|" &amp;
      LEFT(SUBSTITUTE($U$2:$U$38,CHAR(160)," "),5) &amp; "|" &amp;
      TRIM(SUBSTITUTE($V$2:$V$38,CHAR(160)," ")),
      $W$2:$W$38
    )
  ),
"")</f>
        <v>195</v>
      </c>
      <c r="J169" s="42" cm="1">
        <f t="array" ref="J169">IFERROR(
  VALUE($H169) *
  VALUE(
    _xlfn.XLOOKUP(
      TRIM($F169) &amp; "|" &amp; LEFT(SUBSTITUTE($G169,CHAR(160)," "),5) &amp; "|Reduced Rate",
      TRIM(SUBSTITUTE($T$2:$T$38,CHAR(160)," ")) &amp; "|" &amp;
      LEFT(SUBSTITUTE($U$2:$U$38,CHAR(160)," "),5) &amp; "|" &amp;
      TRIM(SUBSTITUTE($V$2:$V$38,CHAR(160)," ")),
      $W$2:$W$38
    )
  ),
"")</f>
        <v>90</v>
      </c>
      <c r="K169" s="42" cm="1">
        <f t="array" ref="K169">IFERROR(
  VALUE($H169) *
  VALUE(
    _xlfn.XLOOKUP(
      TRIM($F169) &amp; "|" &amp; LEFT(SUBSTITUTE($G169,CHAR(160)," "),5) &amp; "|Ideas Rate",
      TRIM(SUBSTITUTE($T$2:$T$38,CHAR(160)," ")) &amp; "|" &amp;
      LEFT(SUBSTITUTE($U$2:$U$38,CHAR(160)," "),5) &amp; "|" &amp;
      TRIM(SUBSTITUTE($V$2:$V$38,CHAR(160)," ")),
      $W$2:$W$38
    )
  ),
"")</f>
        <v>67.5</v>
      </c>
    </row>
    <row r="170" spans="1:11" x14ac:dyDescent="0.2">
      <c r="A170" s="102">
        <v>46049</v>
      </c>
      <c r="B170" s="103" t="s">
        <v>508</v>
      </c>
      <c r="C170" s="64" t="s">
        <v>519</v>
      </c>
      <c r="D170" s="18" t="s">
        <v>190</v>
      </c>
      <c r="E170" s="18" t="s">
        <v>561</v>
      </c>
      <c r="F170" s="18" t="s">
        <v>155</v>
      </c>
      <c r="G170" t="s">
        <v>380</v>
      </c>
      <c r="H170" s="106">
        <v>0.25</v>
      </c>
      <c r="I170" s="107" cm="1">
        <f t="array" ref="I170">IFERROR(
  VALUE($H170) *
  VALUE(
    _xlfn.XLOOKUP(
      TRIM($F170) &amp; "|" &amp; LEFT(SUBSTITUTE($G170,CHAR(160)," "),5) &amp; "|Full Rate",
      TRIM(SUBSTITUTE($T$2:$T$38,CHAR(160)," ")) &amp; "|" &amp;
      LEFT(SUBSTITUTE($U$2:$U$38,CHAR(160)," "),5) &amp; "|" &amp;
      TRIM(SUBSTITUTE($V$2:$V$38,CHAR(160)," ")),
      $W$2:$W$38
    )
  ),
"")</f>
        <v>65</v>
      </c>
      <c r="J170" s="42" cm="1">
        <f t="array" ref="J170">IFERROR(
  VALUE($H170) *
  VALUE(
    _xlfn.XLOOKUP(
      TRIM($F170) &amp; "|" &amp; LEFT(SUBSTITUTE($G170,CHAR(160)," "),5) &amp; "|Reduced Rate",
      TRIM(SUBSTITUTE($T$2:$T$38,CHAR(160)," ")) &amp; "|" &amp;
      LEFT(SUBSTITUTE($U$2:$U$38,CHAR(160)," "),5) &amp; "|" &amp;
      TRIM(SUBSTITUTE($V$2:$V$38,CHAR(160)," ")),
      $W$2:$W$38
    )
  ),
"")</f>
        <v>30</v>
      </c>
      <c r="K170" s="42" cm="1">
        <f t="array" ref="K170">IFERROR(
  VALUE($H170) *
  VALUE(
    _xlfn.XLOOKUP(
      TRIM($F170) &amp; "|" &amp; LEFT(SUBSTITUTE($G170,CHAR(160)," "),5) &amp; "|Ideas Rate",
      TRIM(SUBSTITUTE($T$2:$T$38,CHAR(160)," ")) &amp; "|" &amp;
      LEFT(SUBSTITUTE($U$2:$U$38,CHAR(160)," "),5) &amp; "|" &amp;
      TRIM(SUBSTITUTE($V$2:$V$38,CHAR(160)," ")),
      $W$2:$W$38
    )
  ),
"")</f>
        <v>22.5</v>
      </c>
    </row>
    <row r="171" spans="1:11" x14ac:dyDescent="0.2">
      <c r="A171" s="102">
        <v>46049</v>
      </c>
      <c r="B171" s="103" t="s">
        <v>508</v>
      </c>
      <c r="C171" s="64" t="s">
        <v>519</v>
      </c>
      <c r="D171" s="18" t="s">
        <v>192</v>
      </c>
      <c r="E171" s="18" t="s">
        <v>509</v>
      </c>
      <c r="F171" s="18" t="s">
        <v>155</v>
      </c>
      <c r="G171" t="s">
        <v>380</v>
      </c>
      <c r="H171" s="106">
        <v>1.5</v>
      </c>
      <c r="I171" s="107" cm="1">
        <f t="array" ref="I171">IFERROR(
  VALUE($H171) *
  VALUE(
    _xlfn.XLOOKUP(
      TRIM($F171) &amp; "|" &amp; LEFT(SUBSTITUTE($G171,CHAR(160)," "),5) &amp; "|Full Rate",
      TRIM(SUBSTITUTE($T$2:$T$38,CHAR(160)," ")) &amp; "|" &amp;
      LEFT(SUBSTITUTE($U$2:$U$38,CHAR(160)," "),5) &amp; "|" &amp;
      TRIM(SUBSTITUTE($V$2:$V$38,CHAR(160)," ")),
      $W$2:$W$38
    )
  ),
"")</f>
        <v>390</v>
      </c>
      <c r="J171" s="42" cm="1">
        <f t="array" ref="J171">IFERROR(
  VALUE($H171) *
  VALUE(
    _xlfn.XLOOKUP(
      TRIM($F171) &amp; "|" &amp; LEFT(SUBSTITUTE($G171,CHAR(160)," "),5) &amp; "|Reduced Rate",
      TRIM(SUBSTITUTE($T$2:$T$38,CHAR(160)," ")) &amp; "|" &amp;
      LEFT(SUBSTITUTE($U$2:$U$38,CHAR(160)," "),5) &amp; "|" &amp;
      TRIM(SUBSTITUTE($V$2:$V$38,CHAR(160)," ")),
      $W$2:$W$38
    )
  ),
"")</f>
        <v>180</v>
      </c>
      <c r="K171" s="42" cm="1">
        <f t="array" ref="K171">IFERROR(
  VALUE($H171) *
  VALUE(
    _xlfn.XLOOKUP(
      TRIM($F171) &amp; "|" &amp; LEFT(SUBSTITUTE($G171,CHAR(160)," "),5) &amp; "|Ideas Rate",
      TRIM(SUBSTITUTE($T$2:$T$38,CHAR(160)," ")) &amp; "|" &amp;
      LEFT(SUBSTITUTE($U$2:$U$38,CHAR(160)," "),5) &amp; "|" &amp;
      TRIM(SUBSTITUTE($V$2:$V$38,CHAR(160)," ")),
      $W$2:$W$38
    )
  ),
"")</f>
        <v>135</v>
      </c>
    </row>
    <row r="172" spans="1:11" x14ac:dyDescent="0.2">
      <c r="A172" s="102">
        <v>46050</v>
      </c>
      <c r="B172" s="103" t="s">
        <v>508</v>
      </c>
      <c r="C172" s="64" t="s">
        <v>519</v>
      </c>
      <c r="D172" s="18" t="s">
        <v>190</v>
      </c>
      <c r="E172" s="18" t="s">
        <v>558</v>
      </c>
      <c r="F172" s="18" t="s">
        <v>155</v>
      </c>
      <c r="G172" t="s">
        <v>380</v>
      </c>
      <c r="H172" s="106">
        <v>3.5</v>
      </c>
      <c r="I172" s="107" cm="1">
        <f t="array" ref="I172">IFERROR(
  VALUE($H172) *
  VALUE(
    _xlfn.XLOOKUP(
      TRIM($F172) &amp; "|" &amp; LEFT(SUBSTITUTE($G172,CHAR(160)," "),5) &amp; "|Full Rate",
      TRIM(SUBSTITUTE($T$2:$T$38,CHAR(160)," ")) &amp; "|" &amp;
      LEFT(SUBSTITUTE($U$2:$U$38,CHAR(160)," "),5) &amp; "|" &amp;
      TRIM(SUBSTITUTE($V$2:$V$38,CHAR(160)," ")),
      $W$2:$W$38
    )
  ),
"")</f>
        <v>910</v>
      </c>
      <c r="J172" s="42" cm="1">
        <f t="array" ref="J172">IFERROR(
  VALUE($H172) *
  VALUE(
    _xlfn.XLOOKUP(
      TRIM($F172) &amp; "|" &amp; LEFT(SUBSTITUTE($G172,CHAR(160)," "),5) &amp; "|Reduced Rate",
      TRIM(SUBSTITUTE($T$2:$T$38,CHAR(160)," ")) &amp; "|" &amp;
      LEFT(SUBSTITUTE($U$2:$U$38,CHAR(160)," "),5) &amp; "|" &amp;
      TRIM(SUBSTITUTE($V$2:$V$38,CHAR(160)," ")),
      $W$2:$W$38
    )
  ),
"")</f>
        <v>420</v>
      </c>
      <c r="K172" s="42" cm="1">
        <f t="array" ref="K172">IFERROR(
  VALUE($H172) *
  VALUE(
    _xlfn.XLOOKUP(
      TRIM($F172) &amp; "|" &amp; LEFT(SUBSTITUTE($G172,CHAR(160)," "),5) &amp; "|Ideas Rate",
      TRIM(SUBSTITUTE($T$2:$T$38,CHAR(160)," ")) &amp; "|" &amp;
      LEFT(SUBSTITUTE($U$2:$U$38,CHAR(160)," "),5) &amp; "|" &amp;
      TRIM(SUBSTITUTE($V$2:$V$38,CHAR(160)," ")),
      $W$2:$W$38
    )
  ),
"")</f>
        <v>315</v>
      </c>
    </row>
    <row r="173" spans="1:11" x14ac:dyDescent="0.2">
      <c r="A173" s="102">
        <v>46051</v>
      </c>
      <c r="B173" s="103" t="s">
        <v>563</v>
      </c>
      <c r="C173" s="64" t="s">
        <v>519</v>
      </c>
      <c r="D173" s="18" t="s">
        <v>190</v>
      </c>
      <c r="E173" s="18" t="s">
        <v>558</v>
      </c>
      <c r="F173" s="18" t="s">
        <v>155</v>
      </c>
      <c r="G173" t="s">
        <v>380</v>
      </c>
      <c r="H173" s="106">
        <v>1.5</v>
      </c>
      <c r="I173" s="107" cm="1">
        <f t="array" ref="I173">IFERROR(
  VALUE($H173) *
  VALUE(
    _xlfn.XLOOKUP(
      TRIM($F173) &amp; "|" &amp; LEFT(SUBSTITUTE($G173,CHAR(160)," "),5) &amp; "|Full Rate",
      TRIM(SUBSTITUTE($T$2:$T$38,CHAR(160)," ")) &amp; "|" &amp;
      LEFT(SUBSTITUTE($U$2:$U$38,CHAR(160)," "),5) &amp; "|" &amp;
      TRIM(SUBSTITUTE($V$2:$V$38,CHAR(160)," ")),
      $W$2:$W$38
    )
  ),
"")</f>
        <v>390</v>
      </c>
      <c r="J173" s="42" cm="1">
        <f t="array" ref="J173">IFERROR(
  VALUE($H173) *
  VALUE(
    _xlfn.XLOOKUP(
      TRIM($F173) &amp; "|" &amp; LEFT(SUBSTITUTE($G173,CHAR(160)," "),5) &amp; "|Reduced Rate",
      TRIM(SUBSTITUTE($T$2:$T$38,CHAR(160)," ")) &amp; "|" &amp;
      LEFT(SUBSTITUTE($U$2:$U$38,CHAR(160)," "),5) &amp; "|" &amp;
      TRIM(SUBSTITUTE($V$2:$V$38,CHAR(160)," ")),
      $W$2:$W$38
    )
  ),
"")</f>
        <v>180</v>
      </c>
      <c r="K173" s="42" cm="1">
        <f t="array" ref="K173">IFERROR(
  VALUE($H173) *
  VALUE(
    _xlfn.XLOOKUP(
      TRIM($F173) &amp; "|" &amp; LEFT(SUBSTITUTE($G173,CHAR(160)," "),5) &amp; "|Ideas Rate",
      TRIM(SUBSTITUTE($T$2:$T$38,CHAR(160)," ")) &amp; "|" &amp;
      LEFT(SUBSTITUTE($U$2:$U$38,CHAR(160)," "),5) &amp; "|" &amp;
      TRIM(SUBSTITUTE($V$2:$V$38,CHAR(160)," ")),
      $W$2:$W$38
    )
  ),
"")</f>
        <v>135</v>
      </c>
    </row>
    <row r="174" spans="1:11" x14ac:dyDescent="0.2">
      <c r="A174" s="102">
        <v>46055</v>
      </c>
      <c r="B174" s="103" t="s">
        <v>564</v>
      </c>
      <c r="C174" s="64" t="s">
        <v>519</v>
      </c>
      <c r="D174" s="18" t="s">
        <v>323</v>
      </c>
      <c r="E174" s="18" t="s">
        <v>565</v>
      </c>
      <c r="F174" s="18" t="s">
        <v>155</v>
      </c>
      <c r="G174" t="s">
        <v>368</v>
      </c>
      <c r="H174" s="106">
        <v>4</v>
      </c>
      <c r="I174" s="107" cm="1">
        <f t="array" ref="I174">IFERROR(
  VALUE($H174) *
  VALUE(
    _xlfn.XLOOKUP(
      TRIM($F174) &amp; "|" &amp; LEFT(SUBSTITUTE($G174,CHAR(160)," "),5) &amp; "|Full Rate",
      TRIM(SUBSTITUTE($T$2:$T$38,CHAR(160)," ")) &amp; "|" &amp;
      LEFT(SUBSTITUTE($U$2:$U$38,CHAR(160)," "),5) &amp; "|" &amp;
      TRIM(SUBSTITUTE($V$2:$V$38,CHAR(160)," ")),
      $W$2:$W$38
    )
  ),
"")</f>
        <v>400</v>
      </c>
      <c r="J174" s="42" cm="1">
        <f t="array" ref="J174">IFERROR(
  VALUE($H174) *
  VALUE(
    _xlfn.XLOOKUP(
      TRIM($F174) &amp; "|" &amp; LEFT(SUBSTITUTE($G174,CHAR(160)," "),5) &amp; "|Reduced Rate",
      TRIM(SUBSTITUTE($T$2:$T$38,CHAR(160)," ")) &amp; "|" &amp;
      LEFT(SUBSTITUTE($U$2:$U$38,CHAR(160)," "),5) &amp; "|" &amp;
      TRIM(SUBSTITUTE($V$2:$V$38,CHAR(160)," ")),
      $W$2:$W$38
    )
  ),
"")</f>
        <v>200</v>
      </c>
      <c r="K174" s="42" cm="1">
        <f t="array" ref="K174">IFERROR(
  VALUE($H174) *
  VALUE(
    _xlfn.XLOOKUP(
      TRIM($F174) &amp; "|" &amp; LEFT(SUBSTITUTE($G174,CHAR(160)," "),5) &amp; "|Ideas Rate",
      TRIM(SUBSTITUTE($T$2:$T$38,CHAR(160)," ")) &amp; "|" &amp;
      LEFT(SUBSTITUTE($U$2:$U$38,CHAR(160)," "),5) &amp; "|" &amp;
      TRIM(SUBSTITUTE($V$2:$V$38,CHAR(160)," ")),
      $W$2:$W$38
    )
  ),
"")</f>
        <v>120</v>
      </c>
    </row>
    <row r="175" spans="1:11" x14ac:dyDescent="0.2">
      <c r="A175" s="102">
        <v>46055</v>
      </c>
      <c r="B175" s="103" t="s">
        <v>564</v>
      </c>
      <c r="C175" s="64" t="s">
        <v>519</v>
      </c>
      <c r="D175" s="18" t="s">
        <v>178</v>
      </c>
      <c r="E175" s="18" t="s">
        <v>566</v>
      </c>
      <c r="F175" s="18" t="s">
        <v>155</v>
      </c>
      <c r="G175" t="s">
        <v>380</v>
      </c>
      <c r="H175" s="106">
        <v>1.25</v>
      </c>
      <c r="I175" s="107" cm="1">
        <f t="array" ref="I175">IFERROR(
  VALUE($H175) *
  VALUE(
    _xlfn.XLOOKUP(
      TRIM($F175) &amp; "|" &amp; LEFT(SUBSTITUTE($G175,CHAR(160)," "),5) &amp; "|Full Rate",
      TRIM(SUBSTITUTE($T$2:$T$38,CHAR(160)," ")) &amp; "|" &amp;
      LEFT(SUBSTITUTE($U$2:$U$38,CHAR(160)," "),5) &amp; "|" &amp;
      TRIM(SUBSTITUTE($V$2:$V$38,CHAR(160)," ")),
      $W$2:$W$38
    )
  ),
"")</f>
        <v>325</v>
      </c>
      <c r="J175" s="42" cm="1">
        <f t="array" ref="J175">IFERROR(
  VALUE($H175) *
  VALUE(
    _xlfn.XLOOKUP(
      TRIM($F175) &amp; "|" &amp; LEFT(SUBSTITUTE($G175,CHAR(160)," "),5) &amp; "|Reduced Rate",
      TRIM(SUBSTITUTE($T$2:$T$38,CHAR(160)," ")) &amp; "|" &amp;
      LEFT(SUBSTITUTE($U$2:$U$38,CHAR(160)," "),5) &amp; "|" &amp;
      TRIM(SUBSTITUTE($V$2:$V$38,CHAR(160)," ")),
      $W$2:$W$38
    )
  ),
"")</f>
        <v>150</v>
      </c>
      <c r="K175" s="42" cm="1">
        <f t="array" ref="K175">IFERROR(
  VALUE($H175) *
  VALUE(
    _xlfn.XLOOKUP(
      TRIM($F175) &amp; "|" &amp; LEFT(SUBSTITUTE($G175,CHAR(160)," "),5) &amp; "|Ideas Rate",
      TRIM(SUBSTITUTE($T$2:$T$38,CHAR(160)," ")) &amp; "|" &amp;
      LEFT(SUBSTITUTE($U$2:$U$38,CHAR(160)," "),5) &amp; "|" &amp;
      TRIM(SUBSTITUTE($V$2:$V$38,CHAR(160)," ")),
      $W$2:$W$38
    )
  ),
"")</f>
        <v>112.5</v>
      </c>
    </row>
    <row r="176" spans="1:11" x14ac:dyDescent="0.2">
      <c r="A176" s="102">
        <v>46055</v>
      </c>
      <c r="B176" s="103" t="s">
        <v>564</v>
      </c>
      <c r="C176" s="64" t="s">
        <v>519</v>
      </c>
      <c r="D176" s="18" t="s">
        <v>178</v>
      </c>
      <c r="E176" s="18" t="s">
        <v>567</v>
      </c>
      <c r="F176" s="18" t="s">
        <v>155</v>
      </c>
      <c r="G176" t="s">
        <v>380</v>
      </c>
      <c r="H176" s="106">
        <v>1.25</v>
      </c>
      <c r="I176" s="107" cm="1">
        <f t="array" ref="I176">IFERROR(
  VALUE($H176) *
  VALUE(
    _xlfn.XLOOKUP(
      TRIM($F176) &amp; "|" &amp; LEFT(SUBSTITUTE($G176,CHAR(160)," "),5) &amp; "|Full Rate",
      TRIM(SUBSTITUTE($T$2:$T$38,CHAR(160)," ")) &amp; "|" &amp;
      LEFT(SUBSTITUTE($U$2:$U$38,CHAR(160)," "),5) &amp; "|" &amp;
      TRIM(SUBSTITUTE($V$2:$V$38,CHAR(160)," ")),
      $W$2:$W$38
    )
  ),
"")</f>
        <v>325</v>
      </c>
      <c r="J176" s="42" cm="1">
        <f t="array" ref="J176">IFERROR(
  VALUE($H176) *
  VALUE(
    _xlfn.XLOOKUP(
      TRIM($F176) &amp; "|" &amp; LEFT(SUBSTITUTE($G176,CHAR(160)," "),5) &amp; "|Reduced Rate",
      TRIM(SUBSTITUTE($T$2:$T$38,CHAR(160)," ")) &amp; "|" &amp;
      LEFT(SUBSTITUTE($U$2:$U$38,CHAR(160)," "),5) &amp; "|" &amp;
      TRIM(SUBSTITUTE($V$2:$V$38,CHAR(160)," ")),
      $W$2:$W$38
    )
  ),
"")</f>
        <v>150</v>
      </c>
      <c r="K176" s="42" cm="1">
        <f t="array" ref="K176">IFERROR(
  VALUE($H176) *
  VALUE(
    _xlfn.XLOOKUP(
      TRIM($F176) &amp; "|" &amp; LEFT(SUBSTITUTE($G176,CHAR(160)," "),5) &amp; "|Ideas Rate",
      TRIM(SUBSTITUTE($T$2:$T$38,CHAR(160)," ")) &amp; "|" &amp;
      LEFT(SUBSTITUTE($U$2:$U$38,CHAR(160)," "),5) &amp; "|" &amp;
      TRIM(SUBSTITUTE($V$2:$V$38,CHAR(160)," ")),
      $W$2:$W$38
    )
  ),
"")</f>
        <v>112.5</v>
      </c>
    </row>
    <row r="177" spans="1:15" x14ac:dyDescent="0.2">
      <c r="A177" s="102">
        <v>46055</v>
      </c>
      <c r="B177" s="103" t="s">
        <v>564</v>
      </c>
      <c r="C177" s="64" t="s">
        <v>519</v>
      </c>
      <c r="D177" s="18" t="s">
        <v>192</v>
      </c>
      <c r="E177" s="18" t="s">
        <v>509</v>
      </c>
      <c r="F177" s="18" t="s">
        <v>155</v>
      </c>
      <c r="G177" t="s">
        <v>380</v>
      </c>
      <c r="H177" s="106">
        <v>0.5</v>
      </c>
      <c r="I177" s="107" cm="1">
        <f t="array" ref="I177">IFERROR(
  VALUE($H177) *
  VALUE(
    _xlfn.XLOOKUP(
      TRIM($F177) &amp; "|" &amp; LEFT(SUBSTITUTE($G177,CHAR(160)," "),5) &amp; "|Full Rate",
      TRIM(SUBSTITUTE($T$2:$T$38,CHAR(160)," ")) &amp; "|" &amp;
      LEFT(SUBSTITUTE($U$2:$U$38,CHAR(160)," "),5) &amp; "|" &amp;
      TRIM(SUBSTITUTE($V$2:$V$38,CHAR(160)," ")),
      $W$2:$W$38
    )
  ),
"")</f>
        <v>130</v>
      </c>
      <c r="J177" s="42" cm="1">
        <f t="array" ref="J177">IFERROR(
  VALUE($H177) *
  VALUE(
    _xlfn.XLOOKUP(
      TRIM($F177) &amp; "|" &amp; LEFT(SUBSTITUTE($G177,CHAR(160)," "),5) &amp; "|Reduced Rate",
      TRIM(SUBSTITUTE($T$2:$T$38,CHAR(160)," ")) &amp; "|" &amp;
      LEFT(SUBSTITUTE($U$2:$U$38,CHAR(160)," "),5) &amp; "|" &amp;
      TRIM(SUBSTITUTE($V$2:$V$38,CHAR(160)," ")),
      $W$2:$W$38
    )
  ),
"")</f>
        <v>60</v>
      </c>
      <c r="K177" s="42" cm="1">
        <f t="array" ref="K177">IFERROR(
  VALUE($H177) *
  VALUE(
    _xlfn.XLOOKUP(
      TRIM($F177) &amp; "|" &amp; LEFT(SUBSTITUTE($G177,CHAR(160)," "),5) &amp; "|Ideas Rate",
      TRIM(SUBSTITUTE($T$2:$T$38,CHAR(160)," ")) &amp; "|" &amp;
      LEFT(SUBSTITUTE($U$2:$U$38,CHAR(160)," "),5) &amp; "|" &amp;
      TRIM(SUBSTITUTE($V$2:$V$38,CHAR(160)," ")),
      $W$2:$W$38
    )
  ),
"")</f>
        <v>45</v>
      </c>
    </row>
    <row r="178" spans="1:15" x14ac:dyDescent="0.2">
      <c r="A178" s="102">
        <v>46055</v>
      </c>
      <c r="B178" s="103" t="s">
        <v>564</v>
      </c>
      <c r="C178" s="64" t="s">
        <v>519</v>
      </c>
      <c r="D178" s="18" t="s">
        <v>190</v>
      </c>
      <c r="E178" s="18" t="s">
        <v>568</v>
      </c>
      <c r="F178" s="18" t="s">
        <v>155</v>
      </c>
      <c r="G178" t="s">
        <v>380</v>
      </c>
      <c r="H178" s="106">
        <v>0.5</v>
      </c>
      <c r="I178" s="107" cm="1">
        <f t="array" ref="I178">IFERROR(
  VALUE($H178) *
  VALUE(
    _xlfn.XLOOKUP(
      TRIM($F178) &amp; "|" &amp; LEFT(SUBSTITUTE($G178,CHAR(160)," "),5) &amp; "|Full Rate",
      TRIM(SUBSTITUTE($T$2:$T$38,CHAR(160)," ")) &amp; "|" &amp;
      LEFT(SUBSTITUTE($U$2:$U$38,CHAR(160)," "),5) &amp; "|" &amp;
      TRIM(SUBSTITUTE($V$2:$V$38,CHAR(160)," ")),
      $W$2:$W$38
    )
  ),
"")</f>
        <v>130</v>
      </c>
      <c r="J178" s="42" cm="1">
        <f t="array" ref="J178">IFERROR(
  VALUE($H178) *
  VALUE(
    _xlfn.XLOOKUP(
      TRIM($F178) &amp; "|" &amp; LEFT(SUBSTITUTE($G178,CHAR(160)," "),5) &amp; "|Reduced Rate",
      TRIM(SUBSTITUTE($T$2:$T$38,CHAR(160)," ")) &amp; "|" &amp;
      LEFT(SUBSTITUTE($U$2:$U$38,CHAR(160)," "),5) &amp; "|" &amp;
      TRIM(SUBSTITUTE($V$2:$V$38,CHAR(160)," ")),
      $W$2:$W$38
    )
  ),
"")</f>
        <v>60</v>
      </c>
      <c r="K178" s="42" cm="1">
        <f t="array" ref="K178">IFERROR(
  VALUE($H178) *
  VALUE(
    _xlfn.XLOOKUP(
      TRIM($F178) &amp; "|" &amp; LEFT(SUBSTITUTE($G178,CHAR(160)," "),5) &amp; "|Ideas Rate",
      TRIM(SUBSTITUTE($T$2:$T$38,CHAR(160)," ")) &amp; "|" &amp;
      LEFT(SUBSTITUTE($U$2:$U$38,CHAR(160)," "),5) &amp; "|" &amp;
      TRIM(SUBSTITUTE($V$2:$V$38,CHAR(160)," ")),
      $W$2:$W$38
    )
  ),
"")</f>
        <v>45</v>
      </c>
    </row>
    <row r="179" spans="1:15" x14ac:dyDescent="0.2">
      <c r="A179" s="38">
        <v>46056</v>
      </c>
      <c r="B179" s="159" t="s">
        <v>564</v>
      </c>
      <c r="C179" s="20" t="s">
        <v>519</v>
      </c>
      <c r="D179" s="37" t="s">
        <v>190</v>
      </c>
      <c r="E179" s="37" t="s">
        <v>568</v>
      </c>
      <c r="F179" s="37" t="s">
        <v>155</v>
      </c>
      <c r="G179" s="54" t="s">
        <v>380</v>
      </c>
      <c r="H179" s="194">
        <v>1.75</v>
      </c>
      <c r="I179" s="160" cm="1">
        <f t="array" ref="I179">IFERROR(
  VALUE($H179) *
  VALUE(
    _xlfn.XLOOKUP(
      TRIM($F179) &amp; "|" &amp; LEFT(SUBSTITUTE($G179,CHAR(160)," "),5) &amp; "|Full Rate",
      TRIM(SUBSTITUTE($T$2:$T$38,CHAR(160)," ")) &amp; "|" &amp;
      LEFT(SUBSTITUTE($U$2:$U$38,CHAR(160)," "),5) &amp; "|" &amp;
      TRIM(SUBSTITUTE($V$2:$V$38,CHAR(160)," ")),
      $W$2:$W$38
    )
  ),
"")</f>
        <v>455</v>
      </c>
      <c r="J179" s="161" cm="1">
        <f t="array" ref="J179">IFERROR(
  VALUE($H179) *
  VALUE(
    _xlfn.XLOOKUP(
      TRIM($F179) &amp; "|" &amp; LEFT(SUBSTITUTE($G179,CHAR(160)," "),5) &amp; "|Reduced Rate",
      TRIM(SUBSTITUTE($T$2:$T$38,CHAR(160)," ")) &amp; "|" &amp;
      LEFT(SUBSTITUTE($U$2:$U$38,CHAR(160)," "),5) &amp; "|" &amp;
      TRIM(SUBSTITUTE($V$2:$V$38,CHAR(160)," ")),
      $W$2:$W$38
    )
  ),
"")</f>
        <v>210</v>
      </c>
      <c r="K179" s="161" cm="1">
        <f t="array" ref="K179">IFERROR(
  VALUE($H179) *
  VALUE(
    _xlfn.XLOOKUP(
      TRIM($F179) &amp; "|" &amp; LEFT(SUBSTITUTE($G179,CHAR(160)," "),5) &amp; "|Ideas Rate",
      TRIM(SUBSTITUTE($T$2:$T$38,CHAR(160)," ")) &amp; "|" &amp;
      LEFT(SUBSTITUTE($U$2:$U$38,CHAR(160)," "),5) &amp; "|" &amp;
      TRIM(SUBSTITUTE($V$2:$V$38,CHAR(160)," ")),
      $W$2:$W$38
    )
  ),
"")</f>
        <v>157.5</v>
      </c>
    </row>
    <row r="180" spans="1:15" x14ac:dyDescent="0.2">
      <c r="A180" s="38">
        <v>46056</v>
      </c>
      <c r="B180" s="159" t="s">
        <v>564</v>
      </c>
      <c r="C180" s="20" t="s">
        <v>519</v>
      </c>
      <c r="D180" s="37" t="s">
        <v>192</v>
      </c>
      <c r="E180" s="37" t="s">
        <v>509</v>
      </c>
      <c r="F180" s="37" t="s">
        <v>155</v>
      </c>
      <c r="G180" s="54" t="s">
        <v>380</v>
      </c>
      <c r="H180" s="194">
        <v>2</v>
      </c>
      <c r="I180" s="160" cm="1">
        <f t="array" ref="I180">IFERROR(
  VALUE($H180) *
  VALUE(
    _xlfn.XLOOKUP(
      TRIM($F180) &amp; "|" &amp; LEFT(SUBSTITUTE($G180,CHAR(160)," "),5) &amp; "|Full Rate",
      TRIM(SUBSTITUTE($T$2:$T$38,CHAR(160)," ")) &amp; "|" &amp;
      LEFT(SUBSTITUTE($U$2:$U$38,CHAR(160)," "),5) &amp; "|" &amp;
      TRIM(SUBSTITUTE($V$2:$V$38,CHAR(160)," ")),
      $W$2:$W$38
    )
  ),
"")</f>
        <v>520</v>
      </c>
      <c r="J180" s="161" cm="1">
        <f t="array" ref="J180">IFERROR(
  VALUE($H180) *
  VALUE(
    _xlfn.XLOOKUP(
      TRIM($F180) &amp; "|" &amp; LEFT(SUBSTITUTE($G180,CHAR(160)," "),5) &amp; "|Reduced Rate",
      TRIM(SUBSTITUTE($T$2:$T$38,CHAR(160)," ")) &amp; "|" &amp;
      LEFT(SUBSTITUTE($U$2:$U$38,CHAR(160)," "),5) &amp; "|" &amp;
      TRIM(SUBSTITUTE($V$2:$V$38,CHAR(160)," ")),
      $W$2:$W$38
    )
  ),
"")</f>
        <v>240</v>
      </c>
      <c r="K180" s="161" cm="1">
        <f t="array" ref="K180">IFERROR(
  VALUE($H180) *
  VALUE(
    _xlfn.XLOOKUP(
      TRIM($F180) &amp; "|" &amp; LEFT(SUBSTITUTE($G180,CHAR(160)," "),5) &amp; "|Ideas Rate",
      TRIM(SUBSTITUTE($T$2:$T$38,CHAR(160)," ")) &amp; "|" &amp;
      LEFT(SUBSTITUTE($U$2:$U$38,CHAR(160)," "),5) &amp; "|" &amp;
      TRIM(SUBSTITUTE($V$2:$V$38,CHAR(160)," ")),
      $W$2:$W$38
    )
  ),
"")</f>
        <v>180</v>
      </c>
    </row>
    <row r="181" spans="1:15" x14ac:dyDescent="0.2">
      <c r="A181" s="38">
        <v>46056</v>
      </c>
      <c r="B181" s="159" t="s">
        <v>564</v>
      </c>
      <c r="C181" s="20" t="s">
        <v>519</v>
      </c>
      <c r="D181" s="37" t="s">
        <v>178</v>
      </c>
      <c r="E181" s="37" t="s">
        <v>598</v>
      </c>
      <c r="F181" s="37" t="s">
        <v>155</v>
      </c>
      <c r="G181" s="54" t="s">
        <v>380</v>
      </c>
      <c r="H181" s="194">
        <v>0.75</v>
      </c>
      <c r="I181" s="160" cm="1">
        <f t="array" ref="I181">IFERROR(
  VALUE($H181) *
  VALUE(
    _xlfn.XLOOKUP(
      TRIM($F181) &amp; "|" &amp; LEFT(SUBSTITUTE($G181,CHAR(160)," "),5) &amp; "|Full Rate",
      TRIM(SUBSTITUTE($T$2:$T$38,CHAR(160)," ")) &amp; "|" &amp;
      LEFT(SUBSTITUTE($U$2:$U$38,CHAR(160)," "),5) &amp; "|" &amp;
      TRIM(SUBSTITUTE($V$2:$V$38,CHAR(160)," ")),
      $W$2:$W$38
    )
  ),
"")</f>
        <v>195</v>
      </c>
      <c r="J181" s="161" cm="1">
        <f t="array" ref="J181">IFERROR(
  VALUE($H181) *
  VALUE(
    _xlfn.XLOOKUP(
      TRIM($F181) &amp; "|" &amp; LEFT(SUBSTITUTE($G181,CHAR(160)," "),5) &amp; "|Reduced Rate",
      TRIM(SUBSTITUTE($T$2:$T$38,CHAR(160)," ")) &amp; "|" &amp;
      LEFT(SUBSTITUTE($U$2:$U$38,CHAR(160)," "),5) &amp; "|" &amp;
      TRIM(SUBSTITUTE($V$2:$V$38,CHAR(160)," ")),
      $W$2:$W$38
    )
  ),
"")</f>
        <v>90</v>
      </c>
      <c r="K181" s="161" cm="1">
        <f t="array" ref="K181">IFERROR(
  VALUE($H181) *
  VALUE(
    _xlfn.XLOOKUP(
      TRIM($F181) &amp; "|" &amp; LEFT(SUBSTITUTE($G181,CHAR(160)," "),5) &amp; "|Ideas Rate",
      TRIM(SUBSTITUTE($T$2:$T$38,CHAR(160)," ")) &amp; "|" &amp;
      LEFT(SUBSTITUTE($U$2:$U$38,CHAR(160)," "),5) &amp; "|" &amp;
      TRIM(SUBSTITUTE($V$2:$V$38,CHAR(160)," ")),
      $W$2:$W$38
    )
  ),
"")</f>
        <v>67.5</v>
      </c>
    </row>
    <row r="182" spans="1:15" x14ac:dyDescent="0.2">
      <c r="A182" s="38">
        <v>46056</v>
      </c>
      <c r="B182" s="159" t="s">
        <v>564</v>
      </c>
      <c r="C182" s="20" t="s">
        <v>519</v>
      </c>
      <c r="D182" s="37" t="s">
        <v>81</v>
      </c>
      <c r="E182" s="37" t="s">
        <v>599</v>
      </c>
      <c r="F182" s="37" t="s">
        <v>155</v>
      </c>
      <c r="G182" s="54" t="s">
        <v>367</v>
      </c>
      <c r="H182" s="194">
        <v>2</v>
      </c>
      <c r="I182" s="160" cm="1">
        <f t="array" ref="I182">IFERROR(
  VALUE($H182) *
  VALUE(
    _xlfn.XLOOKUP(
      TRIM($F182) &amp; "|" &amp; LEFT(SUBSTITUTE($G182,CHAR(160)," "),5) &amp; "|Full Rate",
      TRIM(SUBSTITUTE($T$2:$T$38,CHAR(160)," ")) &amp; "|" &amp;
      LEFT(SUBSTITUTE($U$2:$U$38,CHAR(160)," "),5) &amp; "|" &amp;
      TRIM(SUBSTITUTE($V$2:$V$38,CHAR(160)," ")),
      $W$2:$W$38
    )
  ),
"")</f>
        <v>800</v>
      </c>
      <c r="J182" s="161" cm="1">
        <f t="array" ref="J182">IFERROR(
  VALUE($H182) *
  VALUE(
    _xlfn.XLOOKUP(
      TRIM($F182) &amp; "|" &amp; LEFT(SUBSTITUTE($G182,CHAR(160)," "),5) &amp; "|Reduced Rate",
      TRIM(SUBSTITUTE($T$2:$T$38,CHAR(160)," ")) &amp; "|" &amp;
      LEFT(SUBSTITUTE($U$2:$U$38,CHAR(160)," "),5) &amp; "|" &amp;
      TRIM(SUBSTITUTE($V$2:$V$38,CHAR(160)," ")),
      $W$2:$W$38
    )
  ),
"")</f>
        <v>400</v>
      </c>
      <c r="K182" s="161" cm="1">
        <f t="array" ref="K182">IFERROR(
  VALUE($H182) *
  VALUE(
    _xlfn.XLOOKUP(
      TRIM($F182) &amp; "|" &amp; LEFT(SUBSTITUTE($G182,CHAR(160)," "),5) &amp; "|Ideas Rate",
      TRIM(SUBSTITUTE($T$2:$T$38,CHAR(160)," ")) &amp; "|" &amp;
      LEFT(SUBSTITUTE($U$2:$U$38,CHAR(160)," "),5) &amp; "|" &amp;
      TRIM(SUBSTITUTE($V$2:$V$38,CHAR(160)," ")),
      $W$2:$W$38
    )
  ),
"")</f>
        <v>240</v>
      </c>
    </row>
    <row r="183" spans="1:15" x14ac:dyDescent="0.2">
      <c r="A183" s="10">
        <v>46056</v>
      </c>
      <c r="B183" s="171" t="s">
        <v>564</v>
      </c>
      <c r="C183" s="20" t="s">
        <v>519</v>
      </c>
      <c r="D183" t="s">
        <v>178</v>
      </c>
      <c r="E183" t="s">
        <v>623</v>
      </c>
      <c r="F183" t="s">
        <v>9</v>
      </c>
      <c r="G183" t="s">
        <v>380</v>
      </c>
      <c r="H183" s="194">
        <v>0.75</v>
      </c>
      <c r="I183" s="160" cm="1">
        <f t="array" ref="I183">IFERROR(
  VALUE($H183) *
  VALUE(
    _xlfn.XLOOKUP(
      TRIM($F183) &amp; "|" &amp; LEFT(SUBSTITUTE($G183,CHAR(160)," "),5) &amp; "|Full Rate",
      TRIM(SUBSTITUTE($T$2:$T$38,CHAR(160)," ")) &amp; "|" &amp;
      LEFT(SUBSTITUTE($U$2:$U$38,CHAR(160)," "),5) &amp; "|" &amp;
      TRIM(SUBSTITUTE($V$2:$V$38,CHAR(160)," ")),
      $W$2:$W$38
    )
  ),
"")</f>
        <v>187.5</v>
      </c>
      <c r="J183" s="161" cm="1">
        <f t="array" ref="J183">IFERROR(
  VALUE($H183) *
  VALUE(
    _xlfn.XLOOKUP(
      TRIM($F183) &amp; "|" &amp; LEFT(SUBSTITUTE($G183,CHAR(160)," "),5) &amp; "|Reduced Rate",
      TRIM(SUBSTITUTE($T$2:$T$38,CHAR(160)," ")) &amp; "|" &amp;
      LEFT(SUBSTITUTE($U$2:$U$38,CHAR(160)," "),5) &amp; "|" &amp;
      TRIM(SUBSTITUTE($V$2:$V$38,CHAR(160)," ")),
      $W$2:$W$38
    )
  ),
"")</f>
        <v>112.5</v>
      </c>
      <c r="K183" s="161" cm="1">
        <f t="array" ref="K183">IFERROR(
  VALUE($H183) *
  VALUE(
    _xlfn.XLOOKUP(
      TRIM($F183) &amp; "|" &amp; LEFT(SUBSTITUTE($G183,CHAR(160)," "),5) &amp; "|Ideas Rate",
      TRIM(SUBSTITUTE($T$2:$T$38,CHAR(160)," ")) &amp; "|" &amp;
      LEFT(SUBSTITUTE($U$2:$U$38,CHAR(160)," "),5) &amp; "|" &amp;
      TRIM(SUBSTITUTE($V$2:$V$38,CHAR(160)," ")),
      $W$2:$W$38
    )
  ),
"")</f>
        <v>56.25</v>
      </c>
      <c r="O183"/>
    </row>
    <row r="184" spans="1:15" x14ac:dyDescent="0.2">
      <c r="A184" s="10">
        <v>46056</v>
      </c>
      <c r="B184" s="171" t="s">
        <v>564</v>
      </c>
      <c r="C184" s="20" t="s">
        <v>519</v>
      </c>
      <c r="D184" t="s">
        <v>29</v>
      </c>
      <c r="E184" t="s">
        <v>622</v>
      </c>
      <c r="F184" t="s">
        <v>9</v>
      </c>
      <c r="G184" t="s">
        <v>380</v>
      </c>
      <c r="H184" s="194">
        <v>2.25</v>
      </c>
      <c r="I184" s="160" cm="1">
        <f t="array" ref="I184">IFERROR(
  VALUE($H184) *
  VALUE(
    _xlfn.XLOOKUP(
      TRIM($F184) &amp; "|" &amp; LEFT(SUBSTITUTE($G184,CHAR(160)," "),5) &amp; "|Full Rate",
      TRIM(SUBSTITUTE($T$2:$T$38,CHAR(160)," ")) &amp; "|" &amp;
      LEFT(SUBSTITUTE($U$2:$U$38,CHAR(160)," "),5) &amp; "|" &amp;
      TRIM(SUBSTITUTE($V$2:$V$38,CHAR(160)," ")),
      $W$2:$W$38
    )
  ),
"")</f>
        <v>562.5</v>
      </c>
      <c r="J184" s="161" cm="1">
        <f t="array" ref="J184">IFERROR(
  VALUE($H184) *
  VALUE(
    _xlfn.XLOOKUP(
      TRIM($F184) &amp; "|" &amp; LEFT(SUBSTITUTE($G184,CHAR(160)," "),5) &amp; "|Reduced Rate",
      TRIM(SUBSTITUTE($T$2:$T$38,CHAR(160)," ")) &amp; "|" &amp;
      LEFT(SUBSTITUTE($U$2:$U$38,CHAR(160)," "),5) &amp; "|" &amp;
      TRIM(SUBSTITUTE($V$2:$V$38,CHAR(160)," ")),
      $W$2:$W$38
    )
  ),
"")</f>
        <v>337.5</v>
      </c>
      <c r="K184" s="161" cm="1">
        <f t="array" ref="K184">IFERROR(
  VALUE($H184) *
  VALUE(
    _xlfn.XLOOKUP(
      TRIM($F184) &amp; "|" &amp; LEFT(SUBSTITUTE($G184,CHAR(160)," "),5) &amp; "|Ideas Rate",
      TRIM(SUBSTITUTE($T$2:$T$38,CHAR(160)," ")) &amp; "|" &amp;
      LEFT(SUBSTITUTE($U$2:$U$38,CHAR(160)," "),5) &amp; "|" &amp;
      TRIM(SUBSTITUTE($V$2:$V$38,CHAR(160)," ")),
      $W$2:$W$38
    )
  ),
"")</f>
        <v>168.75</v>
      </c>
      <c r="O184"/>
    </row>
    <row r="185" spans="1:15" x14ac:dyDescent="0.2">
      <c r="A185" s="10">
        <v>46056</v>
      </c>
      <c r="B185" s="171" t="s">
        <v>564</v>
      </c>
      <c r="C185" s="20" t="s">
        <v>519</v>
      </c>
      <c r="D185" t="s">
        <v>178</v>
      </c>
      <c r="E185" t="s">
        <v>621</v>
      </c>
      <c r="F185" t="s">
        <v>9</v>
      </c>
      <c r="G185" t="s">
        <v>367</v>
      </c>
      <c r="H185" s="194">
        <v>0.75</v>
      </c>
      <c r="I185" s="160" cm="1">
        <f t="array" ref="I185">IFERROR(
  VALUE($H185) *
  VALUE(
    _xlfn.XLOOKUP(
      TRIM($F185) &amp; "|" &amp; LEFT(SUBSTITUTE($G185,CHAR(160)," "),5) &amp; "|Full Rate",
      TRIM(SUBSTITUTE($T$2:$T$38,CHAR(160)," ")) &amp; "|" &amp;
      LEFT(SUBSTITUTE($U$2:$U$38,CHAR(160)," "),5) &amp; "|" &amp;
      TRIM(SUBSTITUTE($V$2:$V$38,CHAR(160)," ")),
      $W$2:$W$38
    )
  ),
"")</f>
        <v>375</v>
      </c>
      <c r="J185" s="161" cm="1">
        <f t="array" ref="J185">IFERROR(
  VALUE($H185) *
  VALUE(
    _xlfn.XLOOKUP(
      TRIM($F185) &amp; "|" &amp; LEFT(SUBSTITUTE($G185,CHAR(160)," "),5) &amp; "|Reduced Rate",
      TRIM(SUBSTITUTE($T$2:$T$38,CHAR(160)," ")) &amp; "|" &amp;
      LEFT(SUBSTITUTE($U$2:$U$38,CHAR(160)," "),5) &amp; "|" &amp;
      TRIM(SUBSTITUTE($V$2:$V$38,CHAR(160)," ")),
      $W$2:$W$38
    )
  ),
"")</f>
        <v>225</v>
      </c>
      <c r="K185" s="161" cm="1">
        <f t="array" ref="K185">IFERROR(
  VALUE($H185) *
  VALUE(
    _xlfn.XLOOKUP(
      TRIM($F185) &amp; "|" &amp; LEFT(SUBSTITUTE($G185,CHAR(160)," "),5) &amp; "|Ideas Rate",
      TRIM(SUBSTITUTE($T$2:$T$38,CHAR(160)," ")) &amp; "|" &amp;
      LEFT(SUBSTITUTE($U$2:$U$38,CHAR(160)," "),5) &amp; "|" &amp;
      TRIM(SUBSTITUTE($V$2:$V$38,CHAR(160)," ")),
      $W$2:$W$38
    )
  ),
"")</f>
        <v>112.5</v>
      </c>
      <c r="O185"/>
    </row>
    <row r="186" spans="1:15" x14ac:dyDescent="0.2">
      <c r="A186" s="10">
        <v>46056</v>
      </c>
      <c r="B186" s="171" t="s">
        <v>564</v>
      </c>
      <c r="C186" s="20" t="s">
        <v>519</v>
      </c>
      <c r="D186" t="s">
        <v>178</v>
      </c>
      <c r="E186" t="s">
        <v>520</v>
      </c>
      <c r="F186" t="s">
        <v>9</v>
      </c>
      <c r="G186" t="s">
        <v>367</v>
      </c>
      <c r="H186" s="194">
        <v>0.75</v>
      </c>
      <c r="I186" s="160" cm="1">
        <f t="array" ref="I186">IFERROR(
  VALUE($H186) *
  VALUE(
    _xlfn.XLOOKUP(
      TRIM($F186) &amp; "|" &amp; LEFT(SUBSTITUTE($G186,CHAR(160)," "),5) &amp; "|Full Rate",
      TRIM(SUBSTITUTE($T$2:$T$38,CHAR(160)," ")) &amp; "|" &amp;
      LEFT(SUBSTITUTE($U$2:$U$38,CHAR(160)," "),5) &amp; "|" &amp;
      TRIM(SUBSTITUTE($V$2:$V$38,CHAR(160)," ")),
      $W$2:$W$38
    )
  ),
"")</f>
        <v>375</v>
      </c>
      <c r="J186" s="161" cm="1">
        <f t="array" ref="J186">IFERROR(
  VALUE($H186) *
  VALUE(
    _xlfn.XLOOKUP(
      TRIM($F186) &amp; "|" &amp; LEFT(SUBSTITUTE($G186,CHAR(160)," "),5) &amp; "|Reduced Rate",
      TRIM(SUBSTITUTE($T$2:$T$38,CHAR(160)," ")) &amp; "|" &amp;
      LEFT(SUBSTITUTE($U$2:$U$38,CHAR(160)," "),5) &amp; "|" &amp;
      TRIM(SUBSTITUTE($V$2:$V$38,CHAR(160)," ")),
      $W$2:$W$38
    )
  ),
"")</f>
        <v>225</v>
      </c>
      <c r="K186" s="161" cm="1">
        <f t="array" ref="K186">IFERROR(
  VALUE($H186) *
  VALUE(
    _xlfn.XLOOKUP(
      TRIM($F186) &amp; "|" &amp; LEFT(SUBSTITUTE($G186,CHAR(160)," "),5) &amp; "|Ideas Rate",
      TRIM(SUBSTITUTE($T$2:$T$38,CHAR(160)," ")) &amp; "|" &amp;
      LEFT(SUBSTITUTE($U$2:$U$38,CHAR(160)," "),5) &amp; "|" &amp;
      TRIM(SUBSTITUTE($V$2:$V$38,CHAR(160)," ")),
      $W$2:$W$38
    )
  ),
"")</f>
        <v>112.5</v>
      </c>
      <c r="O186"/>
    </row>
    <row r="187" spans="1:15" x14ac:dyDescent="0.2">
      <c r="A187" s="10">
        <v>46057</v>
      </c>
      <c r="B187" s="171" t="s">
        <v>564</v>
      </c>
      <c r="C187" s="20" t="s">
        <v>519</v>
      </c>
      <c r="D187" t="s">
        <v>178</v>
      </c>
      <c r="E187" t="s">
        <v>625</v>
      </c>
      <c r="F187" t="s">
        <v>9</v>
      </c>
      <c r="G187" t="s">
        <v>367</v>
      </c>
      <c r="H187" s="194">
        <v>1</v>
      </c>
      <c r="I187" s="160" cm="1">
        <f t="array" ref="I187">IFERROR(
  VALUE($H187) *
  VALUE(
    _xlfn.XLOOKUP(
      TRIM($F187) &amp; "|" &amp; LEFT(SUBSTITUTE($G187,CHAR(160)," "),5) &amp; "|Full Rate",
      TRIM(SUBSTITUTE($T$2:$T$38,CHAR(160)," ")) &amp; "|" &amp;
      LEFT(SUBSTITUTE($U$2:$U$38,CHAR(160)," "),5) &amp; "|" &amp;
      TRIM(SUBSTITUTE($V$2:$V$38,CHAR(160)," ")),
      $W$2:$W$38
    )
  ),
"")</f>
        <v>500</v>
      </c>
      <c r="J187" s="161" cm="1">
        <f t="array" ref="J187">IFERROR(
  VALUE($H187) *
  VALUE(
    _xlfn.XLOOKUP(
      TRIM($F187) &amp; "|" &amp; LEFT(SUBSTITUTE($G187,CHAR(160)," "),5) &amp; "|Reduced Rate",
      TRIM(SUBSTITUTE($T$2:$T$38,CHAR(160)," ")) &amp; "|" &amp;
      LEFT(SUBSTITUTE($U$2:$U$38,CHAR(160)," "),5) &amp; "|" &amp;
      TRIM(SUBSTITUTE($V$2:$V$38,CHAR(160)," ")),
      $W$2:$W$38
    )
  ),
"")</f>
        <v>300</v>
      </c>
      <c r="K187" s="161" cm="1">
        <f t="array" ref="K187">IFERROR(
  VALUE($H187) *
  VALUE(
    _xlfn.XLOOKUP(
      TRIM($F187) &amp; "|" &amp; LEFT(SUBSTITUTE($G187,CHAR(160)," "),5) &amp; "|Ideas Rate",
      TRIM(SUBSTITUTE($T$2:$T$38,CHAR(160)," ")) &amp; "|" &amp;
      LEFT(SUBSTITUTE($U$2:$U$38,CHAR(160)," "),5) &amp; "|" &amp;
      TRIM(SUBSTITUTE($V$2:$V$38,CHAR(160)," ")),
      $W$2:$W$38
    )
  ),
"")</f>
        <v>150</v>
      </c>
      <c r="O187"/>
    </row>
    <row r="188" spans="1:15" x14ac:dyDescent="0.2">
      <c r="A188" s="10">
        <v>46057</v>
      </c>
      <c r="B188" s="171" t="s">
        <v>564</v>
      </c>
      <c r="C188" s="20" t="s">
        <v>519</v>
      </c>
      <c r="D188" t="s">
        <v>178</v>
      </c>
      <c r="E188" t="s">
        <v>624</v>
      </c>
      <c r="F188" t="s">
        <v>9</v>
      </c>
      <c r="G188" t="s">
        <v>380</v>
      </c>
      <c r="H188" s="194">
        <v>0.75</v>
      </c>
      <c r="I188" s="160" cm="1">
        <f t="array" ref="I188">IFERROR(
  VALUE($H188) *
  VALUE(
    _xlfn.XLOOKUP(
      TRIM($F188) &amp; "|" &amp; LEFT(SUBSTITUTE($G188,CHAR(160)," "),5) &amp; "|Full Rate",
      TRIM(SUBSTITUTE($T$2:$T$38,CHAR(160)," ")) &amp; "|" &amp;
      LEFT(SUBSTITUTE($U$2:$U$38,CHAR(160)," "),5) &amp; "|" &amp;
      TRIM(SUBSTITUTE($V$2:$V$38,CHAR(160)," ")),
      $W$2:$W$38
    )
  ),
"")</f>
        <v>187.5</v>
      </c>
      <c r="J188" s="161" cm="1">
        <f t="array" ref="J188">IFERROR(
  VALUE($H188) *
  VALUE(
    _xlfn.XLOOKUP(
      TRIM($F188) &amp; "|" &amp; LEFT(SUBSTITUTE($G188,CHAR(160)," "),5) &amp; "|Reduced Rate",
      TRIM(SUBSTITUTE($T$2:$T$38,CHAR(160)," ")) &amp; "|" &amp;
      LEFT(SUBSTITUTE($U$2:$U$38,CHAR(160)," "),5) &amp; "|" &amp;
      TRIM(SUBSTITUTE($V$2:$V$38,CHAR(160)," ")),
      $W$2:$W$38
    )
  ),
"")</f>
        <v>112.5</v>
      </c>
      <c r="K188" s="161" cm="1">
        <f t="array" ref="K188">IFERROR(
  VALUE($H188) *
  VALUE(
    _xlfn.XLOOKUP(
      TRIM($F188) &amp; "|" &amp; LEFT(SUBSTITUTE($G188,CHAR(160)," "),5) &amp; "|Ideas Rate",
      TRIM(SUBSTITUTE($T$2:$T$38,CHAR(160)," ")) &amp; "|" &amp;
      LEFT(SUBSTITUTE($U$2:$U$38,CHAR(160)," "),5) &amp; "|" &amp;
      TRIM(SUBSTITUTE($V$2:$V$38,CHAR(160)," ")),
      $W$2:$W$38
    )
  ),
"")</f>
        <v>56.25</v>
      </c>
      <c r="O188"/>
    </row>
    <row r="189" spans="1:15" x14ac:dyDescent="0.2">
      <c r="A189" s="10">
        <v>46057</v>
      </c>
      <c r="B189" s="171" t="s">
        <v>564</v>
      </c>
      <c r="C189" s="20" t="s">
        <v>519</v>
      </c>
      <c r="D189" t="s">
        <v>178</v>
      </c>
      <c r="E189" t="s">
        <v>623</v>
      </c>
      <c r="F189" t="s">
        <v>9</v>
      </c>
      <c r="G189" t="s">
        <v>380</v>
      </c>
      <c r="H189" s="194">
        <v>1</v>
      </c>
      <c r="I189" s="160" cm="1">
        <f t="array" ref="I189">IFERROR(
  VALUE($H189) *
  VALUE(
    _xlfn.XLOOKUP(
      TRIM($F189) &amp; "|" &amp; LEFT(SUBSTITUTE($G189,CHAR(160)," "),5) &amp; "|Full Rate",
      TRIM(SUBSTITUTE($T$2:$T$38,CHAR(160)," ")) &amp; "|" &amp;
      LEFT(SUBSTITUTE($U$2:$U$38,CHAR(160)," "),5) &amp; "|" &amp;
      TRIM(SUBSTITUTE($V$2:$V$38,CHAR(160)," ")),
      $W$2:$W$38
    )
  ),
"")</f>
        <v>250</v>
      </c>
      <c r="J189" s="161" cm="1">
        <f t="array" ref="J189">IFERROR(
  VALUE($H189) *
  VALUE(
    _xlfn.XLOOKUP(
      TRIM($F189) &amp; "|" &amp; LEFT(SUBSTITUTE($G189,CHAR(160)," "),5) &amp; "|Reduced Rate",
      TRIM(SUBSTITUTE($T$2:$T$38,CHAR(160)," ")) &amp; "|" &amp;
      LEFT(SUBSTITUTE($U$2:$U$38,CHAR(160)," "),5) &amp; "|" &amp;
      TRIM(SUBSTITUTE($V$2:$V$38,CHAR(160)," ")),
      $W$2:$W$38
    )
  ),
"")</f>
        <v>150</v>
      </c>
      <c r="K189" s="161" cm="1">
        <f t="array" ref="K189">IFERROR(
  VALUE($H189) *
  VALUE(
    _xlfn.XLOOKUP(
      TRIM($F189) &amp; "|" &amp; LEFT(SUBSTITUTE($G189,CHAR(160)," "),5) &amp; "|Ideas Rate",
      TRIM(SUBSTITUTE($T$2:$T$38,CHAR(160)," ")) &amp; "|" &amp;
      LEFT(SUBSTITUTE($U$2:$U$38,CHAR(160)," "),5) &amp; "|" &amp;
      TRIM(SUBSTITUTE($V$2:$V$38,CHAR(160)," ")),
      $W$2:$W$38
    )
  ),
"")</f>
        <v>75</v>
      </c>
      <c r="O189"/>
    </row>
    <row r="190" spans="1:15" x14ac:dyDescent="0.2">
      <c r="A190" s="38">
        <v>46057</v>
      </c>
      <c r="B190" s="159" t="s">
        <v>564</v>
      </c>
      <c r="C190" s="20" t="s">
        <v>519</v>
      </c>
      <c r="D190" s="37" t="s">
        <v>178</v>
      </c>
      <c r="E190" s="37" t="s">
        <v>600</v>
      </c>
      <c r="F190" s="37" t="s">
        <v>155</v>
      </c>
      <c r="G190" s="54" t="s">
        <v>380</v>
      </c>
      <c r="H190" s="194">
        <v>1</v>
      </c>
      <c r="I190" s="160" cm="1">
        <f t="array" ref="I190">IFERROR(
  VALUE($H190) *
  VALUE(
    _xlfn.XLOOKUP(
      TRIM($F190) &amp; "|" &amp; LEFT(SUBSTITUTE($G190,CHAR(160)," "),5) &amp; "|Full Rate",
      TRIM(SUBSTITUTE($T$2:$T$38,CHAR(160)," ")) &amp; "|" &amp;
      LEFT(SUBSTITUTE($U$2:$U$38,CHAR(160)," "),5) &amp; "|" &amp;
      TRIM(SUBSTITUTE($V$2:$V$38,CHAR(160)," ")),
      $W$2:$W$38
    )
  ),
"")</f>
        <v>260</v>
      </c>
      <c r="J190" s="161" cm="1">
        <f t="array" ref="J190">IFERROR(
  VALUE($H190) *
  VALUE(
    _xlfn.XLOOKUP(
      TRIM($F190) &amp; "|" &amp; LEFT(SUBSTITUTE($G190,CHAR(160)," "),5) &amp; "|Reduced Rate",
      TRIM(SUBSTITUTE($T$2:$T$38,CHAR(160)," ")) &amp; "|" &amp;
      LEFT(SUBSTITUTE($U$2:$U$38,CHAR(160)," "),5) &amp; "|" &amp;
      TRIM(SUBSTITUTE($V$2:$V$38,CHAR(160)," ")),
      $W$2:$W$38
    )
  ),
"")</f>
        <v>120</v>
      </c>
      <c r="K190" s="161" cm="1">
        <f t="array" ref="K190">IFERROR(
  VALUE($H190) *
  VALUE(
    _xlfn.XLOOKUP(
      TRIM($F190) &amp; "|" &amp; LEFT(SUBSTITUTE($G190,CHAR(160)," "),5) &amp; "|Ideas Rate",
      TRIM(SUBSTITUTE($T$2:$T$38,CHAR(160)," ")) &amp; "|" &amp;
      LEFT(SUBSTITUTE($U$2:$U$38,CHAR(160)," "),5) &amp; "|" &amp;
      TRIM(SUBSTITUTE($V$2:$V$38,CHAR(160)," ")),
      $W$2:$W$38
    )
  ),
"")</f>
        <v>90</v>
      </c>
    </row>
    <row r="191" spans="1:15" x14ac:dyDescent="0.2">
      <c r="A191" s="38">
        <v>46057</v>
      </c>
      <c r="B191" s="159" t="s">
        <v>564</v>
      </c>
      <c r="C191" s="20" t="s">
        <v>519</v>
      </c>
      <c r="D191" s="37" t="s">
        <v>178</v>
      </c>
      <c r="E191" s="37" t="s">
        <v>601</v>
      </c>
      <c r="F191" s="37" t="s">
        <v>155</v>
      </c>
      <c r="G191" s="54" t="s">
        <v>380</v>
      </c>
      <c r="H191" s="194">
        <v>0.75</v>
      </c>
      <c r="I191" s="160" cm="1">
        <f t="array" ref="I191">IFERROR(
  VALUE($H191) *
  VALUE(
    _xlfn.XLOOKUP(
      TRIM($F191) &amp; "|" &amp; LEFT(SUBSTITUTE($G191,CHAR(160)," "),5) &amp; "|Full Rate",
      TRIM(SUBSTITUTE($T$2:$T$38,CHAR(160)," ")) &amp; "|" &amp;
      LEFT(SUBSTITUTE($U$2:$U$38,CHAR(160)," "),5) &amp; "|" &amp;
      TRIM(SUBSTITUTE($V$2:$V$38,CHAR(160)," ")),
      $W$2:$W$38
    )
  ),
"")</f>
        <v>195</v>
      </c>
      <c r="J191" s="161" cm="1">
        <f t="array" ref="J191">IFERROR(
  VALUE($H191) *
  VALUE(
    _xlfn.XLOOKUP(
      TRIM($F191) &amp; "|" &amp; LEFT(SUBSTITUTE($G191,CHAR(160)," "),5) &amp; "|Reduced Rate",
      TRIM(SUBSTITUTE($T$2:$T$38,CHAR(160)," ")) &amp; "|" &amp;
      LEFT(SUBSTITUTE($U$2:$U$38,CHAR(160)," "),5) &amp; "|" &amp;
      TRIM(SUBSTITUTE($V$2:$V$38,CHAR(160)," ")),
      $W$2:$W$38
    )
  ),
"")</f>
        <v>90</v>
      </c>
      <c r="K191" s="161" cm="1">
        <f t="array" ref="K191">IFERROR(
  VALUE($H191) *
  VALUE(
    _xlfn.XLOOKUP(
      TRIM($F191) &amp; "|" &amp; LEFT(SUBSTITUTE($G191,CHAR(160)," "),5) &amp; "|Ideas Rate",
      TRIM(SUBSTITUTE($T$2:$T$38,CHAR(160)," ")) &amp; "|" &amp;
      LEFT(SUBSTITUTE($U$2:$U$38,CHAR(160)," "),5) &amp; "|" &amp;
      TRIM(SUBSTITUTE($V$2:$V$38,CHAR(160)," ")),
      $W$2:$W$38
    )
  ),
"")</f>
        <v>67.5</v>
      </c>
    </row>
    <row r="192" spans="1:15" x14ac:dyDescent="0.2">
      <c r="A192" s="38">
        <v>46057</v>
      </c>
      <c r="B192" s="159" t="s">
        <v>564</v>
      </c>
      <c r="C192" s="20" t="s">
        <v>519</v>
      </c>
      <c r="D192" s="37" t="s">
        <v>81</v>
      </c>
      <c r="E192" s="37" t="s">
        <v>599</v>
      </c>
      <c r="F192" s="37" t="s">
        <v>155</v>
      </c>
      <c r="G192" s="54" t="s">
        <v>367</v>
      </c>
      <c r="H192" s="194">
        <v>4</v>
      </c>
      <c r="I192" s="160" cm="1">
        <f t="array" ref="I192">IFERROR(
  VALUE($H192) *
  VALUE(
    _xlfn.XLOOKUP(
      TRIM($F192) &amp; "|" &amp; LEFT(SUBSTITUTE($G192,CHAR(160)," "),5) &amp; "|Full Rate",
      TRIM(SUBSTITUTE($T$2:$T$38,CHAR(160)," ")) &amp; "|" &amp;
      LEFT(SUBSTITUTE($U$2:$U$38,CHAR(160)," "),5) &amp; "|" &amp;
      TRIM(SUBSTITUTE($V$2:$V$38,CHAR(160)," ")),
      $W$2:$W$38
    )
  ),
"")</f>
        <v>1600</v>
      </c>
      <c r="J192" s="161" cm="1">
        <f t="array" ref="J192">IFERROR(
  VALUE($H192) *
  VALUE(
    _xlfn.XLOOKUP(
      TRIM($F192) &amp; "|" &amp; LEFT(SUBSTITUTE($G192,CHAR(160)," "),5) &amp; "|Reduced Rate",
      TRIM(SUBSTITUTE($T$2:$T$38,CHAR(160)," ")) &amp; "|" &amp;
      LEFT(SUBSTITUTE($U$2:$U$38,CHAR(160)," "),5) &amp; "|" &amp;
      TRIM(SUBSTITUTE($V$2:$V$38,CHAR(160)," ")),
      $W$2:$W$38
    )
  ),
"")</f>
        <v>800</v>
      </c>
      <c r="K192" s="161" cm="1">
        <f t="array" ref="K192">IFERROR(
  VALUE($H192) *
  VALUE(
    _xlfn.XLOOKUP(
      TRIM($F192) &amp; "|" &amp; LEFT(SUBSTITUTE($G192,CHAR(160)," "),5) &amp; "|Ideas Rate",
      TRIM(SUBSTITUTE($T$2:$T$38,CHAR(160)," ")) &amp; "|" &amp;
      LEFT(SUBSTITUTE($U$2:$U$38,CHAR(160)," "),5) &amp; "|" &amp;
      TRIM(SUBSTITUTE($V$2:$V$38,CHAR(160)," ")),
      $W$2:$W$38
    )
  ),
"")</f>
        <v>480</v>
      </c>
    </row>
    <row r="193" spans="1:15" x14ac:dyDescent="0.2">
      <c r="A193" s="38">
        <v>46057</v>
      </c>
      <c r="B193" s="159" t="s">
        <v>564</v>
      </c>
      <c r="C193" s="20" t="s">
        <v>519</v>
      </c>
      <c r="D193" s="18" t="s">
        <v>192</v>
      </c>
      <c r="E193" s="37" t="s">
        <v>509</v>
      </c>
      <c r="F193" s="37" t="s">
        <v>155</v>
      </c>
      <c r="G193" t="s">
        <v>380</v>
      </c>
      <c r="H193" s="194">
        <v>1.5</v>
      </c>
      <c r="I193" s="160" cm="1">
        <f t="array" ref="I193">IFERROR(
  VALUE($H193) *
  VALUE(
    _xlfn.XLOOKUP(
      TRIM($F193) &amp; "|" &amp; LEFT(SUBSTITUTE($G193,CHAR(160)," "),5) &amp; "|Full Rate",
      TRIM(SUBSTITUTE($T$2:$T$38,CHAR(160)," ")) &amp; "|" &amp;
      LEFT(SUBSTITUTE($U$2:$U$38,CHAR(160)," "),5) &amp; "|" &amp;
      TRIM(SUBSTITUTE($V$2:$V$38,CHAR(160)," ")),
      $W$2:$W$38
    )
  ),
"")</f>
        <v>390</v>
      </c>
      <c r="J193" s="161" cm="1">
        <f t="array" ref="J193">IFERROR(
  VALUE($H193) *
  VALUE(
    _xlfn.XLOOKUP(
      TRIM($F193) &amp; "|" &amp; LEFT(SUBSTITUTE($G193,CHAR(160)," "),5) &amp; "|Reduced Rate",
      TRIM(SUBSTITUTE($T$2:$T$38,CHAR(160)," ")) &amp; "|" &amp;
      LEFT(SUBSTITUTE($U$2:$U$38,CHAR(160)," "),5) &amp; "|" &amp;
      TRIM(SUBSTITUTE($V$2:$V$38,CHAR(160)," ")),
      $W$2:$W$38
    )
  ),
"")</f>
        <v>180</v>
      </c>
      <c r="K193" s="42" cm="1">
        <f t="array" ref="K193">IFERROR(
  VALUE($H193) *
  VALUE(
    _xlfn.XLOOKUP(
      TRIM($F193) &amp; "|" &amp; LEFT(SUBSTITUTE($G193,CHAR(160)," "),5) &amp; "|Ideas Rate",
      TRIM(SUBSTITUTE($T$2:$T$38,CHAR(160)," ")) &amp; "|" &amp;
      LEFT(SUBSTITUTE($U$2:$U$38,CHAR(160)," "),5) &amp; "|" &amp;
      TRIM(SUBSTITUTE($V$2:$V$38,CHAR(160)," ")),
      $W$2:$W$38
    )
  ),
"")</f>
        <v>135</v>
      </c>
    </row>
    <row r="194" spans="1:15" x14ac:dyDescent="0.2">
      <c r="A194" s="38">
        <v>46057</v>
      </c>
      <c r="B194" s="159" t="s">
        <v>564</v>
      </c>
      <c r="C194" s="20" t="s">
        <v>519</v>
      </c>
      <c r="D194" s="18" t="s">
        <v>178</v>
      </c>
      <c r="E194" s="37" t="s">
        <v>598</v>
      </c>
      <c r="F194" s="37" t="s">
        <v>155</v>
      </c>
      <c r="G194" t="s">
        <v>380</v>
      </c>
      <c r="H194" s="194">
        <v>1</v>
      </c>
      <c r="I194" s="160" cm="1">
        <f t="array" ref="I194">IFERROR(
  VALUE($H194) *
  VALUE(
    _xlfn.XLOOKUP(
      TRIM($F194) &amp; "|" &amp; LEFT(SUBSTITUTE($G194,CHAR(160)," "),5) &amp; "|Full Rate",
      TRIM(SUBSTITUTE($T$2:$T$38,CHAR(160)," ")) &amp; "|" &amp;
      LEFT(SUBSTITUTE($U$2:$U$38,CHAR(160)," "),5) &amp; "|" &amp;
      TRIM(SUBSTITUTE($V$2:$V$38,CHAR(160)," ")),
      $W$2:$W$38
    )
  ),
"")</f>
        <v>260</v>
      </c>
      <c r="J194" s="161" cm="1">
        <f t="array" ref="J194">IFERROR(
  VALUE($H194) *
  VALUE(
    _xlfn.XLOOKUP(
      TRIM($F194) &amp; "|" &amp; LEFT(SUBSTITUTE($G194,CHAR(160)," "),5) &amp; "|Reduced Rate",
      TRIM(SUBSTITUTE($T$2:$T$38,CHAR(160)," ")) &amp; "|" &amp;
      LEFT(SUBSTITUTE($U$2:$U$38,CHAR(160)," "),5) &amp; "|" &amp;
      TRIM(SUBSTITUTE($V$2:$V$38,CHAR(160)," ")),
      $W$2:$W$38
    )
  ),
"")</f>
        <v>120</v>
      </c>
      <c r="K194" s="42" cm="1">
        <f t="array" ref="K194">IFERROR(
  VALUE($H194) *
  VALUE(
    _xlfn.XLOOKUP(
      TRIM($F194) &amp; "|" &amp; LEFT(SUBSTITUTE($G194,CHAR(160)," "),5) &amp; "|Ideas Rate",
      TRIM(SUBSTITUTE($T$2:$T$38,CHAR(160)," ")) &amp; "|" &amp;
      LEFT(SUBSTITUTE($U$2:$U$38,CHAR(160)," "),5) &amp; "|" &amp;
      TRIM(SUBSTITUTE($V$2:$V$38,CHAR(160)," ")),
      $W$2:$W$38
    )
  ),
"")</f>
        <v>90</v>
      </c>
    </row>
    <row r="195" spans="1:15" x14ac:dyDescent="0.2">
      <c r="A195" s="38">
        <v>46057</v>
      </c>
      <c r="B195" s="159" t="s">
        <v>564</v>
      </c>
      <c r="C195" s="20" t="s">
        <v>519</v>
      </c>
      <c r="D195" s="18" t="s">
        <v>191</v>
      </c>
      <c r="E195" s="37" t="s">
        <v>558</v>
      </c>
      <c r="F195" s="37" t="s">
        <v>155</v>
      </c>
      <c r="G195" t="s">
        <v>380</v>
      </c>
      <c r="H195" s="194">
        <v>0.5</v>
      </c>
      <c r="I195" s="160" cm="1">
        <f t="array" ref="I195">IFERROR(
  VALUE($H195) *
  VALUE(
    _xlfn.XLOOKUP(
      TRIM($F195) &amp; "|" &amp; LEFT(SUBSTITUTE($G195,CHAR(160)," "),5) &amp; "|Full Rate",
      TRIM(SUBSTITUTE($T$2:$T$38,CHAR(160)," ")) &amp; "|" &amp;
      LEFT(SUBSTITUTE($U$2:$U$38,CHAR(160)," "),5) &amp; "|" &amp;
      TRIM(SUBSTITUTE($V$2:$V$38,CHAR(160)," ")),
      $W$2:$W$38
    )
  ),
"")</f>
        <v>130</v>
      </c>
      <c r="J195" s="161" cm="1">
        <f t="array" ref="J195">IFERROR(
  VALUE($H195) *
  VALUE(
    _xlfn.XLOOKUP(
      TRIM($F195) &amp; "|" &amp; LEFT(SUBSTITUTE($G195,CHAR(160)," "),5) &amp; "|Reduced Rate",
      TRIM(SUBSTITUTE($T$2:$T$38,CHAR(160)," ")) &amp; "|" &amp;
      LEFT(SUBSTITUTE($U$2:$U$38,CHAR(160)," "),5) &amp; "|" &amp;
      TRIM(SUBSTITUTE($V$2:$V$38,CHAR(160)," ")),
      $W$2:$W$38
    )
  ),
"")</f>
        <v>60</v>
      </c>
      <c r="K195" s="42" cm="1">
        <f t="array" ref="K195">IFERROR(
  VALUE($H195) *
  VALUE(
    _xlfn.XLOOKUP(
      TRIM($F195) &amp; "|" &amp; LEFT(SUBSTITUTE($G195,CHAR(160)," "),5) &amp; "|Ideas Rate",
      TRIM(SUBSTITUTE($T$2:$T$38,CHAR(160)," ")) &amp; "|" &amp;
      LEFT(SUBSTITUTE($U$2:$U$38,CHAR(160)," "),5) &amp; "|" &amp;
      TRIM(SUBSTITUTE($V$2:$V$38,CHAR(160)," ")),
      $W$2:$W$38
    )
  ),
"")</f>
        <v>45</v>
      </c>
    </row>
    <row r="196" spans="1:15" x14ac:dyDescent="0.2">
      <c r="A196" s="170">
        <v>46057</v>
      </c>
      <c r="B196" s="171" t="s">
        <v>564</v>
      </c>
      <c r="C196" s="172" t="s">
        <v>152</v>
      </c>
      <c r="D196" s="173" t="s">
        <v>178</v>
      </c>
      <c r="E196" s="173" t="s">
        <v>610</v>
      </c>
      <c r="F196" s="173" t="s">
        <v>9</v>
      </c>
      <c r="G196" s="175" t="s">
        <v>380</v>
      </c>
      <c r="H196" s="176">
        <v>0.5</v>
      </c>
      <c r="I196" s="160" cm="1">
        <f t="array" ref="I196">IFERROR(
  VALUE($H196) *
  VALUE(
    _xlfn.XLOOKUP(
      TRIM($F196) &amp; "|" &amp; LEFT(SUBSTITUTE($G196,CHAR(160)," "),5) &amp; "|Full Rate",
      TRIM(SUBSTITUTE($T$2:$T$38,CHAR(160)," ")) &amp; "|" &amp;
      LEFT(SUBSTITUTE($U$2:$U$38,CHAR(160)," "),5) &amp; "|" &amp;
      TRIM(SUBSTITUTE($V$2:$V$38,CHAR(160)," ")),
      $W$2:$W$38
    )
  ),
"")</f>
        <v>125</v>
      </c>
      <c r="J196" s="161" cm="1">
        <f t="array" ref="J196">IFERROR(
  VALUE($H196) *
  VALUE(
    _xlfn.XLOOKUP(
      TRIM($F196) &amp; "|" &amp; LEFT(SUBSTITUTE($G196,CHAR(160)," "),5) &amp; "|Reduced Rate",
      TRIM(SUBSTITUTE($T$2:$T$38,CHAR(160)," ")) &amp; "|" &amp;
      LEFT(SUBSTITUTE($U$2:$U$38,CHAR(160)," "),5) &amp; "|" &amp;
      TRIM(SUBSTITUTE($V$2:$V$38,CHAR(160)," ")),
      $W$2:$W$38
    )
  ),
"")</f>
        <v>75</v>
      </c>
      <c r="K196" s="42" cm="1">
        <f t="array" ref="K196">IFERROR(
  VALUE($H196) *
  VALUE(
    _xlfn.XLOOKUP(
      TRIM($F196) &amp; "|" &amp; LEFT(SUBSTITUTE($G196,CHAR(160)," "),5) &amp; "|Ideas Rate",
      TRIM(SUBSTITUTE($T$2:$T$38,CHAR(160)," ")) &amp; "|" &amp;
      LEFT(SUBSTITUTE($U$2:$U$38,CHAR(160)," "),5) &amp; "|" &amp;
      TRIM(SUBSTITUTE($V$2:$V$38,CHAR(160)," ")),
      $W$2:$W$38
    )
  ),
"")</f>
        <v>37.5</v>
      </c>
    </row>
    <row r="197" spans="1:15" x14ac:dyDescent="0.2">
      <c r="A197" s="10">
        <v>46058</v>
      </c>
      <c r="B197" s="171" t="s">
        <v>564</v>
      </c>
      <c r="C197" s="20" t="s">
        <v>519</v>
      </c>
      <c r="D197" t="s">
        <v>178</v>
      </c>
      <c r="E197" t="s">
        <v>627</v>
      </c>
      <c r="F197" t="s">
        <v>10</v>
      </c>
      <c r="G197" t="s">
        <v>380</v>
      </c>
      <c r="H197" s="194">
        <v>1.5</v>
      </c>
      <c r="I197" s="160" cm="1">
        <f t="array" ref="I197">IFERROR(
  VALUE($H197) *
  VALUE(
    _xlfn.XLOOKUP(
      TRIM($F197) &amp; "|" &amp; LEFT(SUBSTITUTE($G197,CHAR(160)," "),5) &amp; "|Full Rate",
      TRIM(SUBSTITUTE($T$2:$T$38,CHAR(160)," ")) &amp; "|" &amp;
      LEFT(SUBSTITUTE($U$2:$U$38,CHAR(160)," "),5) &amp; "|" &amp;
      TRIM(SUBSTITUTE($V$2:$V$38,CHAR(160)," ")),
      $W$2:$W$38
    )
  ),
"")</f>
        <v>375</v>
      </c>
      <c r="J197" s="161" cm="1">
        <f t="array" ref="J197">IFERROR(
  VALUE($H197) *
  VALUE(
    _xlfn.XLOOKUP(
      TRIM($F197) &amp; "|" &amp; LEFT(SUBSTITUTE($G197,CHAR(160)," "),5) &amp; "|Reduced Rate",
      TRIM(SUBSTITUTE($T$2:$T$38,CHAR(160)," ")) &amp; "|" &amp;
      LEFT(SUBSTITUTE($U$2:$U$38,CHAR(160)," "),5) &amp; "|" &amp;
      TRIM(SUBSTITUTE($V$2:$V$38,CHAR(160)," ")),
      $W$2:$W$38
    )
  ),
"")</f>
        <v>225</v>
      </c>
      <c r="K197" s="42" cm="1">
        <f t="array" ref="K197">IFERROR(
  VALUE($H197) *
  VALUE(
    _xlfn.XLOOKUP(
      TRIM($F197) &amp; "|" &amp; LEFT(SUBSTITUTE($G197,CHAR(160)," "),5) &amp; "|Ideas Rate",
      TRIM(SUBSTITUTE($T$2:$T$38,CHAR(160)," ")) &amp; "|" &amp;
      LEFT(SUBSTITUTE($U$2:$U$38,CHAR(160)," "),5) &amp; "|" &amp;
      TRIM(SUBSTITUTE($V$2:$V$38,CHAR(160)," ")),
      $W$2:$W$38
    )
  ),
"")</f>
        <v>112.5</v>
      </c>
      <c r="O197"/>
    </row>
    <row r="198" spans="1:15" x14ac:dyDescent="0.2">
      <c r="A198" s="10">
        <v>46058</v>
      </c>
      <c r="B198" s="171" t="s">
        <v>564</v>
      </c>
      <c r="C198" s="20" t="s">
        <v>519</v>
      </c>
      <c r="D198" t="s">
        <v>178</v>
      </c>
      <c r="E198" t="s">
        <v>118</v>
      </c>
      <c r="F198" t="s">
        <v>10</v>
      </c>
      <c r="G198" t="s">
        <v>380</v>
      </c>
      <c r="H198" s="194">
        <v>2.5</v>
      </c>
      <c r="I198" s="160" cm="1">
        <f t="array" ref="I198">IFERROR(
  VALUE($H198) *
  VALUE(
    _xlfn.XLOOKUP(
      TRIM($F198) &amp; "|" &amp; LEFT(SUBSTITUTE($G198,CHAR(160)," "),5) &amp; "|Full Rate",
      TRIM(SUBSTITUTE($T$2:$T$38,CHAR(160)," ")) &amp; "|" &amp;
      LEFT(SUBSTITUTE($U$2:$U$38,CHAR(160)," "),5) &amp; "|" &amp;
      TRIM(SUBSTITUTE($V$2:$V$38,CHAR(160)," ")),
      $W$2:$W$38
    )
  ),
"")</f>
        <v>625</v>
      </c>
      <c r="J198" s="161" cm="1">
        <f t="array" ref="J198">IFERROR(
  VALUE($H198) *
  VALUE(
    _xlfn.XLOOKUP(
      TRIM($F198) &amp; "|" &amp; LEFT(SUBSTITUTE($G198,CHAR(160)," "),5) &amp; "|Reduced Rate",
      TRIM(SUBSTITUTE($T$2:$T$38,CHAR(160)," ")) &amp; "|" &amp;
      LEFT(SUBSTITUTE($U$2:$U$38,CHAR(160)," "),5) &amp; "|" &amp;
      TRIM(SUBSTITUTE($V$2:$V$38,CHAR(160)," ")),
      $W$2:$W$38
    )
  ),
"")</f>
        <v>375</v>
      </c>
      <c r="K198" s="42" cm="1">
        <f t="array" ref="K198">IFERROR(
  VALUE($H198) *
  VALUE(
    _xlfn.XLOOKUP(
      TRIM($F198) &amp; "|" &amp; LEFT(SUBSTITUTE($G198,CHAR(160)," "),5) &amp; "|Ideas Rate",
      TRIM(SUBSTITUTE($T$2:$T$38,CHAR(160)," ")) &amp; "|" &amp;
      LEFT(SUBSTITUTE($U$2:$U$38,CHAR(160)," "),5) &amp; "|" &amp;
      TRIM(SUBSTITUTE($V$2:$V$38,CHAR(160)," ")),
      $W$2:$W$38
    )
  ),
"")</f>
        <v>187.5</v>
      </c>
      <c r="O198"/>
    </row>
    <row r="199" spans="1:15" x14ac:dyDescent="0.2">
      <c r="A199" s="10">
        <v>46058</v>
      </c>
      <c r="B199" s="171" t="s">
        <v>564</v>
      </c>
      <c r="C199" s="20" t="s">
        <v>519</v>
      </c>
      <c r="D199" t="s">
        <v>178</v>
      </c>
      <c r="E199" t="s">
        <v>625</v>
      </c>
      <c r="F199" t="s">
        <v>9</v>
      </c>
      <c r="G199" t="s">
        <v>367</v>
      </c>
      <c r="H199" s="194">
        <v>0.75</v>
      </c>
      <c r="I199" s="160" cm="1">
        <f t="array" ref="I199">IFERROR(
  VALUE($H199) *
  VALUE(
    _xlfn.XLOOKUP(
      TRIM($F199) &amp; "|" &amp; LEFT(SUBSTITUTE($G199,CHAR(160)," "),5) &amp; "|Full Rate",
      TRIM(SUBSTITUTE($T$2:$T$38,CHAR(160)," ")) &amp; "|" &amp;
      LEFT(SUBSTITUTE($U$2:$U$38,CHAR(160)," "),5) &amp; "|" &amp;
      TRIM(SUBSTITUTE($V$2:$V$38,CHAR(160)," ")),
      $W$2:$W$38
    )
  ),
"")</f>
        <v>375</v>
      </c>
      <c r="J199" s="161" cm="1">
        <f t="array" ref="J199">IFERROR(
  VALUE($H199) *
  VALUE(
    _xlfn.XLOOKUP(
      TRIM($F199) &amp; "|" &amp; LEFT(SUBSTITUTE($G199,CHAR(160)," "),5) &amp; "|Reduced Rate",
      TRIM(SUBSTITUTE($T$2:$T$38,CHAR(160)," ")) &amp; "|" &amp;
      LEFT(SUBSTITUTE($U$2:$U$38,CHAR(160)," "),5) &amp; "|" &amp;
      TRIM(SUBSTITUTE($V$2:$V$38,CHAR(160)," ")),
      $W$2:$W$38
    )
  ),
"")</f>
        <v>225</v>
      </c>
      <c r="K199" s="42" cm="1">
        <f t="array" ref="K199">IFERROR(
  VALUE($H199) *
  VALUE(
    _xlfn.XLOOKUP(
      TRIM($F199) &amp; "|" &amp; LEFT(SUBSTITUTE($G199,CHAR(160)," "),5) &amp; "|Ideas Rate",
      TRIM(SUBSTITUTE($T$2:$T$38,CHAR(160)," ")) &amp; "|" &amp;
      LEFT(SUBSTITUTE($U$2:$U$38,CHAR(160)," "),5) &amp; "|" &amp;
      TRIM(SUBSTITUTE($V$2:$V$38,CHAR(160)," ")),
      $W$2:$W$38
    )
  ),
"")</f>
        <v>112.5</v>
      </c>
      <c r="O199"/>
    </row>
    <row r="200" spans="1:15" x14ac:dyDescent="0.2">
      <c r="A200" s="10">
        <v>46058</v>
      </c>
      <c r="B200" s="171" t="s">
        <v>564</v>
      </c>
      <c r="C200" s="20" t="s">
        <v>519</v>
      </c>
      <c r="D200" t="s">
        <v>178</v>
      </c>
      <c r="E200" t="s">
        <v>626</v>
      </c>
      <c r="F200" t="s">
        <v>9</v>
      </c>
      <c r="G200" t="s">
        <v>380</v>
      </c>
      <c r="H200" s="194">
        <v>1</v>
      </c>
      <c r="I200" s="160" cm="1">
        <f t="array" ref="I200">IFERROR(
  VALUE($H200) *
  VALUE(
    _xlfn.XLOOKUP(
      TRIM($F200) &amp; "|" &amp; LEFT(SUBSTITUTE($G200,CHAR(160)," "),5) &amp; "|Full Rate",
      TRIM(SUBSTITUTE($T$2:$T$38,CHAR(160)," ")) &amp; "|" &amp;
      LEFT(SUBSTITUTE($U$2:$U$38,CHAR(160)," "),5) &amp; "|" &amp;
      TRIM(SUBSTITUTE($V$2:$V$38,CHAR(160)," ")),
      $W$2:$W$38
    )
  ),
"")</f>
        <v>250</v>
      </c>
      <c r="J200" s="161" cm="1">
        <f t="array" ref="J200">IFERROR(
  VALUE($H200) *
  VALUE(
    _xlfn.XLOOKUP(
      TRIM($F200) &amp; "|" &amp; LEFT(SUBSTITUTE($G200,CHAR(160)," "),5) &amp; "|Reduced Rate",
      TRIM(SUBSTITUTE($T$2:$T$38,CHAR(160)," ")) &amp; "|" &amp;
      LEFT(SUBSTITUTE($U$2:$U$38,CHAR(160)," "),5) &amp; "|" &amp;
      TRIM(SUBSTITUTE($V$2:$V$38,CHAR(160)," ")),
      $W$2:$W$38
    )
  ),
"")</f>
        <v>150</v>
      </c>
      <c r="K200" s="42" cm="1">
        <f t="array" ref="K200">IFERROR(
  VALUE($H200) *
  VALUE(
    _xlfn.XLOOKUP(
      TRIM($F200) &amp; "|" &amp; LEFT(SUBSTITUTE($G200,CHAR(160)," "),5) &amp; "|Ideas Rate",
      TRIM(SUBSTITUTE($T$2:$T$38,CHAR(160)," ")) &amp; "|" &amp;
      LEFT(SUBSTITUTE($U$2:$U$38,CHAR(160)," "),5) &amp; "|" &amp;
      TRIM(SUBSTITUTE($V$2:$V$38,CHAR(160)," ")),
      $W$2:$W$38
    )
  ),
"")</f>
        <v>75</v>
      </c>
      <c r="O200"/>
    </row>
    <row r="201" spans="1:15" x14ac:dyDescent="0.2">
      <c r="A201" s="38">
        <v>46058</v>
      </c>
      <c r="B201" s="171" t="s">
        <v>564</v>
      </c>
      <c r="C201" s="20" t="s">
        <v>519</v>
      </c>
      <c r="D201" s="18" t="s">
        <v>192</v>
      </c>
      <c r="E201" s="37" t="s">
        <v>509</v>
      </c>
      <c r="F201" s="37" t="s">
        <v>155</v>
      </c>
      <c r="G201" s="37" t="s">
        <v>380</v>
      </c>
      <c r="H201" s="194">
        <v>1</v>
      </c>
      <c r="I201" s="160" cm="1">
        <f t="array" ref="I201">IFERROR(
  VALUE($H201) *
  VALUE(
    _xlfn.XLOOKUP(
      TRIM($F201) &amp; "|" &amp; LEFT(SUBSTITUTE($G201,CHAR(160)," "),5) &amp; "|Full Rate",
      TRIM(SUBSTITUTE($T$2:$T$38,CHAR(160)," ")) &amp; "|" &amp;
      LEFT(SUBSTITUTE($U$2:$U$38,CHAR(160)," "),5) &amp; "|" &amp;
      TRIM(SUBSTITUTE($V$2:$V$38,CHAR(160)," ")),
      $W$2:$W$38
    )
  ),
"")</f>
        <v>260</v>
      </c>
      <c r="J201" s="161" cm="1">
        <f t="array" ref="J201">IFERROR(
  VALUE($H201) *
  VALUE(
    _xlfn.XLOOKUP(
      TRIM($F201) &amp; "|" &amp; LEFT(SUBSTITUTE($G201,CHAR(160)," "),5) &amp; "|Reduced Rate",
      TRIM(SUBSTITUTE($T$2:$T$38,CHAR(160)," ")) &amp; "|" &amp;
      LEFT(SUBSTITUTE($U$2:$U$38,CHAR(160)," "),5) &amp; "|" &amp;
      TRIM(SUBSTITUTE($V$2:$V$38,CHAR(160)," ")),
      $W$2:$W$38
    )
  ),
"")</f>
        <v>120</v>
      </c>
      <c r="K201" s="42" cm="1">
        <f t="array" ref="K201">IFERROR(
  VALUE($H201) *
  VALUE(
    _xlfn.XLOOKUP(
      TRIM($F201) &amp; "|" &amp; LEFT(SUBSTITUTE($G201,CHAR(160)," "),5) &amp; "|Ideas Rate",
      TRIM(SUBSTITUTE($T$2:$T$38,CHAR(160)," ")) &amp; "|" &amp;
      LEFT(SUBSTITUTE($U$2:$U$38,CHAR(160)," "),5) &amp; "|" &amp;
      TRIM(SUBSTITUTE($V$2:$V$38,CHAR(160)," ")),
      $W$2:$W$38
    )
  ),
"")</f>
        <v>90</v>
      </c>
    </row>
    <row r="202" spans="1:15" x14ac:dyDescent="0.2">
      <c r="A202" s="38">
        <v>46058</v>
      </c>
      <c r="B202" s="171" t="s">
        <v>564</v>
      </c>
      <c r="C202" s="20" t="s">
        <v>519</v>
      </c>
      <c r="D202" s="18" t="s">
        <v>81</v>
      </c>
      <c r="E202" s="37" t="s">
        <v>599</v>
      </c>
      <c r="F202" s="37" t="s">
        <v>155</v>
      </c>
      <c r="G202" s="37" t="s">
        <v>367</v>
      </c>
      <c r="H202" s="194">
        <v>4</v>
      </c>
      <c r="I202" s="160" cm="1">
        <f t="array" ref="I202">IFERROR(
  VALUE($H202) *
  VALUE(
    _xlfn.XLOOKUP(
      TRIM($F202) &amp; "|" &amp; LEFT(SUBSTITUTE($G202,CHAR(160)," "),5) &amp; "|Full Rate",
      TRIM(SUBSTITUTE($T$2:$T$38,CHAR(160)," ")) &amp; "|" &amp;
      LEFT(SUBSTITUTE($U$2:$U$38,CHAR(160)," "),5) &amp; "|" &amp;
      TRIM(SUBSTITUTE($V$2:$V$38,CHAR(160)," ")),
      $W$2:$W$38
    )
  ),
"")</f>
        <v>1600</v>
      </c>
      <c r="J202" s="161" cm="1">
        <f t="array" ref="J202">IFERROR(
  VALUE($H202) *
  VALUE(
    _xlfn.XLOOKUP(
      TRIM($F202) &amp; "|" &amp; LEFT(SUBSTITUTE($G202,CHAR(160)," "),5) &amp; "|Reduced Rate",
      TRIM(SUBSTITUTE($T$2:$T$38,CHAR(160)," ")) &amp; "|" &amp;
      LEFT(SUBSTITUTE($U$2:$U$38,CHAR(160)," "),5) &amp; "|" &amp;
      TRIM(SUBSTITUTE($V$2:$V$38,CHAR(160)," ")),
      $W$2:$W$38
    )
  ),
"")</f>
        <v>800</v>
      </c>
      <c r="K202" s="42" cm="1">
        <f t="array" ref="K202">IFERROR(
  VALUE($H202) *
  VALUE(
    _xlfn.XLOOKUP(
      TRIM($F202) &amp; "|" &amp; LEFT(SUBSTITUTE($G202,CHAR(160)," "),5) &amp; "|Ideas Rate",
      TRIM(SUBSTITUTE($T$2:$T$38,CHAR(160)," ")) &amp; "|" &amp;
      LEFT(SUBSTITUTE($U$2:$U$38,CHAR(160)," "),5) &amp; "|" &amp;
      TRIM(SUBSTITUTE($V$2:$V$38,CHAR(160)," ")),
      $W$2:$W$38
    )
  ),
"")</f>
        <v>480</v>
      </c>
    </row>
    <row r="203" spans="1:15" x14ac:dyDescent="0.2">
      <c r="A203" s="38">
        <v>46058</v>
      </c>
      <c r="B203" s="171" t="s">
        <v>564</v>
      </c>
      <c r="C203" s="20" t="s">
        <v>519</v>
      </c>
      <c r="D203" s="18" t="s">
        <v>178</v>
      </c>
      <c r="E203" s="37" t="s">
        <v>613</v>
      </c>
      <c r="F203" s="37" t="s">
        <v>155</v>
      </c>
      <c r="G203" s="37" t="s">
        <v>380</v>
      </c>
      <c r="H203" s="194">
        <v>1.25</v>
      </c>
      <c r="I203" s="160" cm="1">
        <f t="array" ref="I203">IFERROR(
  VALUE($H203) *
  VALUE(
    _xlfn.XLOOKUP(
      TRIM($F203) &amp; "|" &amp; LEFT(SUBSTITUTE($G203,CHAR(160)," "),5) &amp; "|Full Rate",
      TRIM(SUBSTITUTE($T$2:$T$38,CHAR(160)," ")) &amp; "|" &amp;
      LEFT(SUBSTITUTE($U$2:$U$38,CHAR(160)," "),5) &amp; "|" &amp;
      TRIM(SUBSTITUTE($V$2:$V$38,CHAR(160)," ")),
      $W$2:$W$38
    )
  ),
"")</f>
        <v>325</v>
      </c>
      <c r="J203" s="161" cm="1">
        <f t="array" ref="J203">IFERROR(
  VALUE($H203) *
  VALUE(
    _xlfn.XLOOKUP(
      TRIM($F203) &amp; "|" &amp; LEFT(SUBSTITUTE($G203,CHAR(160)," "),5) &amp; "|Reduced Rate",
      TRIM(SUBSTITUTE($T$2:$T$38,CHAR(160)," ")) &amp; "|" &amp;
      LEFT(SUBSTITUTE($U$2:$U$38,CHAR(160)," "),5) &amp; "|" &amp;
      TRIM(SUBSTITUTE($V$2:$V$38,CHAR(160)," ")),
      $W$2:$W$38
    )
  ),
"")</f>
        <v>150</v>
      </c>
      <c r="K203" s="42" cm="1">
        <f t="array" ref="K203">IFERROR(
  VALUE($H203) *
  VALUE(
    _xlfn.XLOOKUP(
      TRIM($F203) &amp; "|" &amp; LEFT(SUBSTITUTE($G203,CHAR(160)," "),5) &amp; "|Ideas Rate",
      TRIM(SUBSTITUTE($T$2:$T$38,CHAR(160)," ")) &amp; "|" &amp;
      LEFT(SUBSTITUTE($U$2:$U$38,CHAR(160)," "),5) &amp; "|" &amp;
      TRIM(SUBSTITUTE($V$2:$V$38,CHAR(160)," ")),
      $W$2:$W$38
    )
  ),
"")</f>
        <v>112.5</v>
      </c>
    </row>
    <row r="204" spans="1:15" x14ac:dyDescent="0.2">
      <c r="A204" s="38">
        <v>46058</v>
      </c>
      <c r="B204" s="171" t="s">
        <v>564</v>
      </c>
      <c r="C204" s="20" t="s">
        <v>519</v>
      </c>
      <c r="D204" s="18" t="s">
        <v>178</v>
      </c>
      <c r="E204" s="37" t="s">
        <v>479</v>
      </c>
      <c r="F204" s="37" t="s">
        <v>155</v>
      </c>
      <c r="G204" s="37" t="s">
        <v>380</v>
      </c>
      <c r="H204" s="194">
        <v>1.75</v>
      </c>
      <c r="I204" s="160" cm="1">
        <f t="array" ref="I204">IFERROR(
  VALUE($H204) *
  VALUE(
    _xlfn.XLOOKUP(
      TRIM($F204) &amp; "|" &amp; LEFT(SUBSTITUTE($G204,CHAR(160)," "),5) &amp; "|Full Rate",
      TRIM(SUBSTITUTE($T$2:$T$38,CHAR(160)," ")) &amp; "|" &amp;
      LEFT(SUBSTITUTE($U$2:$U$38,CHAR(160)," "),5) &amp; "|" &amp;
      TRIM(SUBSTITUTE($V$2:$V$38,CHAR(160)," ")),
      $W$2:$W$38
    )
  ),
"")</f>
        <v>455</v>
      </c>
      <c r="J204" s="161" cm="1">
        <f t="array" ref="J204">IFERROR(
  VALUE($H204) *
  VALUE(
    _xlfn.XLOOKUP(
      TRIM($F204) &amp; "|" &amp; LEFT(SUBSTITUTE($G204,CHAR(160)," "),5) &amp; "|Reduced Rate",
      TRIM(SUBSTITUTE($T$2:$T$38,CHAR(160)," ")) &amp; "|" &amp;
      LEFT(SUBSTITUTE($U$2:$U$38,CHAR(160)," "),5) &amp; "|" &amp;
      TRIM(SUBSTITUTE($V$2:$V$38,CHAR(160)," ")),
      $W$2:$W$38
    )
  ),
"")</f>
        <v>210</v>
      </c>
      <c r="K204" s="42" cm="1">
        <f t="array" ref="K204">IFERROR(
  VALUE($H204) *
  VALUE(
    _xlfn.XLOOKUP(
      TRIM($F204) &amp; "|" &amp; LEFT(SUBSTITUTE($G204,CHAR(160)," "),5) &amp; "|Ideas Rate",
      TRIM(SUBSTITUTE($T$2:$T$38,CHAR(160)," ")) &amp; "|" &amp;
      LEFT(SUBSTITUTE($U$2:$U$38,CHAR(160)," "),5) &amp; "|" &amp;
      TRIM(SUBSTITUTE($V$2:$V$38,CHAR(160)," ")),
      $W$2:$W$38
    )
  ),
"")</f>
        <v>157.5</v>
      </c>
    </row>
    <row r="205" spans="1:15" x14ac:dyDescent="0.2">
      <c r="A205" s="10">
        <v>46059</v>
      </c>
      <c r="B205" s="171" t="s">
        <v>564</v>
      </c>
      <c r="C205" s="20" t="s">
        <v>519</v>
      </c>
      <c r="D205" t="s">
        <v>178</v>
      </c>
      <c r="E205" t="s">
        <v>628</v>
      </c>
      <c r="F205" t="s">
        <v>10</v>
      </c>
      <c r="G205" t="s">
        <v>380</v>
      </c>
      <c r="H205" s="194">
        <v>1</v>
      </c>
      <c r="I205" s="160" cm="1">
        <f t="array" ref="I205">IFERROR(
  VALUE($H205) *
  VALUE(
    _xlfn.XLOOKUP(
      TRIM($F205) &amp; "|" &amp; LEFT(SUBSTITUTE($G205,CHAR(160)," "),5) &amp; "|Full Rate",
      TRIM(SUBSTITUTE($T$2:$T$38,CHAR(160)," ")) &amp; "|" &amp;
      LEFT(SUBSTITUTE($U$2:$U$38,CHAR(160)," "),5) &amp; "|" &amp;
      TRIM(SUBSTITUTE($V$2:$V$38,CHAR(160)," ")),
      $W$2:$W$38
    )
  ),
"")</f>
        <v>250</v>
      </c>
      <c r="J205" s="161" cm="1">
        <f t="array" ref="J205">IFERROR(
  VALUE($H205) *
  VALUE(
    _xlfn.XLOOKUP(
      TRIM($F205) &amp; "|" &amp; LEFT(SUBSTITUTE($G205,CHAR(160)," "),5) &amp; "|Reduced Rate",
      TRIM(SUBSTITUTE($T$2:$T$38,CHAR(160)," ")) &amp; "|" &amp;
      LEFT(SUBSTITUTE($U$2:$U$38,CHAR(160)," "),5) &amp; "|" &amp;
      TRIM(SUBSTITUTE($V$2:$V$38,CHAR(160)," ")),
      $W$2:$W$38
    )
  ),
"")</f>
        <v>150</v>
      </c>
      <c r="K205" s="42" cm="1">
        <f t="array" ref="K205">IFERROR(
  VALUE($H205) *
  VALUE(
    _xlfn.XLOOKUP(
      TRIM($F205) &amp; "|" &amp; LEFT(SUBSTITUTE($G205,CHAR(160)," "),5) &amp; "|Ideas Rate",
      TRIM(SUBSTITUTE($T$2:$T$38,CHAR(160)," ")) &amp; "|" &amp;
      LEFT(SUBSTITUTE($U$2:$U$38,CHAR(160)," "),5) &amp; "|" &amp;
      TRIM(SUBSTITUTE($V$2:$V$38,CHAR(160)," ")),
      $W$2:$W$38
    )
  ),
"")</f>
        <v>75</v>
      </c>
      <c r="O205"/>
    </row>
    <row r="206" spans="1:15" x14ac:dyDescent="0.2">
      <c r="A206" s="10">
        <v>46059</v>
      </c>
      <c r="B206" s="171" t="s">
        <v>564</v>
      </c>
      <c r="C206" s="20" t="s">
        <v>519</v>
      </c>
      <c r="D206" t="s">
        <v>190</v>
      </c>
      <c r="E206" t="s">
        <v>629</v>
      </c>
      <c r="F206" t="s">
        <v>10</v>
      </c>
      <c r="G206" t="s">
        <v>380</v>
      </c>
      <c r="H206" s="194">
        <v>5</v>
      </c>
      <c r="I206" s="160" cm="1">
        <f t="array" ref="I206">IFERROR(
  VALUE($H206) *
  VALUE(
    _xlfn.XLOOKUP(
      TRIM($F206) &amp; "|" &amp; LEFT(SUBSTITUTE($G206,CHAR(160)," "),5) &amp; "|Full Rate",
      TRIM(SUBSTITUTE($T$2:$T$38,CHAR(160)," ")) &amp; "|" &amp;
      LEFT(SUBSTITUTE($U$2:$U$38,CHAR(160)," "),5) &amp; "|" &amp;
      TRIM(SUBSTITUTE($V$2:$V$38,CHAR(160)," ")),
      $W$2:$W$38
    )
  ),
"")</f>
        <v>1250</v>
      </c>
      <c r="J206" s="161" cm="1">
        <f t="array" ref="J206">IFERROR(
  VALUE($H206) *
  VALUE(
    _xlfn.XLOOKUP(
      TRIM($F206) &amp; "|" &amp; LEFT(SUBSTITUTE($G206,CHAR(160)," "),5) &amp; "|Reduced Rate",
      TRIM(SUBSTITUTE($T$2:$T$38,CHAR(160)," ")) &amp; "|" &amp;
      LEFT(SUBSTITUTE($U$2:$U$38,CHAR(160)," "),5) &amp; "|" &amp;
      TRIM(SUBSTITUTE($V$2:$V$38,CHAR(160)," ")),
      $W$2:$W$38
    )
  ),
"")</f>
        <v>750</v>
      </c>
      <c r="K206" s="42" cm="1">
        <f t="array" ref="K206">IFERROR(
  VALUE($H206) *
  VALUE(
    _xlfn.XLOOKUP(
      TRIM($F206) &amp; "|" &amp; LEFT(SUBSTITUTE($G206,CHAR(160)," "),5) &amp; "|Ideas Rate",
      TRIM(SUBSTITUTE($T$2:$T$38,CHAR(160)," ")) &amp; "|" &amp;
      LEFT(SUBSTITUTE($U$2:$U$38,CHAR(160)," "),5) &amp; "|" &amp;
      TRIM(SUBSTITUTE($V$2:$V$38,CHAR(160)," ")),
      $W$2:$W$38
    )
  ),
"")</f>
        <v>375</v>
      </c>
      <c r="O206"/>
    </row>
    <row r="207" spans="1:15" x14ac:dyDescent="0.2">
      <c r="A207" s="10">
        <v>46059</v>
      </c>
      <c r="B207" s="171" t="s">
        <v>564</v>
      </c>
      <c r="C207" s="20" t="s">
        <v>519</v>
      </c>
      <c r="D207" t="s">
        <v>178</v>
      </c>
      <c r="E207" t="s">
        <v>630</v>
      </c>
      <c r="F207" t="s">
        <v>9</v>
      </c>
      <c r="G207" t="s">
        <v>380</v>
      </c>
      <c r="H207" s="194">
        <v>1</v>
      </c>
      <c r="I207" s="160" cm="1">
        <f t="array" ref="I207">IFERROR(
  VALUE($H207) *
  VALUE(
    _xlfn.XLOOKUP(
      TRIM($F207) &amp; "|" &amp; LEFT(SUBSTITUTE($G207,CHAR(160)," "),5) &amp; "|Full Rate",
      TRIM(SUBSTITUTE($T$2:$T$38,CHAR(160)," ")) &amp; "|" &amp;
      LEFT(SUBSTITUTE($U$2:$U$38,CHAR(160)," "),5) &amp; "|" &amp;
      TRIM(SUBSTITUTE($V$2:$V$38,CHAR(160)," ")),
      $W$2:$W$38
    )
  ),
"")</f>
        <v>250</v>
      </c>
      <c r="J207" s="161" cm="1">
        <f t="array" ref="J207">IFERROR(
  VALUE($H207) *
  VALUE(
    _xlfn.XLOOKUP(
      TRIM($F207) &amp; "|" &amp; LEFT(SUBSTITUTE($G207,CHAR(160)," "),5) &amp; "|Reduced Rate",
      TRIM(SUBSTITUTE($T$2:$T$38,CHAR(160)," ")) &amp; "|" &amp;
      LEFT(SUBSTITUTE($U$2:$U$38,CHAR(160)," "),5) &amp; "|" &amp;
      TRIM(SUBSTITUTE($V$2:$V$38,CHAR(160)," ")),
      $W$2:$W$38
    )
  ),
"")</f>
        <v>150</v>
      </c>
      <c r="K207" s="42" cm="1">
        <f t="array" ref="K207">IFERROR(
  VALUE($H207) *
  VALUE(
    _xlfn.XLOOKUP(
      TRIM($F207) &amp; "|" &amp; LEFT(SUBSTITUTE($G207,CHAR(160)," "),5) &amp; "|Ideas Rate",
      TRIM(SUBSTITUTE($T$2:$T$38,CHAR(160)," ")) &amp; "|" &amp;
      LEFT(SUBSTITUTE($U$2:$U$38,CHAR(160)," "),5) &amp; "|" &amp;
      TRIM(SUBSTITUTE($V$2:$V$38,CHAR(160)," ")),
      $W$2:$W$38
    )
  ),
"")</f>
        <v>75</v>
      </c>
      <c r="O207"/>
    </row>
    <row r="208" spans="1:15" x14ac:dyDescent="0.2">
      <c r="A208" s="10">
        <v>46059</v>
      </c>
      <c r="B208" s="171" t="s">
        <v>564</v>
      </c>
      <c r="C208" s="20" t="s">
        <v>519</v>
      </c>
      <c r="D208" t="s">
        <v>178</v>
      </c>
      <c r="E208" t="s">
        <v>520</v>
      </c>
      <c r="F208" t="s">
        <v>9</v>
      </c>
      <c r="G208" t="s">
        <v>380</v>
      </c>
      <c r="H208" s="194">
        <v>1.5</v>
      </c>
      <c r="I208" s="160" cm="1">
        <f t="array" ref="I208">IFERROR(
  VALUE($H208) *
  VALUE(
    _xlfn.XLOOKUP(
      TRIM($F208) &amp; "|" &amp; LEFT(SUBSTITUTE($G208,CHAR(160)," "),5) &amp; "|Full Rate",
      TRIM(SUBSTITUTE($T$2:$T$38,CHAR(160)," ")) &amp; "|" &amp;
      LEFT(SUBSTITUTE($U$2:$U$38,CHAR(160)," "),5) &amp; "|" &amp;
      TRIM(SUBSTITUTE($V$2:$V$38,CHAR(160)," ")),
      $W$2:$W$38
    )
  ),
"")</f>
        <v>375</v>
      </c>
      <c r="J208" s="161" cm="1">
        <f t="array" ref="J208">IFERROR(
  VALUE($H208) *
  VALUE(
    _xlfn.XLOOKUP(
      TRIM($F208) &amp; "|" &amp; LEFT(SUBSTITUTE($G208,CHAR(160)," "),5) &amp; "|Reduced Rate",
      TRIM(SUBSTITUTE($T$2:$T$38,CHAR(160)," ")) &amp; "|" &amp;
      LEFT(SUBSTITUTE($U$2:$U$38,CHAR(160)," "),5) &amp; "|" &amp;
      TRIM(SUBSTITUTE($V$2:$V$38,CHAR(160)," ")),
      $W$2:$W$38
    )
  ),
"")</f>
        <v>225</v>
      </c>
      <c r="K208" s="42" cm="1">
        <f t="array" ref="K208">IFERROR(
  VALUE($H208) *
  VALUE(
    _xlfn.XLOOKUP(
      TRIM($F208) &amp; "|" &amp; LEFT(SUBSTITUTE($G208,CHAR(160)," "),5) &amp; "|Ideas Rate",
      TRIM(SUBSTITUTE($T$2:$T$38,CHAR(160)," ")) &amp; "|" &amp;
      LEFT(SUBSTITUTE($U$2:$U$38,CHAR(160)," "),5) &amp; "|" &amp;
      TRIM(SUBSTITUTE($V$2:$V$38,CHAR(160)," ")),
      $W$2:$W$38
    )
  ),
"")</f>
        <v>112.5</v>
      </c>
      <c r="O208"/>
    </row>
    <row r="209" spans="1:15" x14ac:dyDescent="0.2">
      <c r="A209" s="10">
        <v>46059</v>
      </c>
      <c r="B209" s="171" t="s">
        <v>564</v>
      </c>
      <c r="C209" s="20" t="s">
        <v>519</v>
      </c>
      <c r="D209" t="s">
        <v>190</v>
      </c>
      <c r="E209" t="s">
        <v>631</v>
      </c>
      <c r="F209" t="s">
        <v>9</v>
      </c>
      <c r="G209" t="s">
        <v>380</v>
      </c>
      <c r="H209" s="194">
        <v>2.5</v>
      </c>
      <c r="I209" s="160" cm="1">
        <f t="array" ref="I209">IFERROR(
  VALUE($H209) *
  VALUE(
    _xlfn.XLOOKUP(
      TRIM($F209) &amp; "|" &amp; LEFT(SUBSTITUTE($G209,CHAR(160)," "),5) &amp; "|Full Rate",
      TRIM(SUBSTITUTE($T$2:$T$38,CHAR(160)," ")) &amp; "|" &amp;
      LEFT(SUBSTITUTE($U$2:$U$38,CHAR(160)," "),5) &amp; "|" &amp;
      TRIM(SUBSTITUTE($V$2:$V$38,CHAR(160)," ")),
      $W$2:$W$38
    )
  ),
"")</f>
        <v>625</v>
      </c>
      <c r="J209" s="161" cm="1">
        <f t="array" ref="J209">IFERROR(
  VALUE($H209) *
  VALUE(
    _xlfn.XLOOKUP(
      TRIM($F209) &amp; "|" &amp; LEFT(SUBSTITUTE($G209,CHAR(160)," "),5) &amp; "|Reduced Rate",
      TRIM(SUBSTITUTE($T$2:$T$38,CHAR(160)," ")) &amp; "|" &amp;
      LEFT(SUBSTITUTE($U$2:$U$38,CHAR(160)," "),5) &amp; "|" &amp;
      TRIM(SUBSTITUTE($V$2:$V$38,CHAR(160)," ")),
      $W$2:$W$38
    )
  ),
"")</f>
        <v>375</v>
      </c>
      <c r="K209" s="42" cm="1">
        <f t="array" ref="K209">IFERROR(
  VALUE($H209) *
  VALUE(
    _xlfn.XLOOKUP(
      TRIM($F209) &amp; "|" &amp; LEFT(SUBSTITUTE($G209,CHAR(160)," "),5) &amp; "|Ideas Rate",
      TRIM(SUBSTITUTE($T$2:$T$38,CHAR(160)," ")) &amp; "|" &amp;
      LEFT(SUBSTITUTE($U$2:$U$38,CHAR(160)," "),5) &amp; "|" &amp;
      TRIM(SUBSTITUTE($V$2:$V$38,CHAR(160)," ")),
      $W$2:$W$38
    )
  ),
"")</f>
        <v>187.5</v>
      </c>
      <c r="O209"/>
    </row>
    <row r="210" spans="1:15" x14ac:dyDescent="0.2">
      <c r="A210" s="38">
        <v>46059</v>
      </c>
      <c r="B210" s="171" t="s">
        <v>564</v>
      </c>
      <c r="C210" s="20" t="s">
        <v>519</v>
      </c>
      <c r="D210" s="18" t="s">
        <v>188</v>
      </c>
      <c r="E210" s="37" t="s">
        <v>614</v>
      </c>
      <c r="F210" s="37" t="s">
        <v>155</v>
      </c>
      <c r="G210" s="37" t="s">
        <v>380</v>
      </c>
      <c r="H210" s="194">
        <v>1</v>
      </c>
      <c r="I210" s="160" cm="1">
        <f t="array" ref="I210">IFERROR(
  VALUE($H210) *
  VALUE(
    _xlfn.XLOOKUP(
      TRIM($F210) &amp; "|" &amp; LEFT(SUBSTITUTE($G210,CHAR(160)," "),5) &amp; "|Full Rate",
      TRIM(SUBSTITUTE($T$2:$T$38,CHAR(160)," ")) &amp; "|" &amp;
      LEFT(SUBSTITUTE($U$2:$U$38,CHAR(160)," "),5) &amp; "|" &amp;
      TRIM(SUBSTITUTE($V$2:$V$38,CHAR(160)," ")),
      $W$2:$W$38
    )
  ),
"")</f>
        <v>260</v>
      </c>
      <c r="J210" s="161" cm="1">
        <f t="array" ref="J210">IFERROR(
  VALUE($H210) *
  VALUE(
    _xlfn.XLOOKUP(
      TRIM($F210) &amp; "|" &amp; LEFT(SUBSTITUTE($G210,CHAR(160)," "),5) &amp; "|Reduced Rate",
      TRIM(SUBSTITUTE($T$2:$T$38,CHAR(160)," ")) &amp; "|" &amp;
      LEFT(SUBSTITUTE($U$2:$U$38,CHAR(160)," "),5) &amp; "|" &amp;
      TRIM(SUBSTITUTE($V$2:$V$38,CHAR(160)," ")),
      $W$2:$W$38
    )
  ),
"")</f>
        <v>120</v>
      </c>
      <c r="K210" s="42" cm="1">
        <f t="array" ref="K210">IFERROR(
  VALUE($H210) *
  VALUE(
    _xlfn.XLOOKUP(
      TRIM($F210) &amp; "|" &amp; LEFT(SUBSTITUTE($G210,CHAR(160)," "),5) &amp; "|Ideas Rate",
      TRIM(SUBSTITUTE($T$2:$T$38,CHAR(160)," ")) &amp; "|" &amp;
      LEFT(SUBSTITUTE($U$2:$U$38,CHAR(160)," "),5) &amp; "|" &amp;
      TRIM(SUBSTITUTE($V$2:$V$38,CHAR(160)," ")),
      $W$2:$W$38
    )
  ),
"")</f>
        <v>90</v>
      </c>
    </row>
    <row r="211" spans="1:15" x14ac:dyDescent="0.2">
      <c r="A211" s="38">
        <v>46059</v>
      </c>
      <c r="B211" s="171" t="s">
        <v>564</v>
      </c>
      <c r="C211" s="20" t="s">
        <v>519</v>
      </c>
      <c r="D211" s="18" t="s">
        <v>190</v>
      </c>
      <c r="E211" s="37" t="s">
        <v>615</v>
      </c>
      <c r="F211" s="37" t="s">
        <v>155</v>
      </c>
      <c r="G211" s="37" t="s">
        <v>380</v>
      </c>
      <c r="H211" s="194">
        <v>7</v>
      </c>
      <c r="I211" s="160" cm="1">
        <f t="array" ref="I211">IFERROR(
  VALUE($H211) *
  VALUE(
    _xlfn.XLOOKUP(
      TRIM($F211) &amp; "|" &amp; LEFT(SUBSTITUTE($G211,CHAR(160)," "),5) &amp; "|Full Rate",
      TRIM(SUBSTITUTE($T$2:$T$38,CHAR(160)," ")) &amp; "|" &amp;
      LEFT(SUBSTITUTE($U$2:$U$38,CHAR(160)," "),5) &amp; "|" &amp;
      TRIM(SUBSTITUTE($V$2:$V$38,CHAR(160)," ")),
      $W$2:$W$38
    )
  ),
"")</f>
        <v>1820</v>
      </c>
      <c r="J211" s="161" cm="1">
        <f t="array" ref="J211">IFERROR(
  VALUE($H211) *
  VALUE(
    _xlfn.XLOOKUP(
      TRIM($F211) &amp; "|" &amp; LEFT(SUBSTITUTE($G211,CHAR(160)," "),5) &amp; "|Reduced Rate",
      TRIM(SUBSTITUTE($T$2:$T$38,CHAR(160)," ")) &amp; "|" &amp;
      LEFT(SUBSTITUTE($U$2:$U$38,CHAR(160)," "),5) &amp; "|" &amp;
      TRIM(SUBSTITUTE($V$2:$V$38,CHAR(160)," ")),
      $W$2:$W$38
    )
  ),
"")</f>
        <v>840</v>
      </c>
      <c r="K211" s="42" cm="1">
        <f t="array" ref="K211">IFERROR(
  VALUE($H211) *
  VALUE(
    _xlfn.XLOOKUP(
      TRIM($F211) &amp; "|" &amp; LEFT(SUBSTITUTE($G211,CHAR(160)," "),5) &amp; "|Ideas Rate",
      TRIM(SUBSTITUTE($T$2:$T$38,CHAR(160)," ")) &amp; "|" &amp;
      LEFT(SUBSTITUTE($U$2:$U$38,CHAR(160)," "),5) &amp; "|" &amp;
      TRIM(SUBSTITUTE($V$2:$V$38,CHAR(160)," ")),
      $W$2:$W$38
    )
  ),
"")</f>
        <v>630</v>
      </c>
    </row>
    <row r="212" spans="1:15" x14ac:dyDescent="0.2">
      <c r="A212" s="10">
        <v>46060</v>
      </c>
      <c r="B212" s="171" t="s">
        <v>564</v>
      </c>
      <c r="C212" s="20" t="s">
        <v>519</v>
      </c>
      <c r="D212" t="s">
        <v>178</v>
      </c>
      <c r="E212" t="s">
        <v>600</v>
      </c>
      <c r="F212" t="s">
        <v>10</v>
      </c>
      <c r="G212" t="s">
        <v>380</v>
      </c>
      <c r="H212" s="194">
        <v>1</v>
      </c>
      <c r="I212" s="160" cm="1">
        <f t="array" ref="I212">IFERROR(
  VALUE($H212) *
  VALUE(
    _xlfn.XLOOKUP(
      TRIM($F212) &amp; "|" &amp; LEFT(SUBSTITUTE($G212,CHAR(160)," "),5) &amp; "|Full Rate",
      TRIM(SUBSTITUTE($T$2:$T$38,CHAR(160)," ")) &amp; "|" &amp;
      LEFT(SUBSTITUTE($U$2:$U$38,CHAR(160)," "),5) &amp; "|" &amp;
      TRIM(SUBSTITUTE($V$2:$V$38,CHAR(160)," ")),
      $W$2:$W$38
    )
  ),
"")</f>
        <v>250</v>
      </c>
      <c r="J212" s="161" cm="1">
        <f t="array" ref="J212">IFERROR(
  VALUE($H212) *
  VALUE(
    _xlfn.XLOOKUP(
      TRIM($F212) &amp; "|" &amp; LEFT(SUBSTITUTE($G212,CHAR(160)," "),5) &amp; "|Reduced Rate",
      TRIM(SUBSTITUTE($T$2:$T$38,CHAR(160)," ")) &amp; "|" &amp;
      LEFT(SUBSTITUTE($U$2:$U$38,CHAR(160)," "),5) &amp; "|" &amp;
      TRIM(SUBSTITUTE($V$2:$V$38,CHAR(160)," ")),
      $W$2:$W$38
    )
  ),
"")</f>
        <v>150</v>
      </c>
      <c r="K212" s="42" cm="1">
        <f t="array" ref="K212">IFERROR(
  VALUE($H212) *
  VALUE(
    _xlfn.XLOOKUP(
      TRIM($F212) &amp; "|" &amp; LEFT(SUBSTITUTE($G212,CHAR(160)," "),5) &amp; "|Ideas Rate",
      TRIM(SUBSTITUTE($T$2:$T$38,CHAR(160)," ")) &amp; "|" &amp;
      LEFT(SUBSTITUTE($U$2:$U$38,CHAR(160)," "),5) &amp; "|" &amp;
      TRIM(SUBSTITUTE($V$2:$V$38,CHAR(160)," ")),
      $W$2:$W$38
    )
  ),
"")</f>
        <v>75</v>
      </c>
      <c r="O212"/>
    </row>
    <row r="213" spans="1:15" x14ac:dyDescent="0.2">
      <c r="A213" s="10">
        <v>46060</v>
      </c>
      <c r="B213" s="171" t="s">
        <v>564</v>
      </c>
      <c r="C213" s="20" t="s">
        <v>519</v>
      </c>
      <c r="D213" t="s">
        <v>178</v>
      </c>
      <c r="E213" t="s">
        <v>118</v>
      </c>
      <c r="F213" t="s">
        <v>10</v>
      </c>
      <c r="G213" t="s">
        <v>380</v>
      </c>
      <c r="H213" s="194">
        <v>1</v>
      </c>
      <c r="I213" s="160" cm="1">
        <f t="array" ref="I213">IFERROR(
  VALUE($H213) *
  VALUE(
    _xlfn.XLOOKUP(
      TRIM($F213) &amp; "|" &amp; LEFT(SUBSTITUTE($G213,CHAR(160)," "),5) &amp; "|Full Rate",
      TRIM(SUBSTITUTE($T$2:$T$38,CHAR(160)," ")) &amp; "|" &amp;
      LEFT(SUBSTITUTE($U$2:$U$38,CHAR(160)," "),5) &amp; "|" &amp;
      TRIM(SUBSTITUTE($V$2:$V$38,CHAR(160)," ")),
      $W$2:$W$38
    )
  ),
"")</f>
        <v>250</v>
      </c>
      <c r="J213" s="161" cm="1">
        <f t="array" ref="J213">IFERROR(
  VALUE($H213) *
  VALUE(
    _xlfn.XLOOKUP(
      TRIM($F213) &amp; "|" &amp; LEFT(SUBSTITUTE($G213,CHAR(160)," "),5) &amp; "|Reduced Rate",
      TRIM(SUBSTITUTE($T$2:$T$38,CHAR(160)," ")) &amp; "|" &amp;
      LEFT(SUBSTITUTE($U$2:$U$38,CHAR(160)," "),5) &amp; "|" &amp;
      TRIM(SUBSTITUTE($V$2:$V$38,CHAR(160)," ")),
      $W$2:$W$38
    )
  ),
"")</f>
        <v>150</v>
      </c>
      <c r="K213" s="42" cm="1">
        <f t="array" ref="K213">IFERROR(
  VALUE($H213) *
  VALUE(
    _xlfn.XLOOKUP(
      TRIM($F213) &amp; "|" &amp; LEFT(SUBSTITUTE($G213,CHAR(160)," "),5) &amp; "|Ideas Rate",
      TRIM(SUBSTITUTE($T$2:$T$38,CHAR(160)," ")) &amp; "|" &amp;
      LEFT(SUBSTITUTE($U$2:$U$38,CHAR(160)," "),5) &amp; "|" &amp;
      TRIM(SUBSTITUTE($V$2:$V$38,CHAR(160)," ")),
      $W$2:$W$38
    )
  ),
"")</f>
        <v>75</v>
      </c>
      <c r="O213"/>
    </row>
    <row r="214" spans="1:15" x14ac:dyDescent="0.2">
      <c r="A214" s="10">
        <v>46060</v>
      </c>
      <c r="B214" s="171" t="s">
        <v>564</v>
      </c>
      <c r="C214" s="20" t="s">
        <v>519</v>
      </c>
      <c r="D214" t="s">
        <v>178</v>
      </c>
      <c r="E214" t="s">
        <v>632</v>
      </c>
      <c r="F214" t="s">
        <v>9</v>
      </c>
      <c r="G214" t="s">
        <v>367</v>
      </c>
      <c r="H214" s="194">
        <v>2.5</v>
      </c>
      <c r="I214" s="160" cm="1">
        <f t="array" ref="I214">IFERROR(
  VALUE($H214) *
  VALUE(
    _xlfn.XLOOKUP(
      TRIM($F214) &amp; "|" &amp; LEFT(SUBSTITUTE($G214,CHAR(160)," "),5) &amp; "|Full Rate",
      TRIM(SUBSTITUTE($T$2:$T$38,CHAR(160)," ")) &amp; "|" &amp;
      LEFT(SUBSTITUTE($U$2:$U$38,CHAR(160)," "),5) &amp; "|" &amp;
      TRIM(SUBSTITUTE($V$2:$V$38,CHAR(160)," ")),
      $W$2:$W$38
    )
  ),
"")</f>
        <v>1250</v>
      </c>
      <c r="J214" s="161" cm="1">
        <f t="array" ref="J214">IFERROR(
  VALUE($H214) *
  VALUE(
    _xlfn.XLOOKUP(
      TRIM($F214) &amp; "|" &amp; LEFT(SUBSTITUTE($G214,CHAR(160)," "),5) &amp; "|Reduced Rate",
      TRIM(SUBSTITUTE($T$2:$T$38,CHAR(160)," ")) &amp; "|" &amp;
      LEFT(SUBSTITUTE($U$2:$U$38,CHAR(160)," "),5) &amp; "|" &amp;
      TRIM(SUBSTITUTE($V$2:$V$38,CHAR(160)," ")),
      $W$2:$W$38
    )
  ),
"")</f>
        <v>750</v>
      </c>
      <c r="K214" s="42" cm="1">
        <f t="array" ref="K214">IFERROR(
  VALUE($H214) *
  VALUE(
    _xlfn.XLOOKUP(
      TRIM($F214) &amp; "|" &amp; LEFT(SUBSTITUTE($G214,CHAR(160)," "),5) &amp; "|Ideas Rate",
      TRIM(SUBSTITUTE($T$2:$T$38,CHAR(160)," ")) &amp; "|" &amp;
      LEFT(SUBSTITUTE($U$2:$U$38,CHAR(160)," "),5) &amp; "|" &amp;
      TRIM(SUBSTITUTE($V$2:$V$38,CHAR(160)," ")),
      $W$2:$W$38
    )
  ),
"")</f>
        <v>375</v>
      </c>
      <c r="O214"/>
    </row>
    <row r="215" spans="1:15" x14ac:dyDescent="0.2">
      <c r="A215" s="10">
        <v>46060</v>
      </c>
      <c r="B215" s="171" t="s">
        <v>564</v>
      </c>
      <c r="C215" s="20" t="s">
        <v>519</v>
      </c>
      <c r="D215" t="s">
        <v>81</v>
      </c>
      <c r="E215" t="s">
        <v>633</v>
      </c>
      <c r="F215" t="s">
        <v>9</v>
      </c>
      <c r="G215" t="s">
        <v>367</v>
      </c>
      <c r="H215" s="194">
        <v>10.5</v>
      </c>
      <c r="I215" s="160" cm="1">
        <f t="array" ref="I215">IFERROR(
  VALUE($H215) *
  VALUE(
    _xlfn.XLOOKUP(
      TRIM($F215) &amp; "|" &amp; LEFT(SUBSTITUTE($G215,CHAR(160)," "),5) &amp; "|Full Rate",
      TRIM(SUBSTITUTE($T$2:$T$38,CHAR(160)," ")) &amp; "|" &amp;
      LEFT(SUBSTITUTE($U$2:$U$38,CHAR(160)," "),5) &amp; "|" &amp;
      TRIM(SUBSTITUTE($V$2:$V$38,CHAR(160)," ")),
      $W$2:$W$38
    )
  ),
"")</f>
        <v>5250</v>
      </c>
      <c r="J215" s="161" cm="1">
        <f t="array" ref="J215">IFERROR(
  VALUE($H215) *
  VALUE(
    _xlfn.XLOOKUP(
      TRIM($F215) &amp; "|" &amp; LEFT(SUBSTITUTE($G215,CHAR(160)," "),5) &amp; "|Reduced Rate",
      TRIM(SUBSTITUTE($T$2:$T$38,CHAR(160)," ")) &amp; "|" &amp;
      LEFT(SUBSTITUTE($U$2:$U$38,CHAR(160)," "),5) &amp; "|" &amp;
      TRIM(SUBSTITUTE($V$2:$V$38,CHAR(160)," ")),
      $W$2:$W$38
    )
  ),
"")</f>
        <v>3150</v>
      </c>
      <c r="K215" s="42" cm="1">
        <f t="array" ref="K215">IFERROR(
  VALUE($H215) *
  VALUE(
    _xlfn.XLOOKUP(
      TRIM($F215) &amp; "|" &amp; LEFT(SUBSTITUTE($G215,CHAR(160)," "),5) &amp; "|Ideas Rate",
      TRIM(SUBSTITUTE($T$2:$T$38,CHAR(160)," ")) &amp; "|" &amp;
      LEFT(SUBSTITUTE($U$2:$U$38,CHAR(160)," "),5) &amp; "|" &amp;
      TRIM(SUBSTITUTE($V$2:$V$38,CHAR(160)," ")),
      $W$2:$W$38
    )
  ),
"")</f>
        <v>1575</v>
      </c>
      <c r="O215"/>
    </row>
    <row r="216" spans="1:15" x14ac:dyDescent="0.2">
      <c r="A216" s="10">
        <v>46060</v>
      </c>
      <c r="B216" s="171" t="s">
        <v>564</v>
      </c>
      <c r="C216" s="20" t="s">
        <v>519</v>
      </c>
      <c r="D216" t="s">
        <v>178</v>
      </c>
      <c r="E216" t="s">
        <v>634</v>
      </c>
      <c r="F216" t="s">
        <v>9</v>
      </c>
      <c r="G216" t="s">
        <v>380</v>
      </c>
      <c r="H216" s="194">
        <v>1</v>
      </c>
      <c r="I216" s="160" cm="1">
        <f t="array" ref="I216">IFERROR(
  VALUE($H216) *
  VALUE(
    _xlfn.XLOOKUP(
      TRIM($F216) &amp; "|" &amp; LEFT(SUBSTITUTE($G216,CHAR(160)," "),5) &amp; "|Full Rate",
      TRIM(SUBSTITUTE($T$2:$T$38,CHAR(160)," ")) &amp; "|" &amp;
      LEFT(SUBSTITUTE($U$2:$U$38,CHAR(160)," "),5) &amp; "|" &amp;
      TRIM(SUBSTITUTE($V$2:$V$38,CHAR(160)," ")),
      $W$2:$W$38
    )
  ),
"")</f>
        <v>250</v>
      </c>
      <c r="J216" s="161" cm="1">
        <f t="array" ref="J216">IFERROR(
  VALUE($H216) *
  VALUE(
    _xlfn.XLOOKUP(
      TRIM($F216) &amp; "|" &amp; LEFT(SUBSTITUTE($G216,CHAR(160)," "),5) &amp; "|Reduced Rate",
      TRIM(SUBSTITUTE($T$2:$T$38,CHAR(160)," ")) &amp; "|" &amp;
      LEFT(SUBSTITUTE($U$2:$U$38,CHAR(160)," "),5) &amp; "|" &amp;
      TRIM(SUBSTITUTE($V$2:$V$38,CHAR(160)," ")),
      $W$2:$W$38
    )
  ),
"")</f>
        <v>150</v>
      </c>
      <c r="K216" s="42" cm="1">
        <f t="array" ref="K216">IFERROR(
  VALUE($H216) *
  VALUE(
    _xlfn.XLOOKUP(
      TRIM($F216) &amp; "|" &amp; LEFT(SUBSTITUTE($G216,CHAR(160)," "),5) &amp; "|Ideas Rate",
      TRIM(SUBSTITUTE($T$2:$T$38,CHAR(160)," ")) &amp; "|" &amp;
      LEFT(SUBSTITUTE($U$2:$U$38,CHAR(160)," "),5) &amp; "|" &amp;
      TRIM(SUBSTITUTE($V$2:$V$38,CHAR(160)," ")),
      $W$2:$W$38
    )
  ),
"")</f>
        <v>75</v>
      </c>
      <c r="O216"/>
    </row>
    <row r="217" spans="1:15" x14ac:dyDescent="0.2">
      <c r="A217" s="38">
        <v>46060</v>
      </c>
      <c r="B217" s="171" t="s">
        <v>564</v>
      </c>
      <c r="C217" s="20" t="s">
        <v>519</v>
      </c>
      <c r="D217" s="18" t="s">
        <v>178</v>
      </c>
      <c r="E217" s="37" t="s">
        <v>600</v>
      </c>
      <c r="F217" s="37" t="s">
        <v>155</v>
      </c>
      <c r="G217" s="37" t="s">
        <v>380</v>
      </c>
      <c r="H217" s="194">
        <v>1.5</v>
      </c>
      <c r="I217" s="160" cm="1">
        <f t="array" ref="I217">IFERROR(
  VALUE($H217) *
  VALUE(
    _xlfn.XLOOKUP(
      TRIM($F217) &amp; "|" &amp; LEFT(SUBSTITUTE($G217,CHAR(160)," "),5) &amp; "|Full Rate",
      TRIM(SUBSTITUTE($T$2:$T$38,CHAR(160)," ")) &amp; "|" &amp;
      LEFT(SUBSTITUTE($U$2:$U$38,CHAR(160)," "),5) &amp; "|" &amp;
      TRIM(SUBSTITUTE($V$2:$V$38,CHAR(160)," ")),
      $W$2:$W$38
    )
  ),
"")</f>
        <v>390</v>
      </c>
      <c r="J217" s="161" cm="1">
        <f t="array" ref="J217">IFERROR(
  VALUE($H217) *
  VALUE(
    _xlfn.XLOOKUP(
      TRIM($F217) &amp; "|" &amp; LEFT(SUBSTITUTE($G217,CHAR(160)," "),5) &amp; "|Reduced Rate",
      TRIM(SUBSTITUTE($T$2:$T$38,CHAR(160)," ")) &amp; "|" &amp;
      LEFT(SUBSTITUTE($U$2:$U$38,CHAR(160)," "),5) &amp; "|" &amp;
      TRIM(SUBSTITUTE($V$2:$V$38,CHAR(160)," ")),
      $W$2:$W$38
    )
  ),
"")</f>
        <v>180</v>
      </c>
      <c r="K217" s="42" cm="1">
        <f t="array" ref="K217">IFERROR(
  VALUE($H217) *
  VALUE(
    _xlfn.XLOOKUP(
      TRIM($F217) &amp; "|" &amp; LEFT(SUBSTITUTE($G217,CHAR(160)," "),5) &amp; "|Ideas Rate",
      TRIM(SUBSTITUTE($T$2:$T$38,CHAR(160)," ")) &amp; "|" &amp;
      LEFT(SUBSTITUTE($U$2:$U$38,CHAR(160)," "),5) &amp; "|" &amp;
      TRIM(SUBSTITUTE($V$2:$V$38,CHAR(160)," ")),
      $W$2:$W$38
    )
  ),
"")</f>
        <v>135</v>
      </c>
    </row>
    <row r="218" spans="1:15" x14ac:dyDescent="0.2">
      <c r="A218" s="38">
        <v>46060</v>
      </c>
      <c r="B218" s="171" t="s">
        <v>564</v>
      </c>
      <c r="C218" s="20" t="s">
        <v>519</v>
      </c>
      <c r="D218" s="18" t="s">
        <v>178</v>
      </c>
      <c r="E218" s="37" t="s">
        <v>479</v>
      </c>
      <c r="F218" s="37" t="s">
        <v>155</v>
      </c>
      <c r="G218" s="37" t="s">
        <v>380</v>
      </c>
      <c r="H218" s="194">
        <v>1.5</v>
      </c>
      <c r="I218" s="160" cm="1">
        <f t="array" ref="I218">IFERROR(
  VALUE($H218) *
  VALUE(
    _xlfn.XLOOKUP(
      TRIM($F218) &amp; "|" &amp; LEFT(SUBSTITUTE($G218,CHAR(160)," "),5) &amp; "|Full Rate",
      TRIM(SUBSTITUTE($T$2:$T$38,CHAR(160)," ")) &amp; "|" &amp;
      LEFT(SUBSTITUTE($U$2:$U$38,CHAR(160)," "),5) &amp; "|" &amp;
      TRIM(SUBSTITUTE($V$2:$V$38,CHAR(160)," ")),
      $W$2:$W$38
    )
  ),
"")</f>
        <v>390</v>
      </c>
      <c r="J218" s="161" cm="1">
        <f t="array" ref="J218">IFERROR(
  VALUE($H218) *
  VALUE(
    _xlfn.XLOOKUP(
      TRIM($F218) &amp; "|" &amp; LEFT(SUBSTITUTE($G218,CHAR(160)," "),5) &amp; "|Reduced Rate",
      TRIM(SUBSTITUTE($T$2:$T$38,CHAR(160)," ")) &amp; "|" &amp;
      LEFT(SUBSTITUTE($U$2:$U$38,CHAR(160)," "),5) &amp; "|" &amp;
      TRIM(SUBSTITUTE($V$2:$V$38,CHAR(160)," ")),
      $W$2:$W$38
    )
  ),
"")</f>
        <v>180</v>
      </c>
      <c r="K218" s="42" cm="1">
        <f t="array" ref="K218">IFERROR(
  VALUE($H218) *
  VALUE(
    _xlfn.XLOOKUP(
      TRIM($F218) &amp; "|" &amp; LEFT(SUBSTITUTE($G218,CHAR(160)," "),5) &amp; "|Ideas Rate",
      TRIM(SUBSTITUTE($T$2:$T$38,CHAR(160)," ")) &amp; "|" &amp;
      LEFT(SUBSTITUTE($U$2:$U$38,CHAR(160)," "),5) &amp; "|" &amp;
      TRIM(SUBSTITUTE($V$2:$V$38,CHAR(160)," ")),
      $W$2:$W$38
    )
  ),
"")</f>
        <v>135</v>
      </c>
    </row>
    <row r="219" spans="1:15" x14ac:dyDescent="0.2">
      <c r="A219" s="10">
        <v>46061</v>
      </c>
      <c r="B219" s="171" t="s">
        <v>564</v>
      </c>
      <c r="C219" s="20" t="s">
        <v>519</v>
      </c>
      <c r="D219" t="s">
        <v>190</v>
      </c>
      <c r="E219" t="s">
        <v>615</v>
      </c>
      <c r="F219" t="s">
        <v>10</v>
      </c>
      <c r="G219" t="s">
        <v>380</v>
      </c>
      <c r="H219" s="194">
        <v>2.5</v>
      </c>
      <c r="I219" s="160" cm="1">
        <f t="array" ref="I219">IFERROR(
  VALUE($H219) *
  VALUE(
    _xlfn.XLOOKUP(
      TRIM($F219) &amp; "|" &amp; LEFT(SUBSTITUTE($G219,CHAR(160)," "),5) &amp; "|Full Rate",
      TRIM(SUBSTITUTE($T$2:$T$38,CHAR(160)," ")) &amp; "|" &amp;
      LEFT(SUBSTITUTE($U$2:$U$38,CHAR(160)," "),5) &amp; "|" &amp;
      TRIM(SUBSTITUTE($V$2:$V$38,CHAR(160)," ")),
      $W$2:$W$38
    )
  ),
"")</f>
        <v>625</v>
      </c>
      <c r="J219" s="161" cm="1">
        <f t="array" ref="J219">IFERROR(
  VALUE($H219) *
  VALUE(
    _xlfn.XLOOKUP(
      TRIM($F219) &amp; "|" &amp; LEFT(SUBSTITUTE($G219,CHAR(160)," "),5) &amp; "|Reduced Rate",
      TRIM(SUBSTITUTE($T$2:$T$38,CHAR(160)," ")) &amp; "|" &amp;
      LEFT(SUBSTITUTE($U$2:$U$38,CHAR(160)," "),5) &amp; "|" &amp;
      TRIM(SUBSTITUTE($V$2:$V$38,CHAR(160)," ")),
      $W$2:$W$38
    )
  ),
"")</f>
        <v>375</v>
      </c>
      <c r="K219" s="42" cm="1">
        <f t="array" ref="K219">IFERROR(
  VALUE($H219) *
  VALUE(
    _xlfn.XLOOKUP(
      TRIM($F219) &amp; "|" &amp; LEFT(SUBSTITUTE($G219,CHAR(160)," "),5) &amp; "|Ideas Rate",
      TRIM(SUBSTITUTE($T$2:$T$38,CHAR(160)," ")) &amp; "|" &amp;
      LEFT(SUBSTITUTE($U$2:$U$38,CHAR(160)," "),5) &amp; "|" &amp;
      TRIM(SUBSTITUTE($V$2:$V$38,CHAR(160)," ")),
      $W$2:$W$38
    )
  ),
"")</f>
        <v>187.5</v>
      </c>
      <c r="O219"/>
    </row>
    <row r="220" spans="1:15" x14ac:dyDescent="0.2">
      <c r="A220" s="10">
        <v>46061</v>
      </c>
      <c r="B220" s="171" t="s">
        <v>564</v>
      </c>
      <c r="C220" s="20" t="s">
        <v>519</v>
      </c>
      <c r="D220" t="s">
        <v>178</v>
      </c>
      <c r="E220" t="s">
        <v>118</v>
      </c>
      <c r="F220" t="s">
        <v>10</v>
      </c>
      <c r="G220" t="s">
        <v>380</v>
      </c>
      <c r="H220" s="194">
        <v>0.5</v>
      </c>
      <c r="I220" s="160" cm="1">
        <f t="array" ref="I220">IFERROR(
  VALUE($H220) *
  VALUE(
    _xlfn.XLOOKUP(
      TRIM($F220) &amp; "|" &amp; LEFT(SUBSTITUTE($G220,CHAR(160)," "),5) &amp; "|Full Rate",
      TRIM(SUBSTITUTE($T$2:$T$38,CHAR(160)," ")) &amp; "|" &amp;
      LEFT(SUBSTITUTE($U$2:$U$38,CHAR(160)," "),5) &amp; "|" &amp;
      TRIM(SUBSTITUTE($V$2:$V$38,CHAR(160)," ")),
      $W$2:$W$38
    )
  ),
"")</f>
        <v>125</v>
      </c>
      <c r="J220" s="161" cm="1">
        <f t="array" ref="J220">IFERROR(
  VALUE($H220) *
  VALUE(
    _xlfn.XLOOKUP(
      TRIM($F220) &amp; "|" &amp; LEFT(SUBSTITUTE($G220,CHAR(160)," "),5) &amp; "|Reduced Rate",
      TRIM(SUBSTITUTE($T$2:$T$38,CHAR(160)," ")) &amp; "|" &amp;
      LEFT(SUBSTITUTE($U$2:$U$38,CHAR(160)," "),5) &amp; "|" &amp;
      TRIM(SUBSTITUTE($V$2:$V$38,CHAR(160)," ")),
      $W$2:$W$38
    )
  ),
"")</f>
        <v>75</v>
      </c>
      <c r="K220" s="42" cm="1">
        <f t="array" ref="K220">IFERROR(
  VALUE($H220) *
  VALUE(
    _xlfn.XLOOKUP(
      TRIM($F220) &amp; "|" &amp; LEFT(SUBSTITUTE($G220,CHAR(160)," "),5) &amp; "|Ideas Rate",
      TRIM(SUBSTITUTE($T$2:$T$38,CHAR(160)," ")) &amp; "|" &amp;
      LEFT(SUBSTITUTE($U$2:$U$38,CHAR(160)," "),5) &amp; "|" &amp;
      TRIM(SUBSTITUTE($V$2:$V$38,CHAR(160)," ")),
      $W$2:$W$38
    )
  ),
"")</f>
        <v>37.5</v>
      </c>
      <c r="O220"/>
    </row>
    <row r="221" spans="1:15" x14ac:dyDescent="0.2">
      <c r="A221" s="10">
        <v>46061</v>
      </c>
      <c r="B221" s="171" t="s">
        <v>564</v>
      </c>
      <c r="C221" s="20" t="s">
        <v>519</v>
      </c>
      <c r="D221" t="s">
        <v>178</v>
      </c>
      <c r="E221" t="s">
        <v>635</v>
      </c>
      <c r="F221" t="s">
        <v>9</v>
      </c>
      <c r="G221" t="s">
        <v>367</v>
      </c>
      <c r="H221" s="194">
        <v>4.5</v>
      </c>
      <c r="I221" s="160" cm="1">
        <f t="array" ref="I221">IFERROR(
  VALUE($H221) *
  VALUE(
    _xlfn.XLOOKUP(
      TRIM($F221) &amp; "|" &amp; LEFT(SUBSTITUTE($G221,CHAR(160)," "),5) &amp; "|Full Rate",
      TRIM(SUBSTITUTE($T$2:$T$38,CHAR(160)," ")) &amp; "|" &amp;
      LEFT(SUBSTITUTE($U$2:$U$38,CHAR(160)," "),5) &amp; "|" &amp;
      TRIM(SUBSTITUTE($V$2:$V$38,CHAR(160)," ")),
      $W$2:$W$38
    )
  ),
"")</f>
        <v>2250</v>
      </c>
      <c r="J221" s="161" cm="1">
        <f t="array" ref="J221">IFERROR(
  VALUE($H221) *
  VALUE(
    _xlfn.XLOOKUP(
      TRIM($F221) &amp; "|" &amp; LEFT(SUBSTITUTE($G221,CHAR(160)," "),5) &amp; "|Reduced Rate",
      TRIM(SUBSTITUTE($T$2:$T$38,CHAR(160)," ")) &amp; "|" &amp;
      LEFT(SUBSTITUTE($U$2:$U$38,CHAR(160)," "),5) &amp; "|" &amp;
      TRIM(SUBSTITUTE($V$2:$V$38,CHAR(160)," ")),
      $W$2:$W$38
    )
  ),
"")</f>
        <v>1350</v>
      </c>
      <c r="K221" s="42" cm="1">
        <f t="array" ref="K221">IFERROR(
  VALUE($H221) *
  VALUE(
    _xlfn.XLOOKUP(
      TRIM($F221) &amp; "|" &amp; LEFT(SUBSTITUTE($G221,CHAR(160)," "),5) &amp; "|Ideas Rate",
      TRIM(SUBSTITUTE($T$2:$T$38,CHAR(160)," ")) &amp; "|" &amp;
      LEFT(SUBSTITUTE($U$2:$U$38,CHAR(160)," "),5) &amp; "|" &amp;
      TRIM(SUBSTITUTE($V$2:$V$38,CHAR(160)," ")),
      $W$2:$W$38
    )
  ),
"")</f>
        <v>675</v>
      </c>
      <c r="O221"/>
    </row>
    <row r="222" spans="1:15" x14ac:dyDescent="0.2">
      <c r="A222" s="10">
        <v>46061</v>
      </c>
      <c r="B222" s="171" t="s">
        <v>564</v>
      </c>
      <c r="C222" s="20" t="s">
        <v>519</v>
      </c>
      <c r="D222" t="s">
        <v>191</v>
      </c>
      <c r="E222" t="s">
        <v>636</v>
      </c>
      <c r="F222" t="s">
        <v>9</v>
      </c>
      <c r="G222" t="s">
        <v>367</v>
      </c>
      <c r="H222" s="194">
        <v>4.5</v>
      </c>
      <c r="I222" s="160" cm="1">
        <f t="array" ref="I222">IFERROR(
  VALUE($H222) *
  VALUE(
    _xlfn.XLOOKUP(
      TRIM($F222) &amp; "|" &amp; LEFT(SUBSTITUTE($G222,CHAR(160)," "),5) &amp; "|Full Rate",
      TRIM(SUBSTITUTE($T$2:$T$38,CHAR(160)," ")) &amp; "|" &amp;
      LEFT(SUBSTITUTE($U$2:$U$38,CHAR(160)," "),5) &amp; "|" &amp;
      TRIM(SUBSTITUTE($V$2:$V$38,CHAR(160)," ")),
      $W$2:$W$38
    )
  ),
"")</f>
        <v>2250</v>
      </c>
      <c r="J222" s="161" cm="1">
        <f t="array" ref="J222">IFERROR(
  VALUE($H222) *
  VALUE(
    _xlfn.XLOOKUP(
      TRIM($F222) &amp; "|" &amp; LEFT(SUBSTITUTE($G222,CHAR(160)," "),5) &amp; "|Reduced Rate",
      TRIM(SUBSTITUTE($T$2:$T$38,CHAR(160)," ")) &amp; "|" &amp;
      LEFT(SUBSTITUTE($U$2:$U$38,CHAR(160)," "),5) &amp; "|" &amp;
      TRIM(SUBSTITUTE($V$2:$V$38,CHAR(160)," ")),
      $W$2:$W$38
    )
  ),
"")</f>
        <v>1350</v>
      </c>
      <c r="K222" s="42" cm="1">
        <f t="array" ref="K222">IFERROR(
  VALUE($H222) *
  VALUE(
    _xlfn.XLOOKUP(
      TRIM($F222) &amp; "|" &amp; LEFT(SUBSTITUTE($G222,CHAR(160)," "),5) &amp; "|Ideas Rate",
      TRIM(SUBSTITUTE($T$2:$T$38,CHAR(160)," ")) &amp; "|" &amp;
      LEFT(SUBSTITUTE($U$2:$U$38,CHAR(160)," "),5) &amp; "|" &amp;
      TRIM(SUBSTITUTE($V$2:$V$38,CHAR(160)," ")),
      $W$2:$W$38
    )
  ),
"")</f>
        <v>675</v>
      </c>
      <c r="O222"/>
    </row>
    <row r="223" spans="1:15" x14ac:dyDescent="0.2">
      <c r="A223" s="10">
        <v>46061</v>
      </c>
      <c r="B223" s="171" t="s">
        <v>564</v>
      </c>
      <c r="C223" s="20" t="s">
        <v>519</v>
      </c>
      <c r="D223" t="s">
        <v>81</v>
      </c>
      <c r="E223" t="s">
        <v>633</v>
      </c>
      <c r="F223" t="s">
        <v>9</v>
      </c>
      <c r="G223" t="s">
        <v>367</v>
      </c>
      <c r="H223" s="194">
        <v>3</v>
      </c>
      <c r="I223" s="160" cm="1">
        <f t="array" ref="I223">IFERROR(
  VALUE($H223) *
  VALUE(
    _xlfn.XLOOKUP(
      TRIM($F223) &amp; "|" &amp; LEFT(SUBSTITUTE($G223,CHAR(160)," "),5) &amp; "|Full Rate",
      TRIM(SUBSTITUTE($T$2:$T$38,CHAR(160)," ")) &amp; "|" &amp;
      LEFT(SUBSTITUTE($U$2:$U$38,CHAR(160)," "),5) &amp; "|" &amp;
      TRIM(SUBSTITUTE($V$2:$V$38,CHAR(160)," ")),
      $W$2:$W$38
    )
  ),
"")</f>
        <v>1500</v>
      </c>
      <c r="J223" s="161" cm="1">
        <f t="array" ref="J223">IFERROR(
  VALUE($H223) *
  VALUE(
    _xlfn.XLOOKUP(
      TRIM($F223) &amp; "|" &amp; LEFT(SUBSTITUTE($G223,CHAR(160)," "),5) &amp; "|Reduced Rate",
      TRIM(SUBSTITUTE($T$2:$T$38,CHAR(160)," ")) &amp; "|" &amp;
      LEFT(SUBSTITUTE($U$2:$U$38,CHAR(160)," "),5) &amp; "|" &amp;
      TRIM(SUBSTITUTE($V$2:$V$38,CHAR(160)," ")),
      $W$2:$W$38
    )
  ),
"")</f>
        <v>900</v>
      </c>
      <c r="K223" s="42" cm="1">
        <f t="array" ref="K223">IFERROR(
  VALUE($H223) *
  VALUE(
    _xlfn.XLOOKUP(
      TRIM($F223) &amp; "|" &amp; LEFT(SUBSTITUTE($G223,CHAR(160)," "),5) &amp; "|Ideas Rate",
      TRIM(SUBSTITUTE($T$2:$T$38,CHAR(160)," ")) &amp; "|" &amp;
      LEFT(SUBSTITUTE($U$2:$U$38,CHAR(160)," "),5) &amp; "|" &amp;
      TRIM(SUBSTITUTE($V$2:$V$38,CHAR(160)," ")),
      $W$2:$W$38
    )
  ),
"")</f>
        <v>450</v>
      </c>
      <c r="O223"/>
    </row>
    <row r="224" spans="1:15" x14ac:dyDescent="0.2">
      <c r="A224" s="38">
        <v>46061</v>
      </c>
      <c r="B224" s="171" t="s">
        <v>564</v>
      </c>
      <c r="C224" s="20" t="s">
        <v>519</v>
      </c>
      <c r="D224" s="18" t="s">
        <v>81</v>
      </c>
      <c r="E224" s="37" t="s">
        <v>599</v>
      </c>
      <c r="F224" s="37" t="s">
        <v>155</v>
      </c>
      <c r="G224" s="37" t="s">
        <v>367</v>
      </c>
      <c r="H224" s="194">
        <v>1</v>
      </c>
      <c r="I224" s="160" cm="1">
        <f t="array" ref="I224">IFERROR(
  VALUE($H224) *
  VALUE(
    _xlfn.XLOOKUP(
      TRIM($F224) &amp; "|" &amp; LEFT(SUBSTITUTE($G224,CHAR(160)," "),5) &amp; "|Full Rate",
      TRIM(SUBSTITUTE($T$2:$T$38,CHAR(160)," ")) &amp; "|" &amp;
      LEFT(SUBSTITUTE($U$2:$U$38,CHAR(160)," "),5) &amp; "|" &amp;
      TRIM(SUBSTITUTE($V$2:$V$38,CHAR(160)," ")),
      $W$2:$W$38
    )
  ),
"")</f>
        <v>400</v>
      </c>
      <c r="J224" s="161" cm="1">
        <f t="array" ref="J224">IFERROR(
  VALUE($H224) *
  VALUE(
    _xlfn.XLOOKUP(
      TRIM($F224) &amp; "|" &amp; LEFT(SUBSTITUTE($G224,CHAR(160)," "),5) &amp; "|Reduced Rate",
      TRIM(SUBSTITUTE($T$2:$T$38,CHAR(160)," ")) &amp; "|" &amp;
      LEFT(SUBSTITUTE($U$2:$U$38,CHAR(160)," "),5) &amp; "|" &amp;
      TRIM(SUBSTITUTE($V$2:$V$38,CHAR(160)," ")),
      $W$2:$W$38
    )
  ),
"")</f>
        <v>200</v>
      </c>
      <c r="K224" s="42" cm="1">
        <f t="array" ref="K224">IFERROR(
  VALUE($H224) *
  VALUE(
    _xlfn.XLOOKUP(
      TRIM($F224) &amp; "|" &amp; LEFT(SUBSTITUTE($G224,CHAR(160)," "),5) &amp; "|Ideas Rate",
      TRIM(SUBSTITUTE($T$2:$T$38,CHAR(160)," ")) &amp; "|" &amp;
      LEFT(SUBSTITUTE($U$2:$U$38,CHAR(160)," "),5) &amp; "|" &amp;
      TRIM(SUBSTITUTE($V$2:$V$38,CHAR(160)," ")),
      $W$2:$W$38
    )
  ),
"")</f>
        <v>120</v>
      </c>
    </row>
    <row r="225" spans="1:15" x14ac:dyDescent="0.2">
      <c r="A225" s="38">
        <v>46061</v>
      </c>
      <c r="B225" s="171" t="s">
        <v>564</v>
      </c>
      <c r="C225" s="20" t="s">
        <v>519</v>
      </c>
      <c r="D225" t="s">
        <v>190</v>
      </c>
      <c r="E225" s="37" t="s">
        <v>615</v>
      </c>
      <c r="F225" s="37" t="s">
        <v>155</v>
      </c>
      <c r="G225" s="37" t="s">
        <v>380</v>
      </c>
      <c r="H225" s="194">
        <v>2</v>
      </c>
      <c r="I225" s="160" cm="1">
        <f t="array" ref="I225">IFERROR(
  VALUE($H225) *
  VALUE(
    _xlfn.XLOOKUP(
      TRIM($F225) &amp; "|" &amp; LEFT(SUBSTITUTE($G225,CHAR(160)," "),5) &amp; "|Full Rate",
      TRIM(SUBSTITUTE($T$2:$T$38,CHAR(160)," ")) &amp; "|" &amp;
      LEFT(SUBSTITUTE($U$2:$U$38,CHAR(160)," "),5) &amp; "|" &amp;
      TRIM(SUBSTITUTE($V$2:$V$38,CHAR(160)," ")),
      $W$2:$W$38
    )
  ),
"")</f>
        <v>520</v>
      </c>
      <c r="J225" s="161" cm="1">
        <f t="array" ref="J225">IFERROR(
  VALUE($H225) *
  VALUE(
    _xlfn.XLOOKUP(
      TRIM($F225) &amp; "|" &amp; LEFT(SUBSTITUTE($G225,CHAR(160)," "),5) &amp; "|Reduced Rate",
      TRIM(SUBSTITUTE($T$2:$T$38,CHAR(160)," ")) &amp; "|" &amp;
      LEFT(SUBSTITUTE($U$2:$U$38,CHAR(160)," "),5) &amp; "|" &amp;
      TRIM(SUBSTITUTE($V$2:$V$38,CHAR(160)," ")),
      $W$2:$W$38
    )
  ),
"")</f>
        <v>240</v>
      </c>
      <c r="K225" s="42" cm="1">
        <f t="array" ref="K225">IFERROR(
  VALUE($H225) *
  VALUE(
    _xlfn.XLOOKUP(
      TRIM($F225) &amp; "|" &amp; LEFT(SUBSTITUTE($G225,CHAR(160)," "),5) &amp; "|Ideas Rate",
      TRIM(SUBSTITUTE($T$2:$T$38,CHAR(160)," ")) &amp; "|" &amp;
      LEFT(SUBSTITUTE($U$2:$U$38,CHAR(160)," "),5) &amp; "|" &amp;
      TRIM(SUBSTITUTE($V$2:$V$38,CHAR(160)," ")),
      $W$2:$W$38
    )
  ),
"")</f>
        <v>180</v>
      </c>
    </row>
    <row r="226" spans="1:15" x14ac:dyDescent="0.2">
      <c r="A226" s="38">
        <v>46061</v>
      </c>
      <c r="B226" s="171" t="s">
        <v>564</v>
      </c>
      <c r="C226" s="20" t="s">
        <v>519</v>
      </c>
      <c r="D226" t="s">
        <v>178</v>
      </c>
      <c r="E226" s="37" t="s">
        <v>479</v>
      </c>
      <c r="F226" s="37" t="s">
        <v>155</v>
      </c>
      <c r="G226" s="37" t="s">
        <v>380</v>
      </c>
      <c r="H226" s="194">
        <v>0.5</v>
      </c>
      <c r="I226" s="160" cm="1">
        <f t="array" ref="I226">IFERROR(
  VALUE($H226) *
  VALUE(
    _xlfn.XLOOKUP(
      TRIM($F226) &amp; "|" &amp; LEFT(SUBSTITUTE($G226,CHAR(160)," "),5) &amp; "|Full Rate",
      TRIM(SUBSTITUTE($T$2:$T$38,CHAR(160)," ")) &amp; "|" &amp;
      LEFT(SUBSTITUTE($U$2:$U$38,CHAR(160)," "),5) &amp; "|" &amp;
      TRIM(SUBSTITUTE($V$2:$V$38,CHAR(160)," ")),
      $W$2:$W$38
    )
  ),
"")</f>
        <v>130</v>
      </c>
      <c r="J226" s="161" cm="1">
        <f t="array" ref="J226">IFERROR(
  VALUE($H226) *
  VALUE(
    _xlfn.XLOOKUP(
      TRIM($F226) &amp; "|" &amp; LEFT(SUBSTITUTE($G226,CHAR(160)," "),5) &amp; "|Reduced Rate",
      TRIM(SUBSTITUTE($T$2:$T$38,CHAR(160)," ")) &amp; "|" &amp;
      LEFT(SUBSTITUTE($U$2:$U$38,CHAR(160)," "),5) &amp; "|" &amp;
      TRIM(SUBSTITUTE($V$2:$V$38,CHAR(160)," ")),
      $W$2:$W$38
    )
  ),
"")</f>
        <v>60</v>
      </c>
      <c r="K226" s="42" cm="1">
        <f t="array" ref="K226">IFERROR(
  VALUE($H226) *
  VALUE(
    _xlfn.XLOOKUP(
      TRIM($F226) &amp; "|" &amp; LEFT(SUBSTITUTE($G226,CHAR(160)," "),5) &amp; "|Ideas Rate",
      TRIM(SUBSTITUTE($T$2:$T$38,CHAR(160)," ")) &amp; "|" &amp;
      LEFT(SUBSTITUTE($U$2:$U$38,CHAR(160)," "),5) &amp; "|" &amp;
      TRIM(SUBSTITUTE($V$2:$V$38,CHAR(160)," ")),
      $W$2:$W$38
    )
  ),
"")</f>
        <v>45</v>
      </c>
    </row>
    <row r="227" spans="1:15" x14ac:dyDescent="0.2">
      <c r="A227" s="38">
        <v>46061</v>
      </c>
      <c r="B227" s="171" t="s">
        <v>564</v>
      </c>
      <c r="C227" s="20" t="s">
        <v>519</v>
      </c>
      <c r="D227" t="s">
        <v>190</v>
      </c>
      <c r="E227" s="37" t="s">
        <v>616</v>
      </c>
      <c r="F227" s="37" t="s">
        <v>155</v>
      </c>
      <c r="G227" s="37" t="s">
        <v>380</v>
      </c>
      <c r="H227" s="194">
        <v>0.5</v>
      </c>
      <c r="I227" s="160" cm="1">
        <f t="array" ref="I227">IFERROR(
  VALUE($H227) *
  VALUE(
    _xlfn.XLOOKUP(
      TRIM($F227) &amp; "|" &amp; LEFT(SUBSTITUTE($G227,CHAR(160)," "),5) &amp; "|Full Rate",
      TRIM(SUBSTITUTE($T$2:$T$38,CHAR(160)," ")) &amp; "|" &amp;
      LEFT(SUBSTITUTE($U$2:$U$38,CHAR(160)," "),5) &amp; "|" &amp;
      TRIM(SUBSTITUTE($V$2:$V$38,CHAR(160)," ")),
      $W$2:$W$38
    )
  ),
"")</f>
        <v>130</v>
      </c>
      <c r="J227" s="161" cm="1">
        <f t="array" ref="J227">IFERROR(
  VALUE($H227) *
  VALUE(
    _xlfn.XLOOKUP(
      TRIM($F227) &amp; "|" &amp; LEFT(SUBSTITUTE($G227,CHAR(160)," "),5) &amp; "|Reduced Rate",
      TRIM(SUBSTITUTE($T$2:$T$38,CHAR(160)," ")) &amp; "|" &amp;
      LEFT(SUBSTITUTE($U$2:$U$38,CHAR(160)," "),5) &amp; "|" &amp;
      TRIM(SUBSTITUTE($V$2:$V$38,CHAR(160)," ")),
      $W$2:$W$38
    )
  ),
"")</f>
        <v>60</v>
      </c>
      <c r="K227" s="42" cm="1">
        <f t="array" ref="K227">IFERROR(
  VALUE($H227) *
  VALUE(
    _xlfn.XLOOKUP(
      TRIM($F227) &amp; "|" &amp; LEFT(SUBSTITUTE($G227,CHAR(160)," "),5) &amp; "|Ideas Rate",
      TRIM(SUBSTITUTE($T$2:$T$38,CHAR(160)," ")) &amp; "|" &amp;
      LEFT(SUBSTITUTE($U$2:$U$38,CHAR(160)," "),5) &amp; "|" &amp;
      TRIM(SUBSTITUTE($V$2:$V$38,CHAR(160)," ")),
      $W$2:$W$38
    )
  ),
"")</f>
        <v>45</v>
      </c>
    </row>
    <row r="228" spans="1:15" x14ac:dyDescent="0.2">
      <c r="A228" s="38">
        <v>46062</v>
      </c>
      <c r="B228" s="171" t="s">
        <v>564</v>
      </c>
      <c r="C228" s="20" t="s">
        <v>519</v>
      </c>
      <c r="D228" t="s">
        <v>190</v>
      </c>
      <c r="E228" s="37" t="s">
        <v>616</v>
      </c>
      <c r="F228" s="37" t="s">
        <v>155</v>
      </c>
      <c r="G228" s="37" t="s">
        <v>380</v>
      </c>
      <c r="H228" s="194">
        <v>1.5</v>
      </c>
      <c r="I228" s="160" cm="1">
        <f t="array" ref="I228">IFERROR(
  VALUE($H228) *
  VALUE(
    _xlfn.XLOOKUP(
      TRIM($F228) &amp; "|" &amp; LEFT(SUBSTITUTE($G228,CHAR(160)," "),5) &amp; "|Full Rate",
      TRIM(SUBSTITUTE($T$2:$T$38,CHAR(160)," ")) &amp; "|" &amp;
      LEFT(SUBSTITUTE($U$2:$U$38,CHAR(160)," "),5) &amp; "|" &amp;
      TRIM(SUBSTITUTE($V$2:$V$38,CHAR(160)," ")),
      $W$2:$W$38
    )
  ),
"")</f>
        <v>390</v>
      </c>
      <c r="J228" s="161" cm="1">
        <f t="array" ref="J228">IFERROR(
  VALUE($H228) *
  VALUE(
    _xlfn.XLOOKUP(
      TRIM($F228) &amp; "|" &amp; LEFT(SUBSTITUTE($G228,CHAR(160)," "),5) &amp; "|Reduced Rate",
      TRIM(SUBSTITUTE($T$2:$T$38,CHAR(160)," ")) &amp; "|" &amp;
      LEFT(SUBSTITUTE($U$2:$U$38,CHAR(160)," "),5) &amp; "|" &amp;
      TRIM(SUBSTITUTE($V$2:$V$38,CHAR(160)," ")),
      $W$2:$W$38
    )
  ),
"")</f>
        <v>180</v>
      </c>
      <c r="K228" s="42" cm="1">
        <f t="array" ref="K228">IFERROR(
  VALUE($H228) *
  VALUE(
    _xlfn.XLOOKUP(
      TRIM($F228) &amp; "|" &amp; LEFT(SUBSTITUTE($G228,CHAR(160)," "),5) &amp; "|Ideas Rate",
      TRIM(SUBSTITUTE($T$2:$T$38,CHAR(160)," ")) &amp; "|" &amp;
      LEFT(SUBSTITUTE($U$2:$U$38,CHAR(160)," "),5) &amp; "|" &amp;
      TRIM(SUBSTITUTE($V$2:$V$38,CHAR(160)," ")),
      $W$2:$W$38
    )
  ),
"")</f>
        <v>135</v>
      </c>
    </row>
    <row r="229" spans="1:15" x14ac:dyDescent="0.2">
      <c r="A229" s="38">
        <v>46062</v>
      </c>
      <c r="B229" s="171" t="s">
        <v>564</v>
      </c>
      <c r="C229" s="20" t="s">
        <v>519</v>
      </c>
      <c r="D229" t="s">
        <v>178</v>
      </c>
      <c r="E229" s="37" t="s">
        <v>617</v>
      </c>
      <c r="F229" s="37" t="s">
        <v>155</v>
      </c>
      <c r="G229" s="37" t="s">
        <v>380</v>
      </c>
      <c r="H229" s="194">
        <v>2</v>
      </c>
      <c r="I229" s="160" cm="1">
        <f t="array" ref="I229">IFERROR(
  VALUE($H229) *
  VALUE(
    _xlfn.XLOOKUP(
      TRIM($F229) &amp; "|" &amp; LEFT(SUBSTITUTE($G229,CHAR(160)," "),5) &amp; "|Full Rate",
      TRIM(SUBSTITUTE($T$2:$T$38,CHAR(160)," ")) &amp; "|" &amp;
      LEFT(SUBSTITUTE($U$2:$U$38,CHAR(160)," "),5) &amp; "|" &amp;
      TRIM(SUBSTITUTE($V$2:$V$38,CHAR(160)," ")),
      $W$2:$W$38
    )
  ),
"")</f>
        <v>520</v>
      </c>
      <c r="J229" s="161" cm="1">
        <f t="array" ref="J229">IFERROR(
  VALUE($H229) *
  VALUE(
    _xlfn.XLOOKUP(
      TRIM($F229) &amp; "|" &amp; LEFT(SUBSTITUTE($G229,CHAR(160)," "),5) &amp; "|Reduced Rate",
      TRIM(SUBSTITUTE($T$2:$T$38,CHAR(160)," ")) &amp; "|" &amp;
      LEFT(SUBSTITUTE($U$2:$U$38,CHAR(160)," "),5) &amp; "|" &amp;
      TRIM(SUBSTITUTE($V$2:$V$38,CHAR(160)," ")),
      $W$2:$W$38
    )
  ),
"")</f>
        <v>240</v>
      </c>
      <c r="K229" s="42" cm="1">
        <f t="array" ref="K229">IFERROR(
  VALUE($H229) *
  VALUE(
    _xlfn.XLOOKUP(
      TRIM($F229) &amp; "|" &amp; LEFT(SUBSTITUTE($G229,CHAR(160)," "),5) &amp; "|Ideas Rate",
      TRIM(SUBSTITUTE($T$2:$T$38,CHAR(160)," ")) &amp; "|" &amp;
      LEFT(SUBSTITUTE($U$2:$U$38,CHAR(160)," "),5) &amp; "|" &amp;
      TRIM(SUBSTITUTE($V$2:$V$38,CHAR(160)," ")),
      $W$2:$W$38
    )
  ),
"")</f>
        <v>180</v>
      </c>
    </row>
    <row r="230" spans="1:15" x14ac:dyDescent="0.2">
      <c r="A230" s="38">
        <v>46062</v>
      </c>
      <c r="B230" s="171" t="s">
        <v>564</v>
      </c>
      <c r="C230" s="20" t="s">
        <v>519</v>
      </c>
      <c r="D230" t="s">
        <v>190</v>
      </c>
      <c r="E230" s="37" t="s">
        <v>615</v>
      </c>
      <c r="F230" s="37" t="s">
        <v>155</v>
      </c>
      <c r="G230" s="37" t="s">
        <v>380</v>
      </c>
      <c r="H230" s="194">
        <v>6</v>
      </c>
      <c r="I230" s="160" cm="1">
        <f t="array" ref="I230">IFERROR(
  VALUE($H230) *
  VALUE(
    _xlfn.XLOOKUP(
      TRIM($F230) &amp; "|" &amp; LEFT(SUBSTITUTE($G230,CHAR(160)," "),5) &amp; "|Full Rate",
      TRIM(SUBSTITUTE($T$2:$T$38,CHAR(160)," ")) &amp; "|" &amp;
      LEFT(SUBSTITUTE($U$2:$U$38,CHAR(160)," "),5) &amp; "|" &amp;
      TRIM(SUBSTITUTE($V$2:$V$38,CHAR(160)," ")),
      $W$2:$W$38
    )
  ),
"")</f>
        <v>1560</v>
      </c>
      <c r="J230" s="161" cm="1">
        <f t="array" ref="J230">IFERROR(
  VALUE($H230) *
  VALUE(
    _xlfn.XLOOKUP(
      TRIM($F230) &amp; "|" &amp; LEFT(SUBSTITUTE($G230,CHAR(160)," "),5) &amp; "|Reduced Rate",
      TRIM(SUBSTITUTE($T$2:$T$38,CHAR(160)," ")) &amp; "|" &amp;
      LEFT(SUBSTITUTE($U$2:$U$38,CHAR(160)," "),5) &amp; "|" &amp;
      TRIM(SUBSTITUTE($V$2:$V$38,CHAR(160)," ")),
      $W$2:$W$38
    )
  ),
"")</f>
        <v>720</v>
      </c>
      <c r="K230" s="42" cm="1">
        <f t="array" ref="K230">IFERROR(
  VALUE($H230) *
  VALUE(
    _xlfn.XLOOKUP(
      TRIM($F230) &amp; "|" &amp; LEFT(SUBSTITUTE($G230,CHAR(160)," "),5) &amp; "|Ideas Rate",
      TRIM(SUBSTITUTE($T$2:$T$38,CHAR(160)," ")) &amp; "|" &amp;
      LEFT(SUBSTITUTE($U$2:$U$38,CHAR(160)," "),5) &amp; "|" &amp;
      TRIM(SUBSTITUTE($V$2:$V$38,CHAR(160)," ")),
      $W$2:$W$38
    )
  ),
"")</f>
        <v>540</v>
      </c>
    </row>
    <row r="231" spans="1:15" x14ac:dyDescent="0.2">
      <c r="A231" s="10">
        <v>46062</v>
      </c>
      <c r="B231" s="171" t="s">
        <v>564</v>
      </c>
      <c r="C231" s="20" t="s">
        <v>519</v>
      </c>
      <c r="D231" t="s">
        <v>178</v>
      </c>
      <c r="E231" t="s">
        <v>632</v>
      </c>
      <c r="F231" t="s">
        <v>9</v>
      </c>
      <c r="G231" t="s">
        <v>367</v>
      </c>
      <c r="H231" s="194">
        <v>3.5</v>
      </c>
      <c r="I231" s="160" cm="1">
        <f t="array" ref="I231">IFERROR(
  VALUE($H231) *
  VALUE(
    _xlfn.XLOOKUP(
      TRIM($F231) &amp; "|" &amp; LEFT(SUBSTITUTE($G231,CHAR(160)," "),5) &amp; "|Full Rate",
      TRIM(SUBSTITUTE($T$2:$T$38,CHAR(160)," ")) &amp; "|" &amp;
      LEFT(SUBSTITUTE($U$2:$U$38,CHAR(160)," "),5) &amp; "|" &amp;
      TRIM(SUBSTITUTE($V$2:$V$38,CHAR(160)," ")),
      $W$2:$W$38
    )
  ),
"")</f>
        <v>1750</v>
      </c>
      <c r="J231" s="161" cm="1">
        <f t="array" ref="J231">IFERROR(
  VALUE($H231) *
  VALUE(
    _xlfn.XLOOKUP(
      TRIM($F231) &amp; "|" &amp; LEFT(SUBSTITUTE($G231,CHAR(160)," "),5) &amp; "|Reduced Rate",
      TRIM(SUBSTITUTE($T$2:$T$38,CHAR(160)," ")) &amp; "|" &amp;
      LEFT(SUBSTITUTE($U$2:$U$38,CHAR(160)," "),5) &amp; "|" &amp;
      TRIM(SUBSTITUTE($V$2:$V$38,CHAR(160)," ")),
      $W$2:$W$38
    )
  ),
"")</f>
        <v>1050</v>
      </c>
      <c r="K231" s="42" cm="1">
        <f t="array" ref="K231">IFERROR(
  VALUE($H231) *
  VALUE(
    _xlfn.XLOOKUP(
      TRIM($F231) &amp; "|" &amp; LEFT(SUBSTITUTE($G231,CHAR(160)," "),5) &amp; "|Ideas Rate",
      TRIM(SUBSTITUTE($T$2:$T$38,CHAR(160)," ")) &amp; "|" &amp;
      LEFT(SUBSTITUTE($U$2:$U$38,CHAR(160)," "),5) &amp; "|" &amp;
      TRIM(SUBSTITUTE($V$2:$V$38,CHAR(160)," ")),
      $W$2:$W$38
    )
  ),
"")</f>
        <v>525</v>
      </c>
      <c r="O231"/>
    </row>
    <row r="232" spans="1:15" x14ac:dyDescent="0.2">
      <c r="A232" s="10">
        <v>46062</v>
      </c>
      <c r="B232" s="171" t="s">
        <v>564</v>
      </c>
      <c r="C232" s="20" t="s">
        <v>519</v>
      </c>
      <c r="D232" t="s">
        <v>178</v>
      </c>
      <c r="E232" t="s">
        <v>637</v>
      </c>
      <c r="F232" t="s">
        <v>9</v>
      </c>
      <c r="G232" t="s">
        <v>380</v>
      </c>
      <c r="H232" s="194">
        <v>1.5</v>
      </c>
      <c r="I232" s="160" cm="1">
        <f t="array" ref="I232">IFERROR(
  VALUE($H232) *
  VALUE(
    _xlfn.XLOOKUP(
      TRIM($F232) &amp; "|" &amp; LEFT(SUBSTITUTE($G232,CHAR(160)," "),5) &amp; "|Full Rate",
      TRIM(SUBSTITUTE($T$2:$T$38,CHAR(160)," ")) &amp; "|" &amp;
      LEFT(SUBSTITUTE($U$2:$U$38,CHAR(160)," "),5) &amp; "|" &amp;
      TRIM(SUBSTITUTE($V$2:$V$38,CHAR(160)," ")),
      $W$2:$W$38
    )
  ),
"")</f>
        <v>375</v>
      </c>
      <c r="J232" s="161" cm="1">
        <f t="array" ref="J232">IFERROR(
  VALUE($H232) *
  VALUE(
    _xlfn.XLOOKUP(
      TRIM($F232) &amp; "|" &amp; LEFT(SUBSTITUTE($G232,CHAR(160)," "),5) &amp; "|Reduced Rate",
      TRIM(SUBSTITUTE($T$2:$T$38,CHAR(160)," ")) &amp; "|" &amp;
      LEFT(SUBSTITUTE($U$2:$U$38,CHAR(160)," "),5) &amp; "|" &amp;
      TRIM(SUBSTITUTE($V$2:$V$38,CHAR(160)," ")),
      $W$2:$W$38
    )
  ),
"")</f>
        <v>225</v>
      </c>
      <c r="K232" s="42" cm="1">
        <f t="array" ref="K232">IFERROR(
  VALUE($H232) *
  VALUE(
    _xlfn.XLOOKUP(
      TRIM($F232) &amp; "|" &amp; LEFT(SUBSTITUTE($G232,CHAR(160)," "),5) &amp; "|Ideas Rate",
      TRIM(SUBSTITUTE($T$2:$T$38,CHAR(160)," ")) &amp; "|" &amp;
      LEFT(SUBSTITUTE($U$2:$U$38,CHAR(160)," "),5) &amp; "|" &amp;
      TRIM(SUBSTITUTE($V$2:$V$38,CHAR(160)," ")),
      $W$2:$W$38
    )
  ),
"")</f>
        <v>112.5</v>
      </c>
      <c r="O232"/>
    </row>
    <row r="233" spans="1:15" x14ac:dyDescent="0.2">
      <c r="A233" s="10">
        <v>46062</v>
      </c>
      <c r="B233" s="171" t="s">
        <v>564</v>
      </c>
      <c r="C233" s="20" t="s">
        <v>519</v>
      </c>
      <c r="D233" t="s">
        <v>324</v>
      </c>
      <c r="E233" t="s">
        <v>638</v>
      </c>
      <c r="F233" t="s">
        <v>9</v>
      </c>
      <c r="G233" t="s">
        <v>367</v>
      </c>
      <c r="H233" s="194">
        <v>1</v>
      </c>
      <c r="I233" s="160" cm="1">
        <f t="array" ref="I233">IFERROR(
  VALUE($H233) *
  VALUE(
    _xlfn.XLOOKUP(
      TRIM($F233) &amp; "|" &amp; LEFT(SUBSTITUTE($G233,CHAR(160)," "),5) &amp; "|Full Rate",
      TRIM(SUBSTITUTE($T$2:$T$38,CHAR(160)," ")) &amp; "|" &amp;
      LEFT(SUBSTITUTE($U$2:$U$38,CHAR(160)," "),5) &amp; "|" &amp;
      TRIM(SUBSTITUTE($V$2:$V$38,CHAR(160)," ")),
      $W$2:$W$38
    )
  ),
"")</f>
        <v>500</v>
      </c>
      <c r="J233" s="161" cm="1">
        <f t="array" ref="J233">IFERROR(
  VALUE($H233) *
  VALUE(
    _xlfn.XLOOKUP(
      TRIM($F233) &amp; "|" &amp; LEFT(SUBSTITUTE($G233,CHAR(160)," "),5) &amp; "|Reduced Rate",
      TRIM(SUBSTITUTE($T$2:$T$38,CHAR(160)," ")) &amp; "|" &amp;
      LEFT(SUBSTITUTE($U$2:$U$38,CHAR(160)," "),5) &amp; "|" &amp;
      TRIM(SUBSTITUTE($V$2:$V$38,CHAR(160)," ")),
      $W$2:$W$38
    )
  ),
"")</f>
        <v>300</v>
      </c>
      <c r="K233" s="42" cm="1">
        <f t="array" ref="K233">IFERROR(
  VALUE($H233) *
  VALUE(
    _xlfn.XLOOKUP(
      TRIM($F233) &amp; "|" &amp; LEFT(SUBSTITUTE($G233,CHAR(160)," "),5) &amp; "|Ideas Rate",
      TRIM(SUBSTITUTE($T$2:$T$38,CHAR(160)," ")) &amp; "|" &amp;
      LEFT(SUBSTITUTE($U$2:$U$38,CHAR(160)," "),5) &amp; "|" &amp;
      TRIM(SUBSTITUTE($V$2:$V$38,CHAR(160)," ")),
      $W$2:$W$38
    )
  ),
"")</f>
        <v>150</v>
      </c>
      <c r="O233"/>
    </row>
    <row r="234" spans="1:15" x14ac:dyDescent="0.2">
      <c r="A234" s="10">
        <v>46062</v>
      </c>
      <c r="B234" s="171" t="s">
        <v>564</v>
      </c>
      <c r="C234" s="20" t="s">
        <v>519</v>
      </c>
      <c r="D234" t="s">
        <v>81</v>
      </c>
      <c r="E234" t="s">
        <v>633</v>
      </c>
      <c r="F234" t="s">
        <v>9</v>
      </c>
      <c r="G234" t="s">
        <v>367</v>
      </c>
      <c r="H234" s="194">
        <v>2</v>
      </c>
      <c r="I234" s="160" cm="1">
        <f t="array" ref="I234">IFERROR(
  VALUE($H234) *
  VALUE(
    _xlfn.XLOOKUP(
      TRIM($F234) &amp; "|" &amp; LEFT(SUBSTITUTE($G234,CHAR(160)," "),5) &amp; "|Full Rate",
      TRIM(SUBSTITUTE($T$2:$T$38,CHAR(160)," ")) &amp; "|" &amp;
      LEFT(SUBSTITUTE($U$2:$U$38,CHAR(160)," "),5) &amp; "|" &amp;
      TRIM(SUBSTITUTE($V$2:$V$38,CHAR(160)," ")),
      $W$2:$W$38
    )
  ),
"")</f>
        <v>1000</v>
      </c>
      <c r="J234" s="161" cm="1">
        <f t="array" ref="J234">IFERROR(
  VALUE($H234) *
  VALUE(
    _xlfn.XLOOKUP(
      TRIM($F234) &amp; "|" &amp; LEFT(SUBSTITUTE($G234,CHAR(160)," "),5) &amp; "|Reduced Rate",
      TRIM(SUBSTITUTE($T$2:$T$38,CHAR(160)," ")) &amp; "|" &amp;
      LEFT(SUBSTITUTE($U$2:$U$38,CHAR(160)," "),5) &amp; "|" &amp;
      TRIM(SUBSTITUTE($V$2:$V$38,CHAR(160)," ")),
      $W$2:$W$38
    )
  ),
"")</f>
        <v>600</v>
      </c>
      <c r="K234" s="42" cm="1">
        <f t="array" ref="K234">IFERROR(
  VALUE($H234) *
  VALUE(
    _xlfn.XLOOKUP(
      TRIM($F234) &amp; "|" &amp; LEFT(SUBSTITUTE($G234,CHAR(160)," "),5) &amp; "|Ideas Rate",
      TRIM(SUBSTITUTE($T$2:$T$38,CHAR(160)," ")) &amp; "|" &amp;
      LEFT(SUBSTITUTE($U$2:$U$38,CHAR(160)," "),5) &amp; "|" &amp;
      TRIM(SUBSTITUTE($V$2:$V$38,CHAR(160)," ")),
      $W$2:$W$38
    )
  ),
"")</f>
        <v>300</v>
      </c>
      <c r="O234"/>
    </row>
    <row r="235" spans="1:15" x14ac:dyDescent="0.2">
      <c r="A235" s="10">
        <v>46062</v>
      </c>
      <c r="B235" s="171" t="s">
        <v>564</v>
      </c>
      <c r="C235" s="20" t="s">
        <v>519</v>
      </c>
      <c r="D235" t="s">
        <v>190</v>
      </c>
      <c r="E235" s="37" t="s">
        <v>616</v>
      </c>
      <c r="F235" s="37" t="s">
        <v>10</v>
      </c>
      <c r="G235" t="s">
        <v>380</v>
      </c>
      <c r="H235" s="194">
        <v>0.5</v>
      </c>
      <c r="I235" s="160" cm="1">
        <f t="array" ref="I235">IFERROR(
  VALUE($H235) *
  VALUE(
    _xlfn.XLOOKUP(
      TRIM($F235) &amp; "|" &amp; LEFT(SUBSTITUTE($G235,CHAR(160)," "),5) &amp; "|Full Rate",
      TRIM(SUBSTITUTE($T$2:$T$38,CHAR(160)," ")) &amp; "|" &amp;
      LEFT(SUBSTITUTE($U$2:$U$38,CHAR(160)," "),5) &amp; "|" &amp;
      TRIM(SUBSTITUTE($V$2:$V$38,CHAR(160)," ")),
      $W$2:$W$38
    )
  ),
"")</f>
        <v>125</v>
      </c>
      <c r="J235" s="161" cm="1">
        <f t="array" ref="J235">IFERROR(
  VALUE($H235) *
  VALUE(
    _xlfn.XLOOKUP(
      TRIM($F235) &amp; "|" &amp; LEFT(SUBSTITUTE($G235,CHAR(160)," "),5) &amp; "|Reduced Rate",
      TRIM(SUBSTITUTE($T$2:$T$38,CHAR(160)," ")) &amp; "|" &amp;
      LEFT(SUBSTITUTE($U$2:$U$38,CHAR(160)," "),5) &amp; "|" &amp;
      TRIM(SUBSTITUTE($V$2:$V$38,CHAR(160)," ")),
      $W$2:$W$38
    )
  ),
"")</f>
        <v>75</v>
      </c>
      <c r="K235" s="42" cm="1">
        <f t="array" ref="K235">IFERROR(
  VALUE($H235) *
  VALUE(
    _xlfn.XLOOKUP(
      TRIM($F235) &amp; "|" &amp; LEFT(SUBSTITUTE($G235,CHAR(160)," "),5) &amp; "|Ideas Rate",
      TRIM(SUBSTITUTE($T$2:$T$38,CHAR(160)," ")) &amp; "|" &amp;
      LEFT(SUBSTITUTE($U$2:$U$38,CHAR(160)," "),5) &amp; "|" &amp;
      TRIM(SUBSTITUTE($V$2:$V$38,CHAR(160)," ")),
      $W$2:$W$38
    )
  ),
"")</f>
        <v>37.5</v>
      </c>
      <c r="O235"/>
    </row>
    <row r="236" spans="1:15" x14ac:dyDescent="0.2">
      <c r="A236" s="10">
        <v>46062</v>
      </c>
      <c r="B236" s="171" t="s">
        <v>564</v>
      </c>
      <c r="C236" s="20" t="s">
        <v>519</v>
      </c>
      <c r="D236" t="s">
        <v>178</v>
      </c>
      <c r="E236" s="37" t="s">
        <v>639</v>
      </c>
      <c r="F236" s="37" t="s">
        <v>10</v>
      </c>
      <c r="G236" t="s">
        <v>380</v>
      </c>
      <c r="H236" s="194">
        <v>2</v>
      </c>
      <c r="I236" s="160" cm="1">
        <f t="array" ref="I236">IFERROR(
  VALUE($H236) *
  VALUE(
    _xlfn.XLOOKUP(
      TRIM($F236) &amp; "|" &amp; LEFT(SUBSTITUTE($G236,CHAR(160)," "),5) &amp; "|Full Rate",
      TRIM(SUBSTITUTE($T$2:$T$38,CHAR(160)," ")) &amp; "|" &amp;
      LEFT(SUBSTITUTE($U$2:$U$38,CHAR(160)," "),5) &amp; "|" &amp;
      TRIM(SUBSTITUTE($V$2:$V$38,CHAR(160)," ")),
      $W$2:$W$38
    )
  ),
"")</f>
        <v>500</v>
      </c>
      <c r="J236" s="161" cm="1">
        <f t="array" ref="J236">IFERROR(
  VALUE($H236) *
  VALUE(
    _xlfn.XLOOKUP(
      TRIM($F236) &amp; "|" &amp; LEFT(SUBSTITUTE($G236,CHAR(160)," "),5) &amp; "|Reduced Rate",
      TRIM(SUBSTITUTE($T$2:$T$38,CHAR(160)," ")) &amp; "|" &amp;
      LEFT(SUBSTITUTE($U$2:$U$38,CHAR(160)," "),5) &amp; "|" &amp;
      TRIM(SUBSTITUTE($V$2:$V$38,CHAR(160)," ")),
      $W$2:$W$38
    )
  ),
"")</f>
        <v>300</v>
      </c>
      <c r="K236" s="42" cm="1">
        <f t="array" ref="K236">IFERROR(
  VALUE($H236) *
  VALUE(
    _xlfn.XLOOKUP(
      TRIM($F236) &amp; "|" &amp; LEFT(SUBSTITUTE($G236,CHAR(160)," "),5) &amp; "|Ideas Rate",
      TRIM(SUBSTITUTE($T$2:$T$38,CHAR(160)," ")) &amp; "|" &amp;
      LEFT(SUBSTITUTE($U$2:$U$38,CHAR(160)," "),5) &amp; "|" &amp;
      TRIM(SUBSTITUTE($V$2:$V$38,CHAR(160)," ")),
      $W$2:$W$38
    )
  ),
"")</f>
        <v>150</v>
      </c>
      <c r="O236"/>
    </row>
    <row r="237" spans="1:15" x14ac:dyDescent="0.2">
      <c r="A237" s="10">
        <v>46062</v>
      </c>
      <c r="B237" s="171" t="s">
        <v>564</v>
      </c>
      <c r="C237" s="20" t="s">
        <v>519</v>
      </c>
      <c r="D237" t="s">
        <v>190</v>
      </c>
      <c r="E237" s="37" t="s">
        <v>615</v>
      </c>
      <c r="F237" s="37" t="s">
        <v>10</v>
      </c>
      <c r="G237" t="s">
        <v>380</v>
      </c>
      <c r="H237" s="194">
        <v>6</v>
      </c>
      <c r="I237" s="160" cm="1">
        <f t="array" ref="I237">IFERROR(
  VALUE($H237) *
  VALUE(
    _xlfn.XLOOKUP(
      TRIM($F237) &amp; "|" &amp; LEFT(SUBSTITUTE($G237,CHAR(160)," "),5) &amp; "|Full Rate",
      TRIM(SUBSTITUTE($T$2:$T$38,CHAR(160)," ")) &amp; "|" &amp;
      LEFT(SUBSTITUTE($U$2:$U$38,CHAR(160)," "),5) &amp; "|" &amp;
      TRIM(SUBSTITUTE($V$2:$V$38,CHAR(160)," ")),
      $W$2:$W$38
    )
  ),
"")</f>
        <v>1500</v>
      </c>
      <c r="J237" s="161" cm="1">
        <f t="array" ref="J237">IFERROR(
  VALUE($H237) *
  VALUE(
    _xlfn.XLOOKUP(
      TRIM($F237) &amp; "|" &amp; LEFT(SUBSTITUTE($G237,CHAR(160)," "),5) &amp; "|Reduced Rate",
      TRIM(SUBSTITUTE($T$2:$T$38,CHAR(160)," ")) &amp; "|" &amp;
      LEFT(SUBSTITUTE($U$2:$U$38,CHAR(160)," "),5) &amp; "|" &amp;
      TRIM(SUBSTITUTE($V$2:$V$38,CHAR(160)," ")),
      $W$2:$W$38
    )
  ),
"")</f>
        <v>900</v>
      </c>
      <c r="K237" s="42" cm="1">
        <f t="array" ref="K237">IFERROR(
  VALUE($H237) *
  VALUE(
    _xlfn.XLOOKUP(
      TRIM($F237) &amp; "|" &amp; LEFT(SUBSTITUTE($G237,CHAR(160)," "),5) &amp; "|Ideas Rate",
      TRIM(SUBSTITUTE($T$2:$T$38,CHAR(160)," ")) &amp; "|" &amp;
      LEFT(SUBSTITUTE($U$2:$U$38,CHAR(160)," "),5) &amp; "|" &amp;
      TRIM(SUBSTITUTE($V$2:$V$38,CHAR(160)," ")),
      $W$2:$W$38
    )
  ),
"")</f>
        <v>450</v>
      </c>
      <c r="O237"/>
    </row>
    <row r="238" spans="1:15" x14ac:dyDescent="0.2">
      <c r="A238" s="10">
        <v>46063</v>
      </c>
      <c r="B238" s="171" t="s">
        <v>564</v>
      </c>
      <c r="C238" s="20" t="s">
        <v>519</v>
      </c>
      <c r="D238" t="s">
        <v>178</v>
      </c>
      <c r="E238" t="s">
        <v>640</v>
      </c>
      <c r="F238" t="s">
        <v>9</v>
      </c>
      <c r="G238" t="s">
        <v>367</v>
      </c>
      <c r="H238" s="194">
        <v>0.5</v>
      </c>
      <c r="I238" s="160" cm="1">
        <f t="array" ref="I238">IFERROR(
  VALUE($H238) *
  VALUE(
    _xlfn.XLOOKUP(
      TRIM($F238) &amp; "|" &amp; LEFT(SUBSTITUTE($G238,CHAR(160)," "),5) &amp; "|Full Rate",
      TRIM(SUBSTITUTE($T$2:$T$38,CHAR(160)," ")) &amp; "|" &amp;
      LEFT(SUBSTITUTE($U$2:$U$38,CHAR(160)," "),5) &amp; "|" &amp;
      TRIM(SUBSTITUTE($V$2:$V$38,CHAR(160)," ")),
      $W$2:$W$38
    )
  ),
"")</f>
        <v>250</v>
      </c>
      <c r="J238" s="161" cm="1">
        <f t="array" ref="J238">IFERROR(
  VALUE($H238) *
  VALUE(
    _xlfn.XLOOKUP(
      TRIM($F238) &amp; "|" &amp; LEFT(SUBSTITUTE($G238,CHAR(160)," "),5) &amp; "|Reduced Rate",
      TRIM(SUBSTITUTE($T$2:$T$38,CHAR(160)," ")) &amp; "|" &amp;
      LEFT(SUBSTITUTE($U$2:$U$38,CHAR(160)," "),5) &amp; "|" &amp;
      TRIM(SUBSTITUTE($V$2:$V$38,CHAR(160)," ")),
      $W$2:$W$38
    )
  ),
"")</f>
        <v>150</v>
      </c>
      <c r="K238" s="42" cm="1">
        <f t="array" ref="K238">IFERROR(
  VALUE($H238) *
  VALUE(
    _xlfn.XLOOKUP(
      TRIM($F238) &amp; "|" &amp; LEFT(SUBSTITUTE($G238,CHAR(160)," "),5) &amp; "|Ideas Rate",
      TRIM(SUBSTITUTE($T$2:$T$38,CHAR(160)," ")) &amp; "|" &amp;
      LEFT(SUBSTITUTE($U$2:$U$38,CHAR(160)," "),5) &amp; "|" &amp;
      TRIM(SUBSTITUTE($V$2:$V$38,CHAR(160)," ")),
      $W$2:$W$38
    )
  ),
"")</f>
        <v>75</v>
      </c>
      <c r="O238"/>
    </row>
    <row r="239" spans="1:15" x14ac:dyDescent="0.2">
      <c r="A239" s="10">
        <v>46063</v>
      </c>
      <c r="B239" s="171" t="s">
        <v>564</v>
      </c>
      <c r="C239" s="20" t="s">
        <v>519</v>
      </c>
      <c r="D239" t="s">
        <v>178</v>
      </c>
      <c r="E239" t="s">
        <v>641</v>
      </c>
      <c r="F239" t="s">
        <v>9</v>
      </c>
      <c r="G239" t="s">
        <v>367</v>
      </c>
      <c r="H239" s="194">
        <v>1.5</v>
      </c>
      <c r="I239" s="160" cm="1">
        <f t="array" ref="I239">IFERROR(
  VALUE($H239) *
  VALUE(
    _xlfn.XLOOKUP(
      TRIM($F239) &amp; "|" &amp; LEFT(SUBSTITUTE($G239,CHAR(160)," "),5) &amp; "|Full Rate",
      TRIM(SUBSTITUTE($T$2:$T$38,CHAR(160)," ")) &amp; "|" &amp;
      LEFT(SUBSTITUTE($U$2:$U$38,CHAR(160)," "),5) &amp; "|" &amp;
      TRIM(SUBSTITUTE($V$2:$V$38,CHAR(160)," ")),
      $W$2:$W$38
    )
  ),
"")</f>
        <v>750</v>
      </c>
      <c r="J239" s="161" cm="1">
        <f t="array" ref="J239">IFERROR(
  VALUE($H239) *
  VALUE(
    _xlfn.XLOOKUP(
      TRIM($F239) &amp; "|" &amp; LEFT(SUBSTITUTE($G239,CHAR(160)," "),5) &amp; "|Reduced Rate",
      TRIM(SUBSTITUTE($T$2:$T$38,CHAR(160)," ")) &amp; "|" &amp;
      LEFT(SUBSTITUTE($U$2:$U$38,CHAR(160)," "),5) &amp; "|" &amp;
      TRIM(SUBSTITUTE($V$2:$V$38,CHAR(160)," ")),
      $W$2:$W$38
    )
  ),
"")</f>
        <v>450</v>
      </c>
      <c r="K239" s="42" cm="1">
        <f t="array" ref="K239">IFERROR(
  VALUE($H239) *
  VALUE(
    _xlfn.XLOOKUP(
      TRIM($F239) &amp; "|" &amp; LEFT(SUBSTITUTE($G239,CHAR(160)," "),5) &amp; "|Ideas Rate",
      TRIM(SUBSTITUTE($T$2:$T$38,CHAR(160)," ")) &amp; "|" &amp;
      LEFT(SUBSTITUTE($U$2:$U$38,CHAR(160)," "),5) &amp; "|" &amp;
      TRIM(SUBSTITUTE($V$2:$V$38,CHAR(160)," ")),
      $W$2:$W$38
    )
  ),
"")</f>
        <v>225</v>
      </c>
      <c r="O239"/>
    </row>
    <row r="240" spans="1:15" x14ac:dyDescent="0.2">
      <c r="A240" s="10">
        <v>46063</v>
      </c>
      <c r="B240" s="171" t="s">
        <v>564</v>
      </c>
      <c r="C240" s="20" t="s">
        <v>519</v>
      </c>
      <c r="D240" t="s">
        <v>29</v>
      </c>
      <c r="E240" t="s">
        <v>642</v>
      </c>
      <c r="F240" t="s">
        <v>9</v>
      </c>
      <c r="G240" t="s">
        <v>367</v>
      </c>
      <c r="H240" s="194">
        <v>1.5</v>
      </c>
      <c r="I240" s="160" cm="1">
        <f t="array" ref="I240">IFERROR(
  VALUE($H240) *
  VALUE(
    _xlfn.XLOOKUP(
      TRIM($F240) &amp; "|" &amp; LEFT(SUBSTITUTE($G240,CHAR(160)," "),5) &amp; "|Full Rate",
      TRIM(SUBSTITUTE($T$2:$T$38,CHAR(160)," ")) &amp; "|" &amp;
      LEFT(SUBSTITUTE($U$2:$U$38,CHAR(160)," "),5) &amp; "|" &amp;
      TRIM(SUBSTITUTE($V$2:$V$38,CHAR(160)," ")),
      $W$2:$W$38
    )
  ),
"")</f>
        <v>750</v>
      </c>
      <c r="J240" s="161" cm="1">
        <f t="array" ref="J240">IFERROR(
  VALUE($H240) *
  VALUE(
    _xlfn.XLOOKUP(
      TRIM($F240) &amp; "|" &amp; LEFT(SUBSTITUTE($G240,CHAR(160)," "),5) &amp; "|Reduced Rate",
      TRIM(SUBSTITUTE($T$2:$T$38,CHAR(160)," ")) &amp; "|" &amp;
      LEFT(SUBSTITUTE($U$2:$U$38,CHAR(160)," "),5) &amp; "|" &amp;
      TRIM(SUBSTITUTE($V$2:$V$38,CHAR(160)," ")),
      $W$2:$W$38
    )
  ),
"")</f>
        <v>450</v>
      </c>
      <c r="K240" s="42" cm="1">
        <f t="array" ref="K240">IFERROR(
  VALUE($H240) *
  VALUE(
    _xlfn.XLOOKUP(
      TRIM($F240) &amp; "|" &amp; LEFT(SUBSTITUTE($G240,CHAR(160)," "),5) &amp; "|Ideas Rate",
      TRIM(SUBSTITUTE($T$2:$T$38,CHAR(160)," ")) &amp; "|" &amp;
      LEFT(SUBSTITUTE($U$2:$U$38,CHAR(160)," "),5) &amp; "|" &amp;
      TRIM(SUBSTITUTE($V$2:$V$38,CHAR(160)," ")),
      $W$2:$W$38
    )
  ),
"")</f>
        <v>225</v>
      </c>
      <c r="O240"/>
    </row>
    <row r="241" spans="1:15" x14ac:dyDescent="0.2">
      <c r="A241" s="10">
        <v>46063</v>
      </c>
      <c r="B241" s="171" t="s">
        <v>564</v>
      </c>
      <c r="C241" s="20" t="s">
        <v>519</v>
      </c>
      <c r="D241" t="s">
        <v>178</v>
      </c>
      <c r="E241" t="s">
        <v>643</v>
      </c>
      <c r="F241" t="s">
        <v>9</v>
      </c>
      <c r="G241" t="s">
        <v>380</v>
      </c>
      <c r="H241" s="194">
        <v>0.25</v>
      </c>
      <c r="I241" s="160" cm="1">
        <f t="array" ref="I241">IFERROR(
  VALUE($H241) *
  VALUE(
    _xlfn.XLOOKUP(
      TRIM($F241) &amp; "|" &amp; LEFT(SUBSTITUTE($G241,CHAR(160)," "),5) &amp; "|Full Rate",
      TRIM(SUBSTITUTE($T$2:$T$38,CHAR(160)," ")) &amp; "|" &amp;
      LEFT(SUBSTITUTE($U$2:$U$38,CHAR(160)," "),5) &amp; "|" &amp;
      TRIM(SUBSTITUTE($V$2:$V$38,CHAR(160)," ")),
      $W$2:$W$38
    )
  ),
"")</f>
        <v>62.5</v>
      </c>
      <c r="J241" s="161" cm="1">
        <f t="array" ref="J241">IFERROR(
  VALUE($H241) *
  VALUE(
    _xlfn.XLOOKUP(
      TRIM($F241) &amp; "|" &amp; LEFT(SUBSTITUTE($G241,CHAR(160)," "),5) &amp; "|Reduced Rate",
      TRIM(SUBSTITUTE($T$2:$T$38,CHAR(160)," ")) &amp; "|" &amp;
      LEFT(SUBSTITUTE($U$2:$U$38,CHAR(160)," "),5) &amp; "|" &amp;
      TRIM(SUBSTITUTE($V$2:$V$38,CHAR(160)," ")),
      $W$2:$W$38
    )
  ),
"")</f>
        <v>37.5</v>
      </c>
      <c r="K241" s="42" cm="1">
        <f t="array" ref="K241">IFERROR(
  VALUE($H241) *
  VALUE(
    _xlfn.XLOOKUP(
      TRIM($F241) &amp; "|" &amp; LEFT(SUBSTITUTE($G241,CHAR(160)," "),5) &amp; "|Ideas Rate",
      TRIM(SUBSTITUTE($T$2:$T$38,CHAR(160)," ")) &amp; "|" &amp;
      LEFT(SUBSTITUTE($U$2:$U$38,CHAR(160)," "),5) &amp; "|" &amp;
      TRIM(SUBSTITUTE($V$2:$V$38,CHAR(160)," ")),
      $W$2:$W$38
    )
  ),
"")</f>
        <v>18.75</v>
      </c>
      <c r="O241"/>
    </row>
    <row r="242" spans="1:15" x14ac:dyDescent="0.2">
      <c r="A242" s="38">
        <v>46063</v>
      </c>
      <c r="B242" s="171" t="s">
        <v>564</v>
      </c>
      <c r="C242" s="20" t="s">
        <v>519</v>
      </c>
      <c r="D242" t="s">
        <v>178</v>
      </c>
      <c r="E242" s="37" t="s">
        <v>644</v>
      </c>
      <c r="F242" s="37" t="s">
        <v>645</v>
      </c>
      <c r="G242" t="s">
        <v>380</v>
      </c>
      <c r="H242" s="194">
        <v>0.25</v>
      </c>
      <c r="I242" s="160" cm="1">
        <f t="array" ref="I242">IFERROR(
  VALUE($H242) *
  VALUE(
    _xlfn.XLOOKUP(
      TRIM($F242) &amp; "|" &amp; LEFT(SUBSTITUTE($G242,CHAR(160)," "),5) &amp; "|Full Rate",
      TRIM(SUBSTITUTE($T$2:$T$38,CHAR(160)," ")) &amp; "|" &amp;
      LEFT(SUBSTITUTE($U$2:$U$38,CHAR(160)," "),5) &amp; "|" &amp;
      TRIM(SUBSTITUTE($V$2:$V$38,CHAR(160)," ")),
      $W$2:$W$38
    )
  ),
"")</f>
        <v>65</v>
      </c>
      <c r="J242" s="161" cm="1">
        <f t="array" ref="J242">IFERROR(
  VALUE($H242) *
  VALUE(
    _xlfn.XLOOKUP(
      TRIM($F242) &amp; "|" &amp; LEFT(SUBSTITUTE($G242,CHAR(160)," "),5) &amp; "|Reduced Rate",
      TRIM(SUBSTITUTE($T$2:$T$38,CHAR(160)," ")) &amp; "|" &amp;
      LEFT(SUBSTITUTE($U$2:$U$38,CHAR(160)," "),5) &amp; "|" &amp;
      TRIM(SUBSTITUTE($V$2:$V$38,CHAR(160)," ")),
      $W$2:$W$38
    )
  ),
"")</f>
        <v>30</v>
      </c>
      <c r="K242" s="42" cm="1">
        <f t="array" ref="K242">IFERROR(
  VALUE($H242) *
  VALUE(
    _xlfn.XLOOKUP(
      TRIM($F242) &amp; "|" &amp; LEFT(SUBSTITUTE($G242,CHAR(160)," "),5) &amp; "|Ideas Rate",
      TRIM(SUBSTITUTE($T$2:$T$38,CHAR(160)," ")) &amp; "|" &amp;
      LEFT(SUBSTITUTE($U$2:$U$38,CHAR(160)," "),5) &amp; "|" &amp;
      TRIM(SUBSTITUTE($V$2:$V$38,CHAR(160)," ")),
      $W$2:$W$38
    )
  ),
"")</f>
        <v>22.5</v>
      </c>
      <c r="O242"/>
    </row>
    <row r="243" spans="1:15" x14ac:dyDescent="0.2">
      <c r="A243" s="38">
        <v>46063</v>
      </c>
      <c r="B243" s="171" t="s">
        <v>564</v>
      </c>
      <c r="C243" s="20" t="s">
        <v>519</v>
      </c>
      <c r="D243" t="s">
        <v>178</v>
      </c>
      <c r="E243" s="37" t="s">
        <v>646</v>
      </c>
      <c r="F243" s="37" t="s">
        <v>645</v>
      </c>
      <c r="G243" t="s">
        <v>380</v>
      </c>
      <c r="H243" s="194">
        <v>0.75</v>
      </c>
      <c r="I243" s="160" cm="1">
        <f t="array" ref="I243">IFERROR(
  VALUE($H243) *
  VALUE(
    _xlfn.XLOOKUP(
      TRIM($F243) &amp; "|" &amp; LEFT(SUBSTITUTE($G243,CHAR(160)," "),5) &amp; "|Full Rate",
      TRIM(SUBSTITUTE($T$2:$T$38,CHAR(160)," ")) &amp; "|" &amp;
      LEFT(SUBSTITUTE($U$2:$U$38,CHAR(160)," "),5) &amp; "|" &amp;
      TRIM(SUBSTITUTE($V$2:$V$38,CHAR(160)," ")),
      $W$2:$W$38
    )
  ),
"")</f>
        <v>195</v>
      </c>
      <c r="J243" s="161" cm="1">
        <f t="array" ref="J243">IFERROR(
  VALUE($H243) *
  VALUE(
    _xlfn.XLOOKUP(
      TRIM($F243) &amp; "|" &amp; LEFT(SUBSTITUTE($G243,CHAR(160)," "),5) &amp; "|Reduced Rate",
      TRIM(SUBSTITUTE($T$2:$T$38,CHAR(160)," ")) &amp; "|" &amp;
      LEFT(SUBSTITUTE($U$2:$U$38,CHAR(160)," "),5) &amp; "|" &amp;
      TRIM(SUBSTITUTE($V$2:$V$38,CHAR(160)," ")),
      $W$2:$W$38
    )
  ),
"")</f>
        <v>90</v>
      </c>
      <c r="K243" s="42" cm="1">
        <f t="array" ref="K243">IFERROR(
  VALUE($H243) *
  VALUE(
    _xlfn.XLOOKUP(
      TRIM($F243) &amp; "|" &amp; LEFT(SUBSTITUTE($G243,CHAR(160)," "),5) &amp; "|Ideas Rate",
      TRIM(SUBSTITUTE($T$2:$T$38,CHAR(160)," ")) &amp; "|" &amp;
      LEFT(SUBSTITUTE($U$2:$U$38,CHAR(160)," "),5) &amp; "|" &amp;
      TRIM(SUBSTITUTE($V$2:$V$38,CHAR(160)," ")),
      $W$2:$W$38
    )
  ),
"")</f>
        <v>67.5</v>
      </c>
      <c r="O243"/>
    </row>
    <row r="244" spans="1:15" x14ac:dyDescent="0.2">
      <c r="A244" s="38">
        <v>46063</v>
      </c>
      <c r="B244" s="171" t="s">
        <v>564</v>
      </c>
      <c r="C244" s="20" t="s">
        <v>519</v>
      </c>
      <c r="D244" t="s">
        <v>190</v>
      </c>
      <c r="E244" s="37" t="s">
        <v>615</v>
      </c>
      <c r="F244" s="37" t="s">
        <v>645</v>
      </c>
      <c r="G244" t="s">
        <v>380</v>
      </c>
      <c r="H244" s="194">
        <v>6</v>
      </c>
      <c r="I244" s="160" cm="1">
        <f t="array" ref="I244">IFERROR(
  VALUE($H244) *
  VALUE(
    _xlfn.XLOOKUP(
      TRIM($F244) &amp; "|" &amp; LEFT(SUBSTITUTE($G244,CHAR(160)," "),5) &amp; "|Full Rate",
      TRIM(SUBSTITUTE($T$2:$T$38,CHAR(160)," ")) &amp; "|" &amp;
      LEFT(SUBSTITUTE($U$2:$U$38,CHAR(160)," "),5) &amp; "|" &amp;
      TRIM(SUBSTITUTE($V$2:$V$38,CHAR(160)," ")),
      $W$2:$W$38
    )
  ),
"")</f>
        <v>1560</v>
      </c>
      <c r="J244" s="161" cm="1">
        <f t="array" ref="J244">IFERROR(
  VALUE($H244) *
  VALUE(
    _xlfn.XLOOKUP(
      TRIM($F244) &amp; "|" &amp; LEFT(SUBSTITUTE($G244,CHAR(160)," "),5) &amp; "|Reduced Rate",
      TRIM(SUBSTITUTE($T$2:$T$38,CHAR(160)," ")) &amp; "|" &amp;
      LEFT(SUBSTITUTE($U$2:$U$38,CHAR(160)," "),5) &amp; "|" &amp;
      TRIM(SUBSTITUTE($V$2:$V$38,CHAR(160)," ")),
      $W$2:$W$38
    )
  ),
"")</f>
        <v>720</v>
      </c>
      <c r="K244" s="42" cm="1">
        <f t="array" ref="K244">IFERROR(
  VALUE($H244) *
  VALUE(
    _xlfn.XLOOKUP(
      TRIM($F244) &amp; "|" &amp; LEFT(SUBSTITUTE($G244,CHAR(160)," "),5) &amp; "|Ideas Rate",
      TRIM(SUBSTITUTE($T$2:$T$38,CHAR(160)," ")) &amp; "|" &amp;
      LEFT(SUBSTITUTE($U$2:$U$38,CHAR(160)," "),5) &amp; "|" &amp;
      TRIM(SUBSTITUTE($V$2:$V$38,CHAR(160)," ")),
      $W$2:$W$38
    )
  ),
"")</f>
        <v>540</v>
      </c>
      <c r="O244"/>
    </row>
    <row r="245" spans="1:15" x14ac:dyDescent="0.2">
      <c r="A245" s="38">
        <v>46063</v>
      </c>
      <c r="B245" s="171" t="s">
        <v>564</v>
      </c>
      <c r="C245" s="20" t="s">
        <v>519</v>
      </c>
      <c r="D245" t="s">
        <v>178</v>
      </c>
      <c r="E245" s="37" t="s">
        <v>647</v>
      </c>
      <c r="F245" s="37" t="s">
        <v>645</v>
      </c>
      <c r="G245" t="s">
        <v>380</v>
      </c>
      <c r="H245" s="194">
        <v>1</v>
      </c>
      <c r="I245" s="160" cm="1">
        <f t="array" ref="I245">IFERROR(
  VALUE($H245) *
  VALUE(
    _xlfn.XLOOKUP(
      TRIM($F245) &amp; "|" &amp; LEFT(SUBSTITUTE($G245,CHAR(160)," "),5) &amp; "|Full Rate",
      TRIM(SUBSTITUTE($T$2:$T$38,CHAR(160)," ")) &amp; "|" &amp;
      LEFT(SUBSTITUTE($U$2:$U$38,CHAR(160)," "),5) &amp; "|" &amp;
      TRIM(SUBSTITUTE($V$2:$V$38,CHAR(160)," ")),
      $W$2:$W$38
    )
  ),
"")</f>
        <v>260</v>
      </c>
      <c r="J245" s="161" cm="1">
        <f t="array" ref="J245">IFERROR(
  VALUE($H245) *
  VALUE(
    _xlfn.XLOOKUP(
      TRIM($F245) &amp; "|" &amp; LEFT(SUBSTITUTE($G245,CHAR(160)," "),5) &amp; "|Reduced Rate",
      TRIM(SUBSTITUTE($T$2:$T$38,CHAR(160)," ")) &amp; "|" &amp;
      LEFT(SUBSTITUTE($U$2:$U$38,CHAR(160)," "),5) &amp; "|" &amp;
      TRIM(SUBSTITUTE($V$2:$V$38,CHAR(160)," ")),
      $W$2:$W$38
    )
  ),
"")</f>
        <v>120</v>
      </c>
      <c r="K245" s="42" cm="1">
        <f t="array" ref="K245">IFERROR(
  VALUE($H245) *
  VALUE(
    _xlfn.XLOOKUP(
      TRIM($F245) &amp; "|" &amp; LEFT(SUBSTITUTE($G245,CHAR(160)," "),5) &amp; "|Ideas Rate",
      TRIM(SUBSTITUTE($T$2:$T$38,CHAR(160)," ")) &amp; "|" &amp;
      LEFT(SUBSTITUTE($U$2:$U$38,CHAR(160)," "),5) &amp; "|" &amp;
      TRIM(SUBSTITUTE($V$2:$V$38,CHAR(160)," ")),
      $W$2:$W$38
    )
  ),
"")</f>
        <v>90</v>
      </c>
      <c r="O245"/>
    </row>
    <row r="246" spans="1:15" x14ac:dyDescent="0.2">
      <c r="A246" s="38">
        <v>46063</v>
      </c>
      <c r="B246" s="171" t="s">
        <v>564</v>
      </c>
      <c r="C246" s="20" t="s">
        <v>519</v>
      </c>
      <c r="D246" t="s">
        <v>178</v>
      </c>
      <c r="E246" s="37" t="s">
        <v>648</v>
      </c>
      <c r="F246" s="37" t="s">
        <v>10</v>
      </c>
      <c r="G246" t="s">
        <v>380</v>
      </c>
      <c r="H246" s="194">
        <v>0.25</v>
      </c>
      <c r="I246" s="160" cm="1">
        <f t="array" ref="I246">IFERROR(
  VALUE($H246) *
  VALUE(
    _xlfn.XLOOKUP(
      TRIM($F246) &amp; "|" &amp; LEFT(SUBSTITUTE($G246,CHAR(160)," "),5) &amp; "|Full Rate",
      TRIM(SUBSTITUTE($T$2:$T$38,CHAR(160)," ")) &amp; "|" &amp;
      LEFT(SUBSTITUTE($U$2:$U$38,CHAR(160)," "),5) &amp; "|" &amp;
      TRIM(SUBSTITUTE($V$2:$V$38,CHAR(160)," ")),
      $W$2:$W$38
    )
  ),
"")</f>
        <v>62.5</v>
      </c>
      <c r="J246" s="161" cm="1">
        <f t="array" ref="J246">IFERROR(
  VALUE($H246) *
  VALUE(
    _xlfn.XLOOKUP(
      TRIM($F246) &amp; "|" &amp; LEFT(SUBSTITUTE($G246,CHAR(160)," "),5) &amp; "|Reduced Rate",
      TRIM(SUBSTITUTE($T$2:$T$38,CHAR(160)," ")) &amp; "|" &amp;
      LEFT(SUBSTITUTE($U$2:$U$38,CHAR(160)," "),5) &amp; "|" &amp;
      TRIM(SUBSTITUTE($V$2:$V$38,CHAR(160)," ")),
      $W$2:$W$38
    )
  ),
"")</f>
        <v>37.5</v>
      </c>
      <c r="K246" s="42" cm="1">
        <f t="array" ref="K246">IFERROR(
  VALUE($H246) *
  VALUE(
    _xlfn.XLOOKUP(
      TRIM($F246) &amp; "|" &amp; LEFT(SUBSTITUTE($G246,CHAR(160)," "),5) &amp; "|Ideas Rate",
      TRIM(SUBSTITUTE($T$2:$T$38,CHAR(160)," ")) &amp; "|" &amp;
      LEFT(SUBSTITUTE($U$2:$U$38,CHAR(160)," "),5) &amp; "|" &amp;
      TRIM(SUBSTITUTE($V$2:$V$38,CHAR(160)," ")),
      $W$2:$W$38
    )
  ),
"")</f>
        <v>18.75</v>
      </c>
      <c r="O246"/>
    </row>
    <row r="247" spans="1:15" x14ac:dyDescent="0.2">
      <c r="A247" s="38">
        <v>46063</v>
      </c>
      <c r="B247" s="171" t="s">
        <v>564</v>
      </c>
      <c r="C247" s="20" t="s">
        <v>519</v>
      </c>
      <c r="D247" t="s">
        <v>178</v>
      </c>
      <c r="E247" s="37" t="s">
        <v>646</v>
      </c>
      <c r="F247" s="37" t="s">
        <v>10</v>
      </c>
      <c r="G247" t="s">
        <v>380</v>
      </c>
      <c r="H247" s="194">
        <v>0.75</v>
      </c>
      <c r="I247" s="160" cm="1">
        <f t="array" ref="I247">IFERROR(
  VALUE($H247) *
  VALUE(
    _xlfn.XLOOKUP(
      TRIM($F247) &amp; "|" &amp; LEFT(SUBSTITUTE($G247,CHAR(160)," "),5) &amp; "|Full Rate",
      TRIM(SUBSTITUTE($T$2:$T$38,CHAR(160)," ")) &amp; "|" &amp;
      LEFT(SUBSTITUTE($U$2:$U$38,CHAR(160)," "),5) &amp; "|" &amp;
      TRIM(SUBSTITUTE($V$2:$V$38,CHAR(160)," ")),
      $W$2:$W$38
    )
  ),
"")</f>
        <v>187.5</v>
      </c>
      <c r="J247" s="161" cm="1">
        <f t="array" ref="J247">IFERROR(
  VALUE($H247) *
  VALUE(
    _xlfn.XLOOKUP(
      TRIM($F247) &amp; "|" &amp; LEFT(SUBSTITUTE($G247,CHAR(160)," "),5) &amp; "|Reduced Rate",
      TRIM(SUBSTITUTE($T$2:$T$38,CHAR(160)," ")) &amp; "|" &amp;
      LEFT(SUBSTITUTE($U$2:$U$38,CHAR(160)," "),5) &amp; "|" &amp;
      TRIM(SUBSTITUTE($V$2:$V$38,CHAR(160)," ")),
      $W$2:$W$38
    )
  ),
"")</f>
        <v>112.5</v>
      </c>
      <c r="K247" s="42" cm="1">
        <f t="array" ref="K247">IFERROR(
  VALUE($H247) *
  VALUE(
    _xlfn.XLOOKUP(
      TRIM($F247) &amp; "|" &amp; LEFT(SUBSTITUTE($G247,CHAR(160)," "),5) &amp; "|Ideas Rate",
      TRIM(SUBSTITUTE($T$2:$T$38,CHAR(160)," ")) &amp; "|" &amp;
      LEFT(SUBSTITUTE($U$2:$U$38,CHAR(160)," "),5) &amp; "|" &amp;
      TRIM(SUBSTITUTE($V$2:$V$38,CHAR(160)," ")),
      $W$2:$W$38
    )
  ),
"")</f>
        <v>56.25</v>
      </c>
      <c r="O247"/>
    </row>
    <row r="248" spans="1:15" x14ac:dyDescent="0.2">
      <c r="A248" s="38">
        <v>46063</v>
      </c>
      <c r="B248" s="171" t="s">
        <v>564</v>
      </c>
      <c r="C248" s="20" t="s">
        <v>519</v>
      </c>
      <c r="D248" t="s">
        <v>190</v>
      </c>
      <c r="E248" s="37" t="s">
        <v>615</v>
      </c>
      <c r="F248" s="37" t="s">
        <v>10</v>
      </c>
      <c r="G248" t="s">
        <v>380</v>
      </c>
      <c r="H248" s="194">
        <v>6</v>
      </c>
      <c r="I248" s="160" cm="1">
        <f t="array" ref="I248">IFERROR(
  VALUE($H248) *
  VALUE(
    _xlfn.XLOOKUP(
      TRIM($F248) &amp; "|" &amp; LEFT(SUBSTITUTE($G248,CHAR(160)," "),5) &amp; "|Full Rate",
      TRIM(SUBSTITUTE($T$2:$T$38,CHAR(160)," ")) &amp; "|" &amp;
      LEFT(SUBSTITUTE($U$2:$U$38,CHAR(160)," "),5) &amp; "|" &amp;
      TRIM(SUBSTITUTE($V$2:$V$38,CHAR(160)," ")),
      $W$2:$W$38
    )
  ),
"")</f>
        <v>1500</v>
      </c>
      <c r="J248" s="161" cm="1">
        <f t="array" ref="J248">IFERROR(
  VALUE($H248) *
  VALUE(
    _xlfn.XLOOKUP(
      TRIM($F248) &amp; "|" &amp; LEFT(SUBSTITUTE($G248,CHAR(160)," "),5) &amp; "|Reduced Rate",
      TRIM(SUBSTITUTE($T$2:$T$38,CHAR(160)," ")) &amp; "|" &amp;
      LEFT(SUBSTITUTE($U$2:$U$38,CHAR(160)," "),5) &amp; "|" &amp;
      TRIM(SUBSTITUTE($V$2:$V$38,CHAR(160)," ")),
      $W$2:$W$38
    )
  ),
"")</f>
        <v>900</v>
      </c>
      <c r="K248" s="42" cm="1">
        <f t="array" ref="K248">IFERROR(
  VALUE($H248) *
  VALUE(
    _xlfn.XLOOKUP(
      TRIM($F248) &amp; "|" &amp; LEFT(SUBSTITUTE($G248,CHAR(160)," "),5) &amp; "|Ideas Rate",
      TRIM(SUBSTITUTE($T$2:$T$38,CHAR(160)," ")) &amp; "|" &amp;
      LEFT(SUBSTITUTE($U$2:$U$38,CHAR(160)," "),5) &amp; "|" &amp;
      TRIM(SUBSTITUTE($V$2:$V$38,CHAR(160)," ")),
      $W$2:$W$38
    )
  ),
"")</f>
        <v>450</v>
      </c>
      <c r="O248"/>
    </row>
    <row r="249" spans="1:15" x14ac:dyDescent="0.2">
      <c r="A249" s="38">
        <v>46063</v>
      </c>
      <c r="B249" s="171" t="s">
        <v>564</v>
      </c>
      <c r="C249" s="20" t="s">
        <v>519</v>
      </c>
      <c r="D249" t="s">
        <v>178</v>
      </c>
      <c r="E249" s="37" t="s">
        <v>649</v>
      </c>
      <c r="F249" s="37" t="s">
        <v>10</v>
      </c>
      <c r="G249" t="s">
        <v>380</v>
      </c>
      <c r="H249" s="194">
        <v>1</v>
      </c>
      <c r="I249" s="160" cm="1">
        <f t="array" ref="I249">IFERROR(
  VALUE($H249) *
  VALUE(
    _xlfn.XLOOKUP(
      TRIM($F249) &amp; "|" &amp; LEFT(SUBSTITUTE($G249,CHAR(160)," "),5) &amp; "|Full Rate",
      TRIM(SUBSTITUTE($T$2:$T$38,CHAR(160)," ")) &amp; "|" &amp;
      LEFT(SUBSTITUTE($U$2:$U$38,CHAR(160)," "),5) &amp; "|" &amp;
      TRIM(SUBSTITUTE($V$2:$V$38,CHAR(160)," ")),
      $W$2:$W$38
    )
  ),
"")</f>
        <v>250</v>
      </c>
      <c r="J249" s="161" cm="1">
        <f t="array" ref="J249">IFERROR(
  VALUE($H249) *
  VALUE(
    _xlfn.XLOOKUP(
      TRIM($F249) &amp; "|" &amp; LEFT(SUBSTITUTE($G249,CHAR(160)," "),5) &amp; "|Reduced Rate",
      TRIM(SUBSTITUTE($T$2:$T$38,CHAR(160)," ")) &amp; "|" &amp;
      LEFT(SUBSTITUTE($U$2:$U$38,CHAR(160)," "),5) &amp; "|" &amp;
      TRIM(SUBSTITUTE($V$2:$V$38,CHAR(160)," ")),
      $W$2:$W$38
    )
  ),
"")</f>
        <v>150</v>
      </c>
      <c r="K249" s="42" cm="1">
        <f t="array" ref="K249">IFERROR(
  VALUE($H249) *
  VALUE(
    _xlfn.XLOOKUP(
      TRIM($F249) &amp; "|" &amp; LEFT(SUBSTITUTE($G249,CHAR(160)," "),5) &amp; "|Ideas Rate",
      TRIM(SUBSTITUTE($T$2:$T$38,CHAR(160)," ")) &amp; "|" &amp;
      LEFT(SUBSTITUTE($U$2:$U$38,CHAR(160)," "),5) &amp; "|" &amp;
      TRIM(SUBSTITUTE($V$2:$V$38,CHAR(160)," ")),
      $W$2:$W$38
    )
  ),
"")</f>
        <v>75</v>
      </c>
      <c r="O249"/>
    </row>
    <row r="250" spans="1:15" x14ac:dyDescent="0.2">
      <c r="A250" s="38">
        <v>46064</v>
      </c>
      <c r="B250" s="171" t="s">
        <v>564</v>
      </c>
      <c r="C250" s="20" t="s">
        <v>519</v>
      </c>
      <c r="D250" t="s">
        <v>178</v>
      </c>
      <c r="E250" t="s">
        <v>652</v>
      </c>
      <c r="F250" s="37" t="s">
        <v>645</v>
      </c>
      <c r="G250" t="s">
        <v>380</v>
      </c>
      <c r="H250" s="194">
        <v>1</v>
      </c>
      <c r="I250" s="160" cm="1">
        <f t="array" ref="I250">IFERROR(
  VALUE($H250) *
  VALUE(
    _xlfn.XLOOKUP(
      TRIM($F250) &amp; "|" &amp; LEFT(SUBSTITUTE($G250,CHAR(160)," "),5) &amp; "|Full Rate",
      TRIM(SUBSTITUTE($T$2:$T$38,CHAR(160)," ")) &amp; "|" &amp;
      LEFT(SUBSTITUTE($U$2:$U$38,CHAR(160)," "),5) &amp; "|" &amp;
      TRIM(SUBSTITUTE($V$2:$V$38,CHAR(160)," ")),
      $W$2:$W$38
    )
  ),
"")</f>
        <v>260</v>
      </c>
      <c r="J250" s="161" cm="1">
        <f t="array" ref="J250">IFERROR(
  VALUE($H250) *
  VALUE(
    _xlfn.XLOOKUP(
      TRIM($F250) &amp; "|" &amp; LEFT(SUBSTITUTE($G250,CHAR(160)," "),5) &amp; "|Reduced Rate",
      TRIM(SUBSTITUTE($T$2:$T$38,CHAR(160)," ")) &amp; "|" &amp;
      LEFT(SUBSTITUTE($U$2:$U$38,CHAR(160)," "),5) &amp; "|" &amp;
      TRIM(SUBSTITUTE($V$2:$V$38,CHAR(160)," ")),
      $W$2:$W$38
    )
  ),
"")</f>
        <v>120</v>
      </c>
      <c r="K250" s="42" cm="1">
        <f t="array" ref="K250">IFERROR(
  VALUE($H250) *
  VALUE(
    _xlfn.XLOOKUP(
      TRIM($F250) &amp; "|" &amp; LEFT(SUBSTITUTE($G250,CHAR(160)," "),5) &amp; "|Ideas Rate",
      TRIM(SUBSTITUTE($T$2:$T$38,CHAR(160)," ")) &amp; "|" &amp;
      LEFT(SUBSTITUTE($U$2:$U$38,CHAR(160)," "),5) &amp; "|" &amp;
      TRIM(SUBSTITUTE($V$2:$V$38,CHAR(160)," ")),
      $W$2:$W$38
    )
  ),
"")</f>
        <v>90</v>
      </c>
    </row>
    <row r="251" spans="1:15" x14ac:dyDescent="0.2">
      <c r="A251" s="10">
        <v>46064</v>
      </c>
      <c r="B251" s="171" t="s">
        <v>564</v>
      </c>
      <c r="C251" s="20" t="s">
        <v>519</v>
      </c>
      <c r="D251" t="s">
        <v>190</v>
      </c>
      <c r="E251" t="s">
        <v>653</v>
      </c>
      <c r="F251" t="s">
        <v>155</v>
      </c>
      <c r="G251" t="s">
        <v>380</v>
      </c>
      <c r="H251" s="194">
        <v>5.5</v>
      </c>
      <c r="I251" s="160" cm="1">
        <f t="array" ref="I251">IFERROR(
  VALUE($H251) *
  VALUE(
    _xlfn.XLOOKUP(
      TRIM($F251) &amp; "|" &amp; LEFT(SUBSTITUTE($G251,CHAR(160)," "),5) &amp; "|Full Rate",
      TRIM(SUBSTITUTE($T$2:$T$38,CHAR(160)," ")) &amp; "|" &amp;
      LEFT(SUBSTITUTE($U$2:$U$38,CHAR(160)," "),5) &amp; "|" &amp;
      TRIM(SUBSTITUTE($V$2:$V$38,CHAR(160)," ")),
      $W$2:$W$38
    )
  ),
"")</f>
        <v>1430</v>
      </c>
      <c r="J251" s="161" cm="1">
        <f t="array" ref="J251">IFERROR(
  VALUE($H251) *
  VALUE(
    _xlfn.XLOOKUP(
      TRIM($F251) &amp; "|" &amp; LEFT(SUBSTITUTE($G251,CHAR(160)," "),5) &amp; "|Reduced Rate",
      TRIM(SUBSTITUTE($T$2:$T$38,CHAR(160)," ")) &amp; "|" &amp;
      LEFT(SUBSTITUTE($U$2:$U$38,CHAR(160)," "),5) &amp; "|" &amp;
      TRIM(SUBSTITUTE($V$2:$V$38,CHAR(160)," ")),
      $W$2:$W$38
    )
  ),
"")</f>
        <v>660</v>
      </c>
      <c r="K251" s="42" cm="1">
        <f t="array" ref="K251">IFERROR(
  VALUE($H251) *
  VALUE(
    _xlfn.XLOOKUP(
      TRIM($F251) &amp; "|" &amp; LEFT(SUBSTITUTE($G251,CHAR(160)," "),5) &amp; "|Ideas Rate",
      TRIM(SUBSTITUTE($T$2:$T$38,CHAR(160)," ")) &amp; "|" &amp;
      LEFT(SUBSTITUTE($U$2:$U$38,CHAR(160)," "),5) &amp; "|" &amp;
      TRIM(SUBSTITUTE($V$2:$V$38,CHAR(160)," ")),
      $W$2:$W$38
    )
  ),
"")</f>
        <v>495</v>
      </c>
    </row>
    <row r="252" spans="1:15" x14ac:dyDescent="0.2">
      <c r="A252" s="10">
        <v>46064</v>
      </c>
      <c r="B252" s="171" t="s">
        <v>564</v>
      </c>
      <c r="C252" s="20" t="s">
        <v>519</v>
      </c>
      <c r="D252" t="s">
        <v>178</v>
      </c>
      <c r="E252" t="s">
        <v>656</v>
      </c>
      <c r="F252" t="s">
        <v>10</v>
      </c>
      <c r="G252" t="s">
        <v>380</v>
      </c>
      <c r="H252" s="194">
        <v>1</v>
      </c>
      <c r="I252" s="160" cm="1">
        <f t="array" ref="I252">IFERROR(
  VALUE($H252) *
  VALUE(
    _xlfn.XLOOKUP(
      TRIM($F252) &amp; "|" &amp; LEFT(SUBSTITUTE($G252,CHAR(160)," "),5) &amp; "|Full Rate",
      TRIM(SUBSTITUTE($T$2:$T$38,CHAR(160)," ")) &amp; "|" &amp;
      LEFT(SUBSTITUTE($U$2:$U$38,CHAR(160)," "),5) &amp; "|" &amp;
      TRIM(SUBSTITUTE($V$2:$V$38,CHAR(160)," ")),
      $W$2:$W$38
    )
  ),
"")</f>
        <v>250</v>
      </c>
      <c r="J252" s="161" cm="1">
        <f t="array" ref="J252">IFERROR(
  VALUE($H252) *
  VALUE(
    _xlfn.XLOOKUP(
      TRIM($F252) &amp; "|" &amp; LEFT(SUBSTITUTE($G252,CHAR(160)," "),5) &amp; "|Reduced Rate",
      TRIM(SUBSTITUTE($T$2:$T$38,CHAR(160)," ")) &amp; "|" &amp;
      LEFT(SUBSTITUTE($U$2:$U$38,CHAR(160)," "),5) &amp; "|" &amp;
      TRIM(SUBSTITUTE($V$2:$V$38,CHAR(160)," ")),
      $W$2:$W$38
    )
  ),
"")</f>
        <v>150</v>
      </c>
      <c r="K252" s="42" cm="1">
        <f t="array" ref="K252">IFERROR(
  VALUE($H252) *
  VALUE(
    _xlfn.XLOOKUP(
      TRIM($F252) &amp; "|" &amp; LEFT(SUBSTITUTE($G252,CHAR(160)," "),5) &amp; "|Ideas Rate",
      TRIM(SUBSTITUTE($T$2:$T$38,CHAR(160)," ")) &amp; "|" &amp;
      LEFT(SUBSTITUTE($U$2:$U$38,CHAR(160)," "),5) &amp; "|" &amp;
      TRIM(SUBSTITUTE($V$2:$V$38,CHAR(160)," ")),
      $W$2:$W$38
    )
  ),
"")</f>
        <v>75</v>
      </c>
    </row>
    <row r="253" spans="1:15" x14ac:dyDescent="0.2">
      <c r="A253" s="10">
        <v>46064</v>
      </c>
      <c r="B253" s="171" t="s">
        <v>564</v>
      </c>
      <c r="C253" s="20" t="s">
        <v>519</v>
      </c>
      <c r="D253" t="s">
        <v>190</v>
      </c>
      <c r="E253" t="s">
        <v>653</v>
      </c>
      <c r="F253" t="s">
        <v>10</v>
      </c>
      <c r="G253" t="s">
        <v>380</v>
      </c>
      <c r="H253" s="194">
        <v>4</v>
      </c>
      <c r="I253" s="160" cm="1">
        <f t="array" ref="I253">IFERROR(
  VALUE($H253) *
  VALUE(
    _xlfn.XLOOKUP(
      TRIM($F253) &amp; "|" &amp; LEFT(SUBSTITUTE($G253,CHAR(160)," "),5) &amp; "|Full Rate",
      TRIM(SUBSTITUTE($T$2:$T$38,CHAR(160)," ")) &amp; "|" &amp;
      LEFT(SUBSTITUTE($U$2:$U$38,CHAR(160)," "),5) &amp; "|" &amp;
      TRIM(SUBSTITUTE($V$2:$V$38,CHAR(160)," ")),
      $W$2:$W$38
    )
  ),
"")</f>
        <v>1000</v>
      </c>
      <c r="J253" s="161" cm="1">
        <f t="array" ref="J253">IFERROR(
  VALUE($H253) *
  VALUE(
    _xlfn.XLOOKUP(
      TRIM($F253) &amp; "|" &amp; LEFT(SUBSTITUTE($G253,CHAR(160)," "),5) &amp; "|Reduced Rate",
      TRIM(SUBSTITUTE($T$2:$T$38,CHAR(160)," ")) &amp; "|" &amp;
      LEFT(SUBSTITUTE($U$2:$U$38,CHAR(160)," "),5) &amp; "|" &amp;
      TRIM(SUBSTITUTE($V$2:$V$38,CHAR(160)," ")),
      $W$2:$W$38
    )
  ),
"")</f>
        <v>600</v>
      </c>
      <c r="K253" s="42" cm="1">
        <f t="array" ref="K253">IFERROR(
  VALUE($H253) *
  VALUE(
    _xlfn.XLOOKUP(
      TRIM($F253) &amp; "|" &amp; LEFT(SUBSTITUTE($G253,CHAR(160)," "),5) &amp; "|Ideas Rate",
      TRIM(SUBSTITUTE($T$2:$T$38,CHAR(160)," ")) &amp; "|" &amp;
      LEFT(SUBSTITUTE($U$2:$U$38,CHAR(160)," "),5) &amp; "|" &amp;
      TRIM(SUBSTITUTE($V$2:$V$38,CHAR(160)," ")),
      $W$2:$W$38
    )
  ),
"")</f>
        <v>300</v>
      </c>
    </row>
    <row r="254" spans="1:15" x14ac:dyDescent="0.2">
      <c r="A254" s="10">
        <v>46065</v>
      </c>
      <c r="B254" s="171" t="s">
        <v>564</v>
      </c>
      <c r="C254" s="20" t="s">
        <v>519</v>
      </c>
      <c r="D254" t="s">
        <v>178</v>
      </c>
      <c r="E254" t="s">
        <v>654</v>
      </c>
      <c r="F254" t="s">
        <v>155</v>
      </c>
      <c r="G254" t="s">
        <v>380</v>
      </c>
      <c r="H254" s="194">
        <v>1</v>
      </c>
      <c r="I254" s="160" cm="1">
        <f t="array" ref="I254">IFERROR(
  VALUE($H254) *
  VALUE(
    _xlfn.XLOOKUP(
      TRIM($F254) &amp; "|" &amp; LEFT(SUBSTITUTE($G254,CHAR(160)," "),5) &amp; "|Full Rate",
      TRIM(SUBSTITUTE($T$2:$T$38,CHAR(160)," ")) &amp; "|" &amp;
      LEFT(SUBSTITUTE($U$2:$U$38,CHAR(160)," "),5) &amp; "|" &amp;
      TRIM(SUBSTITUTE($V$2:$V$38,CHAR(160)," ")),
      $W$2:$W$38
    )
  ),
"")</f>
        <v>260</v>
      </c>
      <c r="J254" s="161" cm="1">
        <f t="array" ref="J254">IFERROR(
  VALUE($H254) *
  VALUE(
    _xlfn.XLOOKUP(
      TRIM($F254) &amp; "|" &amp; LEFT(SUBSTITUTE($G254,CHAR(160)," "),5) &amp; "|Reduced Rate",
      TRIM(SUBSTITUTE($T$2:$T$38,CHAR(160)," ")) &amp; "|" &amp;
      LEFT(SUBSTITUTE($U$2:$U$38,CHAR(160)," "),5) &amp; "|" &amp;
      TRIM(SUBSTITUTE($V$2:$V$38,CHAR(160)," ")),
      $W$2:$W$38
    )
  ),
"")</f>
        <v>120</v>
      </c>
      <c r="K254" s="42" cm="1">
        <f t="array" ref="K254">IFERROR(
  VALUE($H254) *
  VALUE(
    _xlfn.XLOOKUP(
      TRIM($F254) &amp; "|" &amp; LEFT(SUBSTITUTE($G254,CHAR(160)," "),5) &amp; "|Ideas Rate",
      TRIM(SUBSTITUTE($T$2:$T$38,CHAR(160)," ")) &amp; "|" &amp;
      LEFT(SUBSTITUTE($U$2:$U$38,CHAR(160)," "),5) &amp; "|" &amp;
      TRIM(SUBSTITUTE($V$2:$V$38,CHAR(160)," ")),
      $W$2:$W$38
    )
  ),
"")</f>
        <v>90</v>
      </c>
    </row>
    <row r="255" spans="1:15" x14ac:dyDescent="0.2">
      <c r="A255" s="10">
        <v>46065</v>
      </c>
      <c r="B255" s="171" t="s">
        <v>564</v>
      </c>
      <c r="C255" s="20" t="s">
        <v>519</v>
      </c>
      <c r="D255" t="s">
        <v>178</v>
      </c>
      <c r="E255" t="s">
        <v>655</v>
      </c>
      <c r="F255" t="s">
        <v>155</v>
      </c>
      <c r="G255" t="s">
        <v>380</v>
      </c>
      <c r="H255" s="194">
        <v>1.5</v>
      </c>
      <c r="I255" s="160" cm="1">
        <f t="array" ref="I255">IFERROR(
  VALUE($H255) *
  VALUE(
    _xlfn.XLOOKUP(
      TRIM($F255) &amp; "|" &amp; LEFT(SUBSTITUTE($G255,CHAR(160)," "),5) &amp; "|Full Rate",
      TRIM(SUBSTITUTE($T$2:$T$38,CHAR(160)," ")) &amp; "|" &amp;
      LEFT(SUBSTITUTE($U$2:$U$38,CHAR(160)," "),5) &amp; "|" &amp;
      TRIM(SUBSTITUTE($V$2:$V$38,CHAR(160)," ")),
      $W$2:$W$38
    )
  ),
"")</f>
        <v>390</v>
      </c>
      <c r="J255" s="161" cm="1">
        <f t="array" ref="J255">IFERROR(
  VALUE($H255) *
  VALUE(
    _xlfn.XLOOKUP(
      TRIM($F255) &amp; "|" &amp; LEFT(SUBSTITUTE($G255,CHAR(160)," "),5) &amp; "|Reduced Rate",
      TRIM(SUBSTITUTE($T$2:$T$38,CHAR(160)," ")) &amp; "|" &amp;
      LEFT(SUBSTITUTE($U$2:$U$38,CHAR(160)," "),5) &amp; "|" &amp;
      TRIM(SUBSTITUTE($V$2:$V$38,CHAR(160)," ")),
      $W$2:$W$38
    )
  ),
"")</f>
        <v>180</v>
      </c>
      <c r="K255" s="42" cm="1">
        <f t="array" ref="K255">IFERROR(
  VALUE($H255) *
  VALUE(
    _xlfn.XLOOKUP(
      TRIM($F255) &amp; "|" &amp; LEFT(SUBSTITUTE($G255,CHAR(160)," "),5) &amp; "|Ideas Rate",
      TRIM(SUBSTITUTE($T$2:$T$38,CHAR(160)," ")) &amp; "|" &amp;
      LEFT(SUBSTITUTE($U$2:$U$38,CHAR(160)," "),5) &amp; "|" &amp;
      TRIM(SUBSTITUTE($V$2:$V$38,CHAR(160)," ")),
      $W$2:$W$38
    )
  ),
"")</f>
        <v>135</v>
      </c>
    </row>
    <row r="256" spans="1:15" x14ac:dyDescent="0.2">
      <c r="A256" s="10">
        <v>46065</v>
      </c>
      <c r="B256" s="171" t="s">
        <v>564</v>
      </c>
      <c r="C256" s="20" t="s">
        <v>519</v>
      </c>
      <c r="D256" t="s">
        <v>190</v>
      </c>
      <c r="E256" t="s">
        <v>653</v>
      </c>
      <c r="F256" t="s">
        <v>155</v>
      </c>
      <c r="G256" t="s">
        <v>380</v>
      </c>
      <c r="H256" s="194">
        <v>3.5</v>
      </c>
      <c r="I256" s="160" cm="1">
        <f t="array" ref="I256">IFERROR(
  VALUE($H256) *
  VALUE(
    _xlfn.XLOOKUP(
      TRIM($F256) &amp; "|" &amp; LEFT(SUBSTITUTE($G256,CHAR(160)," "),5) &amp; "|Full Rate",
      TRIM(SUBSTITUTE($T$2:$T$38,CHAR(160)," ")) &amp; "|" &amp;
      LEFT(SUBSTITUTE($U$2:$U$38,CHAR(160)," "),5) &amp; "|" &amp;
      TRIM(SUBSTITUTE($V$2:$V$38,CHAR(160)," ")),
      $W$2:$W$38
    )
  ),
"")</f>
        <v>910</v>
      </c>
      <c r="J256" s="161" cm="1">
        <f t="array" ref="J256">IFERROR(
  VALUE($H256) *
  VALUE(
    _xlfn.XLOOKUP(
      TRIM($F256) &amp; "|" &amp; LEFT(SUBSTITUTE($G256,CHAR(160)," "),5) &amp; "|Reduced Rate",
      TRIM(SUBSTITUTE($T$2:$T$38,CHAR(160)," ")) &amp; "|" &amp;
      LEFT(SUBSTITUTE($U$2:$U$38,CHAR(160)," "),5) &amp; "|" &amp;
      TRIM(SUBSTITUTE($V$2:$V$38,CHAR(160)," ")),
      $W$2:$W$38
    )
  ),
"")</f>
        <v>420</v>
      </c>
      <c r="K256" s="42" cm="1">
        <f t="array" ref="K256">IFERROR(
  VALUE($H256) *
  VALUE(
    _xlfn.XLOOKUP(
      TRIM($F256) &amp; "|" &amp; LEFT(SUBSTITUTE($G256,CHAR(160)," "),5) &amp; "|Ideas Rate",
      TRIM(SUBSTITUTE($T$2:$T$38,CHAR(160)," ")) &amp; "|" &amp;
      LEFT(SUBSTITUTE($U$2:$U$38,CHAR(160)," "),5) &amp; "|" &amp;
      TRIM(SUBSTITUTE($V$2:$V$38,CHAR(160)," ")),
      $W$2:$W$38
    )
  ),
"")</f>
        <v>315</v>
      </c>
    </row>
    <row r="257" spans="1:11" x14ac:dyDescent="0.2">
      <c r="A257" s="10">
        <v>46065</v>
      </c>
      <c r="B257" s="171" t="s">
        <v>564</v>
      </c>
      <c r="C257" s="20" t="s">
        <v>519</v>
      </c>
      <c r="D257" t="s">
        <v>178</v>
      </c>
      <c r="E257" s="320" t="s">
        <v>657</v>
      </c>
      <c r="F257" t="s">
        <v>10</v>
      </c>
      <c r="G257" t="s">
        <v>380</v>
      </c>
      <c r="H257" s="194">
        <v>1</v>
      </c>
      <c r="I257" s="160" cm="1">
        <f t="array" ref="I257">IFERROR(
  VALUE($H257) *
  VALUE(
    _xlfn.XLOOKUP(
      TRIM($F257) &amp; "|" &amp; LEFT(SUBSTITUTE($G257,CHAR(160)," "),5) &amp; "|Full Rate",
      TRIM(SUBSTITUTE($T$2:$T$38,CHAR(160)," ")) &amp; "|" &amp;
      LEFT(SUBSTITUTE($U$2:$U$38,CHAR(160)," "),5) &amp; "|" &amp;
      TRIM(SUBSTITUTE($V$2:$V$38,CHAR(160)," ")),
      $W$2:$W$38
    )
  ),
"")</f>
        <v>250</v>
      </c>
      <c r="J257" s="161" cm="1">
        <f t="array" ref="J257">IFERROR(
  VALUE($H257) *
  VALUE(
    _xlfn.XLOOKUP(
      TRIM($F257) &amp; "|" &amp; LEFT(SUBSTITUTE($G257,CHAR(160)," "),5) &amp; "|Reduced Rate",
      TRIM(SUBSTITUTE($T$2:$T$38,CHAR(160)," ")) &amp; "|" &amp;
      LEFT(SUBSTITUTE($U$2:$U$38,CHAR(160)," "),5) &amp; "|" &amp;
      TRIM(SUBSTITUTE($V$2:$V$38,CHAR(160)," ")),
      $W$2:$W$38
    )
  ),
"")</f>
        <v>150</v>
      </c>
      <c r="K257" s="42" cm="1">
        <f t="array" ref="K257">IFERROR(
  VALUE($H257) *
  VALUE(
    _xlfn.XLOOKUP(
      TRIM($F257) &amp; "|" &amp; LEFT(SUBSTITUTE($G257,CHAR(160)," "),5) &amp; "|Ideas Rate",
      TRIM(SUBSTITUTE($T$2:$T$38,CHAR(160)," ")) &amp; "|" &amp;
      LEFT(SUBSTITUTE($U$2:$U$38,CHAR(160)," "),5) &amp; "|" &amp;
      TRIM(SUBSTITUTE($V$2:$V$38,CHAR(160)," ")),
      $W$2:$W$38
    )
  ),
"")</f>
        <v>75</v>
      </c>
    </row>
    <row r="258" spans="1:11" x14ac:dyDescent="0.2">
      <c r="A258" s="10">
        <v>46065</v>
      </c>
      <c r="B258" s="171" t="s">
        <v>564</v>
      </c>
      <c r="C258" s="20" t="s">
        <v>519</v>
      </c>
      <c r="D258" t="s">
        <v>178</v>
      </c>
      <c r="E258" t="s">
        <v>658</v>
      </c>
      <c r="F258" t="s">
        <v>10</v>
      </c>
      <c r="G258" t="s">
        <v>380</v>
      </c>
      <c r="H258" s="194">
        <v>1.5</v>
      </c>
      <c r="I258" s="160" cm="1">
        <f t="array" ref="I258">IFERROR(
  VALUE($H258) *
  VALUE(
    _xlfn.XLOOKUP(
      TRIM($F258) &amp; "|" &amp; LEFT(SUBSTITUTE($G258,CHAR(160)," "),5) &amp; "|Full Rate",
      TRIM(SUBSTITUTE($T$2:$T$38,CHAR(160)," ")) &amp; "|" &amp;
      LEFT(SUBSTITUTE($U$2:$U$38,CHAR(160)," "),5) &amp; "|" &amp;
      TRIM(SUBSTITUTE($V$2:$V$38,CHAR(160)," ")),
      $W$2:$W$38
    )
  ),
"")</f>
        <v>375</v>
      </c>
      <c r="J258" s="161" cm="1">
        <f t="array" ref="J258">IFERROR(
  VALUE($H258) *
  VALUE(
    _xlfn.XLOOKUP(
      TRIM($F258) &amp; "|" &amp; LEFT(SUBSTITUTE($G258,CHAR(160)," "),5) &amp; "|Reduced Rate",
      TRIM(SUBSTITUTE($T$2:$T$38,CHAR(160)," ")) &amp; "|" &amp;
      LEFT(SUBSTITUTE($U$2:$U$38,CHAR(160)," "),5) &amp; "|" &amp;
      TRIM(SUBSTITUTE($V$2:$V$38,CHAR(160)," ")),
      $W$2:$W$38
    )
  ),
"")</f>
        <v>225</v>
      </c>
      <c r="K258" s="42" cm="1">
        <f t="array" ref="K258">IFERROR(
  VALUE($H258) *
  VALUE(
    _xlfn.XLOOKUP(
      TRIM($F258) &amp; "|" &amp; LEFT(SUBSTITUTE($G258,CHAR(160)," "),5) &amp; "|Ideas Rate",
      TRIM(SUBSTITUTE($T$2:$T$38,CHAR(160)," ")) &amp; "|" &amp;
      LEFT(SUBSTITUTE($U$2:$U$38,CHAR(160)," "),5) &amp; "|" &amp;
      TRIM(SUBSTITUTE($V$2:$V$38,CHAR(160)," ")),
      $W$2:$W$38
    )
  ),
"")</f>
        <v>112.5</v>
      </c>
    </row>
    <row r="259" spans="1:11" x14ac:dyDescent="0.2">
      <c r="A259" s="10">
        <v>46065</v>
      </c>
      <c r="B259" s="171" t="s">
        <v>564</v>
      </c>
      <c r="C259" s="20" t="s">
        <v>519</v>
      </c>
      <c r="D259" t="s">
        <v>190</v>
      </c>
      <c r="E259" t="s">
        <v>653</v>
      </c>
      <c r="F259" t="s">
        <v>10</v>
      </c>
      <c r="G259" t="s">
        <v>380</v>
      </c>
      <c r="H259" s="194">
        <v>0.5</v>
      </c>
      <c r="I259" s="160" cm="1">
        <f t="array" ref="I259">IFERROR(
  VALUE($H259) *
  VALUE(
    _xlfn.XLOOKUP(
      TRIM($F259) &amp; "|" &amp; LEFT(SUBSTITUTE($G259,CHAR(160)," "),5) &amp; "|Full Rate",
      TRIM(SUBSTITUTE($T$2:$T$38,CHAR(160)," ")) &amp; "|" &amp;
      LEFT(SUBSTITUTE($U$2:$U$38,CHAR(160)," "),5) &amp; "|" &amp;
      TRIM(SUBSTITUTE($V$2:$V$38,CHAR(160)," ")),
      $W$2:$W$38
    )
  ),
"")</f>
        <v>125</v>
      </c>
      <c r="J259" s="161" cm="1">
        <f t="array" ref="J259">IFERROR(
  VALUE($H259) *
  VALUE(
    _xlfn.XLOOKUP(
      TRIM($F259) &amp; "|" &amp; LEFT(SUBSTITUTE($G259,CHAR(160)," "),5) &amp; "|Reduced Rate",
      TRIM(SUBSTITUTE($T$2:$T$38,CHAR(160)," ")) &amp; "|" &amp;
      LEFT(SUBSTITUTE($U$2:$U$38,CHAR(160)," "),5) &amp; "|" &amp;
      TRIM(SUBSTITUTE($V$2:$V$38,CHAR(160)," ")),
      $W$2:$W$38
    )
  ),
"")</f>
        <v>75</v>
      </c>
      <c r="K259" s="42" cm="1">
        <f t="array" ref="K259">IFERROR(
  VALUE($H259) *
  VALUE(
    _xlfn.XLOOKUP(
      TRIM($F259) &amp; "|" &amp; LEFT(SUBSTITUTE($G259,CHAR(160)," "),5) &amp; "|Ideas Rate",
      TRIM(SUBSTITUTE($T$2:$T$38,CHAR(160)," ")) &amp; "|" &amp;
      LEFT(SUBSTITUTE($U$2:$U$38,CHAR(160)," "),5) &amp; "|" &amp;
      TRIM(SUBSTITUTE($V$2:$V$38,CHAR(160)," ")),
      $W$2:$W$38
    )
  ),
"")</f>
        <v>37.5</v>
      </c>
    </row>
    <row r="260" spans="1:11" x14ac:dyDescent="0.2">
      <c r="A260" s="10">
        <v>46065</v>
      </c>
      <c r="B260" s="171" t="s">
        <v>564</v>
      </c>
      <c r="C260" s="20" t="s">
        <v>519</v>
      </c>
      <c r="D260" t="s">
        <v>178</v>
      </c>
      <c r="E260" s="320" t="s">
        <v>659</v>
      </c>
      <c r="F260" t="s">
        <v>9</v>
      </c>
      <c r="G260" t="s">
        <v>380</v>
      </c>
      <c r="H260" s="194">
        <v>1</v>
      </c>
      <c r="I260" s="160" cm="1">
        <f t="array" ref="I260">IFERROR(
  VALUE($H260) *
  VALUE(
    _xlfn.XLOOKUP(
      TRIM($F260) &amp; "|" &amp; LEFT(SUBSTITUTE($G260,CHAR(160)," "),5) &amp; "|Full Rate",
      TRIM(SUBSTITUTE($T$2:$T$38,CHAR(160)," ")) &amp; "|" &amp;
      LEFT(SUBSTITUTE($U$2:$U$38,CHAR(160)," "),5) &amp; "|" &amp;
      TRIM(SUBSTITUTE($V$2:$V$38,CHAR(160)," ")),
      $W$2:$W$38
    )
  ),
"")</f>
        <v>250</v>
      </c>
      <c r="J260" s="161" cm="1">
        <f t="array" ref="J260">IFERROR(
  VALUE($H260) *
  VALUE(
    _xlfn.XLOOKUP(
      TRIM($F260) &amp; "|" &amp; LEFT(SUBSTITUTE($G260,CHAR(160)," "),5) &amp; "|Reduced Rate",
      TRIM(SUBSTITUTE($T$2:$T$38,CHAR(160)," ")) &amp; "|" &amp;
      LEFT(SUBSTITUTE($U$2:$U$38,CHAR(160)," "),5) &amp; "|" &amp;
      TRIM(SUBSTITUTE($V$2:$V$38,CHAR(160)," ")),
      $W$2:$W$38
    )
  ),
"")</f>
        <v>150</v>
      </c>
      <c r="K260" s="42" cm="1">
        <f t="array" ref="K260">IFERROR(
  VALUE($H260) *
  VALUE(
    _xlfn.XLOOKUP(
      TRIM($F260) &amp; "|" &amp; LEFT(SUBSTITUTE($G260,CHAR(160)," "),5) &amp; "|Ideas Rate",
      TRIM(SUBSTITUTE($T$2:$T$38,CHAR(160)," ")) &amp; "|" &amp;
      LEFT(SUBSTITUTE($U$2:$U$38,CHAR(160)," "),5) &amp; "|" &amp;
      TRIM(SUBSTITUTE($V$2:$V$38,CHAR(160)," ")),
      $W$2:$W$38
    )
  ),
"")</f>
        <v>75</v>
      </c>
    </row>
    <row r="261" spans="1:11" x14ac:dyDescent="0.2">
      <c r="A261" s="10">
        <v>46065</v>
      </c>
      <c r="B261" s="171" t="s">
        <v>564</v>
      </c>
      <c r="C261" s="20" t="s">
        <v>519</v>
      </c>
      <c r="D261" t="s">
        <v>178</v>
      </c>
      <c r="E261" t="s">
        <v>660</v>
      </c>
      <c r="F261" t="s">
        <v>9</v>
      </c>
      <c r="G261" t="s">
        <v>380</v>
      </c>
      <c r="H261" s="194">
        <v>1.5</v>
      </c>
      <c r="I261" s="160" cm="1">
        <f t="array" ref="I261">IFERROR(
  VALUE($H261) *
  VALUE(
    _xlfn.XLOOKUP(
      TRIM($F261) &amp; "|" &amp; LEFT(SUBSTITUTE($G261,CHAR(160)," "),5) &amp; "|Full Rate",
      TRIM(SUBSTITUTE($T$2:$T$38,CHAR(160)," ")) &amp; "|" &amp;
      LEFT(SUBSTITUTE($U$2:$U$38,CHAR(160)," "),5) &amp; "|" &amp;
      TRIM(SUBSTITUTE($V$2:$V$38,CHAR(160)," ")),
      $W$2:$W$38
    )
  ),
"")</f>
        <v>375</v>
      </c>
      <c r="J261" s="161" cm="1">
        <f t="array" ref="J261">IFERROR(
  VALUE($H261) *
  VALUE(
    _xlfn.XLOOKUP(
      TRIM($F261) &amp; "|" &amp; LEFT(SUBSTITUTE($G261,CHAR(160)," "),5) &amp; "|Reduced Rate",
      TRIM(SUBSTITUTE($T$2:$T$38,CHAR(160)," ")) &amp; "|" &amp;
      LEFT(SUBSTITUTE($U$2:$U$38,CHAR(160)," "),5) &amp; "|" &amp;
      TRIM(SUBSTITUTE($V$2:$V$38,CHAR(160)," ")),
      $W$2:$W$38
    )
  ),
"")</f>
        <v>225</v>
      </c>
      <c r="K261" s="42" cm="1">
        <f t="array" ref="K261">IFERROR(
  VALUE($H261) *
  VALUE(
    _xlfn.XLOOKUP(
      TRIM($F261) &amp; "|" &amp; LEFT(SUBSTITUTE($G261,CHAR(160)," "),5) &amp; "|Ideas Rate",
      TRIM(SUBSTITUTE($T$2:$T$38,CHAR(160)," ")) &amp; "|" &amp;
      LEFT(SUBSTITUTE($U$2:$U$38,CHAR(160)," "),5) &amp; "|" &amp;
      TRIM(SUBSTITUTE($V$2:$V$38,CHAR(160)," ")),
      $W$2:$W$38
    )
  ),
"")</f>
        <v>112.5</v>
      </c>
    </row>
    <row r="262" spans="1:11" x14ac:dyDescent="0.2">
      <c r="A262" s="10">
        <v>46066</v>
      </c>
      <c r="B262" s="171" t="s">
        <v>564</v>
      </c>
      <c r="C262" s="20" t="s">
        <v>519</v>
      </c>
      <c r="D262" t="s">
        <v>191</v>
      </c>
      <c r="E262" t="s">
        <v>661</v>
      </c>
      <c r="F262" t="s">
        <v>155</v>
      </c>
      <c r="G262" t="s">
        <v>380</v>
      </c>
      <c r="H262" s="194">
        <v>2.5</v>
      </c>
      <c r="I262" s="160" cm="1">
        <f t="array" ref="I262">IFERROR(
  VALUE($H262) *
  VALUE(
    _xlfn.XLOOKUP(
      TRIM($F262) &amp; "|" &amp; LEFT(SUBSTITUTE($G262,CHAR(160)," "),5) &amp; "|Full Rate",
      TRIM(SUBSTITUTE($T$2:$T$38,CHAR(160)," ")) &amp; "|" &amp;
      LEFT(SUBSTITUTE($U$2:$U$38,CHAR(160)," "),5) &amp; "|" &amp;
      TRIM(SUBSTITUTE($V$2:$V$38,CHAR(160)," ")),
      $W$2:$W$38
    )
  ),
"")</f>
        <v>650</v>
      </c>
      <c r="J262" s="161" cm="1">
        <f t="array" ref="J262">IFERROR(
  VALUE($H262) *
  VALUE(
    _xlfn.XLOOKUP(
      TRIM($F262) &amp; "|" &amp; LEFT(SUBSTITUTE($G262,CHAR(160)," "),5) &amp; "|Reduced Rate",
      TRIM(SUBSTITUTE($T$2:$T$38,CHAR(160)," ")) &amp; "|" &amp;
      LEFT(SUBSTITUTE($U$2:$U$38,CHAR(160)," "),5) &amp; "|" &amp;
      TRIM(SUBSTITUTE($V$2:$V$38,CHAR(160)," ")),
      $W$2:$W$38
    )
  ),
"")</f>
        <v>300</v>
      </c>
      <c r="K262" s="42" cm="1">
        <f t="array" ref="K262">IFERROR(
  VALUE($H262) *
  VALUE(
    _xlfn.XLOOKUP(
      TRIM($F262) &amp; "|" &amp; LEFT(SUBSTITUTE($G262,CHAR(160)," "),5) &amp; "|Ideas Rate",
      TRIM(SUBSTITUTE($T$2:$T$38,CHAR(160)," ")) &amp; "|" &amp;
      LEFT(SUBSTITUTE($U$2:$U$38,CHAR(160)," "),5) &amp; "|" &amp;
      TRIM(SUBSTITUTE($V$2:$V$38,CHAR(160)," ")),
      $W$2:$W$38
    )
  ),
"")</f>
        <v>225</v>
      </c>
    </row>
    <row r="263" spans="1:11" x14ac:dyDescent="0.2">
      <c r="A263" s="10">
        <v>46066</v>
      </c>
      <c r="B263" s="171" t="s">
        <v>564</v>
      </c>
      <c r="C263" s="20" t="s">
        <v>519</v>
      </c>
      <c r="D263" t="s">
        <v>178</v>
      </c>
      <c r="E263" t="s">
        <v>662</v>
      </c>
      <c r="F263" t="s">
        <v>155</v>
      </c>
      <c r="G263" t="s">
        <v>380</v>
      </c>
      <c r="H263" s="321">
        <v>0.5</v>
      </c>
      <c r="I263" s="160" cm="1">
        <f t="array" ref="I263">IFERROR(
  VALUE($H263) *
  VALUE(
    _xlfn.XLOOKUP(
      TRIM($F263) &amp; "|" &amp; LEFT(SUBSTITUTE($G263,CHAR(160)," "),5) &amp; "|Full Rate",
      TRIM(SUBSTITUTE($T$2:$T$38,CHAR(160)," ")) &amp; "|" &amp;
      LEFT(SUBSTITUTE($U$2:$U$38,CHAR(160)," "),5) &amp; "|" &amp;
      TRIM(SUBSTITUTE($V$2:$V$38,CHAR(160)," ")),
      $W$2:$W$38
    )
  ),
"")</f>
        <v>130</v>
      </c>
      <c r="J263" s="161" cm="1">
        <f t="array" ref="J263">IFERROR(
  VALUE($H263) *
  VALUE(
    _xlfn.XLOOKUP(
      TRIM($F263) &amp; "|" &amp; LEFT(SUBSTITUTE($G263,CHAR(160)," "),5) &amp; "|Reduced Rate",
      TRIM(SUBSTITUTE($T$2:$T$38,CHAR(160)," ")) &amp; "|" &amp;
      LEFT(SUBSTITUTE($U$2:$U$38,CHAR(160)," "),5) &amp; "|" &amp;
      TRIM(SUBSTITUTE($V$2:$V$38,CHAR(160)," ")),
      $W$2:$W$38
    )
  ),
"")</f>
        <v>60</v>
      </c>
      <c r="K263" s="42" cm="1">
        <f t="array" ref="K263">IFERROR(
  VALUE($H263) *
  VALUE(
    _xlfn.XLOOKUP(
      TRIM($F263) &amp; "|" &amp; LEFT(SUBSTITUTE($G263,CHAR(160)," "),5) &amp; "|Ideas Rate",
      TRIM(SUBSTITUTE($T$2:$T$38,CHAR(160)," ")) &amp; "|" &amp;
      LEFT(SUBSTITUTE($U$2:$U$38,CHAR(160)," "),5) &amp; "|" &amp;
      TRIM(SUBSTITUTE($V$2:$V$38,CHAR(160)," ")),
      $W$2:$W$38
    )
  ),
"")</f>
        <v>45</v>
      </c>
    </row>
    <row r="264" spans="1:11" x14ac:dyDescent="0.2">
      <c r="A264" s="10">
        <v>46067</v>
      </c>
      <c r="B264" s="171" t="s">
        <v>564</v>
      </c>
      <c r="C264" s="20" t="s">
        <v>519</v>
      </c>
      <c r="D264" t="s">
        <v>178</v>
      </c>
      <c r="E264" t="s">
        <v>663</v>
      </c>
      <c r="F264" t="s">
        <v>155</v>
      </c>
      <c r="G264" t="s">
        <v>368</v>
      </c>
      <c r="H264" s="321">
        <v>1.5</v>
      </c>
      <c r="I264" s="160" cm="1">
        <f t="array" ref="I264">IFERROR(
  VALUE($H264) *
  VALUE(
    _xlfn.XLOOKUP(
      TRIM($F264) &amp; "|" &amp; LEFT(SUBSTITUTE($G264,CHAR(160)," "),5) &amp; "|Full Rate",
      TRIM(SUBSTITUTE($T$2:$T$38,CHAR(160)," ")) &amp; "|" &amp;
      LEFT(SUBSTITUTE($U$2:$U$38,CHAR(160)," "),5) &amp; "|" &amp;
      TRIM(SUBSTITUTE($V$2:$V$38,CHAR(160)," ")),
      $W$2:$W$38
    )
  ),
"")</f>
        <v>150</v>
      </c>
      <c r="J264" s="161" cm="1">
        <f t="array" ref="J264">IFERROR(
  VALUE($H264) *
  VALUE(
    _xlfn.XLOOKUP(
      TRIM($F264) &amp; "|" &amp; LEFT(SUBSTITUTE($G264,CHAR(160)," "),5) &amp; "|Reduced Rate",
      TRIM(SUBSTITUTE($T$2:$T$38,CHAR(160)," ")) &amp; "|" &amp;
      LEFT(SUBSTITUTE($U$2:$U$38,CHAR(160)," "),5) &amp; "|" &amp;
      TRIM(SUBSTITUTE($V$2:$V$38,CHAR(160)," ")),
      $W$2:$W$38
    )
  ),
"")</f>
        <v>75</v>
      </c>
      <c r="K264" s="42" cm="1">
        <f t="array" ref="K264">IFERROR(
  VALUE($H264) *
  VALUE(
    _xlfn.XLOOKUP(
      TRIM($F264) &amp; "|" &amp; LEFT(SUBSTITUTE($G264,CHAR(160)," "),5) &amp; "|Ideas Rate",
      TRIM(SUBSTITUTE($T$2:$T$38,CHAR(160)," ")) &amp; "|" &amp;
      LEFT(SUBSTITUTE($U$2:$U$38,CHAR(160)," "),5) &amp; "|" &amp;
      TRIM(SUBSTITUTE($V$2:$V$38,CHAR(160)," ")),
      $W$2:$W$38
    )
  ),
"")</f>
        <v>45</v>
      </c>
    </row>
    <row r="265" spans="1:11" x14ac:dyDescent="0.2">
      <c r="A265" s="10">
        <v>46067</v>
      </c>
      <c r="B265" s="171" t="s">
        <v>564</v>
      </c>
      <c r="C265" s="20" t="s">
        <v>519</v>
      </c>
      <c r="D265" t="s">
        <v>191</v>
      </c>
      <c r="E265" t="s">
        <v>661</v>
      </c>
      <c r="F265" t="s">
        <v>155</v>
      </c>
      <c r="G265" t="s">
        <v>380</v>
      </c>
      <c r="H265" s="79">
        <v>0.5</v>
      </c>
      <c r="I265" s="160" cm="1">
        <f t="array" ref="I265">IFERROR(
  VALUE($H265) *
  VALUE(
    _xlfn.XLOOKUP(
      TRIM($F265) &amp; "|" &amp; LEFT(SUBSTITUTE($G265,CHAR(160)," "),5) &amp; "|Full Rate",
      TRIM(SUBSTITUTE($T$2:$T$38,CHAR(160)," ")) &amp; "|" &amp;
      LEFT(SUBSTITUTE($U$2:$U$38,CHAR(160)," "),5) &amp; "|" &amp;
      TRIM(SUBSTITUTE($V$2:$V$38,CHAR(160)," ")),
      $W$2:$W$38
    )
  ),
"")</f>
        <v>130</v>
      </c>
      <c r="J265" s="161" cm="1">
        <f t="array" ref="J265">IFERROR(
  VALUE($H265) *
  VALUE(
    _xlfn.XLOOKUP(
      TRIM($F265) &amp; "|" &amp; LEFT(SUBSTITUTE($G265,CHAR(160)," "),5) &amp; "|Reduced Rate",
      TRIM(SUBSTITUTE($T$2:$T$38,CHAR(160)," ")) &amp; "|" &amp;
      LEFT(SUBSTITUTE($U$2:$U$38,CHAR(160)," "),5) &amp; "|" &amp;
      TRIM(SUBSTITUTE($V$2:$V$38,CHAR(160)," ")),
      $W$2:$W$38
    )
  ),
"")</f>
        <v>60</v>
      </c>
      <c r="K265" s="42" cm="1">
        <f t="array" ref="K265">IFERROR(
  VALUE($H265) *
  VALUE(
    _xlfn.XLOOKUP(
      TRIM($F265) &amp; "|" &amp; LEFT(SUBSTITUTE($G265,CHAR(160)," "),5) &amp; "|Ideas Rate",
      TRIM(SUBSTITUTE($T$2:$T$38,CHAR(160)," ")) &amp; "|" &amp;
      LEFT(SUBSTITUTE($U$2:$U$38,CHAR(160)," "),5) &amp; "|" &amp;
      TRIM(SUBSTITUTE($V$2:$V$38,CHAR(160)," ")),
      $W$2:$W$38
    )
  ),
"")</f>
        <v>45</v>
      </c>
    </row>
    <row r="266" spans="1:11" x14ac:dyDescent="0.2">
      <c r="A266" s="10">
        <v>46068</v>
      </c>
      <c r="B266" s="171" t="s">
        <v>564</v>
      </c>
      <c r="C266" s="20" t="s">
        <v>519</v>
      </c>
      <c r="D266" t="s">
        <v>191</v>
      </c>
      <c r="E266" t="s">
        <v>661</v>
      </c>
      <c r="F266" t="s">
        <v>155</v>
      </c>
      <c r="G266" t="s">
        <v>380</v>
      </c>
      <c r="H266" s="79">
        <v>1.5</v>
      </c>
      <c r="I266" s="160" cm="1">
        <f t="array" ref="I266">IFERROR(
  VALUE($H266) *
  VALUE(
    _xlfn.XLOOKUP(
      TRIM($F266) &amp; "|" &amp; LEFT(SUBSTITUTE($G266,CHAR(160)," "),5) &amp; "|Full Rate",
      TRIM(SUBSTITUTE($T$2:$T$38,CHAR(160)," ")) &amp; "|" &amp;
      LEFT(SUBSTITUTE($U$2:$U$38,CHAR(160)," "),5) &amp; "|" &amp;
      TRIM(SUBSTITUTE($V$2:$V$38,CHAR(160)," ")),
      $W$2:$W$38
    )
  ),
"")</f>
        <v>390</v>
      </c>
      <c r="J266" s="161" cm="1">
        <f t="array" ref="J266">IFERROR(
  VALUE($H266) *
  VALUE(
    _xlfn.XLOOKUP(
      TRIM($F266) &amp; "|" &amp; LEFT(SUBSTITUTE($G266,CHAR(160)," "),5) &amp; "|Reduced Rate",
      TRIM(SUBSTITUTE($T$2:$T$38,CHAR(160)," ")) &amp; "|" &amp;
      LEFT(SUBSTITUTE($U$2:$U$38,CHAR(160)," "),5) &amp; "|" &amp;
      TRIM(SUBSTITUTE($V$2:$V$38,CHAR(160)," ")),
      $W$2:$W$38
    )
  ),
"")</f>
        <v>180</v>
      </c>
      <c r="K266" s="42" cm="1">
        <f t="array" ref="K266">IFERROR(
  VALUE($H266) *
  VALUE(
    _xlfn.XLOOKUP(
      TRIM($F266) &amp; "|" &amp; LEFT(SUBSTITUTE($G266,CHAR(160)," "),5) &amp; "|Ideas Rate",
      TRIM(SUBSTITUTE($T$2:$T$38,CHAR(160)," ")) &amp; "|" &amp;
      LEFT(SUBSTITUTE($U$2:$U$38,CHAR(160)," "),5) &amp; "|" &amp;
      TRIM(SUBSTITUTE($V$2:$V$38,CHAR(160)," ")),
      $W$2:$W$38
    )
  ),
"")</f>
        <v>135</v>
      </c>
    </row>
    <row r="267" spans="1:11" x14ac:dyDescent="0.2">
      <c r="A267" s="10">
        <v>46069</v>
      </c>
      <c r="B267" s="171" t="s">
        <v>564</v>
      </c>
      <c r="C267" s="20" t="s">
        <v>519</v>
      </c>
      <c r="D267" t="s">
        <v>191</v>
      </c>
      <c r="E267" t="s">
        <v>661</v>
      </c>
      <c r="F267" t="s">
        <v>155</v>
      </c>
      <c r="G267" t="s">
        <v>380</v>
      </c>
      <c r="H267" s="79">
        <v>6</v>
      </c>
      <c r="I267" s="160" cm="1">
        <f t="array" ref="I267">IFERROR(
  VALUE($H267) *
  VALUE(
    _xlfn.XLOOKUP(
      TRIM($F267) &amp; "|" &amp; LEFT(SUBSTITUTE($G267,CHAR(160)," "),5) &amp; "|Full Rate",
      TRIM(SUBSTITUTE($T$2:$T$38,CHAR(160)," ")) &amp; "|" &amp;
      LEFT(SUBSTITUTE($U$2:$U$38,CHAR(160)," "),5) &amp; "|" &amp;
      TRIM(SUBSTITUTE($V$2:$V$38,CHAR(160)," ")),
      $W$2:$W$38
    )
  ),
"")</f>
        <v>1560</v>
      </c>
      <c r="J267" s="161" cm="1">
        <f t="array" ref="J267">IFERROR(
  VALUE($H267) *
  VALUE(
    _xlfn.XLOOKUP(
      TRIM($F267) &amp; "|" &amp; LEFT(SUBSTITUTE($G267,CHAR(160)," "),5) &amp; "|Reduced Rate",
      TRIM(SUBSTITUTE($T$2:$T$38,CHAR(160)," ")) &amp; "|" &amp;
      LEFT(SUBSTITUTE($U$2:$U$38,CHAR(160)," "),5) &amp; "|" &amp;
      TRIM(SUBSTITUTE($V$2:$V$38,CHAR(160)," ")),
      $W$2:$W$38
    )
  ),
"")</f>
        <v>720</v>
      </c>
      <c r="K267" s="42" cm="1">
        <f t="array" ref="K267">IFERROR(
  VALUE($H267) *
  VALUE(
    _xlfn.XLOOKUP(
      TRIM($F267) &amp; "|" &amp; LEFT(SUBSTITUTE($G267,CHAR(160)," "),5) &amp; "|Ideas Rate",
      TRIM(SUBSTITUTE($T$2:$T$38,CHAR(160)," ")) &amp; "|" &amp;
      LEFT(SUBSTITUTE($U$2:$U$38,CHAR(160)," "),5) &amp; "|" &amp;
      TRIM(SUBSTITUTE($V$2:$V$38,CHAR(160)," ")),
      $W$2:$W$38
    )
  ),
"")</f>
        <v>540</v>
      </c>
    </row>
    <row r="268" spans="1:11" x14ac:dyDescent="0.2">
      <c r="A268" s="10">
        <v>46069</v>
      </c>
      <c r="B268" s="171" t="s">
        <v>564</v>
      </c>
      <c r="C268" s="20" t="s">
        <v>519</v>
      </c>
      <c r="D268" t="s">
        <v>192</v>
      </c>
      <c r="E268" t="s">
        <v>509</v>
      </c>
      <c r="F268" t="s">
        <v>155</v>
      </c>
      <c r="G268" t="s">
        <v>368</v>
      </c>
      <c r="H268" s="79">
        <v>1.5</v>
      </c>
      <c r="I268" s="160" cm="1">
        <f t="array" ref="I268">IFERROR(
  VALUE($H268) *
  VALUE(
    _xlfn.XLOOKUP(
      TRIM($F268) &amp; "|" &amp; LEFT(SUBSTITUTE($G268,CHAR(160)," "),5) &amp; "|Full Rate",
      TRIM(SUBSTITUTE($T$2:$T$38,CHAR(160)," ")) &amp; "|" &amp;
      LEFT(SUBSTITUTE($U$2:$U$38,CHAR(160)," "),5) &amp; "|" &amp;
      TRIM(SUBSTITUTE($V$2:$V$38,CHAR(160)," ")),
      $W$2:$W$38
    )
  ),
"")</f>
        <v>150</v>
      </c>
      <c r="J268" s="161" cm="1">
        <f t="array" ref="J268">IFERROR(
  VALUE($H268) *
  VALUE(
    _xlfn.XLOOKUP(
      TRIM($F268) &amp; "|" &amp; LEFT(SUBSTITUTE($G268,CHAR(160)," "),5) &amp; "|Reduced Rate",
      TRIM(SUBSTITUTE($T$2:$T$38,CHAR(160)," ")) &amp; "|" &amp;
      LEFT(SUBSTITUTE($U$2:$U$38,CHAR(160)," "),5) &amp; "|" &amp;
      TRIM(SUBSTITUTE($V$2:$V$38,CHAR(160)," ")),
      $W$2:$W$38
    )
  ),
"")</f>
        <v>75</v>
      </c>
      <c r="K268" s="42" cm="1">
        <f t="array" ref="K268">IFERROR(
  VALUE($H268) *
  VALUE(
    _xlfn.XLOOKUP(
      TRIM($F268) &amp; "|" &amp; LEFT(SUBSTITUTE($G268,CHAR(160)," "),5) &amp; "|Ideas Rate",
      TRIM(SUBSTITUTE($T$2:$T$38,CHAR(160)," ")) &amp; "|" &amp;
      LEFT(SUBSTITUTE($U$2:$U$38,CHAR(160)," "),5) &amp; "|" &amp;
      TRIM(SUBSTITUTE($V$2:$V$38,CHAR(160)," ")),
      $W$2:$W$38
    )
  ),
"")</f>
        <v>45</v>
      </c>
    </row>
    <row r="269" spans="1:11" x14ac:dyDescent="0.2">
      <c r="A269" s="10">
        <v>46069</v>
      </c>
      <c r="B269" s="171" t="s">
        <v>564</v>
      </c>
      <c r="C269" s="20" t="s">
        <v>519</v>
      </c>
      <c r="D269" t="s">
        <v>191</v>
      </c>
      <c r="E269" t="s">
        <v>661</v>
      </c>
      <c r="F269" t="s">
        <v>10</v>
      </c>
      <c r="G269" t="s">
        <v>380</v>
      </c>
      <c r="H269" s="79">
        <v>1</v>
      </c>
      <c r="I269" s="160" cm="1">
        <f t="array" ref="I269">IFERROR(
  VALUE($H269) *
  VALUE(
    _xlfn.XLOOKUP(
      TRIM($F269) &amp; "|" &amp; LEFT(SUBSTITUTE($G269,CHAR(160)," "),5) &amp; "|Full Rate",
      TRIM(SUBSTITUTE($T$2:$T$38,CHAR(160)," ")) &amp; "|" &amp;
      LEFT(SUBSTITUTE($U$2:$U$38,CHAR(160)," "),5) &amp; "|" &amp;
      TRIM(SUBSTITUTE($V$2:$V$38,CHAR(160)," ")),
      $W$2:$W$38
    )
  ),
"")</f>
        <v>250</v>
      </c>
      <c r="J269" s="161" cm="1">
        <f t="array" ref="J269">IFERROR(
  VALUE($H269) *
  VALUE(
    _xlfn.XLOOKUP(
      TRIM($F269) &amp; "|" &amp; LEFT(SUBSTITUTE($G269,CHAR(160)," "),5) &amp; "|Reduced Rate",
      TRIM(SUBSTITUTE($T$2:$T$38,CHAR(160)," ")) &amp; "|" &amp;
      LEFT(SUBSTITUTE($U$2:$U$38,CHAR(160)," "),5) &amp; "|" &amp;
      TRIM(SUBSTITUTE($V$2:$V$38,CHAR(160)," ")),
      $W$2:$W$38
    )
  ),
"")</f>
        <v>150</v>
      </c>
      <c r="K269" s="42" cm="1">
        <f t="array" ref="K269">IFERROR(
  VALUE($H269) *
  VALUE(
    _xlfn.XLOOKUP(
      TRIM($F269) &amp; "|" &amp; LEFT(SUBSTITUTE($G269,CHAR(160)," "),5) &amp; "|Ideas Rate",
      TRIM(SUBSTITUTE($T$2:$T$38,CHAR(160)," ")) &amp; "|" &amp;
      LEFT(SUBSTITUTE($U$2:$U$38,CHAR(160)," "),5) &amp; "|" &amp;
      TRIM(SUBSTITUTE($V$2:$V$38,CHAR(160)," ")),
      $W$2:$W$38
    )
  ),
"")</f>
        <v>75</v>
      </c>
    </row>
    <row r="270" spans="1:11" x14ac:dyDescent="0.2">
      <c r="A270" s="10">
        <v>46069</v>
      </c>
      <c r="B270" s="171" t="s">
        <v>564</v>
      </c>
      <c r="C270" s="20" t="s">
        <v>519</v>
      </c>
      <c r="D270" t="s">
        <v>192</v>
      </c>
      <c r="E270" t="s">
        <v>509</v>
      </c>
      <c r="F270" t="s">
        <v>10</v>
      </c>
      <c r="G270" t="s">
        <v>368</v>
      </c>
      <c r="H270" s="79">
        <v>1</v>
      </c>
      <c r="I270" s="160" cm="1">
        <f t="array" ref="I270">IFERROR(
  VALUE($H270) *
  VALUE(
    _xlfn.XLOOKUP(
      TRIM($F270) &amp; "|" &amp; LEFT(SUBSTITUTE($G270,CHAR(160)," "),5) &amp; "|Full Rate",
      TRIM(SUBSTITUTE($T$2:$T$38,CHAR(160)," ")) &amp; "|" &amp;
      LEFT(SUBSTITUTE($U$2:$U$38,CHAR(160)," "),5) &amp; "|" &amp;
      TRIM(SUBSTITUTE($V$2:$V$38,CHAR(160)," ")),
      $W$2:$W$38
    )
  ),
"")</f>
        <v>100</v>
      </c>
      <c r="J270" s="161" cm="1">
        <f t="array" ref="J270">IFERROR(
  VALUE($H270) *
  VALUE(
    _xlfn.XLOOKUP(
      TRIM($F270) &amp; "|" &amp; LEFT(SUBSTITUTE($G270,CHAR(160)," "),5) &amp; "|Reduced Rate",
      TRIM(SUBSTITUTE($T$2:$T$38,CHAR(160)," ")) &amp; "|" &amp;
      LEFT(SUBSTITUTE($U$2:$U$38,CHAR(160)," "),5) &amp; "|" &amp;
      TRIM(SUBSTITUTE($V$2:$V$38,CHAR(160)," ")),
      $W$2:$W$38
    )
  ),
"")</f>
        <v>50</v>
      </c>
      <c r="K270" s="42" cm="1">
        <f t="array" ref="K270">IFERROR(
  VALUE($H270) *
  VALUE(
    _xlfn.XLOOKUP(
      TRIM($F270) &amp; "|" &amp; LEFT(SUBSTITUTE($G270,CHAR(160)," "),5) &amp; "|Ideas Rate",
      TRIM(SUBSTITUTE($T$2:$T$38,CHAR(160)," ")) &amp; "|" &amp;
      LEFT(SUBSTITUTE($U$2:$U$38,CHAR(160)," "),5) &amp; "|" &amp;
      TRIM(SUBSTITUTE($V$2:$V$38,CHAR(160)," ")),
      $W$2:$W$38
    )
  ),
"")</f>
        <v>30</v>
      </c>
    </row>
    <row r="271" spans="1:11" x14ac:dyDescent="0.2">
      <c r="A271" s="10">
        <v>46070</v>
      </c>
      <c r="B271" s="171" t="s">
        <v>564</v>
      </c>
      <c r="C271" s="20" t="s">
        <v>519</v>
      </c>
      <c r="D271" t="s">
        <v>178</v>
      </c>
      <c r="E271" t="s">
        <v>664</v>
      </c>
      <c r="F271" t="s">
        <v>155</v>
      </c>
      <c r="G271" t="s">
        <v>380</v>
      </c>
      <c r="H271" s="79">
        <v>0.5</v>
      </c>
      <c r="I271" s="160" cm="1">
        <f t="array" ref="I271">IFERROR(
  VALUE($H271) *
  VALUE(
    _xlfn.XLOOKUP(
      TRIM($F271) &amp; "|" &amp; LEFT(SUBSTITUTE($G271,CHAR(160)," "),5) &amp; "|Full Rate",
      TRIM(SUBSTITUTE($T$2:$T$38,CHAR(160)," ")) &amp; "|" &amp;
      LEFT(SUBSTITUTE($U$2:$U$38,CHAR(160)," "),5) &amp; "|" &amp;
      TRIM(SUBSTITUTE($V$2:$V$38,CHAR(160)," ")),
      $W$2:$W$38
    )
  ),
"")</f>
        <v>130</v>
      </c>
      <c r="J271" s="161" cm="1">
        <f t="array" ref="J271">IFERROR(
  VALUE($H271) *
  VALUE(
    _xlfn.XLOOKUP(
      TRIM($F271) &amp; "|" &amp; LEFT(SUBSTITUTE($G271,CHAR(160)," "),5) &amp; "|Reduced Rate",
      TRIM(SUBSTITUTE($T$2:$T$38,CHAR(160)," ")) &amp; "|" &amp;
      LEFT(SUBSTITUTE($U$2:$U$38,CHAR(160)," "),5) &amp; "|" &amp;
      TRIM(SUBSTITUTE($V$2:$V$38,CHAR(160)," ")),
      $W$2:$W$38
    )
  ),
"")</f>
        <v>60</v>
      </c>
      <c r="K271" s="42" cm="1">
        <f t="array" ref="K271">IFERROR(
  VALUE($H271) *
  VALUE(
    _xlfn.XLOOKUP(
      TRIM($F271) &amp; "|" &amp; LEFT(SUBSTITUTE($G271,CHAR(160)," "),5) &amp; "|Ideas Rate",
      TRIM(SUBSTITUTE($T$2:$T$38,CHAR(160)," ")) &amp; "|" &amp;
      LEFT(SUBSTITUTE($U$2:$U$38,CHAR(160)," "),5) &amp; "|" &amp;
      TRIM(SUBSTITUTE($V$2:$V$38,CHAR(160)," ")),
      $W$2:$W$38
    )
  ),
"")</f>
        <v>45</v>
      </c>
    </row>
    <row r="272" spans="1:11" x14ac:dyDescent="0.2">
      <c r="A272" s="10">
        <v>46070</v>
      </c>
      <c r="B272" s="171" t="s">
        <v>564</v>
      </c>
      <c r="C272" s="20" t="s">
        <v>519</v>
      </c>
      <c r="D272" t="s">
        <v>178</v>
      </c>
      <c r="E272" t="s">
        <v>665</v>
      </c>
      <c r="F272" t="s">
        <v>155</v>
      </c>
      <c r="G272" t="s">
        <v>380</v>
      </c>
      <c r="H272" s="79">
        <v>0.5</v>
      </c>
      <c r="I272" s="160" cm="1">
        <f t="array" ref="I272">IFERROR(
  VALUE($H272) *
  VALUE(
    _xlfn.XLOOKUP(
      TRIM($F272) &amp; "|" &amp; LEFT(SUBSTITUTE($G272,CHAR(160)," "),5) &amp; "|Full Rate",
      TRIM(SUBSTITUTE($T$2:$T$38,CHAR(160)," ")) &amp; "|" &amp;
      LEFT(SUBSTITUTE($U$2:$U$38,CHAR(160)," "),5) &amp; "|" &amp;
      TRIM(SUBSTITUTE($V$2:$V$38,CHAR(160)," ")),
      $W$2:$W$38
    )
  ),
"")</f>
        <v>130</v>
      </c>
      <c r="J272" s="161" cm="1">
        <f t="array" ref="J272">IFERROR(
  VALUE($H272) *
  VALUE(
    _xlfn.XLOOKUP(
      TRIM($F272) &amp; "|" &amp; LEFT(SUBSTITUTE($G272,CHAR(160)," "),5) &amp; "|Reduced Rate",
      TRIM(SUBSTITUTE($T$2:$T$38,CHAR(160)," ")) &amp; "|" &amp;
      LEFT(SUBSTITUTE($U$2:$U$38,CHAR(160)," "),5) &amp; "|" &amp;
      TRIM(SUBSTITUTE($V$2:$V$38,CHAR(160)," ")),
      $W$2:$W$38
    )
  ),
"")</f>
        <v>60</v>
      </c>
      <c r="K272" s="42" cm="1">
        <f t="array" ref="K272">IFERROR(
  VALUE($H272) *
  VALUE(
    _xlfn.XLOOKUP(
      TRIM($F272) &amp; "|" &amp; LEFT(SUBSTITUTE($G272,CHAR(160)," "),5) &amp; "|Ideas Rate",
      TRIM(SUBSTITUTE($T$2:$T$38,CHAR(160)," ")) &amp; "|" &amp;
      LEFT(SUBSTITUTE($U$2:$U$38,CHAR(160)," "),5) &amp; "|" &amp;
      TRIM(SUBSTITUTE($V$2:$V$38,CHAR(160)," ")),
      $W$2:$W$38
    )
  ),
"")</f>
        <v>45</v>
      </c>
    </row>
    <row r="273" spans="1:11" x14ac:dyDescent="0.2">
      <c r="A273" s="10">
        <v>46070</v>
      </c>
      <c r="B273" s="171" t="s">
        <v>564</v>
      </c>
      <c r="C273" s="20" t="s">
        <v>519</v>
      </c>
      <c r="D273" t="s">
        <v>29</v>
      </c>
      <c r="E273" t="s">
        <v>666</v>
      </c>
      <c r="F273" t="s">
        <v>155</v>
      </c>
      <c r="G273" t="s">
        <v>380</v>
      </c>
      <c r="H273" s="79">
        <v>2</v>
      </c>
      <c r="I273" s="160" cm="1">
        <f t="array" ref="I273">IFERROR(
  VALUE($H273) *
  VALUE(
    _xlfn.XLOOKUP(
      TRIM($F273) &amp; "|" &amp; LEFT(SUBSTITUTE($G273,CHAR(160)," "),5) &amp; "|Full Rate",
      TRIM(SUBSTITUTE($T$2:$T$38,CHAR(160)," ")) &amp; "|" &amp;
      LEFT(SUBSTITUTE($U$2:$U$38,CHAR(160)," "),5) &amp; "|" &amp;
      TRIM(SUBSTITUTE($V$2:$V$38,CHAR(160)," ")),
      $W$2:$W$38
    )
  ),
"")</f>
        <v>520</v>
      </c>
      <c r="J273" s="161" cm="1">
        <f t="array" ref="J273">IFERROR(
  VALUE($H273) *
  VALUE(
    _xlfn.XLOOKUP(
      TRIM($F273) &amp; "|" &amp; LEFT(SUBSTITUTE($G273,CHAR(160)," "),5) &amp; "|Reduced Rate",
      TRIM(SUBSTITUTE($T$2:$T$38,CHAR(160)," ")) &amp; "|" &amp;
      LEFT(SUBSTITUTE($U$2:$U$38,CHAR(160)," "),5) &amp; "|" &amp;
      TRIM(SUBSTITUTE($V$2:$V$38,CHAR(160)," ")),
      $W$2:$W$38
    )
  ),
"")</f>
        <v>240</v>
      </c>
      <c r="K273" s="42" cm="1">
        <f t="array" ref="K273">IFERROR(
  VALUE($H273) *
  VALUE(
    _xlfn.XLOOKUP(
      TRIM($F273) &amp; "|" &amp; LEFT(SUBSTITUTE($G273,CHAR(160)," "),5) &amp; "|Ideas Rate",
      TRIM(SUBSTITUTE($T$2:$T$38,CHAR(160)," ")) &amp; "|" &amp;
      LEFT(SUBSTITUTE($U$2:$U$38,CHAR(160)," "),5) &amp; "|" &amp;
      TRIM(SUBSTITUTE($V$2:$V$38,CHAR(160)," ")),
      $W$2:$W$38
    )
  ),
"")</f>
        <v>180</v>
      </c>
    </row>
    <row r="274" spans="1:11" x14ac:dyDescent="0.2">
      <c r="A274" s="10">
        <v>46070</v>
      </c>
      <c r="B274" s="171" t="s">
        <v>564</v>
      </c>
      <c r="C274" s="20" t="s">
        <v>519</v>
      </c>
      <c r="D274" t="s">
        <v>178</v>
      </c>
      <c r="E274" t="s">
        <v>669</v>
      </c>
      <c r="F274" t="s">
        <v>10</v>
      </c>
      <c r="G274" t="s">
        <v>380</v>
      </c>
      <c r="H274" s="79">
        <v>1.5</v>
      </c>
      <c r="I274" s="160" cm="1">
        <f t="array" ref="I274">IFERROR(
  VALUE($H274) *
  VALUE(
    _xlfn.XLOOKUP(
      TRIM($F274) &amp; "|" &amp; LEFT(SUBSTITUTE($G274,CHAR(160)," "),5) &amp; "|Full Rate",
      TRIM(SUBSTITUTE($T$2:$T$38,CHAR(160)," ")) &amp; "|" &amp;
      LEFT(SUBSTITUTE($U$2:$U$38,CHAR(160)," "),5) &amp; "|" &amp;
      TRIM(SUBSTITUTE($V$2:$V$38,CHAR(160)," ")),
      $W$2:$W$38
    )
  ),
"")</f>
        <v>375</v>
      </c>
      <c r="J274" s="161" cm="1">
        <f t="array" ref="J274">IFERROR(
  VALUE($H274) *
  VALUE(
    _xlfn.XLOOKUP(
      TRIM($F274) &amp; "|" &amp; LEFT(SUBSTITUTE($G274,CHAR(160)," "),5) &amp; "|Reduced Rate",
      TRIM(SUBSTITUTE($T$2:$T$38,CHAR(160)," ")) &amp; "|" &amp;
      LEFT(SUBSTITUTE($U$2:$U$38,CHAR(160)," "),5) &amp; "|" &amp;
      TRIM(SUBSTITUTE($V$2:$V$38,CHAR(160)," ")),
      $W$2:$W$38
    )
  ),
"")</f>
        <v>225</v>
      </c>
      <c r="K274" s="42" cm="1">
        <f t="array" ref="K274">IFERROR(
  VALUE($H274) *
  VALUE(
    _xlfn.XLOOKUP(
      TRIM($F274) &amp; "|" &amp; LEFT(SUBSTITUTE($G274,CHAR(160)," "),5) &amp; "|Ideas Rate",
      TRIM(SUBSTITUTE($T$2:$T$38,CHAR(160)," ")) &amp; "|" &amp;
      LEFT(SUBSTITUTE($U$2:$U$38,CHAR(160)," "),5) &amp; "|" &amp;
      TRIM(SUBSTITUTE($V$2:$V$38,CHAR(160)," ")),
      $W$2:$W$38
    )
  ),
"")</f>
        <v>112.5</v>
      </c>
    </row>
    <row r="275" spans="1:11" x14ac:dyDescent="0.2">
      <c r="A275" s="10">
        <v>46070</v>
      </c>
      <c r="B275" s="171" t="s">
        <v>564</v>
      </c>
      <c r="C275" s="20" t="s">
        <v>519</v>
      </c>
      <c r="D275" t="s">
        <v>178</v>
      </c>
      <c r="E275" t="s">
        <v>670</v>
      </c>
      <c r="F275" t="s">
        <v>10</v>
      </c>
      <c r="G275" t="s">
        <v>380</v>
      </c>
      <c r="H275" s="79">
        <v>0.5</v>
      </c>
      <c r="I275" s="160" cm="1">
        <f t="array" ref="I275">IFERROR(
  VALUE($H275) *
  VALUE(
    _xlfn.XLOOKUP(
      TRIM($F275) &amp; "|" &amp; LEFT(SUBSTITUTE($G275,CHAR(160)," "),5) &amp; "|Full Rate",
      TRIM(SUBSTITUTE($T$2:$T$38,CHAR(160)," ")) &amp; "|" &amp;
      LEFT(SUBSTITUTE($U$2:$U$38,CHAR(160)," "),5) &amp; "|" &amp;
      TRIM(SUBSTITUTE($V$2:$V$38,CHAR(160)," ")),
      $W$2:$W$38
    )
  ),
"")</f>
        <v>125</v>
      </c>
      <c r="J275" s="161" cm="1">
        <f t="array" ref="J275">IFERROR(
  VALUE($H275) *
  VALUE(
    _xlfn.XLOOKUP(
      TRIM($F275) &amp; "|" &amp; LEFT(SUBSTITUTE($G275,CHAR(160)," "),5) &amp; "|Reduced Rate",
      TRIM(SUBSTITUTE($T$2:$T$38,CHAR(160)," ")) &amp; "|" &amp;
      LEFT(SUBSTITUTE($U$2:$U$38,CHAR(160)," "),5) &amp; "|" &amp;
      TRIM(SUBSTITUTE($V$2:$V$38,CHAR(160)," ")),
      $W$2:$W$38
    )
  ),
"")</f>
        <v>75</v>
      </c>
      <c r="K275" s="42" cm="1">
        <f t="array" ref="K275">IFERROR(
  VALUE($H275) *
  VALUE(
    _xlfn.XLOOKUP(
      TRIM($F275) &amp; "|" &amp; LEFT(SUBSTITUTE($G275,CHAR(160)," "),5) &amp; "|Ideas Rate",
      TRIM(SUBSTITUTE($T$2:$T$38,CHAR(160)," ")) &amp; "|" &amp;
      LEFT(SUBSTITUTE($U$2:$U$38,CHAR(160)," "),5) &amp; "|" &amp;
      TRIM(SUBSTITUTE($V$2:$V$38,CHAR(160)," ")),
      $W$2:$W$38
    )
  ),
"")</f>
        <v>37.5</v>
      </c>
    </row>
    <row r="276" spans="1:11" x14ac:dyDescent="0.2">
      <c r="A276" s="10">
        <v>46070</v>
      </c>
      <c r="B276" s="171" t="s">
        <v>564</v>
      </c>
      <c r="C276" s="20" t="s">
        <v>519</v>
      </c>
      <c r="D276" t="s">
        <v>191</v>
      </c>
      <c r="E276" t="s">
        <v>666</v>
      </c>
      <c r="F276" t="s">
        <v>10</v>
      </c>
      <c r="G276" t="s">
        <v>380</v>
      </c>
      <c r="H276" s="79">
        <v>1</v>
      </c>
      <c r="I276" s="160" cm="1">
        <f t="array" ref="I276">IFERROR(
  VALUE($H276) *
  VALUE(
    _xlfn.XLOOKUP(
      TRIM($F276) &amp; "|" &amp; LEFT(SUBSTITUTE($G276,CHAR(160)," "),5) &amp; "|Full Rate",
      TRIM(SUBSTITUTE($T$2:$T$38,CHAR(160)," ")) &amp; "|" &amp;
      LEFT(SUBSTITUTE($U$2:$U$38,CHAR(160)," "),5) &amp; "|" &amp;
      TRIM(SUBSTITUTE($V$2:$V$38,CHAR(160)," ")),
      $W$2:$W$38
    )
  ),
"")</f>
        <v>250</v>
      </c>
      <c r="J276" s="161" cm="1">
        <f t="array" ref="J276">IFERROR(
  VALUE($H276) *
  VALUE(
    _xlfn.XLOOKUP(
      TRIM($F276) &amp; "|" &amp; LEFT(SUBSTITUTE($G276,CHAR(160)," "),5) &amp; "|Reduced Rate",
      TRIM(SUBSTITUTE($T$2:$T$38,CHAR(160)," ")) &amp; "|" &amp;
      LEFT(SUBSTITUTE($U$2:$U$38,CHAR(160)," "),5) &amp; "|" &amp;
      TRIM(SUBSTITUTE($V$2:$V$38,CHAR(160)," ")),
      $W$2:$W$38
    )
  ),
"")</f>
        <v>150</v>
      </c>
      <c r="K276" s="42" cm="1">
        <f t="array" ref="K276">IFERROR(
  VALUE($H276) *
  VALUE(
    _xlfn.XLOOKUP(
      TRIM($F276) &amp; "|" &amp; LEFT(SUBSTITUTE($G276,CHAR(160)," "),5) &amp; "|Ideas Rate",
      TRIM(SUBSTITUTE($T$2:$T$38,CHAR(160)," ")) &amp; "|" &amp;
      LEFT(SUBSTITUTE($U$2:$U$38,CHAR(160)," "),5) &amp; "|" &amp;
      TRIM(SUBSTITUTE($V$2:$V$38,CHAR(160)," ")),
      $W$2:$W$38
    )
  ),
"")</f>
        <v>75</v>
      </c>
    </row>
    <row r="277" spans="1:11" x14ac:dyDescent="0.2">
      <c r="A277" s="10">
        <v>46071</v>
      </c>
      <c r="B277" s="171" t="s">
        <v>564</v>
      </c>
      <c r="C277" s="20" t="s">
        <v>519</v>
      </c>
      <c r="D277" t="s">
        <v>29</v>
      </c>
      <c r="E277" t="s">
        <v>666</v>
      </c>
      <c r="F277" t="s">
        <v>155</v>
      </c>
      <c r="G277" t="s">
        <v>380</v>
      </c>
      <c r="H277" s="79">
        <v>4</v>
      </c>
      <c r="I277" s="160" cm="1">
        <f t="array" ref="I277">IFERROR(
  VALUE($H277) *
  VALUE(
    _xlfn.XLOOKUP(
      TRIM($F277) &amp; "|" &amp; LEFT(SUBSTITUTE($G277,CHAR(160)," "),5) &amp; "|Full Rate",
      TRIM(SUBSTITUTE($T$2:$T$38,CHAR(160)," ")) &amp; "|" &amp;
      LEFT(SUBSTITUTE($U$2:$U$38,CHAR(160)," "),5) &amp; "|" &amp;
      TRIM(SUBSTITUTE($V$2:$V$38,CHAR(160)," ")),
      $W$2:$W$38
    )
  ),
"")</f>
        <v>1040</v>
      </c>
      <c r="J277" s="161" cm="1">
        <f t="array" ref="J277">IFERROR(
  VALUE($H277) *
  VALUE(
    _xlfn.XLOOKUP(
      TRIM($F277) &amp; "|" &amp; LEFT(SUBSTITUTE($G277,CHAR(160)," "),5) &amp; "|Reduced Rate",
      TRIM(SUBSTITUTE($T$2:$T$38,CHAR(160)," ")) &amp; "|" &amp;
      LEFT(SUBSTITUTE($U$2:$U$38,CHAR(160)," "),5) &amp; "|" &amp;
      TRIM(SUBSTITUTE($V$2:$V$38,CHAR(160)," ")),
      $W$2:$W$38
    )
  ),
"")</f>
        <v>480</v>
      </c>
      <c r="K277" s="42" cm="1">
        <f t="array" ref="K277">IFERROR(
  VALUE($H277) *
  VALUE(
    _xlfn.XLOOKUP(
      TRIM($F277) &amp; "|" &amp; LEFT(SUBSTITUTE($G277,CHAR(160)," "),5) &amp; "|Ideas Rate",
      TRIM(SUBSTITUTE($T$2:$T$38,CHAR(160)," ")) &amp; "|" &amp;
      LEFT(SUBSTITUTE($U$2:$U$38,CHAR(160)," "),5) &amp; "|" &amp;
      TRIM(SUBSTITUTE($V$2:$V$38,CHAR(160)," ")),
      $W$2:$W$38
    )
  ),
"")</f>
        <v>360</v>
      </c>
    </row>
    <row r="278" spans="1:11" x14ac:dyDescent="0.2">
      <c r="A278" s="10">
        <v>46071</v>
      </c>
      <c r="B278" s="171" t="s">
        <v>564</v>
      </c>
      <c r="C278" s="20" t="s">
        <v>519</v>
      </c>
      <c r="D278" t="s">
        <v>178</v>
      </c>
      <c r="E278" t="s">
        <v>667</v>
      </c>
      <c r="F278" t="s">
        <v>155</v>
      </c>
      <c r="G278" t="s">
        <v>380</v>
      </c>
      <c r="H278" s="79">
        <v>1</v>
      </c>
      <c r="I278" s="160" cm="1">
        <f t="array" ref="I278">IFERROR(
  VALUE($H278) *
  VALUE(
    _xlfn.XLOOKUP(
      TRIM($F278) &amp; "|" &amp; LEFT(SUBSTITUTE($G278,CHAR(160)," "),5) &amp; "|Full Rate",
      TRIM(SUBSTITUTE($T$2:$T$38,CHAR(160)," ")) &amp; "|" &amp;
      LEFT(SUBSTITUTE($U$2:$U$38,CHAR(160)," "),5) &amp; "|" &amp;
      TRIM(SUBSTITUTE($V$2:$V$38,CHAR(160)," ")),
      $W$2:$W$38
    )
  ),
"")</f>
        <v>260</v>
      </c>
      <c r="J278" s="161" cm="1">
        <f t="array" ref="J278">IFERROR(
  VALUE($H278) *
  VALUE(
    _xlfn.XLOOKUP(
      TRIM($F278) &amp; "|" &amp; LEFT(SUBSTITUTE($G278,CHAR(160)," "),5) &amp; "|Reduced Rate",
      TRIM(SUBSTITUTE($T$2:$T$38,CHAR(160)," ")) &amp; "|" &amp;
      LEFT(SUBSTITUTE($U$2:$U$38,CHAR(160)," "),5) &amp; "|" &amp;
      TRIM(SUBSTITUTE($V$2:$V$38,CHAR(160)," ")),
      $W$2:$W$38
    )
  ),
"")</f>
        <v>120</v>
      </c>
      <c r="K278" s="42" cm="1">
        <f t="array" ref="K278">IFERROR(
  VALUE($H278) *
  VALUE(
    _xlfn.XLOOKUP(
      TRIM($F278) &amp; "|" &amp; LEFT(SUBSTITUTE($G278,CHAR(160)," "),5) &amp; "|Ideas Rate",
      TRIM(SUBSTITUTE($T$2:$T$38,CHAR(160)," ")) &amp; "|" &amp;
      LEFT(SUBSTITUTE($U$2:$U$38,CHAR(160)," "),5) &amp; "|" &amp;
      TRIM(SUBSTITUTE($V$2:$V$38,CHAR(160)," ")),
      $W$2:$W$38
    )
  ),
"")</f>
        <v>90</v>
      </c>
    </row>
    <row r="279" spans="1:11" x14ac:dyDescent="0.2">
      <c r="A279" s="10">
        <v>46071</v>
      </c>
      <c r="B279" s="171" t="s">
        <v>564</v>
      </c>
      <c r="C279" s="20" t="s">
        <v>519</v>
      </c>
      <c r="D279" t="s">
        <v>178</v>
      </c>
      <c r="E279" t="s">
        <v>668</v>
      </c>
      <c r="F279" t="s">
        <v>155</v>
      </c>
      <c r="G279" t="s">
        <v>380</v>
      </c>
      <c r="H279" s="79">
        <v>0.5</v>
      </c>
      <c r="I279" s="160" cm="1">
        <f t="array" ref="I279">IFERROR(
  VALUE($H279) *
  VALUE(
    _xlfn.XLOOKUP(
      TRIM($F279) &amp; "|" &amp; LEFT(SUBSTITUTE($G279,CHAR(160)," "),5) &amp; "|Full Rate",
      TRIM(SUBSTITUTE($T$2:$T$38,CHAR(160)," ")) &amp; "|" &amp;
      LEFT(SUBSTITUTE($U$2:$U$38,CHAR(160)," "),5) &amp; "|" &amp;
      TRIM(SUBSTITUTE($V$2:$V$38,CHAR(160)," ")),
      $W$2:$W$38
    )
  ),
"")</f>
        <v>130</v>
      </c>
      <c r="J279" s="161" cm="1">
        <f t="array" ref="J279">IFERROR(
  VALUE($H279) *
  VALUE(
    _xlfn.XLOOKUP(
      TRIM($F279) &amp; "|" &amp; LEFT(SUBSTITUTE($G279,CHAR(160)," "),5) &amp; "|Reduced Rate",
      TRIM(SUBSTITUTE($T$2:$T$38,CHAR(160)," ")) &amp; "|" &amp;
      LEFT(SUBSTITUTE($U$2:$U$38,CHAR(160)," "),5) &amp; "|" &amp;
      TRIM(SUBSTITUTE($V$2:$V$38,CHAR(160)," ")),
      $W$2:$W$38
    )
  ),
"")</f>
        <v>60</v>
      </c>
      <c r="K279" s="42" cm="1">
        <f t="array" ref="K279">IFERROR(
  VALUE($H279) *
  VALUE(
    _xlfn.XLOOKUP(
      TRIM($F279) &amp; "|" &amp; LEFT(SUBSTITUTE($G279,CHAR(160)," "),5) &amp; "|Ideas Rate",
      TRIM(SUBSTITUTE($T$2:$T$38,CHAR(160)," ")) &amp; "|" &amp;
      LEFT(SUBSTITUTE($U$2:$U$38,CHAR(160)," "),5) &amp; "|" &amp;
      TRIM(SUBSTITUTE($V$2:$V$38,CHAR(160)," ")),
      $W$2:$W$38
    )
  ),
"")</f>
        <v>45</v>
      </c>
    </row>
    <row r="280" spans="1:11" x14ac:dyDescent="0.2">
      <c r="A280" s="10">
        <v>46071</v>
      </c>
      <c r="B280" s="171" t="s">
        <v>564</v>
      </c>
      <c r="C280" s="20" t="s">
        <v>519</v>
      </c>
      <c r="D280" t="s">
        <v>191</v>
      </c>
      <c r="E280" t="s">
        <v>666</v>
      </c>
      <c r="F280" t="s">
        <v>10</v>
      </c>
      <c r="G280" t="s">
        <v>380</v>
      </c>
      <c r="H280" s="79">
        <v>3</v>
      </c>
      <c r="I280" s="160" cm="1">
        <f t="array" ref="I280">IFERROR(
  VALUE($H280) *
  VALUE(
    _xlfn.XLOOKUP(
      TRIM($F280) &amp; "|" &amp; LEFT(SUBSTITUTE($G280,CHAR(160)," "),5) &amp; "|Full Rate",
      TRIM(SUBSTITUTE($T$2:$T$38,CHAR(160)," ")) &amp; "|" &amp;
      LEFT(SUBSTITUTE($U$2:$U$38,CHAR(160)," "),5) &amp; "|" &amp;
      TRIM(SUBSTITUTE($V$2:$V$38,CHAR(160)," ")),
      $W$2:$W$38
    )
  ),
"")</f>
        <v>750</v>
      </c>
      <c r="J280" s="161" cm="1">
        <f t="array" ref="J280">IFERROR(
  VALUE($H280) *
  VALUE(
    _xlfn.XLOOKUP(
      TRIM($F280) &amp; "|" &amp; LEFT(SUBSTITUTE($G280,CHAR(160)," "),5) &amp; "|Reduced Rate",
      TRIM(SUBSTITUTE($T$2:$T$38,CHAR(160)," ")) &amp; "|" &amp;
      LEFT(SUBSTITUTE($U$2:$U$38,CHAR(160)," "),5) &amp; "|" &amp;
      TRIM(SUBSTITUTE($V$2:$V$38,CHAR(160)," ")),
      $W$2:$W$38
    )
  ),
"")</f>
        <v>450</v>
      </c>
      <c r="K280" s="42" cm="1">
        <f t="array" ref="K280">IFERROR(
  VALUE($H280) *
  VALUE(
    _xlfn.XLOOKUP(
      TRIM($F280) &amp; "|" &amp; LEFT(SUBSTITUTE($G280,CHAR(160)," "),5) &amp; "|Ideas Rate",
      TRIM(SUBSTITUTE($T$2:$T$38,CHAR(160)," ")) &amp; "|" &amp;
      LEFT(SUBSTITUTE($U$2:$U$38,CHAR(160)," "),5) &amp; "|" &amp;
      TRIM(SUBSTITUTE($V$2:$V$38,CHAR(160)," ")),
      $W$2:$W$38
    )
  ),
"")</f>
        <v>225</v>
      </c>
    </row>
    <row r="281" spans="1:11" x14ac:dyDescent="0.2">
      <c r="A281" s="10">
        <v>46071</v>
      </c>
      <c r="B281" s="171" t="s">
        <v>564</v>
      </c>
      <c r="C281" s="20" t="s">
        <v>519</v>
      </c>
      <c r="D281" t="s">
        <v>178</v>
      </c>
      <c r="E281" t="s">
        <v>671</v>
      </c>
      <c r="F281" t="s">
        <v>10</v>
      </c>
      <c r="G281" t="s">
        <v>380</v>
      </c>
      <c r="H281" s="79">
        <v>1</v>
      </c>
      <c r="I281" s="160" cm="1">
        <f t="array" ref="I281">IFERROR(
  VALUE($H281) *
  VALUE(
    _xlfn.XLOOKUP(
      TRIM($F281) &amp; "|" &amp; LEFT(SUBSTITUTE($G281,CHAR(160)," "),5) &amp; "|Full Rate",
      TRIM(SUBSTITUTE($T$2:$T$38,CHAR(160)," ")) &amp; "|" &amp;
      LEFT(SUBSTITUTE($U$2:$U$38,CHAR(160)," "),5) &amp; "|" &amp;
      TRIM(SUBSTITUTE($V$2:$V$38,CHAR(160)," ")),
      $W$2:$W$38
    )
  ),
"")</f>
        <v>250</v>
      </c>
      <c r="J281" s="161" cm="1">
        <f t="array" ref="J281">IFERROR(
  VALUE($H281) *
  VALUE(
    _xlfn.XLOOKUP(
      TRIM($F281) &amp; "|" &amp; LEFT(SUBSTITUTE($G281,CHAR(160)," "),5) &amp; "|Reduced Rate",
      TRIM(SUBSTITUTE($T$2:$T$38,CHAR(160)," ")) &amp; "|" &amp;
      LEFT(SUBSTITUTE($U$2:$U$38,CHAR(160)," "),5) &amp; "|" &amp;
      TRIM(SUBSTITUTE($V$2:$V$38,CHAR(160)," ")),
      $W$2:$W$38
    )
  ),
"")</f>
        <v>150</v>
      </c>
      <c r="K281" s="42" cm="1">
        <f t="array" ref="K281">IFERROR(
  VALUE($H281) *
  VALUE(
    _xlfn.XLOOKUP(
      TRIM($F281) &amp; "|" &amp; LEFT(SUBSTITUTE($G281,CHAR(160)," "),5) &amp; "|Ideas Rate",
      TRIM(SUBSTITUTE($T$2:$T$38,CHAR(160)," ")) &amp; "|" &amp;
      LEFT(SUBSTITUTE($U$2:$U$38,CHAR(160)," "),5) &amp; "|" &amp;
      TRIM(SUBSTITUTE($V$2:$V$38,CHAR(160)," ")),
      $W$2:$W$38
    )
  ),
"")</f>
        <v>75</v>
      </c>
    </row>
    <row r="282" spans="1:11" x14ac:dyDescent="0.2">
      <c r="A282" s="10">
        <v>46071</v>
      </c>
      <c r="B282" s="171" t="s">
        <v>564</v>
      </c>
      <c r="C282" s="20" t="s">
        <v>519</v>
      </c>
      <c r="D282" t="s">
        <v>178</v>
      </c>
      <c r="E282" t="s">
        <v>668</v>
      </c>
      <c r="F282" t="s">
        <v>10</v>
      </c>
      <c r="G282" t="s">
        <v>380</v>
      </c>
      <c r="H282" s="79">
        <v>0.5</v>
      </c>
      <c r="I282" s="160" cm="1">
        <f t="array" ref="I282">IFERROR(
  VALUE($H282) *
  VALUE(
    _xlfn.XLOOKUP(
      TRIM($F282) &amp; "|" &amp; LEFT(SUBSTITUTE($G282,CHAR(160)," "),5) &amp; "|Full Rate",
      TRIM(SUBSTITUTE($T$2:$T$38,CHAR(160)," ")) &amp; "|" &amp;
      LEFT(SUBSTITUTE($U$2:$U$38,CHAR(160)," "),5) &amp; "|" &amp;
      TRIM(SUBSTITUTE($V$2:$V$38,CHAR(160)," ")),
      $W$2:$W$38
    )
  ),
"")</f>
        <v>125</v>
      </c>
      <c r="J282" s="161" cm="1">
        <f t="array" ref="J282">IFERROR(
  VALUE($H282) *
  VALUE(
    _xlfn.XLOOKUP(
      TRIM($F282) &amp; "|" &amp; LEFT(SUBSTITUTE($G282,CHAR(160)," "),5) &amp; "|Reduced Rate",
      TRIM(SUBSTITUTE($T$2:$T$38,CHAR(160)," ")) &amp; "|" &amp;
      LEFT(SUBSTITUTE($U$2:$U$38,CHAR(160)," "),5) &amp; "|" &amp;
      TRIM(SUBSTITUTE($V$2:$V$38,CHAR(160)," ")),
      $W$2:$W$38
    )
  ),
"")</f>
        <v>75</v>
      </c>
      <c r="K282" s="42" cm="1">
        <f t="array" ref="K282">IFERROR(
  VALUE($H282) *
  VALUE(
    _xlfn.XLOOKUP(
      TRIM($F282) &amp; "|" &amp; LEFT(SUBSTITUTE($G282,CHAR(160)," "),5) &amp; "|Ideas Rate",
      TRIM(SUBSTITUTE($T$2:$T$38,CHAR(160)," ")) &amp; "|" &amp;
      LEFT(SUBSTITUTE($U$2:$U$38,CHAR(160)," "),5) &amp; "|" &amp;
      TRIM(SUBSTITUTE($V$2:$V$38,CHAR(160)," ")),
      $W$2:$W$38
    )
  ),
"")</f>
        <v>37.5</v>
      </c>
    </row>
    <row r="283" spans="1:11" x14ac:dyDescent="0.2">
      <c r="A283" s="10">
        <v>46072</v>
      </c>
      <c r="B283" s="171" t="s">
        <v>564</v>
      </c>
      <c r="C283" s="20" t="s">
        <v>519</v>
      </c>
      <c r="D283" t="s">
        <v>178</v>
      </c>
      <c r="E283" t="s">
        <v>673</v>
      </c>
      <c r="F283" t="s">
        <v>155</v>
      </c>
      <c r="G283" t="s">
        <v>380</v>
      </c>
      <c r="H283" s="79">
        <v>1</v>
      </c>
      <c r="I283" s="160" cm="1">
        <f t="array" ref="I283">IFERROR(
  VALUE($H283) *
  VALUE(
    _xlfn.XLOOKUP(
      TRIM($F283) &amp; "|" &amp; LEFT(SUBSTITUTE($G283,CHAR(160)," "),5) &amp; "|Full Rate",
      TRIM(SUBSTITUTE($T$2:$T$38,CHAR(160)," ")) &amp; "|" &amp;
      LEFT(SUBSTITUTE($U$2:$U$38,CHAR(160)," "),5) &amp; "|" &amp;
      TRIM(SUBSTITUTE($V$2:$V$38,CHAR(160)," ")),
      $W$2:$W$38
    )
  ),
"")</f>
        <v>260</v>
      </c>
      <c r="J283" s="161" cm="1">
        <f t="array" ref="J283">IFERROR(
  VALUE($H283) *
  VALUE(
    _xlfn.XLOOKUP(
      TRIM($F283) &amp; "|" &amp; LEFT(SUBSTITUTE($G283,CHAR(160)," "),5) &amp; "|Reduced Rate",
      TRIM(SUBSTITUTE($T$2:$T$38,CHAR(160)," ")) &amp; "|" &amp;
      LEFT(SUBSTITUTE($U$2:$U$38,CHAR(160)," "),5) &amp; "|" &amp;
      TRIM(SUBSTITUTE($V$2:$V$38,CHAR(160)," ")),
      $W$2:$W$38
    )
  ),
"")</f>
        <v>120</v>
      </c>
      <c r="K283" s="42" cm="1">
        <f t="array" ref="K283">IFERROR(
  VALUE($H283) *
  VALUE(
    _xlfn.XLOOKUP(
      TRIM($F283) &amp; "|" &amp; LEFT(SUBSTITUTE($G283,CHAR(160)," "),5) &amp; "|Ideas Rate",
      TRIM(SUBSTITUTE($T$2:$T$38,CHAR(160)," ")) &amp; "|" &amp;
      LEFT(SUBSTITUTE($U$2:$U$38,CHAR(160)," "),5) &amp; "|" &amp;
      TRIM(SUBSTITUTE($V$2:$V$38,CHAR(160)," ")),
      $W$2:$W$38
    )
  ),
"")</f>
        <v>90</v>
      </c>
    </row>
    <row r="284" spans="1:11" x14ac:dyDescent="0.2">
      <c r="A284" s="10">
        <v>46072</v>
      </c>
      <c r="B284" s="171" t="s">
        <v>564</v>
      </c>
      <c r="C284" s="20" t="s">
        <v>519</v>
      </c>
      <c r="D284" t="s">
        <v>178</v>
      </c>
      <c r="E284" t="s">
        <v>674</v>
      </c>
      <c r="F284" t="s">
        <v>155</v>
      </c>
      <c r="G284" t="s">
        <v>380</v>
      </c>
      <c r="H284" s="79">
        <v>1.75</v>
      </c>
      <c r="I284" s="160" cm="1">
        <f t="array" ref="I284">IFERROR(
  VALUE($H284) *
  VALUE(
    _xlfn.XLOOKUP(
      TRIM($F284) &amp; "|" &amp; LEFT(SUBSTITUTE($G284,CHAR(160)," "),5) &amp; "|Full Rate",
      TRIM(SUBSTITUTE($T$2:$T$38,CHAR(160)," ")) &amp; "|" &amp;
      LEFT(SUBSTITUTE($U$2:$U$38,CHAR(160)," "),5) &amp; "|" &amp;
      TRIM(SUBSTITUTE($V$2:$V$38,CHAR(160)," ")),
      $W$2:$W$38
    )
  ),
"")</f>
        <v>455</v>
      </c>
      <c r="J284" s="161" cm="1">
        <f t="array" ref="J284">IFERROR(
  VALUE($H284) *
  VALUE(
    _xlfn.XLOOKUP(
      TRIM($F284) &amp; "|" &amp; LEFT(SUBSTITUTE($G284,CHAR(160)," "),5) &amp; "|Reduced Rate",
      TRIM(SUBSTITUTE($T$2:$T$38,CHAR(160)," ")) &amp; "|" &amp;
      LEFT(SUBSTITUTE($U$2:$U$38,CHAR(160)," "),5) &amp; "|" &amp;
      TRIM(SUBSTITUTE($V$2:$V$38,CHAR(160)," ")),
      $W$2:$W$38
    )
  ),
"")</f>
        <v>210</v>
      </c>
      <c r="K284" s="42" cm="1">
        <f t="array" ref="K284">IFERROR(
  VALUE($H284) *
  VALUE(
    _xlfn.XLOOKUP(
      TRIM($F284) &amp; "|" &amp; LEFT(SUBSTITUTE($G284,CHAR(160)," "),5) &amp; "|Ideas Rate",
      TRIM(SUBSTITUTE($T$2:$T$38,CHAR(160)," ")) &amp; "|" &amp;
      LEFT(SUBSTITUTE($U$2:$U$38,CHAR(160)," "),5) &amp; "|" &amp;
      TRIM(SUBSTITUTE($V$2:$V$38,CHAR(160)," ")),
      $W$2:$W$38
    )
  ),
"")</f>
        <v>157.5</v>
      </c>
    </row>
    <row r="285" spans="1:11" x14ac:dyDescent="0.2">
      <c r="A285" s="10">
        <v>46072</v>
      </c>
      <c r="B285" s="171" t="s">
        <v>564</v>
      </c>
      <c r="C285" s="20" t="s">
        <v>519</v>
      </c>
      <c r="D285" t="s">
        <v>191</v>
      </c>
      <c r="E285" t="s">
        <v>666</v>
      </c>
      <c r="F285" t="s">
        <v>155</v>
      </c>
      <c r="G285" t="s">
        <v>380</v>
      </c>
      <c r="H285" s="79">
        <v>4</v>
      </c>
      <c r="I285" s="160" cm="1">
        <f t="array" ref="I285">IFERROR(
  VALUE($H285) *
  VALUE(
    _xlfn.XLOOKUP(
      TRIM($F285) &amp; "|" &amp; LEFT(SUBSTITUTE($G285,CHAR(160)," "),5) &amp; "|Full Rate",
      TRIM(SUBSTITUTE($T$2:$T$38,CHAR(160)," ")) &amp; "|" &amp;
      LEFT(SUBSTITUTE($U$2:$U$38,CHAR(160)," "),5) &amp; "|" &amp;
      TRIM(SUBSTITUTE($V$2:$V$38,CHAR(160)," ")),
      $W$2:$W$38
    )
  ),
"")</f>
        <v>1040</v>
      </c>
      <c r="J285" s="161" cm="1">
        <f t="array" ref="J285">IFERROR(
  VALUE($H285) *
  VALUE(
    _xlfn.XLOOKUP(
      TRIM($F285) &amp; "|" &amp; LEFT(SUBSTITUTE($G285,CHAR(160)," "),5) &amp; "|Reduced Rate",
      TRIM(SUBSTITUTE($T$2:$T$38,CHAR(160)," ")) &amp; "|" &amp;
      LEFT(SUBSTITUTE($U$2:$U$38,CHAR(160)," "),5) &amp; "|" &amp;
      TRIM(SUBSTITUTE($V$2:$V$38,CHAR(160)," ")),
      $W$2:$W$38
    )
  ),
"")</f>
        <v>480</v>
      </c>
      <c r="K285" s="42" cm="1">
        <f t="array" ref="K285">IFERROR(
  VALUE($H285) *
  VALUE(
    _xlfn.XLOOKUP(
      TRIM($F285) &amp; "|" &amp; LEFT(SUBSTITUTE($G285,CHAR(160)," "),5) &amp; "|Ideas Rate",
      TRIM(SUBSTITUTE($T$2:$T$38,CHAR(160)," ")) &amp; "|" &amp;
      LEFT(SUBSTITUTE($U$2:$U$38,CHAR(160)," "),5) &amp; "|" &amp;
      TRIM(SUBSTITUTE($V$2:$V$38,CHAR(160)," ")),
      $W$2:$W$38
    )
  ),
"")</f>
        <v>360</v>
      </c>
    </row>
    <row r="286" spans="1:11" x14ac:dyDescent="0.2">
      <c r="A286" s="10">
        <v>46072</v>
      </c>
      <c r="B286" s="171" t="s">
        <v>564</v>
      </c>
      <c r="C286" s="20" t="s">
        <v>519</v>
      </c>
      <c r="D286" t="s">
        <v>178</v>
      </c>
      <c r="E286" t="s">
        <v>675</v>
      </c>
      <c r="F286" t="s">
        <v>10</v>
      </c>
      <c r="G286" t="s">
        <v>380</v>
      </c>
      <c r="H286" s="79">
        <v>1</v>
      </c>
      <c r="I286" s="160" cm="1">
        <f t="array" ref="I286">IFERROR(
  VALUE($H286) *
  VALUE(
    _xlfn.XLOOKUP(
      TRIM($F286) &amp; "|" &amp; LEFT(SUBSTITUTE($G286,CHAR(160)," "),5) &amp; "|Full Rate",
      TRIM(SUBSTITUTE($T$2:$T$38,CHAR(160)," ")) &amp; "|" &amp;
      LEFT(SUBSTITUTE($U$2:$U$38,CHAR(160)," "),5) &amp; "|" &amp;
      TRIM(SUBSTITUTE($V$2:$V$38,CHAR(160)," ")),
      $W$2:$W$38
    )
  ),
"")</f>
        <v>250</v>
      </c>
      <c r="J286" s="161" cm="1">
        <f t="array" ref="J286">IFERROR(
  VALUE($H286) *
  VALUE(
    _xlfn.XLOOKUP(
      TRIM($F286) &amp; "|" &amp; LEFT(SUBSTITUTE($G286,CHAR(160)," "),5) &amp; "|Reduced Rate",
      TRIM(SUBSTITUTE($T$2:$T$38,CHAR(160)," ")) &amp; "|" &amp;
      LEFT(SUBSTITUTE($U$2:$U$38,CHAR(160)," "),5) &amp; "|" &amp;
      TRIM(SUBSTITUTE($V$2:$V$38,CHAR(160)," ")),
      $W$2:$W$38
    )
  ),
"")</f>
        <v>150</v>
      </c>
      <c r="K286" s="42" cm="1">
        <f t="array" ref="K286">IFERROR(
  VALUE($H286) *
  VALUE(
    _xlfn.XLOOKUP(
      TRIM($F286) &amp; "|" &amp; LEFT(SUBSTITUTE($G286,CHAR(160)," "),5) &amp; "|Ideas Rate",
      TRIM(SUBSTITUTE($T$2:$T$38,CHAR(160)," ")) &amp; "|" &amp;
      LEFT(SUBSTITUTE($U$2:$U$38,CHAR(160)," "),5) &amp; "|" &amp;
      TRIM(SUBSTITUTE($V$2:$V$38,CHAR(160)," ")),
      $W$2:$W$38
    )
  ),
"")</f>
        <v>75</v>
      </c>
    </row>
    <row r="287" spans="1:11" x14ac:dyDescent="0.2">
      <c r="A287" s="10">
        <v>46072</v>
      </c>
      <c r="B287" s="171" t="s">
        <v>564</v>
      </c>
      <c r="C287" s="20" t="s">
        <v>519</v>
      </c>
      <c r="D287" t="s">
        <v>178</v>
      </c>
      <c r="E287" s="41" t="s">
        <v>676</v>
      </c>
      <c r="F287" t="s">
        <v>9</v>
      </c>
      <c r="G287" t="s">
        <v>380</v>
      </c>
      <c r="H287" s="79">
        <v>1</v>
      </c>
      <c r="I287" s="160" cm="1">
        <f t="array" ref="I287">IFERROR(
  VALUE($H287) *
  VALUE(
    _xlfn.XLOOKUP(
      TRIM($F287) &amp; "|" &amp; LEFT(SUBSTITUTE($G287,CHAR(160)," "),5) &amp; "|Full Rate",
      TRIM(SUBSTITUTE($T$2:$T$38,CHAR(160)," ")) &amp; "|" &amp;
      LEFT(SUBSTITUTE($U$2:$U$38,CHAR(160)," "),5) &amp; "|" &amp;
      TRIM(SUBSTITUTE($V$2:$V$38,CHAR(160)," ")),
      $W$2:$W$38
    )
  ),
"")</f>
        <v>250</v>
      </c>
      <c r="J287" s="161" cm="1">
        <f t="array" ref="J287">IFERROR(
  VALUE($H287) *
  VALUE(
    _xlfn.XLOOKUP(
      TRIM($F287) &amp; "|" &amp; LEFT(SUBSTITUTE($G287,CHAR(160)," "),5) &amp; "|Reduced Rate",
      TRIM(SUBSTITUTE($T$2:$T$38,CHAR(160)," ")) &amp; "|" &amp;
      LEFT(SUBSTITUTE($U$2:$U$38,CHAR(160)," "),5) &amp; "|" &amp;
      TRIM(SUBSTITUTE($V$2:$V$38,CHAR(160)," ")),
      $W$2:$W$38
    )
  ),
"")</f>
        <v>150</v>
      </c>
      <c r="K287" s="42" cm="1">
        <f t="array" ref="K287">IFERROR(
  VALUE($H287) *
  VALUE(
    _xlfn.XLOOKUP(
      TRIM($F287) &amp; "|" &amp; LEFT(SUBSTITUTE($G287,CHAR(160)," "),5) &amp; "|Ideas Rate",
      TRIM(SUBSTITUTE($T$2:$T$38,CHAR(160)," ")) &amp; "|" &amp;
      LEFT(SUBSTITUTE($U$2:$U$38,CHAR(160)," "),5) &amp; "|" &amp;
      TRIM(SUBSTITUTE($V$2:$V$38,CHAR(160)," ")),
      $W$2:$W$38
    )
  ),
"")</f>
        <v>75</v>
      </c>
    </row>
    <row r="288" spans="1:11" x14ac:dyDescent="0.2">
      <c r="A288" s="10">
        <v>46072</v>
      </c>
      <c r="B288" s="171" t="s">
        <v>682</v>
      </c>
      <c r="C288" s="20" t="s">
        <v>519</v>
      </c>
      <c r="D288" t="s">
        <v>178</v>
      </c>
      <c r="E288" s="41" t="s">
        <v>695</v>
      </c>
      <c r="F288" t="s">
        <v>10</v>
      </c>
      <c r="G288" t="s">
        <v>380</v>
      </c>
      <c r="H288" s="79">
        <v>1.75</v>
      </c>
      <c r="I288" s="160" cm="1">
        <f t="array" ref="I288">IFERROR(
  VALUE($H288) *
  VALUE(
    _xlfn.XLOOKUP(
      TRIM($F288) &amp; "|" &amp; LEFT(SUBSTITUTE($G288,CHAR(160)," "),5) &amp; "|Full Rate",
      TRIM(SUBSTITUTE($T$2:$T$38,CHAR(160)," ")) &amp; "|" &amp;
      LEFT(SUBSTITUTE($U$2:$U$38,CHAR(160)," "),5) &amp; "|" &amp;
      TRIM(SUBSTITUTE($V$2:$V$38,CHAR(160)," ")),
      $W$2:$W$38
    )
  ),
"")</f>
        <v>437.5</v>
      </c>
      <c r="J288" s="161" cm="1">
        <f t="array" ref="J288">IFERROR(
  VALUE($H288) *
  VALUE(
    _xlfn.XLOOKUP(
      TRIM($F288) &amp; "|" &amp; LEFT(SUBSTITUTE($G288,CHAR(160)," "),5) &amp; "|Reduced Rate",
      TRIM(SUBSTITUTE($T$2:$T$38,CHAR(160)," ")) &amp; "|" &amp;
      LEFT(SUBSTITUTE($U$2:$U$38,CHAR(160)," "),5) &amp; "|" &amp;
      TRIM(SUBSTITUTE($V$2:$V$38,CHAR(160)," ")),
      $W$2:$W$38
    )
  ),
"")</f>
        <v>262.5</v>
      </c>
      <c r="K288" s="42" cm="1">
        <f t="array" ref="K288">IFERROR(
  VALUE($H288) *
  VALUE(
    _xlfn.XLOOKUP(
      TRIM($F288) &amp; "|" &amp; LEFT(SUBSTITUTE($G288,CHAR(160)," "),5) &amp; "|Ideas Rate",
      TRIM(SUBSTITUTE($T$2:$T$38,CHAR(160)," ")) &amp; "|" &amp;
      LEFT(SUBSTITUTE($U$2:$U$38,CHAR(160)," "),5) &amp; "|" &amp;
      TRIM(SUBSTITUTE($V$2:$V$38,CHAR(160)," ")),
      $W$2:$W$38
    )
  ),
"")</f>
        <v>131.25</v>
      </c>
    </row>
    <row r="289" spans="1:11" x14ac:dyDescent="0.2">
      <c r="A289" s="10">
        <v>46072</v>
      </c>
      <c r="B289" s="171" t="s">
        <v>683</v>
      </c>
      <c r="C289" s="20" t="s">
        <v>519</v>
      </c>
      <c r="D289" t="s">
        <v>178</v>
      </c>
      <c r="E289" s="41" t="s">
        <v>696</v>
      </c>
      <c r="F289" t="s">
        <v>10</v>
      </c>
      <c r="G289" t="s">
        <v>380</v>
      </c>
      <c r="H289" s="79">
        <v>1</v>
      </c>
      <c r="I289" s="160" cm="1">
        <f t="array" ref="I289">IFERROR(
  VALUE($H289) *
  VALUE(
    _xlfn.XLOOKUP(
      TRIM($F289) &amp; "|" &amp; LEFT(SUBSTITUTE($G289,CHAR(160)," "),5) &amp; "|Full Rate",
      TRIM(SUBSTITUTE($T$2:$T$38,CHAR(160)," ")) &amp; "|" &amp;
      LEFT(SUBSTITUTE($U$2:$U$38,CHAR(160)," "),5) &amp; "|" &amp;
      TRIM(SUBSTITUTE($V$2:$V$38,CHAR(160)," ")),
      $W$2:$W$38
    )
  ),
"")</f>
        <v>250</v>
      </c>
      <c r="J289" s="161" cm="1">
        <f t="array" ref="J289">IFERROR(
  VALUE($H289) *
  VALUE(
    _xlfn.XLOOKUP(
      TRIM($F289) &amp; "|" &amp; LEFT(SUBSTITUTE($G289,CHAR(160)," "),5) &amp; "|Reduced Rate",
      TRIM(SUBSTITUTE($T$2:$T$38,CHAR(160)," ")) &amp; "|" &amp;
      LEFT(SUBSTITUTE($U$2:$U$38,CHAR(160)," "),5) &amp; "|" &amp;
      TRIM(SUBSTITUTE($V$2:$V$38,CHAR(160)," ")),
      $W$2:$W$38
    )
  ),
"")</f>
        <v>150</v>
      </c>
      <c r="K289" s="42" cm="1">
        <f t="array" ref="K289">IFERROR(
  VALUE($H289) *
  VALUE(
    _xlfn.XLOOKUP(
      TRIM($F289) &amp; "|" &amp; LEFT(SUBSTITUTE($G289,CHAR(160)," "),5) &amp; "|Ideas Rate",
      TRIM(SUBSTITUTE($T$2:$T$38,CHAR(160)," ")) &amp; "|" &amp;
      LEFT(SUBSTITUTE($U$2:$U$38,CHAR(160)," "),5) &amp; "|" &amp;
      TRIM(SUBSTITUTE($V$2:$V$38,CHAR(160)," ")),
      $W$2:$W$38
    )
  ),
"")</f>
        <v>75</v>
      </c>
    </row>
    <row r="290" spans="1:11" x14ac:dyDescent="0.2">
      <c r="A290" s="10">
        <v>46073</v>
      </c>
      <c r="B290" s="171" t="s">
        <v>564</v>
      </c>
      <c r="C290" s="20" t="s">
        <v>519</v>
      </c>
      <c r="D290" t="s">
        <v>178</v>
      </c>
      <c r="E290" t="s">
        <v>677</v>
      </c>
      <c r="F290" t="s">
        <v>155</v>
      </c>
      <c r="G290" t="s">
        <v>380</v>
      </c>
      <c r="H290" s="79">
        <v>0.25</v>
      </c>
      <c r="I290" s="160" cm="1">
        <f t="array" ref="I290">IFERROR(
  VALUE($H290) *
  VALUE(
    _xlfn.XLOOKUP(
      TRIM($F290) &amp; "|" &amp; LEFT(SUBSTITUTE($G290,CHAR(160)," "),5) &amp; "|Full Rate",
      TRIM(SUBSTITUTE($T$2:$T$38,CHAR(160)," ")) &amp; "|" &amp;
      LEFT(SUBSTITUTE($U$2:$U$38,CHAR(160)," "),5) &amp; "|" &amp;
      TRIM(SUBSTITUTE($V$2:$V$38,CHAR(160)," ")),
      $W$2:$W$38
    )
  ),
"")</f>
        <v>65</v>
      </c>
      <c r="J290" s="161" cm="1">
        <f t="array" ref="J290">IFERROR(
  VALUE($H290) *
  VALUE(
    _xlfn.XLOOKUP(
      TRIM($F290) &amp; "|" &amp; LEFT(SUBSTITUTE($G290,CHAR(160)," "),5) &amp; "|Reduced Rate",
      TRIM(SUBSTITUTE($T$2:$T$38,CHAR(160)," ")) &amp; "|" &amp;
      LEFT(SUBSTITUTE($U$2:$U$38,CHAR(160)," "),5) &amp; "|" &amp;
      TRIM(SUBSTITUTE($V$2:$V$38,CHAR(160)," ")),
      $W$2:$W$38
    )
  ),
"")</f>
        <v>30</v>
      </c>
      <c r="K290" s="42" cm="1">
        <f t="array" ref="K290">IFERROR(
  VALUE($H290) *
  VALUE(
    _xlfn.XLOOKUP(
      TRIM($F290) &amp; "|" &amp; LEFT(SUBSTITUTE($G290,CHAR(160)," "),5) &amp; "|Ideas Rate",
      TRIM(SUBSTITUTE($T$2:$T$38,CHAR(160)," ")) &amp; "|" &amp;
      LEFT(SUBSTITUTE($U$2:$U$38,CHAR(160)," "),5) &amp; "|" &amp;
      TRIM(SUBSTITUTE($V$2:$V$38,CHAR(160)," ")),
      $W$2:$W$38
    )
  ),
"")</f>
        <v>22.5</v>
      </c>
    </row>
    <row r="291" spans="1:11" x14ac:dyDescent="0.2">
      <c r="A291" s="10">
        <v>46073</v>
      </c>
      <c r="B291" s="171" t="s">
        <v>564</v>
      </c>
      <c r="C291" s="20" t="s">
        <v>519</v>
      </c>
      <c r="D291" t="s">
        <v>178</v>
      </c>
      <c r="E291" t="s">
        <v>678</v>
      </c>
      <c r="F291" t="s">
        <v>155</v>
      </c>
      <c r="G291" t="s">
        <v>380</v>
      </c>
      <c r="H291" s="79">
        <v>1</v>
      </c>
      <c r="I291" s="160" cm="1">
        <f t="array" ref="I291">IFERROR(
  VALUE($H291) *
  VALUE(
    _xlfn.XLOOKUP(
      TRIM($F291) &amp; "|" &amp; LEFT(SUBSTITUTE($G291,CHAR(160)," "),5) &amp; "|Full Rate",
      TRIM(SUBSTITUTE($T$2:$T$38,CHAR(160)," ")) &amp; "|" &amp;
      LEFT(SUBSTITUTE($U$2:$U$38,CHAR(160)," "),5) &amp; "|" &amp;
      TRIM(SUBSTITUTE($V$2:$V$38,CHAR(160)," ")),
      $W$2:$W$38
    )
  ),
"")</f>
        <v>260</v>
      </c>
      <c r="J291" s="161" cm="1">
        <f t="array" ref="J291">IFERROR(
  VALUE($H291) *
  VALUE(
    _xlfn.XLOOKUP(
      TRIM($F291) &amp; "|" &amp; LEFT(SUBSTITUTE($G291,CHAR(160)," "),5) &amp; "|Reduced Rate",
      TRIM(SUBSTITUTE($T$2:$T$38,CHAR(160)," ")) &amp; "|" &amp;
      LEFT(SUBSTITUTE($U$2:$U$38,CHAR(160)," "),5) &amp; "|" &amp;
      TRIM(SUBSTITUTE($V$2:$V$38,CHAR(160)," ")),
      $W$2:$W$38
    )
  ),
"")</f>
        <v>120</v>
      </c>
      <c r="K291" s="42" cm="1">
        <f t="array" ref="K291">IFERROR(
  VALUE($H291) *
  VALUE(
    _xlfn.XLOOKUP(
      TRIM($F291) &amp; "|" &amp; LEFT(SUBSTITUTE($G291,CHAR(160)," "),5) &amp; "|Ideas Rate",
      TRIM(SUBSTITUTE($T$2:$T$38,CHAR(160)," ")) &amp; "|" &amp;
      LEFT(SUBSTITUTE($U$2:$U$38,CHAR(160)," "),5) &amp; "|" &amp;
      TRIM(SUBSTITUTE($V$2:$V$38,CHAR(160)," ")),
      $W$2:$W$38
    )
  ),
"")</f>
        <v>90</v>
      </c>
    </row>
    <row r="292" spans="1:11" x14ac:dyDescent="0.2">
      <c r="A292" s="10">
        <v>46073</v>
      </c>
      <c r="B292" s="171" t="s">
        <v>564</v>
      </c>
      <c r="C292" s="20" t="s">
        <v>519</v>
      </c>
      <c r="D292" t="s">
        <v>191</v>
      </c>
      <c r="E292" t="s">
        <v>679</v>
      </c>
      <c r="F292" t="s">
        <v>155</v>
      </c>
      <c r="G292" t="s">
        <v>380</v>
      </c>
      <c r="H292" s="79">
        <v>1</v>
      </c>
      <c r="I292" s="160" cm="1">
        <f t="array" ref="I292">IFERROR(
  VALUE($H292) *
  VALUE(
    _xlfn.XLOOKUP(
      TRIM($F292) &amp; "|" &amp; LEFT(SUBSTITUTE($G292,CHAR(160)," "),5) &amp; "|Full Rate",
      TRIM(SUBSTITUTE($T$2:$T$38,CHAR(160)," ")) &amp; "|" &amp;
      LEFT(SUBSTITUTE($U$2:$U$38,CHAR(160)," "),5) &amp; "|" &amp;
      TRIM(SUBSTITUTE($V$2:$V$38,CHAR(160)," ")),
      $W$2:$W$38
    )
  ),
"")</f>
        <v>260</v>
      </c>
      <c r="J292" s="161" cm="1">
        <f t="array" ref="J292">IFERROR(
  VALUE($H292) *
  VALUE(
    _xlfn.XLOOKUP(
      TRIM($F292) &amp; "|" &amp; LEFT(SUBSTITUTE($G292,CHAR(160)," "),5) &amp; "|Reduced Rate",
      TRIM(SUBSTITUTE($T$2:$T$38,CHAR(160)," ")) &amp; "|" &amp;
      LEFT(SUBSTITUTE($U$2:$U$38,CHAR(160)," "),5) &amp; "|" &amp;
      TRIM(SUBSTITUTE($V$2:$V$38,CHAR(160)," ")),
      $W$2:$W$38
    )
  ),
"")</f>
        <v>120</v>
      </c>
      <c r="K292" s="42" cm="1">
        <f t="array" ref="K292">IFERROR(
  VALUE($H292) *
  VALUE(
    _xlfn.XLOOKUP(
      TRIM($F292) &amp; "|" &amp; LEFT(SUBSTITUTE($G292,CHAR(160)," "),5) &amp; "|Ideas Rate",
      TRIM(SUBSTITUTE($T$2:$T$38,CHAR(160)," ")) &amp; "|" &amp;
      LEFT(SUBSTITUTE($U$2:$U$38,CHAR(160)," "),5) &amp; "|" &amp;
      TRIM(SUBSTITUTE($V$2:$V$38,CHAR(160)," ")),
      $W$2:$W$38
    )
  ),
"")</f>
        <v>90</v>
      </c>
    </row>
    <row r="293" spans="1:11" x14ac:dyDescent="0.2">
      <c r="A293" s="10">
        <v>46073</v>
      </c>
      <c r="B293" s="171" t="s">
        <v>564</v>
      </c>
      <c r="C293" s="20" t="s">
        <v>519</v>
      </c>
      <c r="D293" t="s">
        <v>190</v>
      </c>
      <c r="E293" t="s">
        <v>680</v>
      </c>
      <c r="F293" t="s">
        <v>155</v>
      </c>
      <c r="G293" t="s">
        <v>380</v>
      </c>
      <c r="H293" s="79">
        <v>1</v>
      </c>
      <c r="I293" s="160" cm="1">
        <f t="array" ref="I293">IFERROR(
  VALUE($H293) *
  VALUE(
    _xlfn.XLOOKUP(
      TRIM($F293) &amp; "|" &amp; LEFT(SUBSTITUTE($G293,CHAR(160)," "),5) &amp; "|Full Rate",
      TRIM(SUBSTITUTE($T$2:$T$38,CHAR(160)," ")) &amp; "|" &amp;
      LEFT(SUBSTITUTE($U$2:$U$38,CHAR(160)," "),5) &amp; "|" &amp;
      TRIM(SUBSTITUTE($V$2:$V$38,CHAR(160)," ")),
      $W$2:$W$38
    )
  ),
"")</f>
        <v>260</v>
      </c>
      <c r="J293" s="161" cm="1">
        <f t="array" ref="J293">IFERROR(
  VALUE($H293) *
  VALUE(
    _xlfn.XLOOKUP(
      TRIM($F293) &amp; "|" &amp; LEFT(SUBSTITUTE($G293,CHAR(160)," "),5) &amp; "|Reduced Rate",
      TRIM(SUBSTITUTE($T$2:$T$38,CHAR(160)," ")) &amp; "|" &amp;
      LEFT(SUBSTITUTE($U$2:$U$38,CHAR(160)," "),5) &amp; "|" &amp;
      TRIM(SUBSTITUTE($V$2:$V$38,CHAR(160)," ")),
      $W$2:$W$38
    )
  ),
"")</f>
        <v>120</v>
      </c>
      <c r="K293" s="42" cm="1">
        <f t="array" ref="K293">IFERROR(
  VALUE($H293) *
  VALUE(
    _xlfn.XLOOKUP(
      TRIM($F293) &amp; "|" &amp; LEFT(SUBSTITUTE($G293,CHAR(160)," "),5) &amp; "|Ideas Rate",
      TRIM(SUBSTITUTE($T$2:$T$38,CHAR(160)," ")) &amp; "|" &amp;
      LEFT(SUBSTITUTE($U$2:$U$38,CHAR(160)," "),5) &amp; "|" &amp;
      TRIM(SUBSTITUTE($V$2:$V$38,CHAR(160)," ")),
      $W$2:$W$38
    )
  ),
"")</f>
        <v>90</v>
      </c>
    </row>
    <row r="294" spans="1:11" x14ac:dyDescent="0.2">
      <c r="A294" s="10">
        <v>46073</v>
      </c>
      <c r="B294" s="171" t="s">
        <v>564</v>
      </c>
      <c r="C294" s="20" t="s">
        <v>519</v>
      </c>
      <c r="D294" t="s">
        <v>190</v>
      </c>
      <c r="E294" t="s">
        <v>681</v>
      </c>
      <c r="F294" t="s">
        <v>155</v>
      </c>
      <c r="G294" t="s">
        <v>380</v>
      </c>
      <c r="H294" s="79">
        <v>1.5</v>
      </c>
      <c r="I294" s="160" cm="1">
        <f t="array" ref="I294">IFERROR(
  VALUE($H294) *
  VALUE(
    _xlfn.XLOOKUP(
      TRIM($F294) &amp; "|" &amp; LEFT(SUBSTITUTE($G294,CHAR(160)," "),5) &amp; "|Full Rate",
      TRIM(SUBSTITUTE($T$2:$T$38,CHAR(160)," ")) &amp; "|" &amp;
      LEFT(SUBSTITUTE($U$2:$U$38,CHAR(160)," "),5) &amp; "|" &amp;
      TRIM(SUBSTITUTE($V$2:$V$38,CHAR(160)," ")),
      $W$2:$W$38
    )
  ),
"")</f>
        <v>390</v>
      </c>
      <c r="J294" s="161" cm="1">
        <f t="array" ref="J294">IFERROR(
  VALUE($H294) *
  VALUE(
    _xlfn.XLOOKUP(
      TRIM($F294) &amp; "|" &amp; LEFT(SUBSTITUTE($G294,CHAR(160)," "),5) &amp; "|Reduced Rate",
      TRIM(SUBSTITUTE($T$2:$T$38,CHAR(160)," ")) &amp; "|" &amp;
      LEFT(SUBSTITUTE($U$2:$U$38,CHAR(160)," "),5) &amp; "|" &amp;
      TRIM(SUBSTITUTE($V$2:$V$38,CHAR(160)," ")),
      $W$2:$W$38
    )
  ),
"")</f>
        <v>180</v>
      </c>
      <c r="K294" s="42" cm="1">
        <f t="array" ref="K294">IFERROR(
  VALUE($H294) *
  VALUE(
    _xlfn.XLOOKUP(
      TRIM($F294) &amp; "|" &amp; LEFT(SUBSTITUTE($G294,CHAR(160)," "),5) &amp; "|Ideas Rate",
      TRIM(SUBSTITUTE($T$2:$T$38,CHAR(160)," ")) &amp; "|" &amp;
      LEFT(SUBSTITUTE($U$2:$U$38,CHAR(160)," "),5) &amp; "|" &amp;
      TRIM(SUBSTITUTE($V$2:$V$38,CHAR(160)," ")),
      $W$2:$W$38
    )
  ),
"")</f>
        <v>135</v>
      </c>
    </row>
    <row r="295" spans="1:11" x14ac:dyDescent="0.2">
      <c r="A295" s="10">
        <v>46073</v>
      </c>
      <c r="B295" s="171" t="s">
        <v>564</v>
      </c>
      <c r="C295" s="20" t="s">
        <v>519</v>
      </c>
      <c r="D295" t="s">
        <v>178</v>
      </c>
      <c r="E295" t="s">
        <v>697</v>
      </c>
      <c r="F295" t="s">
        <v>10</v>
      </c>
      <c r="G295" t="s">
        <v>380</v>
      </c>
      <c r="H295" s="79">
        <v>0.25</v>
      </c>
      <c r="I295" s="160" cm="1">
        <f t="array" ref="I295">IFERROR(
  VALUE($H295) *
  VALUE(
    _xlfn.XLOOKUP(
      TRIM($F295) &amp; "|" &amp; LEFT(SUBSTITUTE($G295,CHAR(160)," "),5) &amp; "|Full Rate",
      TRIM(SUBSTITUTE($T$2:$T$38,CHAR(160)," ")) &amp; "|" &amp;
      LEFT(SUBSTITUTE($U$2:$U$38,CHAR(160)," "),5) &amp; "|" &amp;
      TRIM(SUBSTITUTE($V$2:$V$38,CHAR(160)," ")),
      $W$2:$W$38
    )
  ),
"")</f>
        <v>62.5</v>
      </c>
      <c r="J295" s="161" cm="1">
        <f t="array" ref="J295">IFERROR(
  VALUE($H295) *
  VALUE(
    _xlfn.XLOOKUP(
      TRIM($F295) &amp; "|" &amp; LEFT(SUBSTITUTE($G295,CHAR(160)," "),5) &amp; "|Reduced Rate",
      TRIM(SUBSTITUTE($T$2:$T$38,CHAR(160)," ")) &amp; "|" &amp;
      LEFT(SUBSTITUTE($U$2:$U$38,CHAR(160)," "),5) &amp; "|" &amp;
      TRIM(SUBSTITUTE($V$2:$V$38,CHAR(160)," ")),
      $W$2:$W$38
    )
  ),
"")</f>
        <v>37.5</v>
      </c>
      <c r="K295" s="42" cm="1">
        <f t="array" ref="K295">IFERROR(
  VALUE($H295) *
  VALUE(
    _xlfn.XLOOKUP(
      TRIM($F295) &amp; "|" &amp; LEFT(SUBSTITUTE($G295,CHAR(160)," "),5) &amp; "|Ideas Rate",
      TRIM(SUBSTITUTE($T$2:$T$38,CHAR(160)," ")) &amp; "|" &amp;
      LEFT(SUBSTITUTE($U$2:$U$38,CHAR(160)," "),5) &amp; "|" &amp;
      TRIM(SUBSTITUTE($V$2:$V$38,CHAR(160)," ")),
      $W$2:$W$38
    )
  ),
"")</f>
        <v>18.75</v>
      </c>
    </row>
    <row r="296" spans="1:11" x14ac:dyDescent="0.2">
      <c r="A296" s="10">
        <v>46073</v>
      </c>
      <c r="B296" s="171" t="s">
        <v>564</v>
      </c>
      <c r="C296" s="20" t="s">
        <v>519</v>
      </c>
      <c r="D296" t="s">
        <v>178</v>
      </c>
      <c r="E296" t="s">
        <v>699</v>
      </c>
      <c r="F296" t="s">
        <v>9</v>
      </c>
      <c r="G296" t="s">
        <v>380</v>
      </c>
      <c r="H296" s="79">
        <v>1</v>
      </c>
      <c r="I296" s="160" cm="1">
        <f t="array" ref="I296">IFERROR(
  VALUE($H296) *
  VALUE(
    _xlfn.XLOOKUP(
      TRIM($F296) &amp; "|" &amp; LEFT(SUBSTITUTE($G296,CHAR(160)," "),5) &amp; "|Full Rate",
      TRIM(SUBSTITUTE($T$2:$T$38,CHAR(160)," ")) &amp; "|" &amp;
      LEFT(SUBSTITUTE($U$2:$U$38,CHAR(160)," "),5) &amp; "|" &amp;
      TRIM(SUBSTITUTE($V$2:$V$38,CHAR(160)," ")),
      $W$2:$W$38
    )
  ),
"")</f>
        <v>250</v>
      </c>
      <c r="J296" s="161" cm="1">
        <f t="array" ref="J296">IFERROR(
  VALUE($H296) *
  VALUE(
    _xlfn.XLOOKUP(
      TRIM($F296) &amp; "|" &amp; LEFT(SUBSTITUTE($G296,CHAR(160)," "),5) &amp; "|Reduced Rate",
      TRIM(SUBSTITUTE($T$2:$T$38,CHAR(160)," ")) &amp; "|" &amp;
      LEFT(SUBSTITUTE($U$2:$U$38,CHAR(160)," "),5) &amp; "|" &amp;
      TRIM(SUBSTITUTE($V$2:$V$38,CHAR(160)," ")),
      $W$2:$W$38
    )
  ),
"")</f>
        <v>150</v>
      </c>
      <c r="K296" s="42" cm="1">
        <f t="array" ref="K296">IFERROR(
  VALUE($H296) *
  VALUE(
    _xlfn.XLOOKUP(
      TRIM($F296) &amp; "|" &amp; LEFT(SUBSTITUTE($G296,CHAR(160)," "),5) &amp; "|Ideas Rate",
      TRIM(SUBSTITUTE($T$2:$T$38,CHAR(160)," ")) &amp; "|" &amp;
      LEFT(SUBSTITUTE($U$2:$U$38,CHAR(160)," "),5) &amp; "|" &amp;
      TRIM(SUBSTITUTE($V$2:$V$38,CHAR(160)," ")),
      $W$2:$W$38
    )
  ),
"")</f>
        <v>75</v>
      </c>
    </row>
    <row r="297" spans="1:11" x14ac:dyDescent="0.2">
      <c r="A297" s="10">
        <v>46073</v>
      </c>
      <c r="B297" s="171" t="s">
        <v>564</v>
      </c>
      <c r="C297" s="20" t="s">
        <v>519</v>
      </c>
      <c r="D297" t="s">
        <v>178</v>
      </c>
      <c r="E297" t="s">
        <v>698</v>
      </c>
      <c r="F297" t="s">
        <v>10</v>
      </c>
      <c r="G297" t="s">
        <v>380</v>
      </c>
      <c r="H297" s="79">
        <v>1</v>
      </c>
      <c r="I297" s="160" cm="1">
        <f t="array" ref="I297">IFERROR(
  VALUE($H297) *
  VALUE(
    _xlfn.XLOOKUP(
      TRIM($F297) &amp; "|" &amp; LEFT(SUBSTITUTE($G297,CHAR(160)," "),5) &amp; "|Full Rate",
      TRIM(SUBSTITUTE($T$2:$T$38,CHAR(160)," ")) &amp; "|" &amp;
      LEFT(SUBSTITUTE($U$2:$U$38,CHAR(160)," "),5) &amp; "|" &amp;
      TRIM(SUBSTITUTE($V$2:$V$38,CHAR(160)," ")),
      $W$2:$W$38
    )
  ),
"")</f>
        <v>250</v>
      </c>
      <c r="J297" s="161" cm="1">
        <f t="array" ref="J297">IFERROR(
  VALUE($H297) *
  VALUE(
    _xlfn.XLOOKUP(
      TRIM($F297) &amp; "|" &amp; LEFT(SUBSTITUTE($G297,CHAR(160)," "),5) &amp; "|Reduced Rate",
      TRIM(SUBSTITUTE($T$2:$T$38,CHAR(160)," ")) &amp; "|" &amp;
      LEFT(SUBSTITUTE($U$2:$U$38,CHAR(160)," "),5) &amp; "|" &amp;
      TRIM(SUBSTITUTE($V$2:$V$38,CHAR(160)," ")),
      $W$2:$W$38
    )
  ),
"")</f>
        <v>150</v>
      </c>
      <c r="K297" s="42" cm="1">
        <f t="array" ref="K297">IFERROR(
  VALUE($H297) *
  VALUE(
    _xlfn.XLOOKUP(
      TRIM($F297) &amp; "|" &amp; LEFT(SUBSTITUTE($G297,CHAR(160)," "),5) &amp; "|Ideas Rate",
      TRIM(SUBSTITUTE($T$2:$T$38,CHAR(160)," ")) &amp; "|" &amp;
      LEFT(SUBSTITUTE($U$2:$U$38,CHAR(160)," "),5) &amp; "|" &amp;
      TRIM(SUBSTITUTE($V$2:$V$38,CHAR(160)," ")),
      $W$2:$W$38
    )
  ),
"")</f>
        <v>75</v>
      </c>
    </row>
    <row r="298" spans="1:11" x14ac:dyDescent="0.2">
      <c r="A298" s="10">
        <v>46076</v>
      </c>
      <c r="B298" s="171" t="s">
        <v>564</v>
      </c>
      <c r="C298" s="20" t="s">
        <v>519</v>
      </c>
      <c r="D298" t="s">
        <v>192</v>
      </c>
      <c r="E298" t="s">
        <v>684</v>
      </c>
      <c r="F298" t="s">
        <v>155</v>
      </c>
      <c r="G298" t="s">
        <v>367</v>
      </c>
      <c r="H298" s="79">
        <v>3.5</v>
      </c>
      <c r="I298" s="160" cm="1">
        <f t="array" ref="I298">IFERROR(
  VALUE($H298) *
  VALUE(
    _xlfn.XLOOKUP(
      TRIM($F298) &amp; "|" &amp; LEFT(SUBSTITUTE($G298,CHAR(160)," "),5) &amp; "|Full Rate",
      TRIM(SUBSTITUTE($T$2:$T$38,CHAR(160)," ")) &amp; "|" &amp;
      LEFT(SUBSTITUTE($U$2:$U$38,CHAR(160)," "),5) &amp; "|" &amp;
      TRIM(SUBSTITUTE($V$2:$V$38,CHAR(160)," ")),
      $W$2:$W$38
    )
  ),
"")</f>
        <v>1400</v>
      </c>
      <c r="J298" s="161" cm="1">
        <f t="array" ref="J298">IFERROR(
  VALUE($H298) *
  VALUE(
    _xlfn.XLOOKUP(
      TRIM($F298) &amp; "|" &amp; LEFT(SUBSTITUTE($G298,CHAR(160)," "),5) &amp; "|Reduced Rate",
      TRIM(SUBSTITUTE($T$2:$T$38,CHAR(160)," ")) &amp; "|" &amp;
      LEFT(SUBSTITUTE($U$2:$U$38,CHAR(160)," "),5) &amp; "|" &amp;
      TRIM(SUBSTITUTE($V$2:$V$38,CHAR(160)," ")),
      $W$2:$W$38
    )
  ),
"")</f>
        <v>700</v>
      </c>
      <c r="K298" s="42" cm="1">
        <f t="array" ref="K298">IFERROR(
  VALUE($H298) *
  VALUE(
    _xlfn.XLOOKUP(
      TRIM($F298) &amp; "|" &amp; LEFT(SUBSTITUTE($G298,CHAR(160)," "),5) &amp; "|Ideas Rate",
      TRIM(SUBSTITUTE($T$2:$T$38,CHAR(160)," ")) &amp; "|" &amp;
      LEFT(SUBSTITUTE($U$2:$U$38,CHAR(160)," "),5) &amp; "|" &amp;
      TRIM(SUBSTITUTE($V$2:$V$38,CHAR(160)," ")),
      $W$2:$W$38
    )
  ),
"")</f>
        <v>420</v>
      </c>
    </row>
    <row r="299" spans="1:11" x14ac:dyDescent="0.2">
      <c r="A299" s="10">
        <v>46076</v>
      </c>
      <c r="B299" s="171" t="s">
        <v>564</v>
      </c>
      <c r="C299" s="20" t="s">
        <v>519</v>
      </c>
      <c r="D299" t="s">
        <v>190</v>
      </c>
      <c r="E299" t="s">
        <v>685</v>
      </c>
      <c r="F299" t="s">
        <v>155</v>
      </c>
      <c r="G299" t="s">
        <v>380</v>
      </c>
      <c r="H299" s="79">
        <v>0.5</v>
      </c>
      <c r="I299" s="160" cm="1">
        <f t="array" ref="I299">IFERROR(
  VALUE($H299) *
  VALUE(
    _xlfn.XLOOKUP(
      TRIM($F299) &amp; "|" &amp; LEFT(SUBSTITUTE($G299,CHAR(160)," "),5) &amp; "|Full Rate",
      TRIM(SUBSTITUTE($T$2:$T$38,CHAR(160)," ")) &amp; "|" &amp;
      LEFT(SUBSTITUTE($U$2:$U$38,CHAR(160)," "),5) &amp; "|" &amp;
      TRIM(SUBSTITUTE($V$2:$V$38,CHAR(160)," ")),
      $W$2:$W$38
    )
  ),
"")</f>
        <v>130</v>
      </c>
      <c r="J299" s="161" cm="1">
        <f t="array" ref="J299">IFERROR(
  VALUE($H299) *
  VALUE(
    _xlfn.XLOOKUP(
      TRIM($F299) &amp; "|" &amp; LEFT(SUBSTITUTE($G299,CHAR(160)," "),5) &amp; "|Reduced Rate",
      TRIM(SUBSTITUTE($T$2:$T$38,CHAR(160)," ")) &amp; "|" &amp;
      LEFT(SUBSTITUTE($U$2:$U$38,CHAR(160)," "),5) &amp; "|" &amp;
      TRIM(SUBSTITUTE($V$2:$V$38,CHAR(160)," ")),
      $W$2:$W$38
    )
  ),
"")</f>
        <v>60</v>
      </c>
      <c r="K299" s="42" cm="1">
        <f t="array" ref="K299">IFERROR(
  VALUE($H299) *
  VALUE(
    _xlfn.XLOOKUP(
      TRIM($F299) &amp; "|" &amp; LEFT(SUBSTITUTE($G299,CHAR(160)," "),5) &amp; "|Ideas Rate",
      TRIM(SUBSTITUTE($T$2:$T$38,CHAR(160)," ")) &amp; "|" &amp;
      LEFT(SUBSTITUTE($U$2:$U$38,CHAR(160)," "),5) &amp; "|" &amp;
      TRIM(SUBSTITUTE($V$2:$V$38,CHAR(160)," ")),
      $W$2:$W$38
    )
  ),
"")</f>
        <v>45</v>
      </c>
    </row>
    <row r="300" spans="1:11" x14ac:dyDescent="0.2">
      <c r="A300" s="10">
        <v>46076</v>
      </c>
      <c r="B300" s="171" t="s">
        <v>564</v>
      </c>
      <c r="C300" s="20" t="s">
        <v>519</v>
      </c>
      <c r="D300" t="s">
        <v>190</v>
      </c>
      <c r="E300" t="s">
        <v>686</v>
      </c>
      <c r="F300" t="s">
        <v>155</v>
      </c>
      <c r="G300" t="s">
        <v>380</v>
      </c>
      <c r="H300" s="79">
        <v>1.25</v>
      </c>
      <c r="I300" s="160" cm="1">
        <f t="array" ref="I300">IFERROR(
  VALUE($H300) *
  VALUE(
    _xlfn.XLOOKUP(
      TRIM($F300) &amp; "|" &amp; LEFT(SUBSTITUTE($G300,CHAR(160)," "),5) &amp; "|Full Rate",
      TRIM(SUBSTITUTE($T$2:$T$38,CHAR(160)," ")) &amp; "|" &amp;
      LEFT(SUBSTITUTE($U$2:$U$38,CHAR(160)," "),5) &amp; "|" &amp;
      TRIM(SUBSTITUTE($V$2:$V$38,CHAR(160)," ")),
      $W$2:$W$38
    )
  ),
"")</f>
        <v>325</v>
      </c>
      <c r="J300" s="161" cm="1">
        <f t="array" ref="J300">IFERROR(
  VALUE($H300) *
  VALUE(
    _xlfn.XLOOKUP(
      TRIM($F300) &amp; "|" &amp; LEFT(SUBSTITUTE($G300,CHAR(160)," "),5) &amp; "|Reduced Rate",
      TRIM(SUBSTITUTE($T$2:$T$38,CHAR(160)," ")) &amp; "|" &amp;
      LEFT(SUBSTITUTE($U$2:$U$38,CHAR(160)," "),5) &amp; "|" &amp;
      TRIM(SUBSTITUTE($V$2:$V$38,CHAR(160)," ")),
      $W$2:$W$38
    )
  ),
"")</f>
        <v>150</v>
      </c>
      <c r="K300" s="42" cm="1">
        <f t="array" ref="K300">IFERROR(
  VALUE($H300) *
  VALUE(
    _xlfn.XLOOKUP(
      TRIM($F300) &amp; "|" &amp; LEFT(SUBSTITUTE($G300,CHAR(160)," "),5) &amp; "|Ideas Rate",
      TRIM(SUBSTITUTE($T$2:$T$38,CHAR(160)," ")) &amp; "|" &amp;
      LEFT(SUBSTITUTE($U$2:$U$38,CHAR(160)," "),5) &amp; "|" &amp;
      TRIM(SUBSTITUTE($V$2:$V$38,CHAR(160)," ")),
      $W$2:$W$38
    )
  ),
"")</f>
        <v>112.5</v>
      </c>
    </row>
    <row r="301" spans="1:11" x14ac:dyDescent="0.2">
      <c r="A301" s="10">
        <v>46076</v>
      </c>
      <c r="B301" s="171" t="s">
        <v>564</v>
      </c>
      <c r="C301" s="20" t="s">
        <v>519</v>
      </c>
      <c r="D301" t="s">
        <v>178</v>
      </c>
      <c r="E301" t="s">
        <v>687</v>
      </c>
      <c r="F301" t="s">
        <v>155</v>
      </c>
      <c r="G301" t="s">
        <v>380</v>
      </c>
      <c r="H301" s="79">
        <v>0.5</v>
      </c>
      <c r="I301" s="160" cm="1">
        <f t="array" ref="I301">IFERROR(
  VALUE($H301) *
  VALUE(
    _xlfn.XLOOKUP(
      TRIM($F301) &amp; "|" &amp; LEFT(SUBSTITUTE($G301,CHAR(160)," "),5) &amp; "|Full Rate",
      TRIM(SUBSTITUTE($T$2:$T$38,CHAR(160)," ")) &amp; "|" &amp;
      LEFT(SUBSTITUTE($U$2:$U$38,CHAR(160)," "),5) &amp; "|" &amp;
      TRIM(SUBSTITUTE($V$2:$V$38,CHAR(160)," ")),
      $W$2:$W$38
    )
  ),
"")</f>
        <v>130</v>
      </c>
      <c r="J301" s="161" cm="1">
        <f t="array" ref="J301">IFERROR(
  VALUE($H301) *
  VALUE(
    _xlfn.XLOOKUP(
      TRIM($F301) &amp; "|" &amp; LEFT(SUBSTITUTE($G301,CHAR(160)," "),5) &amp; "|Reduced Rate",
      TRIM(SUBSTITUTE($T$2:$T$38,CHAR(160)," ")) &amp; "|" &amp;
      LEFT(SUBSTITUTE($U$2:$U$38,CHAR(160)," "),5) &amp; "|" &amp;
      TRIM(SUBSTITUTE($V$2:$V$38,CHAR(160)," ")),
      $W$2:$W$38
    )
  ),
"")</f>
        <v>60</v>
      </c>
      <c r="K301" s="42" cm="1">
        <f t="array" ref="K301">IFERROR(
  VALUE($H301) *
  VALUE(
    _xlfn.XLOOKUP(
      TRIM($F301) &amp; "|" &amp; LEFT(SUBSTITUTE($G301,CHAR(160)," "),5) &amp; "|Ideas Rate",
      TRIM(SUBSTITUTE($T$2:$T$38,CHAR(160)," ")) &amp; "|" &amp;
      LEFT(SUBSTITUTE($U$2:$U$38,CHAR(160)," "),5) &amp; "|" &amp;
      TRIM(SUBSTITUTE($V$2:$V$38,CHAR(160)," ")),
      $W$2:$W$38
    )
  ),
"")</f>
        <v>45</v>
      </c>
    </row>
    <row r="302" spans="1:11" x14ac:dyDescent="0.2">
      <c r="A302" s="10">
        <v>46077</v>
      </c>
      <c r="B302" s="171" t="s">
        <v>564</v>
      </c>
      <c r="C302" s="20" t="s">
        <v>519</v>
      </c>
      <c r="D302" t="s">
        <v>192</v>
      </c>
      <c r="E302" t="s">
        <v>509</v>
      </c>
      <c r="F302" t="s">
        <v>155</v>
      </c>
      <c r="G302" t="s">
        <v>380</v>
      </c>
      <c r="H302" s="79">
        <v>1</v>
      </c>
      <c r="I302" s="160" cm="1">
        <f t="array" ref="I302">IFERROR(
  VALUE($H302) *
  VALUE(
    _xlfn.XLOOKUP(
      TRIM($F302) &amp; "|" &amp; LEFT(SUBSTITUTE($G302,CHAR(160)," "),5) &amp; "|Full Rate",
      TRIM(SUBSTITUTE($T$2:$T$38,CHAR(160)," ")) &amp; "|" &amp;
      LEFT(SUBSTITUTE($U$2:$U$38,CHAR(160)," "),5) &amp; "|" &amp;
      TRIM(SUBSTITUTE($V$2:$V$38,CHAR(160)," ")),
      $W$2:$W$38
    )
  ),
"")</f>
        <v>260</v>
      </c>
      <c r="J302" s="161" cm="1">
        <f t="array" ref="J302">IFERROR(
  VALUE($H302) *
  VALUE(
    _xlfn.XLOOKUP(
      TRIM($F302) &amp; "|" &amp; LEFT(SUBSTITUTE($G302,CHAR(160)," "),5) &amp; "|Reduced Rate",
      TRIM(SUBSTITUTE($T$2:$T$38,CHAR(160)," ")) &amp; "|" &amp;
      LEFT(SUBSTITUTE($U$2:$U$38,CHAR(160)," "),5) &amp; "|" &amp;
      TRIM(SUBSTITUTE($V$2:$V$38,CHAR(160)," ")),
      $W$2:$W$38
    )
  ),
"")</f>
        <v>120</v>
      </c>
      <c r="K302" s="42" cm="1">
        <f t="array" ref="K302">IFERROR(
  VALUE($H302) *
  VALUE(
    _xlfn.XLOOKUP(
      TRIM($F302) &amp; "|" &amp; LEFT(SUBSTITUTE($G302,CHAR(160)," "),5) &amp; "|Ideas Rate",
      TRIM(SUBSTITUTE($T$2:$T$38,CHAR(160)," ")) &amp; "|" &amp;
      LEFT(SUBSTITUTE($U$2:$U$38,CHAR(160)," "),5) &amp; "|" &amp;
      TRIM(SUBSTITUTE($V$2:$V$38,CHAR(160)," ")),
      $W$2:$W$38
    )
  ),
"")</f>
        <v>90</v>
      </c>
    </row>
    <row r="303" spans="1:11" x14ac:dyDescent="0.2">
      <c r="A303" s="10">
        <v>46077</v>
      </c>
      <c r="B303" s="171" t="s">
        <v>564</v>
      </c>
      <c r="C303" s="20" t="s">
        <v>519</v>
      </c>
      <c r="D303" t="s">
        <v>178</v>
      </c>
      <c r="E303" t="s">
        <v>688</v>
      </c>
      <c r="F303" t="s">
        <v>155</v>
      </c>
      <c r="G303" t="s">
        <v>380</v>
      </c>
      <c r="H303" s="79">
        <v>1.25</v>
      </c>
      <c r="I303" s="160" cm="1">
        <f t="array" ref="I303">IFERROR(
  VALUE($H303) *
  VALUE(
    _xlfn.XLOOKUP(
      TRIM($F303) &amp; "|" &amp; LEFT(SUBSTITUTE($G303,CHAR(160)," "),5) &amp; "|Full Rate",
      TRIM(SUBSTITUTE($T$2:$T$38,CHAR(160)," ")) &amp; "|" &amp;
      LEFT(SUBSTITUTE($U$2:$U$38,CHAR(160)," "),5) &amp; "|" &amp;
      TRIM(SUBSTITUTE($V$2:$V$38,CHAR(160)," ")),
      $W$2:$W$38
    )
  ),
"")</f>
        <v>325</v>
      </c>
      <c r="J303" s="161" cm="1">
        <f t="array" ref="J303">IFERROR(
  VALUE($H303) *
  VALUE(
    _xlfn.XLOOKUP(
      TRIM($F303) &amp; "|" &amp; LEFT(SUBSTITUTE($G303,CHAR(160)," "),5) &amp; "|Reduced Rate",
      TRIM(SUBSTITUTE($T$2:$T$38,CHAR(160)," ")) &amp; "|" &amp;
      LEFT(SUBSTITUTE($U$2:$U$38,CHAR(160)," "),5) &amp; "|" &amp;
      TRIM(SUBSTITUTE($V$2:$V$38,CHAR(160)," ")),
      $W$2:$W$38
    )
  ),
"")</f>
        <v>150</v>
      </c>
      <c r="K303" s="42" cm="1">
        <f t="array" ref="K303">IFERROR(
  VALUE($H303) *
  VALUE(
    _xlfn.XLOOKUP(
      TRIM($F303) &amp; "|" &amp; LEFT(SUBSTITUTE($G303,CHAR(160)," "),5) &amp; "|Ideas Rate",
      TRIM(SUBSTITUTE($T$2:$T$38,CHAR(160)," ")) &amp; "|" &amp;
      LEFT(SUBSTITUTE($U$2:$U$38,CHAR(160)," "),5) &amp; "|" &amp;
      TRIM(SUBSTITUTE($V$2:$V$38,CHAR(160)," ")),
      $W$2:$W$38
    )
  ),
"")</f>
        <v>112.5</v>
      </c>
    </row>
    <row r="304" spans="1:11" x14ac:dyDescent="0.2">
      <c r="A304" s="10">
        <v>46077</v>
      </c>
      <c r="B304" s="171" t="s">
        <v>564</v>
      </c>
      <c r="C304" s="20" t="s">
        <v>519</v>
      </c>
      <c r="D304" t="s">
        <v>190</v>
      </c>
      <c r="E304" t="s">
        <v>689</v>
      </c>
      <c r="F304" t="s">
        <v>155</v>
      </c>
      <c r="G304" t="s">
        <v>380</v>
      </c>
      <c r="H304" s="79">
        <v>1.5</v>
      </c>
      <c r="I304" s="160" cm="1">
        <f t="array" ref="I304">IFERROR(
  VALUE($H304) *
  VALUE(
    _xlfn.XLOOKUP(
      TRIM($F304) &amp; "|" &amp; LEFT(SUBSTITUTE($G304,CHAR(160)," "),5) &amp; "|Full Rate",
      TRIM(SUBSTITUTE($T$2:$T$38,CHAR(160)," ")) &amp; "|" &amp;
      LEFT(SUBSTITUTE($U$2:$U$38,CHAR(160)," "),5) &amp; "|" &amp;
      TRIM(SUBSTITUTE($V$2:$V$38,CHAR(160)," ")),
      $W$2:$W$38
    )
  ),
"")</f>
        <v>390</v>
      </c>
      <c r="J304" s="161" cm="1">
        <f t="array" ref="J304">IFERROR(
  VALUE($H304) *
  VALUE(
    _xlfn.XLOOKUP(
      TRIM($F304) &amp; "|" &amp; LEFT(SUBSTITUTE($G304,CHAR(160)," "),5) &amp; "|Reduced Rate",
      TRIM(SUBSTITUTE($T$2:$T$38,CHAR(160)," ")) &amp; "|" &amp;
      LEFT(SUBSTITUTE($U$2:$U$38,CHAR(160)," "),5) &amp; "|" &amp;
      TRIM(SUBSTITUTE($V$2:$V$38,CHAR(160)," ")),
      $W$2:$W$38
    )
  ),
"")</f>
        <v>180</v>
      </c>
      <c r="K304" s="42" cm="1">
        <f t="array" ref="K304">IFERROR(
  VALUE($H304) *
  VALUE(
    _xlfn.XLOOKUP(
      TRIM($F304) &amp; "|" &amp; LEFT(SUBSTITUTE($G304,CHAR(160)," "),5) &amp; "|Ideas Rate",
      TRIM(SUBSTITUTE($T$2:$T$38,CHAR(160)," ")) &amp; "|" &amp;
      LEFT(SUBSTITUTE($U$2:$U$38,CHAR(160)," "),5) &amp; "|" &amp;
      TRIM(SUBSTITUTE($V$2:$V$38,CHAR(160)," ")),
      $W$2:$W$38
    )
  ),
"")</f>
        <v>135</v>
      </c>
    </row>
    <row r="305" spans="1:11" x14ac:dyDescent="0.2">
      <c r="A305" s="10">
        <v>46077</v>
      </c>
      <c r="B305" s="171" t="s">
        <v>564</v>
      </c>
      <c r="C305" s="20" t="s">
        <v>519</v>
      </c>
      <c r="D305" t="s">
        <v>178</v>
      </c>
      <c r="E305" t="s">
        <v>688</v>
      </c>
      <c r="F305" t="s">
        <v>10</v>
      </c>
      <c r="G305" t="s">
        <v>380</v>
      </c>
      <c r="H305" s="79">
        <v>1.25</v>
      </c>
      <c r="I305" s="160" cm="1">
        <f t="array" ref="I305">IFERROR(
  VALUE($H305) *
  VALUE(
    _xlfn.XLOOKUP(
      TRIM($F305) &amp; "|" &amp; LEFT(SUBSTITUTE($G305,CHAR(160)," "),5) &amp; "|Full Rate",
      TRIM(SUBSTITUTE($T$2:$T$38,CHAR(160)," ")) &amp; "|" &amp;
      LEFT(SUBSTITUTE($U$2:$U$38,CHAR(160)," "),5) &amp; "|" &amp;
      TRIM(SUBSTITUTE($V$2:$V$38,CHAR(160)," ")),
      $W$2:$W$38
    )
  ),
"")</f>
        <v>312.5</v>
      </c>
      <c r="J305" s="161" cm="1">
        <f t="array" ref="J305">IFERROR(
  VALUE($H305) *
  VALUE(
    _xlfn.XLOOKUP(
      TRIM($F305) &amp; "|" &amp; LEFT(SUBSTITUTE($G305,CHAR(160)," "),5) &amp; "|Reduced Rate",
      TRIM(SUBSTITUTE($T$2:$T$38,CHAR(160)," ")) &amp; "|" &amp;
      LEFT(SUBSTITUTE($U$2:$U$38,CHAR(160)," "),5) &amp; "|" &amp;
      TRIM(SUBSTITUTE($V$2:$V$38,CHAR(160)," ")),
      $W$2:$W$38
    )
  ),
"")</f>
        <v>187.5</v>
      </c>
      <c r="K305" s="42" cm="1">
        <f t="array" ref="K305">IFERROR(
  VALUE($H305) *
  VALUE(
    _xlfn.XLOOKUP(
      TRIM($F305) &amp; "|" &amp; LEFT(SUBSTITUTE($G305,CHAR(160)," "),5) &amp; "|Ideas Rate",
      TRIM(SUBSTITUTE($T$2:$T$38,CHAR(160)," ")) &amp; "|" &amp;
      LEFT(SUBSTITUTE($U$2:$U$38,CHAR(160)," "),5) &amp; "|" &amp;
      TRIM(SUBSTITUTE($V$2:$V$38,CHAR(160)," ")),
      $W$2:$W$38
    )
  ),
"")</f>
        <v>93.75</v>
      </c>
    </row>
    <row r="306" spans="1:11" x14ac:dyDescent="0.2">
      <c r="A306" s="10">
        <v>46077</v>
      </c>
      <c r="B306" s="171" t="s">
        <v>564</v>
      </c>
      <c r="C306" s="20" t="s">
        <v>519</v>
      </c>
      <c r="D306" t="s">
        <v>178</v>
      </c>
      <c r="E306" t="s">
        <v>688</v>
      </c>
      <c r="F306" t="s">
        <v>9</v>
      </c>
      <c r="G306" t="s">
        <v>380</v>
      </c>
      <c r="H306" s="79">
        <v>1.25</v>
      </c>
      <c r="I306" s="160" cm="1">
        <f t="array" ref="I306">IFERROR(
  VALUE($H306) *
  VALUE(
    _xlfn.XLOOKUP(
      TRIM($F306) &amp; "|" &amp; LEFT(SUBSTITUTE($G306,CHAR(160)," "),5) &amp; "|Full Rate",
      TRIM(SUBSTITUTE($T$2:$T$38,CHAR(160)," ")) &amp; "|" &amp;
      LEFT(SUBSTITUTE($U$2:$U$38,CHAR(160)," "),5) &amp; "|" &amp;
      TRIM(SUBSTITUTE($V$2:$V$38,CHAR(160)," ")),
      $W$2:$W$38
    )
  ),
"")</f>
        <v>312.5</v>
      </c>
      <c r="J306" s="161" cm="1">
        <f t="array" ref="J306">IFERROR(
  VALUE($H306) *
  VALUE(
    _xlfn.XLOOKUP(
      TRIM($F306) &amp; "|" &amp; LEFT(SUBSTITUTE($G306,CHAR(160)," "),5) &amp; "|Reduced Rate",
      TRIM(SUBSTITUTE($T$2:$T$38,CHAR(160)," ")) &amp; "|" &amp;
      LEFT(SUBSTITUTE($U$2:$U$38,CHAR(160)," "),5) &amp; "|" &amp;
      TRIM(SUBSTITUTE($V$2:$V$38,CHAR(160)," ")),
      $W$2:$W$38
    )
  ),
"")</f>
        <v>187.5</v>
      </c>
      <c r="K306" s="42" cm="1">
        <f t="array" ref="K306">IFERROR(
  VALUE($H306) *
  VALUE(
    _xlfn.XLOOKUP(
      TRIM($F306) &amp; "|" &amp; LEFT(SUBSTITUTE($G306,CHAR(160)," "),5) &amp; "|Ideas Rate",
      TRIM(SUBSTITUTE($T$2:$T$38,CHAR(160)," ")) &amp; "|" &amp;
      LEFT(SUBSTITUTE($U$2:$U$38,CHAR(160)," "),5) &amp; "|" &amp;
      TRIM(SUBSTITUTE($V$2:$V$38,CHAR(160)," ")),
      $W$2:$W$38
    )
  ),
"")</f>
        <v>93.75</v>
      </c>
    </row>
    <row r="307" spans="1:11" x14ac:dyDescent="0.2">
      <c r="A307" s="10">
        <v>46077</v>
      </c>
      <c r="B307" s="171" t="s">
        <v>564</v>
      </c>
      <c r="C307" s="20" t="s">
        <v>519</v>
      </c>
      <c r="D307" t="s">
        <v>190</v>
      </c>
      <c r="E307" t="s">
        <v>689</v>
      </c>
      <c r="F307" t="s">
        <v>9</v>
      </c>
      <c r="G307" t="s">
        <v>380</v>
      </c>
      <c r="H307" s="79">
        <v>1.5</v>
      </c>
      <c r="I307" s="160" cm="1">
        <f t="array" ref="I307">IFERROR(
  VALUE($H307) *
  VALUE(
    _xlfn.XLOOKUP(
      TRIM($F307) &amp; "|" &amp; LEFT(SUBSTITUTE($G307,CHAR(160)," "),5) &amp; "|Full Rate",
      TRIM(SUBSTITUTE($T$2:$T$38,CHAR(160)," ")) &amp; "|" &amp;
      LEFT(SUBSTITUTE($U$2:$U$38,CHAR(160)," "),5) &amp; "|" &amp;
      TRIM(SUBSTITUTE($V$2:$V$38,CHAR(160)," ")),
      $W$2:$W$38
    )
  ),
"")</f>
        <v>375</v>
      </c>
      <c r="J307" s="161" cm="1">
        <f t="array" ref="J307">IFERROR(
  VALUE($H307) *
  VALUE(
    _xlfn.XLOOKUP(
      TRIM($F307) &amp; "|" &amp; LEFT(SUBSTITUTE($G307,CHAR(160)," "),5) &amp; "|Reduced Rate",
      TRIM(SUBSTITUTE($T$2:$T$38,CHAR(160)," ")) &amp; "|" &amp;
      LEFT(SUBSTITUTE($U$2:$U$38,CHAR(160)," "),5) &amp; "|" &amp;
      TRIM(SUBSTITUTE($V$2:$V$38,CHAR(160)," ")),
      $W$2:$W$38
    )
  ),
"")</f>
        <v>225</v>
      </c>
      <c r="K307" s="42" cm="1">
        <f t="array" ref="K307">IFERROR(
  VALUE($H307) *
  VALUE(
    _xlfn.XLOOKUP(
      TRIM($F307) &amp; "|" &amp; LEFT(SUBSTITUTE($G307,CHAR(160)," "),5) &amp; "|Ideas Rate",
      TRIM(SUBSTITUTE($T$2:$T$38,CHAR(160)," ")) &amp; "|" &amp;
      LEFT(SUBSTITUTE($U$2:$U$38,CHAR(160)," "),5) &amp; "|" &amp;
      TRIM(SUBSTITUTE($V$2:$V$38,CHAR(160)," ")),
      $W$2:$W$38
    )
  ),
"")</f>
        <v>112.5</v>
      </c>
    </row>
    <row r="308" spans="1:11" x14ac:dyDescent="0.2">
      <c r="A308" s="10">
        <v>46077</v>
      </c>
      <c r="B308" s="171" t="s">
        <v>564</v>
      </c>
      <c r="C308" s="20" t="s">
        <v>519</v>
      </c>
      <c r="D308" t="s">
        <v>190</v>
      </c>
      <c r="E308" t="s">
        <v>689</v>
      </c>
      <c r="F308" t="s">
        <v>10</v>
      </c>
      <c r="G308" t="s">
        <v>380</v>
      </c>
      <c r="H308" s="79">
        <v>1.5</v>
      </c>
      <c r="I308" s="160" cm="1">
        <f t="array" ref="I308">IFERROR(
  VALUE($H308) *
  VALUE(
    _xlfn.XLOOKUP(
      TRIM($F308) &amp; "|" &amp; LEFT(SUBSTITUTE($G308,CHAR(160)," "),5) &amp; "|Full Rate",
      TRIM(SUBSTITUTE($T$2:$T$38,CHAR(160)," ")) &amp; "|" &amp;
      LEFT(SUBSTITUTE($U$2:$U$38,CHAR(160)," "),5) &amp; "|" &amp;
      TRIM(SUBSTITUTE($V$2:$V$38,CHAR(160)," ")),
      $W$2:$W$38
    )
  ),
"")</f>
        <v>375</v>
      </c>
      <c r="J308" s="161" cm="1">
        <f t="array" ref="J308">IFERROR(
  VALUE($H308) *
  VALUE(
    _xlfn.XLOOKUP(
      TRIM($F308) &amp; "|" &amp; LEFT(SUBSTITUTE($G308,CHAR(160)," "),5) &amp; "|Reduced Rate",
      TRIM(SUBSTITUTE($T$2:$T$38,CHAR(160)," ")) &amp; "|" &amp;
      LEFT(SUBSTITUTE($U$2:$U$38,CHAR(160)," "),5) &amp; "|" &amp;
      TRIM(SUBSTITUTE($V$2:$V$38,CHAR(160)," ")),
      $W$2:$W$38
    )
  ),
"")</f>
        <v>225</v>
      </c>
      <c r="K308" s="42" cm="1">
        <f t="array" ref="K308">IFERROR(
  VALUE($H308) *
  VALUE(
    _xlfn.XLOOKUP(
      TRIM($F308) &amp; "|" &amp; LEFT(SUBSTITUTE($G308,CHAR(160)," "),5) &amp; "|Ideas Rate",
      TRIM(SUBSTITUTE($T$2:$T$38,CHAR(160)," ")) &amp; "|" &amp;
      LEFT(SUBSTITUTE($U$2:$U$38,CHAR(160)," "),5) &amp; "|" &amp;
      TRIM(SUBSTITUTE($V$2:$V$38,CHAR(160)," ")),
      $W$2:$W$38
    )
  ),
"")</f>
        <v>112.5</v>
      </c>
    </row>
    <row r="309" spans="1:11" x14ac:dyDescent="0.2">
      <c r="A309" s="10">
        <v>46077</v>
      </c>
      <c r="B309" s="171" t="s">
        <v>564</v>
      </c>
      <c r="C309" s="20" t="s">
        <v>519</v>
      </c>
      <c r="D309" t="s">
        <v>190</v>
      </c>
      <c r="E309" t="s">
        <v>702</v>
      </c>
      <c r="F309" t="s">
        <v>10</v>
      </c>
      <c r="G309" t="s">
        <v>367</v>
      </c>
      <c r="H309" s="79">
        <v>4</v>
      </c>
      <c r="I309" s="160" cm="1">
        <f t="array" ref="I309">IFERROR(
  VALUE($H309) *
  VALUE(
    _xlfn.XLOOKUP(
      TRIM($F309) &amp; "|" &amp; LEFT(SUBSTITUTE($G309,CHAR(160)," "),5) &amp; "|Full Rate",
      TRIM(SUBSTITUTE($T$2:$T$38,CHAR(160)," ")) &amp; "|" &amp;
      LEFT(SUBSTITUTE($U$2:$U$38,CHAR(160)," "),5) &amp; "|" &amp;
      TRIM(SUBSTITUTE($V$2:$V$38,CHAR(160)," ")),
      $W$2:$W$38
    )
  ),
"")</f>
        <v>2000</v>
      </c>
      <c r="J309" s="161" cm="1">
        <f t="array" ref="J309">IFERROR(
  VALUE($H309) *
  VALUE(
    _xlfn.XLOOKUP(
      TRIM($F309) &amp; "|" &amp; LEFT(SUBSTITUTE($G309,CHAR(160)," "),5) &amp; "|Reduced Rate",
      TRIM(SUBSTITUTE($T$2:$T$38,CHAR(160)," ")) &amp; "|" &amp;
      LEFT(SUBSTITUTE($U$2:$U$38,CHAR(160)," "),5) &amp; "|" &amp;
      TRIM(SUBSTITUTE($V$2:$V$38,CHAR(160)," ")),
      $W$2:$W$38
    )
  ),
"")</f>
        <v>1200</v>
      </c>
      <c r="K309" s="42" cm="1">
        <f t="array" ref="K309">IFERROR(
  VALUE($H309) *
  VALUE(
    _xlfn.XLOOKUP(
      TRIM($F309) &amp; "|" &amp; LEFT(SUBSTITUTE($G309,CHAR(160)," "),5) &amp; "|Ideas Rate",
      TRIM(SUBSTITUTE($T$2:$T$38,CHAR(160)," ")) &amp; "|" &amp;
      LEFT(SUBSTITUTE($U$2:$U$38,CHAR(160)," "),5) &amp; "|" &amp;
      TRIM(SUBSTITUTE($V$2:$V$38,CHAR(160)," ")),
      $W$2:$W$38
    )
  ),
"")</f>
        <v>600</v>
      </c>
    </row>
    <row r="310" spans="1:11" x14ac:dyDescent="0.2">
      <c r="A310" s="10">
        <v>46077</v>
      </c>
      <c r="B310" s="171" t="s">
        <v>564</v>
      </c>
      <c r="C310" s="20" t="s">
        <v>519</v>
      </c>
      <c r="D310" t="s">
        <v>29</v>
      </c>
      <c r="E310" t="s">
        <v>700</v>
      </c>
      <c r="F310" t="s">
        <v>10</v>
      </c>
      <c r="G310" t="s">
        <v>367</v>
      </c>
      <c r="H310" s="79">
        <v>5</v>
      </c>
      <c r="I310" s="160" cm="1">
        <f t="array" ref="I310">IFERROR(
  VALUE($H310) *
  VALUE(
    _xlfn.XLOOKUP(
      TRIM($F310) &amp; "|" &amp; LEFT(SUBSTITUTE($G310,CHAR(160)," "),5) &amp; "|Full Rate",
      TRIM(SUBSTITUTE($T$2:$T$38,CHAR(160)," ")) &amp; "|" &amp;
      LEFT(SUBSTITUTE($U$2:$U$38,CHAR(160)," "),5) &amp; "|" &amp;
      TRIM(SUBSTITUTE($V$2:$V$38,CHAR(160)," ")),
      $W$2:$W$38
    )
  ),
"")</f>
        <v>2500</v>
      </c>
      <c r="J310" s="161" cm="1">
        <f t="array" ref="J310">IFERROR(
  VALUE($H310) *
  VALUE(
    _xlfn.XLOOKUP(
      TRIM($F310) &amp; "|" &amp; LEFT(SUBSTITUTE($G310,CHAR(160)," "),5) &amp; "|Reduced Rate",
      TRIM(SUBSTITUTE($T$2:$T$38,CHAR(160)," ")) &amp; "|" &amp;
      LEFT(SUBSTITUTE($U$2:$U$38,CHAR(160)," "),5) &amp; "|" &amp;
      TRIM(SUBSTITUTE($V$2:$V$38,CHAR(160)," ")),
      $W$2:$W$38
    )
  ),
"")</f>
        <v>1500</v>
      </c>
      <c r="K310" s="42" cm="1">
        <f t="array" ref="K310">IFERROR(
  VALUE($H310) *
  VALUE(
    _xlfn.XLOOKUP(
      TRIM($F310) &amp; "|" &amp; LEFT(SUBSTITUTE($G310,CHAR(160)," "),5) &amp; "|Ideas Rate",
      TRIM(SUBSTITUTE($T$2:$T$38,CHAR(160)," ")) &amp; "|" &amp;
      LEFT(SUBSTITUTE($U$2:$U$38,CHAR(160)," "),5) &amp; "|" &amp;
      TRIM(SUBSTITUTE($V$2:$V$38,CHAR(160)," ")),
      $W$2:$W$38
    )
  ),
"")</f>
        <v>750</v>
      </c>
    </row>
    <row r="311" spans="1:11" x14ac:dyDescent="0.2">
      <c r="A311" s="10">
        <v>46078</v>
      </c>
      <c r="B311" s="171" t="s">
        <v>564</v>
      </c>
      <c r="C311" s="20" t="s">
        <v>519</v>
      </c>
      <c r="D311" t="s">
        <v>29</v>
      </c>
      <c r="E311" t="s">
        <v>701</v>
      </c>
      <c r="F311" t="s">
        <v>10</v>
      </c>
      <c r="G311" t="s">
        <v>367</v>
      </c>
      <c r="H311" s="79">
        <v>5</v>
      </c>
      <c r="I311" s="160" cm="1">
        <f t="array" ref="I311">IFERROR(
  VALUE($H311) *
  VALUE(
    _xlfn.XLOOKUP(
      TRIM($F311) &amp; "|" &amp; LEFT(SUBSTITUTE($G311,CHAR(160)," "),5) &amp; "|Full Rate",
      TRIM(SUBSTITUTE($T$2:$T$38,CHAR(160)," ")) &amp; "|" &amp;
      LEFT(SUBSTITUTE($U$2:$U$38,CHAR(160)," "),5) &amp; "|" &amp;
      TRIM(SUBSTITUTE($V$2:$V$38,CHAR(160)," ")),
      $W$2:$W$38
    )
  ),
"")</f>
        <v>2500</v>
      </c>
      <c r="J311" s="161" cm="1">
        <f t="array" ref="J311">IFERROR(
  VALUE($H311) *
  VALUE(
    _xlfn.XLOOKUP(
      TRIM($F311) &amp; "|" &amp; LEFT(SUBSTITUTE($G311,CHAR(160)," "),5) &amp; "|Reduced Rate",
      TRIM(SUBSTITUTE($T$2:$T$38,CHAR(160)," ")) &amp; "|" &amp;
      LEFT(SUBSTITUTE($U$2:$U$38,CHAR(160)," "),5) &amp; "|" &amp;
      TRIM(SUBSTITUTE($V$2:$V$38,CHAR(160)," ")),
      $W$2:$W$38
    )
  ),
"")</f>
        <v>1500</v>
      </c>
      <c r="K311" s="42" cm="1">
        <f t="array" ref="K311">IFERROR(
  VALUE($H311) *
  VALUE(
    _xlfn.XLOOKUP(
      TRIM($F311) &amp; "|" &amp; LEFT(SUBSTITUTE($G311,CHAR(160)," "),5) &amp; "|Ideas Rate",
      TRIM(SUBSTITUTE($T$2:$T$38,CHAR(160)," ")) &amp; "|" &amp;
      LEFT(SUBSTITUTE($U$2:$U$38,CHAR(160)," "),5) &amp; "|" &amp;
      TRIM(SUBSTITUTE($V$2:$V$38,CHAR(160)," ")),
      $W$2:$W$38
    )
  ),
"")</f>
        <v>750</v>
      </c>
    </row>
    <row r="312" spans="1:11" x14ac:dyDescent="0.2">
      <c r="A312" s="10">
        <v>46078</v>
      </c>
      <c r="B312" s="171" t="s">
        <v>564</v>
      </c>
      <c r="C312" s="20" t="s">
        <v>519</v>
      </c>
      <c r="D312" t="s">
        <v>192</v>
      </c>
      <c r="E312" t="s">
        <v>703</v>
      </c>
      <c r="F312" t="s">
        <v>155</v>
      </c>
      <c r="G312" t="s">
        <v>367</v>
      </c>
      <c r="H312" s="79">
        <v>3.5</v>
      </c>
      <c r="I312" s="160" cm="1">
        <f t="array" ref="I312">IFERROR(
  VALUE($H312) *
  VALUE(
    _xlfn.XLOOKUP(
      TRIM($F312) &amp; "|" &amp; LEFT(SUBSTITUTE($G312,CHAR(160)," "),5) &amp; "|Full Rate",
      TRIM(SUBSTITUTE($T$2:$T$38,CHAR(160)," ")) &amp; "|" &amp;
      LEFT(SUBSTITUTE($U$2:$U$38,CHAR(160)," "),5) &amp; "|" &amp;
      TRIM(SUBSTITUTE($V$2:$V$38,CHAR(160)," ")),
      $W$2:$W$38
    )
  ),
"")</f>
        <v>1400</v>
      </c>
      <c r="J312" s="161" cm="1">
        <f t="array" ref="J312">IFERROR(
  VALUE($H312) *
  VALUE(
    _xlfn.XLOOKUP(
      TRIM($F312) &amp; "|" &amp; LEFT(SUBSTITUTE($G312,CHAR(160)," "),5) &amp; "|Reduced Rate",
      TRIM(SUBSTITUTE($T$2:$T$38,CHAR(160)," ")) &amp; "|" &amp;
      LEFT(SUBSTITUTE($U$2:$U$38,CHAR(160)," "),5) &amp; "|" &amp;
      TRIM(SUBSTITUTE($V$2:$V$38,CHAR(160)," ")),
      $W$2:$W$38
    )
  ),
"")</f>
        <v>700</v>
      </c>
      <c r="K312" s="42" cm="1">
        <f t="array" ref="K312">IFERROR(
  VALUE($H312) *
  VALUE(
    _xlfn.XLOOKUP(
      TRIM($F312) &amp; "|" &amp; LEFT(SUBSTITUTE($G312,CHAR(160)," "),5) &amp; "|Ideas Rate",
      TRIM(SUBSTITUTE($T$2:$T$38,CHAR(160)," ")) &amp; "|" &amp;
      LEFT(SUBSTITUTE($U$2:$U$38,CHAR(160)," "),5) &amp; "|" &amp;
      TRIM(SUBSTITUTE($V$2:$V$38,CHAR(160)," ")),
      $W$2:$W$38
    )
  ),
"")</f>
        <v>420</v>
      </c>
    </row>
    <row r="313" spans="1:11" x14ac:dyDescent="0.2">
      <c r="A313" s="10">
        <v>46078</v>
      </c>
      <c r="B313" s="171" t="s">
        <v>564</v>
      </c>
      <c r="C313" s="20" t="s">
        <v>519</v>
      </c>
      <c r="D313" t="s">
        <v>178</v>
      </c>
      <c r="E313" t="s">
        <v>704</v>
      </c>
      <c r="F313" t="s">
        <v>155</v>
      </c>
      <c r="G313" t="s">
        <v>380</v>
      </c>
      <c r="H313" s="79">
        <v>0.75</v>
      </c>
      <c r="I313" s="160" cm="1">
        <f t="array" ref="I313">IFERROR(
  VALUE($H313) *
  VALUE(
    _xlfn.XLOOKUP(
      TRIM($F313) &amp; "|" &amp; LEFT(SUBSTITUTE($G313,CHAR(160)," "),5) &amp; "|Full Rate",
      TRIM(SUBSTITUTE($T$2:$T$38,CHAR(160)," ")) &amp; "|" &amp;
      LEFT(SUBSTITUTE($U$2:$U$38,CHAR(160)," "),5) &amp; "|" &amp;
      TRIM(SUBSTITUTE($V$2:$V$38,CHAR(160)," ")),
      $W$2:$W$38
    )
  ),
"")</f>
        <v>195</v>
      </c>
      <c r="J313" s="161" cm="1">
        <f t="array" ref="J313">IFERROR(
  VALUE($H313) *
  VALUE(
    _xlfn.XLOOKUP(
      TRIM($F313) &amp; "|" &amp; LEFT(SUBSTITUTE($G313,CHAR(160)," "),5) &amp; "|Reduced Rate",
      TRIM(SUBSTITUTE($T$2:$T$38,CHAR(160)," ")) &amp; "|" &amp;
      LEFT(SUBSTITUTE($U$2:$U$38,CHAR(160)," "),5) &amp; "|" &amp;
      TRIM(SUBSTITUTE($V$2:$V$38,CHAR(160)," ")),
      $W$2:$W$38
    )
  ),
"")</f>
        <v>90</v>
      </c>
      <c r="K313" s="42" cm="1">
        <f t="array" ref="K313">IFERROR(
  VALUE($H313) *
  VALUE(
    _xlfn.XLOOKUP(
      TRIM($F313) &amp; "|" &amp; LEFT(SUBSTITUTE($G313,CHAR(160)," "),5) &amp; "|Ideas Rate",
      TRIM(SUBSTITUTE($T$2:$T$38,CHAR(160)," ")) &amp; "|" &amp;
      LEFT(SUBSTITUTE($U$2:$U$38,CHAR(160)," "),5) &amp; "|" &amp;
      TRIM(SUBSTITUTE($V$2:$V$38,CHAR(160)," ")),
      $W$2:$W$38
    )
  ),
"")</f>
        <v>67.5</v>
      </c>
    </row>
    <row r="314" spans="1:11" x14ac:dyDescent="0.2">
      <c r="A314" s="10">
        <v>46078</v>
      </c>
      <c r="B314" s="171" t="s">
        <v>564</v>
      </c>
      <c r="C314" s="20" t="s">
        <v>519</v>
      </c>
      <c r="D314" t="s">
        <v>29</v>
      </c>
      <c r="E314" t="s">
        <v>705</v>
      </c>
      <c r="F314" t="s">
        <v>155</v>
      </c>
      <c r="G314" t="s">
        <v>380</v>
      </c>
      <c r="H314" s="79">
        <v>1.25</v>
      </c>
      <c r="I314" s="160" cm="1">
        <f t="array" ref="I314">IFERROR(
  VALUE($H314) *
  VALUE(
    _xlfn.XLOOKUP(
      TRIM($F314) &amp; "|" &amp; LEFT(SUBSTITUTE($G314,CHAR(160)," "),5) &amp; "|Full Rate",
      TRIM(SUBSTITUTE($T$2:$T$38,CHAR(160)," ")) &amp; "|" &amp;
      LEFT(SUBSTITUTE($U$2:$U$38,CHAR(160)," "),5) &amp; "|" &amp;
      TRIM(SUBSTITUTE($V$2:$V$38,CHAR(160)," ")),
      $W$2:$W$38
    )
  ),
"")</f>
        <v>325</v>
      </c>
      <c r="J314" s="161" cm="1">
        <f t="array" ref="J314">IFERROR(
  VALUE($H314) *
  VALUE(
    _xlfn.XLOOKUP(
      TRIM($F314) &amp; "|" &amp; LEFT(SUBSTITUTE($G314,CHAR(160)," "),5) &amp; "|Reduced Rate",
      TRIM(SUBSTITUTE($T$2:$T$38,CHAR(160)," ")) &amp; "|" &amp;
      LEFT(SUBSTITUTE($U$2:$U$38,CHAR(160)," "),5) &amp; "|" &amp;
      TRIM(SUBSTITUTE($V$2:$V$38,CHAR(160)," ")),
      $W$2:$W$38
    )
  ),
"")</f>
        <v>150</v>
      </c>
      <c r="K314" s="42" cm="1">
        <f t="array" ref="K314">IFERROR(
  VALUE($H314) *
  VALUE(
    _xlfn.XLOOKUP(
      TRIM($F314) &amp; "|" &amp; LEFT(SUBSTITUTE($G314,CHAR(160)," "),5) &amp; "|Ideas Rate",
      TRIM(SUBSTITUTE($T$2:$T$38,CHAR(160)," ")) &amp; "|" &amp;
      LEFT(SUBSTITUTE($U$2:$U$38,CHAR(160)," "),5) &amp; "|" &amp;
      TRIM(SUBSTITUTE($V$2:$V$38,CHAR(160)," ")),
      $W$2:$W$38
    )
  ),
"")</f>
        <v>112.5</v>
      </c>
    </row>
    <row r="315" spans="1:11" x14ac:dyDescent="0.2">
      <c r="A315" s="10">
        <v>46078</v>
      </c>
      <c r="B315" s="171" t="s">
        <v>564</v>
      </c>
      <c r="C315" s="20" t="s">
        <v>519</v>
      </c>
      <c r="D315" t="s">
        <v>178</v>
      </c>
      <c r="E315" t="s">
        <v>706</v>
      </c>
      <c r="F315" t="s">
        <v>155</v>
      </c>
      <c r="G315" t="s">
        <v>380</v>
      </c>
      <c r="H315" s="79">
        <v>0.25</v>
      </c>
      <c r="I315" s="160" cm="1">
        <f t="array" ref="I315">IFERROR(
  VALUE($H315) *
  VALUE(
    _xlfn.XLOOKUP(
      TRIM($F315) &amp; "|" &amp; LEFT(SUBSTITUTE($G315,CHAR(160)," "),5) &amp; "|Full Rate",
      TRIM(SUBSTITUTE($T$2:$T$38,CHAR(160)," ")) &amp; "|" &amp;
      LEFT(SUBSTITUTE($U$2:$U$38,CHAR(160)," "),5) &amp; "|" &amp;
      TRIM(SUBSTITUTE($V$2:$V$38,CHAR(160)," ")),
      $W$2:$W$38
    )
  ),
"")</f>
        <v>65</v>
      </c>
      <c r="J315" s="161" cm="1">
        <f t="array" ref="J315">IFERROR(
  VALUE($H315) *
  VALUE(
    _xlfn.XLOOKUP(
      TRIM($F315) &amp; "|" &amp; LEFT(SUBSTITUTE($G315,CHAR(160)," "),5) &amp; "|Reduced Rate",
      TRIM(SUBSTITUTE($T$2:$T$38,CHAR(160)," ")) &amp; "|" &amp;
      LEFT(SUBSTITUTE($U$2:$U$38,CHAR(160)," "),5) &amp; "|" &amp;
      TRIM(SUBSTITUTE($V$2:$V$38,CHAR(160)," ")),
      $W$2:$W$38
    )
  ),
"")</f>
        <v>30</v>
      </c>
      <c r="K315" s="42" cm="1">
        <f t="array" ref="K315">IFERROR(
  VALUE($H315) *
  VALUE(
    _xlfn.XLOOKUP(
      TRIM($F315) &amp; "|" &amp; LEFT(SUBSTITUTE($G315,CHAR(160)," "),5) &amp; "|Ideas Rate",
      TRIM(SUBSTITUTE($T$2:$T$38,CHAR(160)," ")) &amp; "|" &amp;
      LEFT(SUBSTITUTE($U$2:$U$38,CHAR(160)," "),5) &amp; "|" &amp;
      TRIM(SUBSTITUTE($V$2:$V$38,CHAR(160)," ")),
      $W$2:$W$38
    )
  ),
"")</f>
        <v>22.5</v>
      </c>
    </row>
    <row r="316" spans="1:11" x14ac:dyDescent="0.2">
      <c r="A316" s="10">
        <v>46079</v>
      </c>
      <c r="B316" s="171" t="s">
        <v>564</v>
      </c>
      <c r="C316" s="20" t="s">
        <v>519</v>
      </c>
      <c r="D316" t="s">
        <v>178</v>
      </c>
      <c r="E316" t="s">
        <v>707</v>
      </c>
      <c r="F316" t="s">
        <v>155</v>
      </c>
      <c r="G316" t="s">
        <v>380</v>
      </c>
      <c r="H316" s="79">
        <v>1.75</v>
      </c>
      <c r="I316" s="160" cm="1">
        <f t="array" ref="I316">IFERROR(
  VALUE($H316) *
  VALUE(
    _xlfn.XLOOKUP(
      TRIM($F316) &amp; "|" &amp; LEFT(SUBSTITUTE($G316,CHAR(160)," "),5) &amp; "|Full Rate",
      TRIM(SUBSTITUTE($T$2:$T$38,CHAR(160)," ")) &amp; "|" &amp;
      LEFT(SUBSTITUTE($U$2:$U$38,CHAR(160)," "),5) &amp; "|" &amp;
      TRIM(SUBSTITUTE($V$2:$V$38,CHAR(160)," ")),
      $W$2:$W$38
    )
  ),
"")</f>
        <v>455</v>
      </c>
      <c r="J316" s="161" cm="1">
        <f t="array" ref="J316">IFERROR(
  VALUE($H316) *
  VALUE(
    _xlfn.XLOOKUP(
      TRIM($F316) &amp; "|" &amp; LEFT(SUBSTITUTE($G316,CHAR(160)," "),5) &amp; "|Reduced Rate",
      TRIM(SUBSTITUTE($T$2:$T$38,CHAR(160)," ")) &amp; "|" &amp;
      LEFT(SUBSTITUTE($U$2:$U$38,CHAR(160)," "),5) &amp; "|" &amp;
      TRIM(SUBSTITUTE($V$2:$V$38,CHAR(160)," ")),
      $W$2:$W$38
    )
  ),
"")</f>
        <v>210</v>
      </c>
      <c r="K316" s="42" cm="1">
        <f t="array" ref="K316">IFERROR(
  VALUE($H316) *
  VALUE(
    _xlfn.XLOOKUP(
      TRIM($F316) &amp; "|" &amp; LEFT(SUBSTITUTE($G316,CHAR(160)," "),5) &amp; "|Ideas Rate",
      TRIM(SUBSTITUTE($T$2:$T$38,CHAR(160)," ")) &amp; "|" &amp;
      LEFT(SUBSTITUTE($U$2:$U$38,CHAR(160)," "),5) &amp; "|" &amp;
      TRIM(SUBSTITUTE($V$2:$V$38,CHAR(160)," ")),
      $W$2:$W$38
    )
  ),
"")</f>
        <v>157.5</v>
      </c>
    </row>
    <row r="317" spans="1:11" x14ac:dyDescent="0.2">
      <c r="A317" s="10">
        <v>46079</v>
      </c>
      <c r="B317" s="171" t="s">
        <v>564</v>
      </c>
      <c r="C317" s="20" t="s">
        <v>519</v>
      </c>
      <c r="D317" t="s">
        <v>178</v>
      </c>
      <c r="E317" t="s">
        <v>708</v>
      </c>
      <c r="F317" t="s">
        <v>155</v>
      </c>
      <c r="G317" t="s">
        <v>380</v>
      </c>
      <c r="H317" s="79">
        <v>1</v>
      </c>
      <c r="I317" s="160" cm="1">
        <f t="array" ref="I317">IFERROR(
  VALUE($H317) *
  VALUE(
    _xlfn.XLOOKUP(
      TRIM($F317) &amp; "|" &amp; LEFT(SUBSTITUTE($G317,CHAR(160)," "),5) &amp; "|Full Rate",
      TRIM(SUBSTITUTE($T$2:$T$38,CHAR(160)," ")) &amp; "|" &amp;
      LEFT(SUBSTITUTE($U$2:$U$38,CHAR(160)," "),5) &amp; "|" &amp;
      TRIM(SUBSTITUTE($V$2:$V$38,CHAR(160)," ")),
      $W$2:$W$38
    )
  ),
"")</f>
        <v>260</v>
      </c>
      <c r="J317" s="161" cm="1">
        <f t="array" ref="J317">IFERROR(
  VALUE($H317) *
  VALUE(
    _xlfn.XLOOKUP(
      TRIM($F317) &amp; "|" &amp; LEFT(SUBSTITUTE($G317,CHAR(160)," "),5) &amp; "|Reduced Rate",
      TRIM(SUBSTITUTE($T$2:$T$38,CHAR(160)," ")) &amp; "|" &amp;
      LEFT(SUBSTITUTE($U$2:$U$38,CHAR(160)," "),5) &amp; "|" &amp;
      TRIM(SUBSTITUTE($V$2:$V$38,CHAR(160)," ")),
      $W$2:$W$38
    )
  ),
"")</f>
        <v>120</v>
      </c>
      <c r="K317" s="42" cm="1">
        <f t="array" ref="K317">IFERROR(
  VALUE($H317) *
  VALUE(
    _xlfn.XLOOKUP(
      TRIM($F317) &amp; "|" &amp; LEFT(SUBSTITUTE($G317,CHAR(160)," "),5) &amp; "|Ideas Rate",
      TRIM(SUBSTITUTE($T$2:$T$38,CHAR(160)," ")) &amp; "|" &amp;
      LEFT(SUBSTITUTE($U$2:$U$38,CHAR(160)," "),5) &amp; "|" &amp;
      TRIM(SUBSTITUTE($V$2:$V$38,CHAR(160)," ")),
      $W$2:$W$38
    )
  ),
"")</f>
        <v>90</v>
      </c>
    </row>
    <row r="318" spans="1:11" x14ac:dyDescent="0.2">
      <c r="A318" s="10">
        <v>46079</v>
      </c>
      <c r="B318" s="171" t="s">
        <v>564</v>
      </c>
      <c r="C318" s="20" t="s">
        <v>519</v>
      </c>
      <c r="D318" t="s">
        <v>29</v>
      </c>
      <c r="E318" t="s">
        <v>705</v>
      </c>
      <c r="F318" t="s">
        <v>155</v>
      </c>
      <c r="G318" t="s">
        <v>380</v>
      </c>
      <c r="H318" s="79">
        <v>1</v>
      </c>
      <c r="I318" s="160" cm="1">
        <f t="array" ref="I318">IFERROR(
  VALUE($H318) *
  VALUE(
    _xlfn.XLOOKUP(
      TRIM($F318) &amp; "|" &amp; LEFT(SUBSTITUTE($G318,CHAR(160)," "),5) &amp; "|Full Rate",
      TRIM(SUBSTITUTE($T$2:$T$38,CHAR(160)," ")) &amp; "|" &amp;
      LEFT(SUBSTITUTE($U$2:$U$38,CHAR(160)," "),5) &amp; "|" &amp;
      TRIM(SUBSTITUTE($V$2:$V$38,CHAR(160)," ")),
      $W$2:$W$38
    )
  ),
"")</f>
        <v>260</v>
      </c>
      <c r="J318" s="161" cm="1">
        <f t="array" ref="J318">IFERROR(
  VALUE($H318) *
  VALUE(
    _xlfn.XLOOKUP(
      TRIM($F318) &amp; "|" &amp; LEFT(SUBSTITUTE($G318,CHAR(160)," "),5) &amp; "|Reduced Rate",
      TRIM(SUBSTITUTE($T$2:$T$38,CHAR(160)," ")) &amp; "|" &amp;
      LEFT(SUBSTITUTE($U$2:$U$38,CHAR(160)," "),5) &amp; "|" &amp;
      TRIM(SUBSTITUTE($V$2:$V$38,CHAR(160)," ")),
      $W$2:$W$38
    )
  ),
"")</f>
        <v>120</v>
      </c>
      <c r="K318" s="42" cm="1">
        <f t="array" ref="K318">IFERROR(
  VALUE($H318) *
  VALUE(
    _xlfn.XLOOKUP(
      TRIM($F318) &amp; "|" &amp; LEFT(SUBSTITUTE($G318,CHAR(160)," "),5) &amp; "|Ideas Rate",
      TRIM(SUBSTITUTE($T$2:$T$38,CHAR(160)," ")) &amp; "|" &amp;
      LEFT(SUBSTITUTE($U$2:$U$38,CHAR(160)," "),5) &amp; "|" &amp;
      TRIM(SUBSTITUTE($V$2:$V$38,CHAR(160)," ")),
      $W$2:$W$38
    )
  ),
"")</f>
        <v>90</v>
      </c>
    </row>
    <row r="319" spans="1:11" x14ac:dyDescent="0.2">
      <c r="A319" s="10">
        <v>46079</v>
      </c>
      <c r="B319" s="171" t="s">
        <v>564</v>
      </c>
      <c r="C319" s="20" t="s">
        <v>519</v>
      </c>
      <c r="D319" t="s">
        <v>190</v>
      </c>
      <c r="E319" t="s">
        <v>709</v>
      </c>
      <c r="F319" t="s">
        <v>155</v>
      </c>
      <c r="G319" t="s">
        <v>380</v>
      </c>
      <c r="H319" s="79">
        <v>0.5</v>
      </c>
      <c r="I319" s="160" cm="1">
        <f t="array" ref="I319">IFERROR(
  VALUE($H319) *
  VALUE(
    _xlfn.XLOOKUP(
      TRIM($F319) &amp; "|" &amp; LEFT(SUBSTITUTE($G319,CHAR(160)," "),5) &amp; "|Full Rate",
      TRIM(SUBSTITUTE($T$2:$T$38,CHAR(160)," ")) &amp; "|" &amp;
      LEFT(SUBSTITUTE($U$2:$U$38,CHAR(160)," "),5) &amp; "|" &amp;
      TRIM(SUBSTITUTE($V$2:$V$38,CHAR(160)," ")),
      $W$2:$W$38
    )
  ),
"")</f>
        <v>130</v>
      </c>
      <c r="J319" s="161" cm="1">
        <f t="array" ref="J319">IFERROR(
  VALUE($H319) *
  VALUE(
    _xlfn.XLOOKUP(
      TRIM($F319) &amp; "|" &amp; LEFT(SUBSTITUTE($G319,CHAR(160)," "),5) &amp; "|Reduced Rate",
      TRIM(SUBSTITUTE($T$2:$T$38,CHAR(160)," ")) &amp; "|" &amp;
      LEFT(SUBSTITUTE($U$2:$U$38,CHAR(160)," "),5) &amp; "|" &amp;
      TRIM(SUBSTITUTE($V$2:$V$38,CHAR(160)," ")),
      $W$2:$W$38
    )
  ),
"")</f>
        <v>60</v>
      </c>
      <c r="K319" s="42" cm="1">
        <f t="array" ref="K319">IFERROR(
  VALUE($H319) *
  VALUE(
    _xlfn.XLOOKUP(
      TRIM($F319) &amp; "|" &amp; LEFT(SUBSTITUTE($G319,CHAR(160)," "),5) &amp; "|Ideas Rate",
      TRIM(SUBSTITUTE($T$2:$T$38,CHAR(160)," ")) &amp; "|" &amp;
      LEFT(SUBSTITUTE($U$2:$U$38,CHAR(160)," "),5) &amp; "|" &amp;
      TRIM(SUBSTITUTE($V$2:$V$38,CHAR(160)," ")),
      $W$2:$W$38
    )
  ),
"")</f>
        <v>45</v>
      </c>
    </row>
    <row r="320" spans="1:11" x14ac:dyDescent="0.2">
      <c r="A320" s="10">
        <v>46079</v>
      </c>
      <c r="B320" s="171" t="s">
        <v>564</v>
      </c>
      <c r="C320" s="20" t="s">
        <v>519</v>
      </c>
      <c r="D320" t="s">
        <v>182</v>
      </c>
      <c r="E320" t="s">
        <v>710</v>
      </c>
      <c r="F320" t="s">
        <v>155</v>
      </c>
      <c r="G320" t="s">
        <v>367</v>
      </c>
      <c r="H320" s="79">
        <v>2</v>
      </c>
      <c r="I320" s="160" cm="1">
        <f t="array" ref="I320">IFERROR(
  VALUE($H320) *
  VALUE(
    _xlfn.XLOOKUP(
      TRIM($F320) &amp; "|" &amp; LEFT(SUBSTITUTE($G320,CHAR(160)," "),5) &amp; "|Full Rate",
      TRIM(SUBSTITUTE($T$2:$T$38,CHAR(160)," ")) &amp; "|" &amp;
      LEFT(SUBSTITUTE($U$2:$U$38,CHAR(160)," "),5) &amp; "|" &amp;
      TRIM(SUBSTITUTE($V$2:$V$38,CHAR(160)," ")),
      $W$2:$W$38
    )
  ),
"")</f>
        <v>800</v>
      </c>
      <c r="J320" s="161" cm="1">
        <f t="array" ref="J320">IFERROR(
  VALUE($H320) *
  VALUE(
    _xlfn.XLOOKUP(
      TRIM($F320) &amp; "|" &amp; LEFT(SUBSTITUTE($G320,CHAR(160)," "),5) &amp; "|Reduced Rate",
      TRIM(SUBSTITUTE($T$2:$T$38,CHAR(160)," ")) &amp; "|" &amp;
      LEFT(SUBSTITUTE($U$2:$U$38,CHAR(160)," "),5) &amp; "|" &amp;
      TRIM(SUBSTITUTE($V$2:$V$38,CHAR(160)," ")),
      $W$2:$W$38
    )
  ),
"")</f>
        <v>400</v>
      </c>
      <c r="K320" s="42" cm="1">
        <f t="array" ref="K320">IFERROR(
  VALUE($H320) *
  VALUE(
    _xlfn.XLOOKUP(
      TRIM($F320) &amp; "|" &amp; LEFT(SUBSTITUTE($G320,CHAR(160)," "),5) &amp; "|Ideas Rate",
      TRIM(SUBSTITUTE($T$2:$T$38,CHAR(160)," ")) &amp; "|" &amp;
      LEFT(SUBSTITUTE($U$2:$U$38,CHAR(160)," "),5) &amp; "|" &amp;
      TRIM(SUBSTITUTE($V$2:$V$38,CHAR(160)," ")),
      $W$2:$W$38
    )
  ),
"")</f>
        <v>240</v>
      </c>
    </row>
    <row r="321" spans="1:11" x14ac:dyDescent="0.2">
      <c r="A321" s="10">
        <v>46079</v>
      </c>
      <c r="B321" s="171" t="s">
        <v>564</v>
      </c>
      <c r="C321" s="20" t="s">
        <v>519</v>
      </c>
      <c r="D321" t="s">
        <v>192</v>
      </c>
      <c r="E321" t="s">
        <v>703</v>
      </c>
      <c r="F321" t="s">
        <v>155</v>
      </c>
      <c r="G321" t="s">
        <v>380</v>
      </c>
      <c r="H321" s="79">
        <v>1</v>
      </c>
      <c r="I321" s="160" cm="1">
        <f t="array" ref="I321">IFERROR(
  VALUE($H321) *
  VALUE(
    _xlfn.XLOOKUP(
      TRIM($F321) &amp; "|" &amp; LEFT(SUBSTITUTE($G321,CHAR(160)," "),5) &amp; "|Full Rate",
      TRIM(SUBSTITUTE($T$2:$T$38,CHAR(160)," ")) &amp; "|" &amp;
      LEFT(SUBSTITUTE($U$2:$U$38,CHAR(160)," "),5) &amp; "|" &amp;
      TRIM(SUBSTITUTE($V$2:$V$38,CHAR(160)," ")),
      $W$2:$W$38
    )
  ),
"")</f>
        <v>260</v>
      </c>
      <c r="J321" s="161" cm="1">
        <f t="array" ref="J321">IFERROR(
  VALUE($H321) *
  VALUE(
    _xlfn.XLOOKUP(
      TRIM($F321) &amp; "|" &amp; LEFT(SUBSTITUTE($G321,CHAR(160)," "),5) &amp; "|Reduced Rate",
      TRIM(SUBSTITUTE($T$2:$T$38,CHAR(160)," ")) &amp; "|" &amp;
      LEFT(SUBSTITUTE($U$2:$U$38,CHAR(160)," "),5) &amp; "|" &amp;
      TRIM(SUBSTITUTE($V$2:$V$38,CHAR(160)," ")),
      $W$2:$W$38
    )
  ),
"")</f>
        <v>120</v>
      </c>
      <c r="K321" s="42" cm="1">
        <f t="array" ref="K321">IFERROR(
  VALUE($H321) *
  VALUE(
    _xlfn.XLOOKUP(
      TRIM($F321) &amp; "|" &amp; LEFT(SUBSTITUTE($G321,CHAR(160)," "),5) &amp; "|Ideas Rate",
      TRIM(SUBSTITUTE($T$2:$T$38,CHAR(160)," ")) &amp; "|" &amp;
      LEFT(SUBSTITUTE($U$2:$U$38,CHAR(160)," "),5) &amp; "|" &amp;
      TRIM(SUBSTITUTE($V$2:$V$38,CHAR(160)," ")),
      $W$2:$W$38
    )
  ),
"")</f>
        <v>90</v>
      </c>
    </row>
    <row r="322" spans="1:11" x14ac:dyDescent="0.2">
      <c r="A322" s="10">
        <v>46079</v>
      </c>
      <c r="B322" s="171" t="s">
        <v>564</v>
      </c>
      <c r="C322" s="20" t="s">
        <v>519</v>
      </c>
      <c r="D322" t="s">
        <v>178</v>
      </c>
      <c r="E322" t="s">
        <v>720</v>
      </c>
      <c r="F322" t="s">
        <v>10</v>
      </c>
      <c r="G322" t="s">
        <v>380</v>
      </c>
      <c r="H322" s="79">
        <v>2</v>
      </c>
      <c r="I322" s="160" cm="1">
        <f t="array" ref="I322">IFERROR(
  VALUE($H322) *
  VALUE(
    _xlfn.XLOOKUP(
      TRIM($F322) &amp; "|" &amp; LEFT(SUBSTITUTE($G322,CHAR(160)," "),5) &amp; "|Full Rate",
      TRIM(SUBSTITUTE($T$2:$T$38,CHAR(160)," ")) &amp; "|" &amp;
      LEFT(SUBSTITUTE($U$2:$U$38,CHAR(160)," "),5) &amp; "|" &amp;
      TRIM(SUBSTITUTE($V$2:$V$38,CHAR(160)," ")),
      $W$2:$W$38
    )
  ),
"")</f>
        <v>500</v>
      </c>
      <c r="J322" s="161" cm="1">
        <f t="array" ref="J322">IFERROR(
  VALUE($H322) *
  VALUE(
    _xlfn.XLOOKUP(
      TRIM($F322) &amp; "|" &amp; LEFT(SUBSTITUTE($G322,CHAR(160)," "),5) &amp; "|Reduced Rate",
      TRIM(SUBSTITUTE($T$2:$T$38,CHAR(160)," ")) &amp; "|" &amp;
      LEFT(SUBSTITUTE($U$2:$U$38,CHAR(160)," "),5) &amp; "|" &amp;
      TRIM(SUBSTITUTE($V$2:$V$38,CHAR(160)," ")),
      $W$2:$W$38
    )
  ),
"")</f>
        <v>300</v>
      </c>
      <c r="K322" s="42" cm="1">
        <f t="array" ref="K322">IFERROR(
  VALUE($H322) *
  VALUE(
    _xlfn.XLOOKUP(
      TRIM($F322) &amp; "|" &amp; LEFT(SUBSTITUTE($G322,CHAR(160)," "),5) &amp; "|Ideas Rate",
      TRIM(SUBSTITUTE($T$2:$T$38,CHAR(160)," ")) &amp; "|" &amp;
      LEFT(SUBSTITUTE($U$2:$U$38,CHAR(160)," "),5) &amp; "|" &amp;
      TRIM(SUBSTITUTE($V$2:$V$38,CHAR(160)," ")),
      $W$2:$W$38
    )
  ),
"")</f>
        <v>150</v>
      </c>
    </row>
    <row r="323" spans="1:11" x14ac:dyDescent="0.2">
      <c r="A323" s="10">
        <v>46079</v>
      </c>
      <c r="B323" s="171" t="s">
        <v>564</v>
      </c>
      <c r="C323" s="20" t="s">
        <v>519</v>
      </c>
      <c r="D323" t="s">
        <v>29</v>
      </c>
      <c r="E323" t="s">
        <v>721</v>
      </c>
      <c r="F323" t="s">
        <v>10</v>
      </c>
      <c r="G323" t="s">
        <v>367</v>
      </c>
      <c r="H323" s="79">
        <v>1</v>
      </c>
      <c r="I323" s="160" cm="1">
        <f t="array" ref="I323">IFERROR(
  VALUE($H323) *
  VALUE(
    _xlfn.XLOOKUP(
      TRIM($F323) &amp; "|" &amp; LEFT(SUBSTITUTE($G323,CHAR(160)," "),5) &amp; "|Full Rate",
      TRIM(SUBSTITUTE($T$2:$T$38,CHAR(160)," ")) &amp; "|" &amp;
      LEFT(SUBSTITUTE($U$2:$U$38,CHAR(160)," "),5) &amp; "|" &amp;
      TRIM(SUBSTITUTE($V$2:$V$38,CHAR(160)," ")),
      $W$2:$W$38
    )
  ),
"")</f>
        <v>500</v>
      </c>
      <c r="J323" s="161" cm="1">
        <f t="array" ref="J323">IFERROR(
  VALUE($H323) *
  VALUE(
    _xlfn.XLOOKUP(
      TRIM($F323) &amp; "|" &amp; LEFT(SUBSTITUTE($G323,CHAR(160)," "),5) &amp; "|Reduced Rate",
      TRIM(SUBSTITUTE($T$2:$T$38,CHAR(160)," ")) &amp; "|" &amp;
      LEFT(SUBSTITUTE($U$2:$U$38,CHAR(160)," "),5) &amp; "|" &amp;
      TRIM(SUBSTITUTE($V$2:$V$38,CHAR(160)," ")),
      $W$2:$W$38
    )
  ),
"")</f>
        <v>300</v>
      </c>
      <c r="K323" s="42" cm="1">
        <f t="array" ref="K323">IFERROR(
  VALUE($H323) *
  VALUE(
    _xlfn.XLOOKUP(
      TRIM($F323) &amp; "|" &amp; LEFT(SUBSTITUTE($G323,CHAR(160)," "),5) &amp; "|Ideas Rate",
      TRIM(SUBSTITUTE($T$2:$T$38,CHAR(160)," ")) &amp; "|" &amp;
      LEFT(SUBSTITUTE($U$2:$U$38,CHAR(160)," "),5) &amp; "|" &amp;
      TRIM(SUBSTITUTE($V$2:$V$38,CHAR(160)," ")),
      $W$2:$W$38
    )
  ),
"")</f>
        <v>150</v>
      </c>
    </row>
    <row r="324" spans="1:11" x14ac:dyDescent="0.2">
      <c r="A324" s="10">
        <v>46079</v>
      </c>
      <c r="B324" s="171" t="s">
        <v>564</v>
      </c>
      <c r="C324" s="20" t="s">
        <v>519</v>
      </c>
      <c r="D324" t="s">
        <v>178</v>
      </c>
      <c r="E324" t="s">
        <v>722</v>
      </c>
      <c r="F324" t="s">
        <v>10</v>
      </c>
      <c r="G324" t="s">
        <v>380</v>
      </c>
      <c r="H324" s="79">
        <v>1</v>
      </c>
      <c r="I324" s="160" cm="1">
        <f t="array" ref="I324">IFERROR(
  VALUE($H324) *
  VALUE(
    _xlfn.XLOOKUP(
      TRIM($F324) &amp; "|" &amp; LEFT(SUBSTITUTE($G324,CHAR(160)," "),5) &amp; "|Full Rate",
      TRIM(SUBSTITUTE($T$2:$T$38,CHAR(160)," ")) &amp; "|" &amp;
      LEFT(SUBSTITUTE($U$2:$U$38,CHAR(160)," "),5) &amp; "|" &amp;
      TRIM(SUBSTITUTE($V$2:$V$38,CHAR(160)," ")),
      $W$2:$W$38
    )
  ),
"")</f>
        <v>250</v>
      </c>
      <c r="J324" s="161" cm="1">
        <f t="array" ref="J324">IFERROR(
  VALUE($H324) *
  VALUE(
    _xlfn.XLOOKUP(
      TRIM($F324) &amp; "|" &amp; LEFT(SUBSTITUTE($G324,CHAR(160)," "),5) &amp; "|Reduced Rate",
      TRIM(SUBSTITUTE($T$2:$T$38,CHAR(160)," ")) &amp; "|" &amp;
      LEFT(SUBSTITUTE($U$2:$U$38,CHAR(160)," "),5) &amp; "|" &amp;
      TRIM(SUBSTITUTE($V$2:$V$38,CHAR(160)," ")),
      $W$2:$W$38
    )
  ),
"")</f>
        <v>150</v>
      </c>
      <c r="K324" s="42" cm="1">
        <f t="array" ref="K324">IFERROR(
  VALUE($H324) *
  VALUE(
    _xlfn.XLOOKUP(
      TRIM($F324) &amp; "|" &amp; LEFT(SUBSTITUTE($G324,CHAR(160)," "),5) &amp; "|Ideas Rate",
      TRIM(SUBSTITUTE($T$2:$T$38,CHAR(160)," ")) &amp; "|" &amp;
      LEFT(SUBSTITUTE($U$2:$U$38,CHAR(160)," "),5) &amp; "|" &amp;
      TRIM(SUBSTITUTE($V$2:$V$38,CHAR(160)," ")),
      $W$2:$W$38
    )
  ),
"")</f>
        <v>75</v>
      </c>
    </row>
    <row r="325" spans="1:11" x14ac:dyDescent="0.2">
      <c r="A325" s="10">
        <v>46080</v>
      </c>
      <c r="B325" s="171" t="s">
        <v>564</v>
      </c>
      <c r="C325" s="20" t="s">
        <v>519</v>
      </c>
      <c r="D325" t="s">
        <v>190</v>
      </c>
      <c r="E325" t="s">
        <v>711</v>
      </c>
      <c r="F325" t="s">
        <v>155</v>
      </c>
      <c r="G325" t="s">
        <v>380</v>
      </c>
      <c r="H325" s="79">
        <v>0.5</v>
      </c>
      <c r="I325" s="160" cm="1">
        <f t="array" ref="I325">IFERROR(
  VALUE($H325) *
  VALUE(
    _xlfn.XLOOKUP(
      TRIM($F325) &amp; "|" &amp; LEFT(SUBSTITUTE($G325,CHAR(160)," "),5) &amp; "|Full Rate",
      TRIM(SUBSTITUTE($T$2:$T$38,CHAR(160)," ")) &amp; "|" &amp;
      LEFT(SUBSTITUTE($U$2:$U$38,CHAR(160)," "),5) &amp; "|" &amp;
      TRIM(SUBSTITUTE($V$2:$V$38,CHAR(160)," ")),
      $W$2:$W$38
    )
  ),
"")</f>
        <v>130</v>
      </c>
      <c r="J325" s="161" cm="1">
        <f t="array" ref="J325">IFERROR(
  VALUE($H325) *
  VALUE(
    _xlfn.XLOOKUP(
      TRIM($F325) &amp; "|" &amp; LEFT(SUBSTITUTE($G325,CHAR(160)," "),5) &amp; "|Reduced Rate",
      TRIM(SUBSTITUTE($T$2:$T$38,CHAR(160)," ")) &amp; "|" &amp;
      LEFT(SUBSTITUTE($U$2:$U$38,CHAR(160)," "),5) &amp; "|" &amp;
      TRIM(SUBSTITUTE($V$2:$V$38,CHAR(160)," ")),
      $W$2:$W$38
    )
  ),
"")</f>
        <v>60</v>
      </c>
      <c r="K325" s="42" cm="1">
        <f t="array" ref="K325">IFERROR(
  VALUE($H325) *
  VALUE(
    _xlfn.XLOOKUP(
      TRIM($F325) &amp; "|" &amp; LEFT(SUBSTITUTE($G325,CHAR(160)," "),5) &amp; "|Ideas Rate",
      TRIM(SUBSTITUTE($T$2:$T$38,CHAR(160)," ")) &amp; "|" &amp;
      LEFT(SUBSTITUTE($U$2:$U$38,CHAR(160)," "),5) &amp; "|" &amp;
      TRIM(SUBSTITUTE($V$2:$V$38,CHAR(160)," ")),
      $W$2:$W$38
    )
  ),
"")</f>
        <v>45</v>
      </c>
    </row>
    <row r="326" spans="1:11" x14ac:dyDescent="0.2">
      <c r="A326" s="10">
        <v>46080</v>
      </c>
      <c r="B326" s="171" t="s">
        <v>564</v>
      </c>
      <c r="C326" s="20" t="s">
        <v>519</v>
      </c>
      <c r="D326" t="s">
        <v>182</v>
      </c>
      <c r="E326" t="s">
        <v>712</v>
      </c>
      <c r="F326" t="s">
        <v>155</v>
      </c>
      <c r="G326" t="s">
        <v>367</v>
      </c>
      <c r="H326" s="79">
        <v>5.5</v>
      </c>
      <c r="I326" s="160" cm="1">
        <f t="array" ref="I326">IFERROR(
  VALUE($H326) *
  VALUE(
    _xlfn.XLOOKUP(
      TRIM($F326) &amp; "|" &amp; LEFT(SUBSTITUTE($G326,CHAR(160)," "),5) &amp; "|Full Rate",
      TRIM(SUBSTITUTE($T$2:$T$38,CHAR(160)," ")) &amp; "|" &amp;
      LEFT(SUBSTITUTE($U$2:$U$38,CHAR(160)," "),5) &amp; "|" &amp;
      TRIM(SUBSTITUTE($V$2:$V$38,CHAR(160)," ")),
      $W$2:$W$38
    )
  ),
"")</f>
        <v>2200</v>
      </c>
      <c r="J326" s="161" cm="1">
        <f t="array" ref="J326">IFERROR(
  VALUE($H326) *
  VALUE(
    _xlfn.XLOOKUP(
      TRIM($F326) &amp; "|" &amp; LEFT(SUBSTITUTE($G326,CHAR(160)," "),5) &amp; "|Reduced Rate",
      TRIM(SUBSTITUTE($T$2:$T$38,CHAR(160)," ")) &amp; "|" &amp;
      LEFT(SUBSTITUTE($U$2:$U$38,CHAR(160)," "),5) &amp; "|" &amp;
      TRIM(SUBSTITUTE($V$2:$V$38,CHAR(160)," ")),
      $W$2:$W$38
    )
  ),
"")</f>
        <v>1100</v>
      </c>
      <c r="K326" s="42" cm="1">
        <f t="array" ref="K326">IFERROR(
  VALUE($H326) *
  VALUE(
    _xlfn.XLOOKUP(
      TRIM($F326) &amp; "|" &amp; LEFT(SUBSTITUTE($G326,CHAR(160)," "),5) &amp; "|Ideas Rate",
      TRIM(SUBSTITUTE($T$2:$T$38,CHAR(160)," ")) &amp; "|" &amp;
      LEFT(SUBSTITUTE($U$2:$U$38,CHAR(160)," "),5) &amp; "|" &amp;
      TRIM(SUBSTITUTE($V$2:$V$38,CHAR(160)," ")),
      $W$2:$W$38
    )
  ),
"")</f>
        <v>660</v>
      </c>
    </row>
    <row r="327" spans="1:11" x14ac:dyDescent="0.2">
      <c r="A327" s="10">
        <v>46080</v>
      </c>
      <c r="B327" s="171" t="s">
        <v>564</v>
      </c>
      <c r="C327" s="20" t="s">
        <v>519</v>
      </c>
      <c r="D327" t="s">
        <v>182</v>
      </c>
      <c r="E327" t="s">
        <v>713</v>
      </c>
      <c r="F327" t="s">
        <v>155</v>
      </c>
      <c r="G327" t="s">
        <v>367</v>
      </c>
      <c r="H327" s="79">
        <v>0.5</v>
      </c>
      <c r="I327" s="160" cm="1">
        <f t="array" ref="I327">IFERROR(
  VALUE($H327) *
  VALUE(
    _xlfn.XLOOKUP(
      TRIM($F327) &amp; "|" &amp; LEFT(SUBSTITUTE($G327,CHAR(160)," "),5) &amp; "|Full Rate",
      TRIM(SUBSTITUTE($T$2:$T$38,CHAR(160)," ")) &amp; "|" &amp;
      LEFT(SUBSTITUTE($U$2:$U$38,CHAR(160)," "),5) &amp; "|" &amp;
      TRIM(SUBSTITUTE($V$2:$V$38,CHAR(160)," ")),
      $W$2:$W$38
    )
  ),
"")</f>
        <v>200</v>
      </c>
      <c r="J327" s="161" cm="1">
        <f t="array" ref="J327">IFERROR(
  VALUE($H327) *
  VALUE(
    _xlfn.XLOOKUP(
      TRIM($F327) &amp; "|" &amp; LEFT(SUBSTITUTE($G327,CHAR(160)," "),5) &amp; "|Reduced Rate",
      TRIM(SUBSTITUTE($T$2:$T$38,CHAR(160)," ")) &amp; "|" &amp;
      LEFT(SUBSTITUTE($U$2:$U$38,CHAR(160)," "),5) &amp; "|" &amp;
      TRIM(SUBSTITUTE($V$2:$V$38,CHAR(160)," ")),
      $W$2:$W$38
    )
  ),
"")</f>
        <v>100</v>
      </c>
      <c r="K327" s="42" cm="1">
        <f t="array" ref="K327">IFERROR(
  VALUE($H327) *
  VALUE(
    _xlfn.XLOOKUP(
      TRIM($F327) &amp; "|" &amp; LEFT(SUBSTITUTE($G327,CHAR(160)," "),5) &amp; "|Ideas Rate",
      TRIM(SUBSTITUTE($T$2:$T$38,CHAR(160)," ")) &amp; "|" &amp;
      LEFT(SUBSTITUTE($U$2:$U$38,CHAR(160)," "),5) &amp; "|" &amp;
      TRIM(SUBSTITUTE($V$2:$V$38,CHAR(160)," ")),
      $W$2:$W$38
    )
  ),
"")</f>
        <v>60</v>
      </c>
    </row>
    <row r="328" spans="1:11" x14ac:dyDescent="0.2">
      <c r="A328" s="10">
        <v>46080</v>
      </c>
      <c r="B328" s="171" t="s">
        <v>564</v>
      </c>
      <c r="C328" s="20" t="s">
        <v>519</v>
      </c>
      <c r="D328" t="s">
        <v>178</v>
      </c>
      <c r="E328" t="s">
        <v>722</v>
      </c>
      <c r="F328" t="s">
        <v>10</v>
      </c>
      <c r="G328" t="s">
        <v>380</v>
      </c>
      <c r="H328" s="79">
        <v>1</v>
      </c>
      <c r="I328" s="160" cm="1">
        <f t="array" ref="I328">IFERROR(
  VALUE($H328) *
  VALUE(
    _xlfn.XLOOKUP(
      TRIM($F328) &amp; "|" &amp; LEFT(SUBSTITUTE($G328,CHAR(160)," "),5) &amp; "|Full Rate",
      TRIM(SUBSTITUTE($T$2:$T$38,CHAR(160)," ")) &amp; "|" &amp;
      LEFT(SUBSTITUTE($U$2:$U$38,CHAR(160)," "),5) &amp; "|" &amp;
      TRIM(SUBSTITUTE($V$2:$V$38,CHAR(160)," ")),
      $W$2:$W$38
    )
  ),
"")</f>
        <v>250</v>
      </c>
      <c r="J328" s="161" cm="1">
        <f t="array" ref="J328">IFERROR(
  VALUE($H328) *
  VALUE(
    _xlfn.XLOOKUP(
      TRIM($F328) &amp; "|" &amp; LEFT(SUBSTITUTE($G328,CHAR(160)," "),5) &amp; "|Reduced Rate",
      TRIM(SUBSTITUTE($T$2:$T$38,CHAR(160)," ")) &amp; "|" &amp;
      LEFT(SUBSTITUTE($U$2:$U$38,CHAR(160)," "),5) &amp; "|" &amp;
      TRIM(SUBSTITUTE($V$2:$V$38,CHAR(160)," ")),
      $W$2:$W$38
    )
  ),
"")</f>
        <v>150</v>
      </c>
      <c r="K328" s="42" cm="1">
        <f t="array" ref="K328">IFERROR(
  VALUE($H328) *
  VALUE(
    _xlfn.XLOOKUP(
      TRIM($F328) &amp; "|" &amp; LEFT(SUBSTITUTE($G328,CHAR(160)," "),5) &amp; "|Ideas Rate",
      TRIM(SUBSTITUTE($T$2:$T$38,CHAR(160)," ")) &amp; "|" &amp;
      LEFT(SUBSTITUTE($U$2:$U$38,CHAR(160)," "),5) &amp; "|" &amp;
      TRIM(SUBSTITUTE($V$2:$V$38,CHAR(160)," ")),
      $W$2:$W$38
    )
  ),
"")</f>
        <v>75</v>
      </c>
    </row>
    <row r="329" spans="1:11" x14ac:dyDescent="0.2">
      <c r="A329" s="10">
        <v>46083</v>
      </c>
      <c r="B329" s="5" t="s">
        <v>714</v>
      </c>
      <c r="C329" s="20" t="s">
        <v>519</v>
      </c>
      <c r="D329" t="s">
        <v>178</v>
      </c>
      <c r="E329" t="s">
        <v>687</v>
      </c>
      <c r="F329" t="s">
        <v>9</v>
      </c>
      <c r="G329" t="s">
        <v>380</v>
      </c>
      <c r="H329" s="79">
        <v>1</v>
      </c>
      <c r="I329" s="160" cm="1">
        <f t="array" ref="I329">IFERROR(
  VALUE($H329) *
  VALUE(
    _xlfn.XLOOKUP(
      TRIM($F329) &amp; "|" &amp; LEFT(SUBSTITUTE($G329,CHAR(160)," "),5) &amp; "|Full Rate",
      TRIM(SUBSTITUTE($T$2:$T$38,CHAR(160)," ")) &amp; "|" &amp;
      LEFT(SUBSTITUTE($U$2:$U$38,CHAR(160)," "),5) &amp; "|" &amp;
      TRIM(SUBSTITUTE($V$2:$V$38,CHAR(160)," ")),
      $W$2:$W$38
    )
  ),
"")</f>
        <v>250</v>
      </c>
      <c r="J329" s="161" cm="1">
        <f t="array" ref="J329">IFERROR(
  VALUE($H329) *
  VALUE(
    _xlfn.XLOOKUP(
      TRIM($F329) &amp; "|" &amp; LEFT(SUBSTITUTE($G329,CHAR(160)," "),5) &amp; "|Reduced Rate",
      TRIM(SUBSTITUTE($T$2:$T$38,CHAR(160)," ")) &amp; "|" &amp;
      LEFT(SUBSTITUTE($U$2:$U$38,CHAR(160)," "),5) &amp; "|" &amp;
      TRIM(SUBSTITUTE($V$2:$V$38,CHAR(160)," ")),
      $W$2:$W$38
    )
  ),
"")</f>
        <v>150</v>
      </c>
      <c r="K329" s="42" cm="1">
        <f t="array" ref="K329">IFERROR(
  VALUE($H329) *
  VALUE(
    _xlfn.XLOOKUP(
      TRIM($F329) &amp; "|" &amp; LEFT(SUBSTITUTE($G329,CHAR(160)," "),5) &amp; "|Ideas Rate",
      TRIM(SUBSTITUTE($T$2:$T$38,CHAR(160)," ")) &amp; "|" &amp;
      LEFT(SUBSTITUTE($U$2:$U$38,CHAR(160)," "),5) &amp; "|" &amp;
      TRIM(SUBSTITUTE($V$2:$V$38,CHAR(160)," ")),
      $W$2:$W$38
    )
  ),
"")</f>
        <v>75</v>
      </c>
    </row>
    <row r="330" spans="1:11" x14ac:dyDescent="0.2">
      <c r="A330" s="10">
        <v>46083</v>
      </c>
      <c r="B330" s="5" t="s">
        <v>714</v>
      </c>
      <c r="C330" s="20" t="s">
        <v>519</v>
      </c>
      <c r="D330" t="s">
        <v>178</v>
      </c>
      <c r="E330" t="s">
        <v>723</v>
      </c>
      <c r="F330" t="s">
        <v>10</v>
      </c>
      <c r="G330" t="s">
        <v>380</v>
      </c>
      <c r="H330" s="79">
        <v>0.75</v>
      </c>
      <c r="I330" s="160" cm="1">
        <f t="array" ref="I330">IFERROR(
  VALUE($H330) *
  VALUE(
    _xlfn.XLOOKUP(
      TRIM($F330) &amp; "|" &amp; LEFT(SUBSTITUTE($G330,CHAR(160)," "),5) &amp; "|Full Rate",
      TRIM(SUBSTITUTE($T$2:$T$38,CHAR(160)," ")) &amp; "|" &amp;
      LEFT(SUBSTITUTE($U$2:$U$38,CHAR(160)," "),5) &amp; "|" &amp;
      TRIM(SUBSTITUTE($V$2:$V$38,CHAR(160)," ")),
      $W$2:$W$38
    )
  ),
"")</f>
        <v>187.5</v>
      </c>
      <c r="J330" s="161" cm="1">
        <f t="array" ref="J330">IFERROR(
  VALUE($H330) *
  VALUE(
    _xlfn.XLOOKUP(
      TRIM($F330) &amp; "|" &amp; LEFT(SUBSTITUTE($G330,CHAR(160)," "),5) &amp; "|Reduced Rate",
      TRIM(SUBSTITUTE($T$2:$T$38,CHAR(160)," ")) &amp; "|" &amp;
      LEFT(SUBSTITUTE($U$2:$U$38,CHAR(160)," "),5) &amp; "|" &amp;
      TRIM(SUBSTITUTE($V$2:$V$38,CHAR(160)," ")),
      $W$2:$W$38
    )
  ),
"")</f>
        <v>112.5</v>
      </c>
      <c r="K330" s="42" cm="1">
        <f t="array" ref="K330">IFERROR(
  VALUE($H330) *
  VALUE(
    _xlfn.XLOOKUP(
      TRIM($F330) &amp; "|" &amp; LEFT(SUBSTITUTE($G330,CHAR(160)," "),5) &amp; "|Ideas Rate",
      TRIM(SUBSTITUTE($T$2:$T$38,CHAR(160)," ")) &amp; "|" &amp;
      LEFT(SUBSTITUTE($U$2:$U$38,CHAR(160)," "),5) &amp; "|" &amp;
      TRIM(SUBSTITUTE($V$2:$V$38,CHAR(160)," ")),
      $W$2:$W$38
    )
  ),
"")</f>
        <v>56.25</v>
      </c>
    </row>
    <row r="331" spans="1:11" x14ac:dyDescent="0.2">
      <c r="A331" s="10">
        <v>46083</v>
      </c>
      <c r="B331" s="5" t="s">
        <v>714</v>
      </c>
      <c r="C331" s="20" t="s">
        <v>519</v>
      </c>
      <c r="D331" t="s">
        <v>178</v>
      </c>
      <c r="E331" t="s">
        <v>724</v>
      </c>
      <c r="F331" t="s">
        <v>10</v>
      </c>
      <c r="G331" t="s">
        <v>380</v>
      </c>
      <c r="H331" s="79">
        <v>0.5</v>
      </c>
      <c r="I331" s="160" cm="1">
        <f t="array" ref="I331">IFERROR(
  VALUE($H331) *
  VALUE(
    _xlfn.XLOOKUP(
      TRIM($F331) &amp; "|" &amp; LEFT(SUBSTITUTE($G331,CHAR(160)," "),5) &amp; "|Full Rate",
      TRIM(SUBSTITUTE($T$2:$T$38,CHAR(160)," ")) &amp; "|" &amp;
      LEFT(SUBSTITUTE($U$2:$U$38,CHAR(160)," "),5) &amp; "|" &amp;
      TRIM(SUBSTITUTE($V$2:$V$38,CHAR(160)," ")),
      $W$2:$W$38
    )
  ),
"")</f>
        <v>125</v>
      </c>
      <c r="J331" s="161" cm="1">
        <f t="array" ref="J331">IFERROR(
  VALUE($H331) *
  VALUE(
    _xlfn.XLOOKUP(
      TRIM($F331) &amp; "|" &amp; LEFT(SUBSTITUTE($G331,CHAR(160)," "),5) &amp; "|Reduced Rate",
      TRIM(SUBSTITUTE($T$2:$T$38,CHAR(160)," ")) &amp; "|" &amp;
      LEFT(SUBSTITUTE($U$2:$U$38,CHAR(160)," "),5) &amp; "|" &amp;
      TRIM(SUBSTITUTE($V$2:$V$38,CHAR(160)," ")),
      $W$2:$W$38
    )
  ),
"")</f>
        <v>75</v>
      </c>
      <c r="K331" s="42" cm="1">
        <f t="array" ref="K331">IFERROR(
  VALUE($H331) *
  VALUE(
    _xlfn.XLOOKUP(
      TRIM($F331) &amp; "|" &amp; LEFT(SUBSTITUTE($G331,CHAR(160)," "),5) &amp; "|Ideas Rate",
      TRIM(SUBSTITUTE($T$2:$T$38,CHAR(160)," ")) &amp; "|" &amp;
      LEFT(SUBSTITUTE($U$2:$U$38,CHAR(160)," "),5) &amp; "|" &amp;
      TRIM(SUBSTITUTE($V$2:$V$38,CHAR(160)," ")),
      $W$2:$W$38
    )
  ),
"")</f>
        <v>37.5</v>
      </c>
    </row>
    <row r="332" spans="1:11" x14ac:dyDescent="0.2">
      <c r="A332" s="10">
        <v>46083</v>
      </c>
      <c r="B332" s="5" t="s">
        <v>714</v>
      </c>
      <c r="C332" s="20" t="s">
        <v>519</v>
      </c>
      <c r="D332" t="s">
        <v>178</v>
      </c>
      <c r="E332" t="s">
        <v>722</v>
      </c>
      <c r="F332" t="s">
        <v>10</v>
      </c>
      <c r="G332" t="s">
        <v>380</v>
      </c>
      <c r="H332" s="79">
        <v>0.5</v>
      </c>
      <c r="I332" s="160" cm="1">
        <f t="array" ref="I332">IFERROR(
  VALUE($H332) *
  VALUE(
    _xlfn.XLOOKUP(
      TRIM($F332) &amp; "|" &amp; LEFT(SUBSTITUTE($G332,CHAR(160)," "),5) &amp; "|Full Rate",
      TRIM(SUBSTITUTE($T$2:$T$38,CHAR(160)," ")) &amp; "|" &amp;
      LEFT(SUBSTITUTE($U$2:$U$38,CHAR(160)," "),5) &amp; "|" &amp;
      TRIM(SUBSTITUTE($V$2:$V$38,CHAR(160)," ")),
      $W$2:$W$38
    )
  ),
"")</f>
        <v>125</v>
      </c>
      <c r="J332" s="161" cm="1">
        <f t="array" ref="J332">IFERROR(
  VALUE($H332) *
  VALUE(
    _xlfn.XLOOKUP(
      TRIM($F332) &amp; "|" &amp; LEFT(SUBSTITUTE($G332,CHAR(160)," "),5) &amp; "|Reduced Rate",
      TRIM(SUBSTITUTE($T$2:$T$38,CHAR(160)," ")) &amp; "|" &amp;
      LEFT(SUBSTITUTE($U$2:$U$38,CHAR(160)," "),5) &amp; "|" &amp;
      TRIM(SUBSTITUTE($V$2:$V$38,CHAR(160)," ")),
      $W$2:$W$38
    )
  ),
"")</f>
        <v>75</v>
      </c>
      <c r="K332" s="42" cm="1">
        <f t="array" ref="K332">IFERROR(
  VALUE($H332) *
  VALUE(
    _xlfn.XLOOKUP(
      TRIM($F332) &amp; "|" &amp; LEFT(SUBSTITUTE($G332,CHAR(160)," "),5) &amp; "|Ideas Rate",
      TRIM(SUBSTITUTE($T$2:$T$38,CHAR(160)," ")) &amp; "|" &amp;
      LEFT(SUBSTITUTE($U$2:$U$38,CHAR(160)," "),5) &amp; "|" &amp;
      TRIM(SUBSTITUTE($V$2:$V$38,CHAR(160)," ")),
      $W$2:$W$38
    )
  ),
"")</f>
        <v>37.5</v>
      </c>
    </row>
    <row r="333" spans="1:11" x14ac:dyDescent="0.2">
      <c r="A333" s="10">
        <v>46083</v>
      </c>
      <c r="B333" s="5" t="s">
        <v>714</v>
      </c>
      <c r="C333" s="20" t="s">
        <v>519</v>
      </c>
      <c r="D333" t="s">
        <v>178</v>
      </c>
      <c r="E333" t="s">
        <v>716</v>
      </c>
      <c r="F333" t="s">
        <v>155</v>
      </c>
      <c r="G333" t="s">
        <v>380</v>
      </c>
      <c r="H333" s="79">
        <v>0.75</v>
      </c>
      <c r="I333" s="160" cm="1">
        <f t="array" ref="I333">IFERROR(
  VALUE($H333) *
  VALUE(
    _xlfn.XLOOKUP(
      TRIM($F333) &amp; "|" &amp; LEFT(SUBSTITUTE($G333,CHAR(160)," "),5) &amp; "|Full Rate",
      TRIM(SUBSTITUTE($T$2:$T$38,CHAR(160)," ")) &amp; "|" &amp;
      LEFT(SUBSTITUTE($U$2:$U$38,CHAR(160)," "),5) &amp; "|" &amp;
      TRIM(SUBSTITUTE($V$2:$V$38,CHAR(160)," ")),
      $W$2:$W$38
    )
  ),
"")</f>
        <v>195</v>
      </c>
      <c r="J333" s="161" cm="1">
        <f t="array" ref="J333">IFERROR(
  VALUE($H333) *
  VALUE(
    _xlfn.XLOOKUP(
      TRIM($F333) &amp; "|" &amp; LEFT(SUBSTITUTE($G333,CHAR(160)," "),5) &amp; "|Reduced Rate",
      TRIM(SUBSTITUTE($T$2:$T$38,CHAR(160)," ")) &amp; "|" &amp;
      LEFT(SUBSTITUTE($U$2:$U$38,CHAR(160)," "),5) &amp; "|" &amp;
      TRIM(SUBSTITUTE($V$2:$V$38,CHAR(160)," ")),
      $W$2:$W$38
    )
  ),
"")</f>
        <v>90</v>
      </c>
      <c r="K333" s="42" cm="1">
        <f t="array" ref="K333">IFERROR(
  VALUE($H333) *
  VALUE(
    _xlfn.XLOOKUP(
      TRIM($F333) &amp; "|" &amp; LEFT(SUBSTITUTE($G333,CHAR(160)," "),5) &amp; "|Ideas Rate",
      TRIM(SUBSTITUTE($T$2:$T$38,CHAR(160)," ")) &amp; "|" &amp;
      LEFT(SUBSTITUTE($U$2:$U$38,CHAR(160)," "),5) &amp; "|" &amp;
      TRIM(SUBSTITUTE($V$2:$V$38,CHAR(160)," ")),
      $W$2:$W$38
    )
  ),
"")</f>
        <v>67.5</v>
      </c>
    </row>
    <row r="334" spans="1:11" x14ac:dyDescent="0.2">
      <c r="A334" s="10">
        <v>46083</v>
      </c>
      <c r="B334" s="5" t="s">
        <v>714</v>
      </c>
      <c r="C334" s="20" t="s">
        <v>715</v>
      </c>
      <c r="D334" t="s">
        <v>178</v>
      </c>
      <c r="E334" t="s">
        <v>717</v>
      </c>
      <c r="F334" t="s">
        <v>155</v>
      </c>
      <c r="G334" t="s">
        <v>380</v>
      </c>
      <c r="H334" s="79">
        <v>0.5</v>
      </c>
      <c r="I334" s="160" cm="1">
        <f t="array" ref="I334">IFERROR(
  VALUE($H334) *
  VALUE(
    _xlfn.XLOOKUP(
      TRIM($F334) &amp; "|" &amp; LEFT(SUBSTITUTE($G334,CHAR(160)," "),5) &amp; "|Full Rate",
      TRIM(SUBSTITUTE($T$2:$T$38,CHAR(160)," ")) &amp; "|" &amp;
      LEFT(SUBSTITUTE($U$2:$U$38,CHAR(160)," "),5) &amp; "|" &amp;
      TRIM(SUBSTITUTE($V$2:$V$38,CHAR(160)," ")),
      $W$2:$W$38
    )
  ),
"")</f>
        <v>130</v>
      </c>
      <c r="J334" s="161" cm="1">
        <f t="array" ref="J334">IFERROR(
  VALUE($H334) *
  VALUE(
    _xlfn.XLOOKUP(
      TRIM($F334) &amp; "|" &amp; LEFT(SUBSTITUTE($G334,CHAR(160)," "),5) &amp; "|Reduced Rate",
      TRIM(SUBSTITUTE($T$2:$T$38,CHAR(160)," ")) &amp; "|" &amp;
      LEFT(SUBSTITUTE($U$2:$U$38,CHAR(160)," "),5) &amp; "|" &amp;
      TRIM(SUBSTITUTE($V$2:$V$38,CHAR(160)," ")),
      $W$2:$W$38
    )
  ),
"")</f>
        <v>60</v>
      </c>
      <c r="K334" s="42" cm="1">
        <f t="array" ref="K334">IFERROR(
  VALUE($H334) *
  VALUE(
    _xlfn.XLOOKUP(
      TRIM($F334) &amp; "|" &amp; LEFT(SUBSTITUTE($G334,CHAR(160)," "),5) &amp; "|Ideas Rate",
      TRIM(SUBSTITUTE($T$2:$T$38,CHAR(160)," ")) &amp; "|" &amp;
      LEFT(SUBSTITUTE($U$2:$U$38,CHAR(160)," "),5) &amp; "|" &amp;
      TRIM(SUBSTITUTE($V$2:$V$38,CHAR(160)," ")),
      $W$2:$W$38
    )
  ),
"")</f>
        <v>45</v>
      </c>
    </row>
    <row r="335" spans="1:11" x14ac:dyDescent="0.2">
      <c r="A335" s="10">
        <v>46083</v>
      </c>
      <c r="B335" s="5" t="s">
        <v>714</v>
      </c>
      <c r="C335" s="20" t="s">
        <v>715</v>
      </c>
      <c r="D335" t="s">
        <v>178</v>
      </c>
      <c r="E335" t="s">
        <v>729</v>
      </c>
      <c r="F335" t="s">
        <v>9</v>
      </c>
      <c r="G335" t="s">
        <v>380</v>
      </c>
      <c r="H335" s="79">
        <v>1</v>
      </c>
      <c r="I335" s="160" cm="1">
        <f t="array" ref="I335">IFERROR(
  VALUE($H335) *
  VALUE(
    _xlfn.XLOOKUP(
      TRIM($F335) &amp; "|" &amp; LEFT(SUBSTITUTE($G335,CHAR(160)," "),5) &amp; "|Full Rate",
      TRIM(SUBSTITUTE($T$2:$T$38,CHAR(160)," ")) &amp; "|" &amp;
      LEFT(SUBSTITUTE($U$2:$U$38,CHAR(160)," "),5) &amp; "|" &amp;
      TRIM(SUBSTITUTE($V$2:$V$38,CHAR(160)," ")),
      $W$2:$W$38
    )
  ),
"")</f>
        <v>250</v>
      </c>
      <c r="J335" s="161" cm="1">
        <f t="array" ref="J335">IFERROR(
  VALUE($H335) *
  VALUE(
    _xlfn.XLOOKUP(
      TRIM($F335) &amp; "|" &amp; LEFT(SUBSTITUTE($G335,CHAR(160)," "),5) &amp; "|Reduced Rate",
      TRIM(SUBSTITUTE($T$2:$T$38,CHAR(160)," ")) &amp; "|" &amp;
      LEFT(SUBSTITUTE($U$2:$U$38,CHAR(160)," "),5) &amp; "|" &amp;
      TRIM(SUBSTITUTE($V$2:$V$38,CHAR(160)," ")),
      $W$2:$W$38
    )
  ),
"")</f>
        <v>150</v>
      </c>
      <c r="K335" s="42" cm="1">
        <f t="array" ref="K335">IFERROR(
  VALUE($H335) *
  VALUE(
    _xlfn.XLOOKUP(
      TRIM($F335) &amp; "|" &amp; LEFT(SUBSTITUTE($G335,CHAR(160)," "),5) &amp; "|Ideas Rate",
      TRIM(SUBSTITUTE($T$2:$T$38,CHAR(160)," ")) &amp; "|" &amp;
      LEFT(SUBSTITUTE($U$2:$U$38,CHAR(160)," "),5) &amp; "|" &amp;
      TRIM(SUBSTITUTE($V$2:$V$38,CHAR(160)," ")),
      $W$2:$W$38
    )
  ),
"")</f>
        <v>75</v>
      </c>
    </row>
    <row r="336" spans="1:11" x14ac:dyDescent="0.2">
      <c r="A336" s="10">
        <v>46083</v>
      </c>
      <c r="B336" s="5" t="s">
        <v>714</v>
      </c>
      <c r="C336" s="20" t="s">
        <v>715</v>
      </c>
      <c r="D336" t="s">
        <v>182</v>
      </c>
      <c r="E336" t="s">
        <v>718</v>
      </c>
      <c r="F336" t="s">
        <v>155</v>
      </c>
      <c r="G336" t="s">
        <v>367</v>
      </c>
      <c r="H336" s="79">
        <v>5</v>
      </c>
      <c r="I336" s="160" cm="1">
        <f t="array" ref="I336">IFERROR(
  VALUE($H336) *
  VALUE(
    _xlfn.XLOOKUP(
      TRIM($F336) &amp; "|" &amp; LEFT(SUBSTITUTE($G336,CHAR(160)," "),5) &amp; "|Full Rate",
      TRIM(SUBSTITUTE($T$2:$T$38,CHAR(160)," ")) &amp; "|" &amp;
      LEFT(SUBSTITUTE($U$2:$U$38,CHAR(160)," "),5) &amp; "|" &amp;
      TRIM(SUBSTITUTE($V$2:$V$38,CHAR(160)," ")),
      $W$2:$W$38
    )
  ),
"")</f>
        <v>2000</v>
      </c>
      <c r="J336" s="161" cm="1">
        <f t="array" ref="J336">IFERROR(
  VALUE($H336) *
  VALUE(
    _xlfn.XLOOKUP(
      TRIM($F336) &amp; "|" &amp; LEFT(SUBSTITUTE($G336,CHAR(160)," "),5) &amp; "|Reduced Rate",
      TRIM(SUBSTITUTE($T$2:$T$38,CHAR(160)," ")) &amp; "|" &amp;
      LEFT(SUBSTITUTE($U$2:$U$38,CHAR(160)," "),5) &amp; "|" &amp;
      TRIM(SUBSTITUTE($V$2:$V$38,CHAR(160)," ")),
      $W$2:$W$38
    )
  ),
"")</f>
        <v>1000</v>
      </c>
      <c r="K336" s="42" cm="1">
        <f t="array" ref="K336">IFERROR(
  VALUE($H336) *
  VALUE(
    _xlfn.XLOOKUP(
      TRIM($F336) &amp; "|" &amp; LEFT(SUBSTITUTE($G336,CHAR(160)," "),5) &amp; "|Ideas Rate",
      TRIM(SUBSTITUTE($T$2:$T$38,CHAR(160)," ")) &amp; "|" &amp;
      LEFT(SUBSTITUTE($U$2:$U$38,CHAR(160)," "),5) &amp; "|" &amp;
      TRIM(SUBSTITUTE($V$2:$V$38,CHAR(160)," ")),
      $W$2:$W$38
    )
  ),
"")</f>
        <v>600</v>
      </c>
    </row>
    <row r="337" spans="1:11" x14ac:dyDescent="0.2">
      <c r="A337" s="10">
        <v>46084</v>
      </c>
      <c r="B337" s="5" t="s">
        <v>714</v>
      </c>
      <c r="C337" s="20" t="s">
        <v>519</v>
      </c>
      <c r="D337" t="s">
        <v>178</v>
      </c>
      <c r="E337" s="54" t="s">
        <v>725</v>
      </c>
      <c r="F337" t="s">
        <v>10</v>
      </c>
      <c r="G337" t="s">
        <v>380</v>
      </c>
      <c r="H337" s="79">
        <v>2</v>
      </c>
      <c r="I337" s="160" cm="1">
        <f t="array" ref="I337">IFERROR(
  VALUE($H337) *
  VALUE(
    _xlfn.XLOOKUP(
      TRIM($F337) &amp; "|" &amp; LEFT(SUBSTITUTE($G337,CHAR(160)," "),5) &amp; "|Full Rate",
      TRIM(SUBSTITUTE($T$2:$T$38,CHAR(160)," ")) &amp; "|" &amp;
      LEFT(SUBSTITUTE($U$2:$U$38,CHAR(160)," "),5) &amp; "|" &amp;
      TRIM(SUBSTITUTE($V$2:$V$38,CHAR(160)," ")),
      $W$2:$W$38
    )
  ),
"")</f>
        <v>500</v>
      </c>
      <c r="J337" s="161" cm="1">
        <f t="array" ref="J337">IFERROR(
  VALUE($H337) *
  VALUE(
    _xlfn.XLOOKUP(
      TRIM($F337) &amp; "|" &amp; LEFT(SUBSTITUTE($G337,CHAR(160)," "),5) &amp; "|Reduced Rate",
      TRIM(SUBSTITUTE($T$2:$T$38,CHAR(160)," ")) &amp; "|" &amp;
      LEFT(SUBSTITUTE($U$2:$U$38,CHAR(160)," "),5) &amp; "|" &amp;
      TRIM(SUBSTITUTE($V$2:$V$38,CHAR(160)," ")),
      $W$2:$W$38
    )
  ),
"")</f>
        <v>300</v>
      </c>
      <c r="K337" s="42" cm="1">
        <f t="array" ref="K337">IFERROR(
  VALUE($H337) *
  VALUE(
    _xlfn.XLOOKUP(
      TRIM($F337) &amp; "|" &amp; LEFT(SUBSTITUTE($G337,CHAR(160)," "),5) &amp; "|Ideas Rate",
      TRIM(SUBSTITUTE($T$2:$T$38,CHAR(160)," ")) &amp; "|" &amp;
      LEFT(SUBSTITUTE($U$2:$U$38,CHAR(160)," "),5) &amp; "|" &amp;
      TRIM(SUBSTITUTE($V$2:$V$38,CHAR(160)," ")),
      $W$2:$W$38
    )
  ),
"")</f>
        <v>150</v>
      </c>
    </row>
    <row r="338" spans="1:11" x14ac:dyDescent="0.2">
      <c r="A338" s="10">
        <v>46084</v>
      </c>
      <c r="B338" s="5" t="s">
        <v>714</v>
      </c>
      <c r="C338" s="20" t="s">
        <v>715</v>
      </c>
      <c r="D338" t="s">
        <v>178</v>
      </c>
      <c r="E338" s="54" t="s">
        <v>722</v>
      </c>
      <c r="F338" t="s">
        <v>10</v>
      </c>
      <c r="G338" t="s">
        <v>380</v>
      </c>
      <c r="H338" s="79">
        <v>1</v>
      </c>
      <c r="I338" s="160" cm="1">
        <f t="array" ref="I338">IFERROR(
  VALUE($H338) *
  VALUE(
    _xlfn.XLOOKUP(
      TRIM($F338) &amp; "|" &amp; LEFT(SUBSTITUTE($G338,CHAR(160)," "),5) &amp; "|Full Rate",
      TRIM(SUBSTITUTE($T$2:$T$38,CHAR(160)," ")) &amp; "|" &amp;
      LEFT(SUBSTITUTE($U$2:$U$38,CHAR(160)," "),5) &amp; "|" &amp;
      TRIM(SUBSTITUTE($V$2:$V$38,CHAR(160)," ")),
      $W$2:$W$38
    )
  ),
"")</f>
        <v>250</v>
      </c>
      <c r="J338" s="161" cm="1">
        <f t="array" ref="J338">IFERROR(
  VALUE($H338) *
  VALUE(
    _xlfn.XLOOKUP(
      TRIM($F338) &amp; "|" &amp; LEFT(SUBSTITUTE($G338,CHAR(160)," "),5) &amp; "|Reduced Rate",
      TRIM(SUBSTITUTE($T$2:$T$38,CHAR(160)," ")) &amp; "|" &amp;
      LEFT(SUBSTITUTE($U$2:$U$38,CHAR(160)," "),5) &amp; "|" &amp;
      TRIM(SUBSTITUTE($V$2:$V$38,CHAR(160)," ")),
      $W$2:$W$38
    )
  ),
"")</f>
        <v>150</v>
      </c>
      <c r="K338" s="42" cm="1">
        <f t="array" ref="K338">IFERROR(
  VALUE($H338) *
  VALUE(
    _xlfn.XLOOKUP(
      TRIM($F338) &amp; "|" &amp; LEFT(SUBSTITUTE($G338,CHAR(160)," "),5) &amp; "|Ideas Rate",
      TRIM(SUBSTITUTE($T$2:$T$38,CHAR(160)," ")) &amp; "|" &amp;
      LEFT(SUBSTITUTE($U$2:$U$38,CHAR(160)," "),5) &amp; "|" &amp;
      TRIM(SUBSTITUTE($V$2:$V$38,CHAR(160)," ")),
      $W$2:$W$38
    )
  ),
"")</f>
        <v>75</v>
      </c>
    </row>
    <row r="339" spans="1:11" x14ac:dyDescent="0.2">
      <c r="A339" s="10">
        <v>46084</v>
      </c>
      <c r="B339" s="5" t="s">
        <v>714</v>
      </c>
      <c r="C339" s="20" t="s">
        <v>715</v>
      </c>
      <c r="D339" t="s">
        <v>178</v>
      </c>
      <c r="E339" s="54" t="s">
        <v>732</v>
      </c>
      <c r="F339" t="s">
        <v>155</v>
      </c>
      <c r="G339" t="s">
        <v>380</v>
      </c>
      <c r="H339" s="79">
        <v>0.75</v>
      </c>
      <c r="I339" s="160" cm="1">
        <f t="array" ref="I339">IFERROR(
  VALUE($H339) *
  VALUE(
    _xlfn.XLOOKUP(
      TRIM($F339) &amp; "|" &amp; LEFT(SUBSTITUTE($G339,CHAR(160)," "),5) &amp; "|Full Rate",
      TRIM(SUBSTITUTE($T$2:$T$38,CHAR(160)," ")) &amp; "|" &amp;
      LEFT(SUBSTITUTE($U$2:$U$38,CHAR(160)," "),5) &amp; "|" &amp;
      TRIM(SUBSTITUTE($V$2:$V$38,CHAR(160)," ")),
      $W$2:$W$38
    )
  ),
"")</f>
        <v>195</v>
      </c>
      <c r="J339" s="161" cm="1">
        <f t="array" ref="J339">IFERROR(
  VALUE($H339) *
  VALUE(
    _xlfn.XLOOKUP(
      TRIM($F339) &amp; "|" &amp; LEFT(SUBSTITUTE($G339,CHAR(160)," "),5) &amp; "|Reduced Rate",
      TRIM(SUBSTITUTE($T$2:$T$38,CHAR(160)," ")) &amp; "|" &amp;
      LEFT(SUBSTITUTE($U$2:$U$38,CHAR(160)," "),5) &amp; "|" &amp;
      TRIM(SUBSTITUTE($V$2:$V$38,CHAR(160)," ")),
      $W$2:$W$38
    )
  ),
"")</f>
        <v>90</v>
      </c>
      <c r="K339" s="42" cm="1">
        <f t="array" ref="K339">IFERROR(
  VALUE($H339) *
  VALUE(
    _xlfn.XLOOKUP(
      TRIM($F339) &amp; "|" &amp; LEFT(SUBSTITUTE($G339,CHAR(160)," "),5) &amp; "|Ideas Rate",
      TRIM(SUBSTITUTE($T$2:$T$38,CHAR(160)," ")) &amp; "|" &amp;
      LEFT(SUBSTITUTE($U$2:$U$38,CHAR(160)," "),5) &amp; "|" &amp;
      TRIM(SUBSTITUTE($V$2:$V$38,CHAR(160)," ")),
      $W$2:$W$38
    )
  ),
"")</f>
        <v>67.5</v>
      </c>
    </row>
    <row r="340" spans="1:11" x14ac:dyDescent="0.2">
      <c r="A340" s="10">
        <v>46084</v>
      </c>
      <c r="B340" s="5" t="s">
        <v>714</v>
      </c>
      <c r="C340" s="20" t="s">
        <v>715</v>
      </c>
      <c r="D340" t="s">
        <v>182</v>
      </c>
      <c r="E340" s="54" t="s">
        <v>712</v>
      </c>
      <c r="F340" t="s">
        <v>155</v>
      </c>
      <c r="G340" t="s">
        <v>367</v>
      </c>
      <c r="H340" s="79">
        <v>4</v>
      </c>
      <c r="I340" s="160" cm="1">
        <f t="array" ref="I340">IFERROR(
  VALUE($H340) *
  VALUE(
    _xlfn.XLOOKUP(
      TRIM($F340) &amp; "|" &amp; LEFT(SUBSTITUTE($G340,CHAR(160)," "),5) &amp; "|Full Rate",
      TRIM(SUBSTITUTE($T$2:$T$38,CHAR(160)," ")) &amp; "|" &amp;
      LEFT(SUBSTITUTE($U$2:$U$38,CHAR(160)," "),5) &amp; "|" &amp;
      TRIM(SUBSTITUTE($V$2:$V$38,CHAR(160)," ")),
      $W$2:$W$38
    )
  ),
"")</f>
        <v>1600</v>
      </c>
      <c r="J340" s="161" cm="1">
        <f t="array" ref="J340">IFERROR(
  VALUE($H340) *
  VALUE(
    _xlfn.XLOOKUP(
      TRIM($F340) &amp; "|" &amp; LEFT(SUBSTITUTE($G340,CHAR(160)," "),5) &amp; "|Reduced Rate",
      TRIM(SUBSTITUTE($T$2:$T$38,CHAR(160)," ")) &amp; "|" &amp;
      LEFT(SUBSTITUTE($U$2:$U$38,CHAR(160)," "),5) &amp; "|" &amp;
      TRIM(SUBSTITUTE($V$2:$V$38,CHAR(160)," ")),
      $W$2:$W$38
    )
  ),
"")</f>
        <v>800</v>
      </c>
      <c r="K340" s="42" cm="1">
        <f t="array" ref="K340">IFERROR(
  VALUE($H340) *
  VALUE(
    _xlfn.XLOOKUP(
      TRIM($F340) &amp; "|" &amp; LEFT(SUBSTITUTE($G340,CHAR(160)," "),5) &amp; "|Ideas Rate",
      TRIM(SUBSTITUTE($T$2:$T$38,CHAR(160)," ")) &amp; "|" &amp;
      LEFT(SUBSTITUTE($U$2:$U$38,CHAR(160)," "),5) &amp; "|" &amp;
      TRIM(SUBSTITUTE($V$2:$V$38,CHAR(160)," ")),
      $W$2:$W$38
    )
  ),
"")</f>
        <v>480</v>
      </c>
    </row>
    <row r="341" spans="1:11" x14ac:dyDescent="0.2">
      <c r="A341" s="10">
        <v>46084</v>
      </c>
      <c r="B341" s="5" t="s">
        <v>714</v>
      </c>
      <c r="C341" s="20" t="s">
        <v>715</v>
      </c>
      <c r="D341" t="s">
        <v>190</v>
      </c>
      <c r="E341" s="54" t="s">
        <v>733</v>
      </c>
      <c r="F341" t="s">
        <v>155</v>
      </c>
      <c r="G341" t="s">
        <v>380</v>
      </c>
      <c r="H341" s="79">
        <v>2</v>
      </c>
      <c r="I341" s="160" cm="1">
        <f t="array" ref="I341">IFERROR(
  VALUE($H341) *
  VALUE(
    _xlfn.XLOOKUP(
      TRIM($F341) &amp; "|" &amp; LEFT(SUBSTITUTE($G341,CHAR(160)," "),5) &amp; "|Full Rate",
      TRIM(SUBSTITUTE($T$2:$T$38,CHAR(160)," ")) &amp; "|" &amp;
      LEFT(SUBSTITUTE($U$2:$U$38,CHAR(160)," "),5) &amp; "|" &amp;
      TRIM(SUBSTITUTE($V$2:$V$38,CHAR(160)," ")),
      $W$2:$W$38
    )
  ),
"")</f>
        <v>520</v>
      </c>
      <c r="J341" s="161" cm="1">
        <f t="array" ref="J341">IFERROR(
  VALUE($H341) *
  VALUE(
    _xlfn.XLOOKUP(
      TRIM($F341) &amp; "|" &amp; LEFT(SUBSTITUTE($G341,CHAR(160)," "),5) &amp; "|Reduced Rate",
      TRIM(SUBSTITUTE($T$2:$T$38,CHAR(160)," ")) &amp; "|" &amp;
      LEFT(SUBSTITUTE($U$2:$U$38,CHAR(160)," "),5) &amp; "|" &amp;
      TRIM(SUBSTITUTE($V$2:$V$38,CHAR(160)," ")),
      $W$2:$W$38
    )
  ),
"")</f>
        <v>240</v>
      </c>
      <c r="K341" s="42" cm="1">
        <f t="array" ref="K341">IFERROR(
  VALUE($H341) *
  VALUE(
    _xlfn.XLOOKUP(
      TRIM($F341) &amp; "|" &amp; LEFT(SUBSTITUTE($G341,CHAR(160)," "),5) &amp; "|Ideas Rate",
      TRIM(SUBSTITUTE($T$2:$T$38,CHAR(160)," ")) &amp; "|" &amp;
      LEFT(SUBSTITUTE($U$2:$U$38,CHAR(160)," "),5) &amp; "|" &amp;
      TRIM(SUBSTITUTE($V$2:$V$38,CHAR(160)," ")),
      $W$2:$W$38
    )
  ),
"")</f>
        <v>180</v>
      </c>
    </row>
    <row r="342" spans="1:11" x14ac:dyDescent="0.2">
      <c r="A342" s="10">
        <v>46085</v>
      </c>
      <c r="B342" s="5" t="s">
        <v>714</v>
      </c>
      <c r="C342" s="20" t="s">
        <v>715</v>
      </c>
      <c r="D342" t="s">
        <v>178</v>
      </c>
      <c r="E342" s="54" t="s">
        <v>566</v>
      </c>
      <c r="F342" t="s">
        <v>10</v>
      </c>
      <c r="G342" t="s">
        <v>380</v>
      </c>
      <c r="H342" s="79">
        <v>0.75</v>
      </c>
      <c r="I342" s="160" cm="1">
        <f t="array" ref="I342">IFERROR(
  VALUE($H342) *
  VALUE(
    _xlfn.XLOOKUP(
      TRIM($F342) &amp; "|" &amp; LEFT(SUBSTITUTE($G342,CHAR(160)," "),5) &amp; "|Full Rate",
      TRIM(SUBSTITUTE($T$2:$T$38,CHAR(160)," ")) &amp; "|" &amp;
      LEFT(SUBSTITUTE($U$2:$U$38,CHAR(160)," "),5) &amp; "|" &amp;
      TRIM(SUBSTITUTE($V$2:$V$38,CHAR(160)," ")),
      $W$2:$W$38
    )
  ),
"")</f>
        <v>187.5</v>
      </c>
      <c r="J342" s="161" cm="1">
        <f t="array" ref="J342">IFERROR(
  VALUE($H342) *
  VALUE(
    _xlfn.XLOOKUP(
      TRIM($F342) &amp; "|" &amp; LEFT(SUBSTITUTE($G342,CHAR(160)," "),5) &amp; "|Reduced Rate",
      TRIM(SUBSTITUTE($T$2:$T$38,CHAR(160)," ")) &amp; "|" &amp;
      LEFT(SUBSTITUTE($U$2:$U$38,CHAR(160)," "),5) &amp; "|" &amp;
      TRIM(SUBSTITUTE($V$2:$V$38,CHAR(160)," ")),
      $W$2:$W$38
    )
  ),
"")</f>
        <v>112.5</v>
      </c>
      <c r="K342" s="42" cm="1">
        <f t="array" ref="K342">IFERROR(
  VALUE($H342) *
  VALUE(
    _xlfn.XLOOKUP(
      TRIM($F342) &amp; "|" &amp; LEFT(SUBSTITUTE($G342,CHAR(160)," "),5) &amp; "|Ideas Rate",
      TRIM(SUBSTITUTE($T$2:$T$38,CHAR(160)," ")) &amp; "|" &amp;
      LEFT(SUBSTITUTE($U$2:$U$38,CHAR(160)," "),5) &amp; "|" &amp;
      TRIM(SUBSTITUTE($V$2:$V$38,CHAR(160)," ")),
      $W$2:$W$38
    )
  ),
"")</f>
        <v>56.25</v>
      </c>
    </row>
    <row r="343" spans="1:11" x14ac:dyDescent="0.2">
      <c r="A343" s="10">
        <v>46085</v>
      </c>
      <c r="B343" s="5" t="s">
        <v>714</v>
      </c>
      <c r="C343" s="20" t="s">
        <v>715</v>
      </c>
      <c r="D343" t="s">
        <v>178</v>
      </c>
      <c r="E343" s="54" t="s">
        <v>726</v>
      </c>
      <c r="F343" t="s">
        <v>10</v>
      </c>
      <c r="G343" t="s">
        <v>380</v>
      </c>
      <c r="H343" s="79">
        <v>1</v>
      </c>
      <c r="I343" s="160" cm="1">
        <f t="array" ref="I343">IFERROR(
  VALUE($H343) *
  VALUE(
    _xlfn.XLOOKUP(
      TRIM($F343) &amp; "|" &amp; LEFT(SUBSTITUTE($G343,CHAR(160)," "),5) &amp; "|Full Rate",
      TRIM(SUBSTITUTE($T$2:$T$38,CHAR(160)," ")) &amp; "|" &amp;
      LEFT(SUBSTITUTE($U$2:$U$38,CHAR(160)," "),5) &amp; "|" &amp;
      TRIM(SUBSTITUTE($V$2:$V$38,CHAR(160)," ")),
      $W$2:$W$38
    )
  ),
"")</f>
        <v>250</v>
      </c>
      <c r="J343" s="161" cm="1">
        <f t="array" ref="J343">IFERROR(
  VALUE($H343) *
  VALUE(
    _xlfn.XLOOKUP(
      TRIM($F343) &amp; "|" &amp; LEFT(SUBSTITUTE($G343,CHAR(160)," "),5) &amp; "|Reduced Rate",
      TRIM(SUBSTITUTE($T$2:$T$38,CHAR(160)," ")) &amp; "|" &amp;
      LEFT(SUBSTITUTE($U$2:$U$38,CHAR(160)," "),5) &amp; "|" &amp;
      TRIM(SUBSTITUTE($V$2:$V$38,CHAR(160)," ")),
      $W$2:$W$38
    )
  ),
"")</f>
        <v>150</v>
      </c>
      <c r="K343" s="42" cm="1">
        <f t="array" ref="K343">IFERROR(
  VALUE($H343) *
  VALUE(
    _xlfn.XLOOKUP(
      TRIM($F343) &amp; "|" &amp; LEFT(SUBSTITUTE($G343,CHAR(160)," "),5) &amp; "|Ideas Rate",
      TRIM(SUBSTITUTE($T$2:$T$38,CHAR(160)," ")) &amp; "|" &amp;
      LEFT(SUBSTITUTE($U$2:$U$38,CHAR(160)," "),5) &amp; "|" &amp;
      TRIM(SUBSTITUTE($V$2:$V$38,CHAR(160)," ")),
      $W$2:$W$38
    )
  ),
"")</f>
        <v>75</v>
      </c>
    </row>
    <row r="344" spans="1:11" x14ac:dyDescent="0.2">
      <c r="A344" s="10">
        <v>46085</v>
      </c>
      <c r="B344" s="5" t="s">
        <v>714</v>
      </c>
      <c r="C344" s="20" t="s">
        <v>715</v>
      </c>
      <c r="D344" t="s">
        <v>178</v>
      </c>
      <c r="E344" s="54" t="s">
        <v>727</v>
      </c>
      <c r="F344" t="s">
        <v>10</v>
      </c>
      <c r="G344" t="s">
        <v>380</v>
      </c>
      <c r="H344" s="79">
        <v>1</v>
      </c>
      <c r="I344" s="160" cm="1">
        <f t="array" ref="I344">IFERROR(
  VALUE($H344) *
  VALUE(
    _xlfn.XLOOKUP(
      TRIM($F344) &amp; "|" &amp; LEFT(SUBSTITUTE($G344,CHAR(160)," "),5) &amp; "|Full Rate",
      TRIM(SUBSTITUTE($T$2:$T$38,CHAR(160)," ")) &amp; "|" &amp;
      LEFT(SUBSTITUTE($U$2:$U$38,CHAR(160)," "),5) &amp; "|" &amp;
      TRIM(SUBSTITUTE($V$2:$V$38,CHAR(160)," ")),
      $W$2:$W$38
    )
  ),
"")</f>
        <v>250</v>
      </c>
      <c r="J344" s="161" cm="1">
        <f t="array" ref="J344">IFERROR(
  VALUE($H344) *
  VALUE(
    _xlfn.XLOOKUP(
      TRIM($F344) &amp; "|" &amp; LEFT(SUBSTITUTE($G344,CHAR(160)," "),5) &amp; "|Reduced Rate",
      TRIM(SUBSTITUTE($T$2:$T$38,CHAR(160)," ")) &amp; "|" &amp;
      LEFT(SUBSTITUTE($U$2:$U$38,CHAR(160)," "),5) &amp; "|" &amp;
      TRIM(SUBSTITUTE($V$2:$V$38,CHAR(160)," ")),
      $W$2:$W$38
    )
  ),
"")</f>
        <v>150</v>
      </c>
      <c r="K344" s="42" cm="1">
        <f t="array" ref="K344">IFERROR(
  VALUE($H344) *
  VALUE(
    _xlfn.XLOOKUP(
      TRIM($F344) &amp; "|" &amp; LEFT(SUBSTITUTE($G344,CHAR(160)," "),5) &amp; "|Ideas Rate",
      TRIM(SUBSTITUTE($T$2:$T$38,CHAR(160)," ")) &amp; "|" &amp;
      LEFT(SUBSTITUTE($U$2:$U$38,CHAR(160)," "),5) &amp; "|" &amp;
      TRIM(SUBSTITUTE($V$2:$V$38,CHAR(160)," ")),
      $W$2:$W$38
    )
  ),
"")</f>
        <v>75</v>
      </c>
    </row>
    <row r="345" spans="1:11" x14ac:dyDescent="0.2">
      <c r="A345" s="10">
        <v>46085</v>
      </c>
      <c r="B345" s="5" t="s">
        <v>714</v>
      </c>
      <c r="C345" s="20" t="s">
        <v>519</v>
      </c>
      <c r="D345" t="s">
        <v>178</v>
      </c>
      <c r="E345" s="54" t="s">
        <v>728</v>
      </c>
      <c r="F345" t="s">
        <v>9</v>
      </c>
      <c r="G345" t="s">
        <v>380</v>
      </c>
      <c r="H345" s="79">
        <v>1</v>
      </c>
      <c r="I345" s="160" cm="1">
        <f t="array" ref="I345">IFERROR(
  VALUE($H345) *
  VALUE(
    _xlfn.XLOOKUP(
      TRIM($F345) &amp; "|" &amp; LEFT(SUBSTITUTE($G345,CHAR(160)," "),5) &amp; "|Full Rate",
      TRIM(SUBSTITUTE($T$2:$T$38,CHAR(160)," ")) &amp; "|" &amp;
      LEFT(SUBSTITUTE($U$2:$U$38,CHAR(160)," "),5) &amp; "|" &amp;
      TRIM(SUBSTITUTE($V$2:$V$38,CHAR(160)," ")),
      $W$2:$W$38
    )
  ),
"")</f>
        <v>250</v>
      </c>
      <c r="J345" s="161" cm="1">
        <f t="array" ref="J345">IFERROR(
  VALUE($H345) *
  VALUE(
    _xlfn.XLOOKUP(
      TRIM($F345) &amp; "|" &amp; LEFT(SUBSTITUTE($G345,CHAR(160)," "),5) &amp; "|Reduced Rate",
      TRIM(SUBSTITUTE($T$2:$T$38,CHAR(160)," ")) &amp; "|" &amp;
      LEFT(SUBSTITUTE($U$2:$U$38,CHAR(160)," "),5) &amp; "|" &amp;
      TRIM(SUBSTITUTE($V$2:$V$38,CHAR(160)," ")),
      $W$2:$W$38
    )
  ),
"")</f>
        <v>150</v>
      </c>
      <c r="K345" s="42" cm="1">
        <f t="array" ref="K345">IFERROR(
  VALUE($H345) *
  VALUE(
    _xlfn.XLOOKUP(
      TRIM($F345) &amp; "|" &amp; LEFT(SUBSTITUTE($G345,CHAR(160)," "),5) &amp; "|Ideas Rate",
      TRIM(SUBSTITUTE($T$2:$T$38,CHAR(160)," ")) &amp; "|" &amp;
      LEFT(SUBSTITUTE($U$2:$U$38,CHAR(160)," "),5) &amp; "|" &amp;
      TRIM(SUBSTITUTE($V$2:$V$38,CHAR(160)," ")),
      $W$2:$W$38
    )
  ),
"")</f>
        <v>75</v>
      </c>
    </row>
    <row r="346" spans="1:11" x14ac:dyDescent="0.2">
      <c r="A346" s="10">
        <v>46085</v>
      </c>
      <c r="B346" s="5" t="s">
        <v>714</v>
      </c>
      <c r="C346" s="20" t="s">
        <v>519</v>
      </c>
      <c r="D346" t="s">
        <v>178</v>
      </c>
      <c r="E346" s="54" t="s">
        <v>734</v>
      </c>
      <c r="F346" t="s">
        <v>155</v>
      </c>
      <c r="G346" t="s">
        <v>380</v>
      </c>
      <c r="H346" s="79">
        <v>0.75</v>
      </c>
      <c r="I346" s="160" cm="1">
        <f t="array" ref="I346">IFERROR(
  VALUE($H346) *
  VALUE(
    _xlfn.XLOOKUP(
      TRIM($F346) &amp; "|" &amp; LEFT(SUBSTITUTE($G346,CHAR(160)," "),5) &amp; "|Full Rate",
      TRIM(SUBSTITUTE($T$2:$T$38,CHAR(160)," ")) &amp; "|" &amp;
      LEFT(SUBSTITUTE($U$2:$U$38,CHAR(160)," "),5) &amp; "|" &amp;
      TRIM(SUBSTITUTE($V$2:$V$38,CHAR(160)," ")),
      $W$2:$W$38
    )
  ),
"")</f>
        <v>195</v>
      </c>
      <c r="J346" s="161" cm="1">
        <f t="array" ref="J346">IFERROR(
  VALUE($H346) *
  VALUE(
    _xlfn.XLOOKUP(
      TRIM($F346) &amp; "|" &amp; LEFT(SUBSTITUTE($G346,CHAR(160)," "),5) &amp; "|Reduced Rate",
      TRIM(SUBSTITUTE($T$2:$T$38,CHAR(160)," ")) &amp; "|" &amp;
      LEFT(SUBSTITUTE($U$2:$U$38,CHAR(160)," "),5) &amp; "|" &amp;
      TRIM(SUBSTITUTE($V$2:$V$38,CHAR(160)," ")),
      $W$2:$W$38
    )
  ),
"")</f>
        <v>90</v>
      </c>
      <c r="K346" s="42" cm="1">
        <f t="array" ref="K346">IFERROR(
  VALUE($H346) *
  VALUE(
    _xlfn.XLOOKUP(
      TRIM($F346) &amp; "|" &amp; LEFT(SUBSTITUTE($G346,CHAR(160)," "),5) &amp; "|Ideas Rate",
      TRIM(SUBSTITUTE($T$2:$T$38,CHAR(160)," ")) &amp; "|" &amp;
      LEFT(SUBSTITUTE($U$2:$U$38,CHAR(160)," "),5) &amp; "|" &amp;
      TRIM(SUBSTITUTE($V$2:$V$38,CHAR(160)," ")),
      $W$2:$W$38
    )
  ),
"")</f>
        <v>67.5</v>
      </c>
    </row>
    <row r="347" spans="1:11" x14ac:dyDescent="0.2">
      <c r="A347" s="10">
        <v>46085</v>
      </c>
      <c r="B347" s="5" t="s">
        <v>714</v>
      </c>
      <c r="C347" s="20" t="s">
        <v>519</v>
      </c>
      <c r="D347" t="s">
        <v>178</v>
      </c>
      <c r="E347" s="54" t="s">
        <v>735</v>
      </c>
      <c r="F347" t="s">
        <v>155</v>
      </c>
      <c r="G347" t="s">
        <v>380</v>
      </c>
      <c r="H347" s="79">
        <v>0.75</v>
      </c>
      <c r="I347" s="160" cm="1">
        <f t="array" ref="I347">IFERROR(
  VALUE($H347) *
  VALUE(
    _xlfn.XLOOKUP(
      TRIM($F347) &amp; "|" &amp; LEFT(SUBSTITUTE($G347,CHAR(160)," "),5) &amp; "|Full Rate",
      TRIM(SUBSTITUTE($T$2:$T$38,CHAR(160)," ")) &amp; "|" &amp;
      LEFT(SUBSTITUTE($U$2:$U$38,CHAR(160)," "),5) &amp; "|" &amp;
      TRIM(SUBSTITUTE($V$2:$V$38,CHAR(160)," ")),
      $W$2:$W$38
    )
  ),
"")</f>
        <v>195</v>
      </c>
      <c r="J347" s="161" cm="1">
        <f t="array" ref="J347">IFERROR(
  VALUE($H347) *
  VALUE(
    _xlfn.XLOOKUP(
      TRIM($F347) &amp; "|" &amp; LEFT(SUBSTITUTE($G347,CHAR(160)," "),5) &amp; "|Reduced Rate",
      TRIM(SUBSTITUTE($T$2:$T$38,CHAR(160)," ")) &amp; "|" &amp;
      LEFT(SUBSTITUTE($U$2:$U$38,CHAR(160)," "),5) &amp; "|" &amp;
      TRIM(SUBSTITUTE($V$2:$V$38,CHAR(160)," ")),
      $W$2:$W$38
    )
  ),
"")</f>
        <v>90</v>
      </c>
      <c r="K347" s="42" cm="1">
        <f t="array" ref="K347">IFERROR(
  VALUE($H347) *
  VALUE(
    _xlfn.XLOOKUP(
      TRIM($F347) &amp; "|" &amp; LEFT(SUBSTITUTE($G347,CHAR(160)," "),5) &amp; "|Ideas Rate",
      TRIM(SUBSTITUTE($T$2:$T$38,CHAR(160)," ")) &amp; "|" &amp;
      LEFT(SUBSTITUTE($U$2:$U$38,CHAR(160)," "),5) &amp; "|" &amp;
      TRIM(SUBSTITUTE($V$2:$V$38,CHAR(160)," ")),
      $W$2:$W$38
    )
  ),
"")</f>
        <v>67.5</v>
      </c>
    </row>
    <row r="348" spans="1:11" x14ac:dyDescent="0.2">
      <c r="A348" s="10">
        <v>46085</v>
      </c>
      <c r="B348" s="5" t="s">
        <v>714</v>
      </c>
      <c r="C348" s="20" t="s">
        <v>519</v>
      </c>
      <c r="D348" t="s">
        <v>190</v>
      </c>
      <c r="E348" s="54" t="s">
        <v>681</v>
      </c>
      <c r="F348" t="s">
        <v>155</v>
      </c>
      <c r="G348" t="s">
        <v>380</v>
      </c>
      <c r="H348" s="79">
        <v>3</v>
      </c>
      <c r="I348" s="160" cm="1">
        <f t="array" ref="I348">IFERROR(
  VALUE($H348) *
  VALUE(
    _xlfn.XLOOKUP(
      TRIM($F348) &amp; "|" &amp; LEFT(SUBSTITUTE($G348,CHAR(160)," "),5) &amp; "|Full Rate",
      TRIM(SUBSTITUTE($T$2:$T$38,CHAR(160)," ")) &amp; "|" &amp;
      LEFT(SUBSTITUTE($U$2:$U$38,CHAR(160)," "),5) &amp; "|" &amp;
      TRIM(SUBSTITUTE($V$2:$V$38,CHAR(160)," ")),
      $W$2:$W$38
    )
  ),
"")</f>
        <v>780</v>
      </c>
      <c r="J348" s="161" cm="1">
        <f t="array" ref="J348">IFERROR(
  VALUE($H348) *
  VALUE(
    _xlfn.XLOOKUP(
      TRIM($F348) &amp; "|" &amp; LEFT(SUBSTITUTE($G348,CHAR(160)," "),5) &amp; "|Reduced Rate",
      TRIM(SUBSTITUTE($T$2:$T$38,CHAR(160)," ")) &amp; "|" &amp;
      LEFT(SUBSTITUTE($U$2:$U$38,CHAR(160)," "),5) &amp; "|" &amp;
      TRIM(SUBSTITUTE($V$2:$V$38,CHAR(160)," ")),
      $W$2:$W$38
    )
  ),
"")</f>
        <v>360</v>
      </c>
      <c r="K348" s="42" cm="1">
        <f t="array" ref="K348">IFERROR(
  VALUE($H348) *
  VALUE(
    _xlfn.XLOOKUP(
      TRIM($F348) &amp; "|" &amp; LEFT(SUBSTITUTE($G348,CHAR(160)," "),5) &amp; "|Ideas Rate",
      TRIM(SUBSTITUTE($T$2:$T$38,CHAR(160)," ")) &amp; "|" &amp;
      LEFT(SUBSTITUTE($U$2:$U$38,CHAR(160)," "),5) &amp; "|" &amp;
      TRIM(SUBSTITUTE($V$2:$V$38,CHAR(160)," ")),
      $W$2:$W$38
    )
  ),
"")</f>
        <v>270</v>
      </c>
    </row>
    <row r="349" spans="1:11" x14ac:dyDescent="0.2">
      <c r="A349" s="10">
        <v>46085</v>
      </c>
      <c r="B349" s="5" t="s">
        <v>714</v>
      </c>
      <c r="C349" s="20" t="s">
        <v>519</v>
      </c>
      <c r="D349" t="s">
        <v>182</v>
      </c>
      <c r="E349" t="s">
        <v>712</v>
      </c>
      <c r="F349" t="s">
        <v>155</v>
      </c>
      <c r="G349" t="s">
        <v>367</v>
      </c>
      <c r="H349" s="79">
        <v>2.5</v>
      </c>
      <c r="I349" s="160" cm="1">
        <f t="array" ref="I349">IFERROR(
  VALUE($H349) *
  VALUE(
    _xlfn.XLOOKUP(
      TRIM($F349) &amp; "|" &amp; LEFT(SUBSTITUTE($G349,CHAR(160)," "),5) &amp; "|Full Rate",
      TRIM(SUBSTITUTE($T$2:$T$38,CHAR(160)," ")) &amp; "|" &amp;
      LEFT(SUBSTITUTE($U$2:$U$38,CHAR(160)," "),5) &amp; "|" &amp;
      TRIM(SUBSTITUTE($V$2:$V$38,CHAR(160)," ")),
      $W$2:$W$38
    )
  ),
"")</f>
        <v>1000</v>
      </c>
      <c r="J349" s="161" cm="1">
        <f t="array" ref="J349">IFERROR(
  VALUE($H349) *
  VALUE(
    _xlfn.XLOOKUP(
      TRIM($F349) &amp; "|" &amp; LEFT(SUBSTITUTE($G349,CHAR(160)," "),5) &amp; "|Reduced Rate",
      TRIM(SUBSTITUTE($T$2:$T$38,CHAR(160)," ")) &amp; "|" &amp;
      LEFT(SUBSTITUTE($U$2:$U$38,CHAR(160)," "),5) &amp; "|" &amp;
      TRIM(SUBSTITUTE($V$2:$V$38,CHAR(160)," ")),
      $W$2:$W$38
    )
  ),
"")</f>
        <v>500</v>
      </c>
      <c r="K349" s="42" cm="1">
        <f t="array" ref="K349">IFERROR(
  VALUE($H349) *
  VALUE(
    _xlfn.XLOOKUP(
      TRIM($F349) &amp; "|" &amp; LEFT(SUBSTITUTE($G349,CHAR(160)," "),5) &amp; "|Ideas Rate",
      TRIM(SUBSTITUTE($T$2:$T$38,CHAR(160)," ")) &amp; "|" &amp;
      LEFT(SUBSTITUTE($U$2:$U$38,CHAR(160)," "),5) &amp; "|" &amp;
      TRIM(SUBSTITUTE($V$2:$V$38,CHAR(160)," ")),
      $W$2:$W$38
    )
  ),
"")</f>
        <v>300</v>
      </c>
    </row>
    <row r="350" spans="1:11" x14ac:dyDescent="0.2">
      <c r="A350" s="10">
        <v>46085</v>
      </c>
      <c r="B350" s="5" t="s">
        <v>714</v>
      </c>
      <c r="C350" s="20" t="s">
        <v>519</v>
      </c>
      <c r="D350" t="s">
        <v>178</v>
      </c>
      <c r="E350" t="s">
        <v>736</v>
      </c>
      <c r="F350" t="s">
        <v>155</v>
      </c>
      <c r="G350" t="s">
        <v>367</v>
      </c>
      <c r="H350" s="79">
        <v>0.5</v>
      </c>
      <c r="I350" s="160" cm="1">
        <f t="array" ref="I350">IFERROR(
  VALUE($H350) *
  VALUE(
    _xlfn.XLOOKUP(
      TRIM($F350) &amp; "|" &amp; LEFT(SUBSTITUTE($G350,CHAR(160)," "),5) &amp; "|Full Rate",
      TRIM(SUBSTITUTE($T$2:$T$38,CHAR(160)," ")) &amp; "|" &amp;
      LEFT(SUBSTITUTE($U$2:$U$38,CHAR(160)," "),5) &amp; "|" &amp;
      TRIM(SUBSTITUTE($V$2:$V$38,CHAR(160)," ")),
      $W$2:$W$38
    )
  ),
"")</f>
        <v>200</v>
      </c>
      <c r="J350" s="161" cm="1">
        <f t="array" ref="J350">IFERROR(
  VALUE($H350) *
  VALUE(
    _xlfn.XLOOKUP(
      TRIM($F350) &amp; "|" &amp; LEFT(SUBSTITUTE($G350,CHAR(160)," "),5) &amp; "|Reduced Rate",
      TRIM(SUBSTITUTE($T$2:$T$38,CHAR(160)," ")) &amp; "|" &amp;
      LEFT(SUBSTITUTE($U$2:$U$38,CHAR(160)," "),5) &amp; "|" &amp;
      TRIM(SUBSTITUTE($V$2:$V$38,CHAR(160)," ")),
      $W$2:$W$38
    )
  ),
"")</f>
        <v>100</v>
      </c>
      <c r="K350" s="42" cm="1">
        <f t="array" ref="K350">IFERROR(
  VALUE($H350) *
  VALUE(
    _xlfn.XLOOKUP(
      TRIM($F350) &amp; "|" &amp; LEFT(SUBSTITUTE($G350,CHAR(160)," "),5) &amp; "|Ideas Rate",
      TRIM(SUBSTITUTE($T$2:$T$38,CHAR(160)," ")) &amp; "|" &amp;
      LEFT(SUBSTITUTE($U$2:$U$38,CHAR(160)," "),5) &amp; "|" &amp;
      TRIM(SUBSTITUTE($V$2:$V$38,CHAR(160)," ")),
      $W$2:$W$38
    )
  ),
"")</f>
        <v>60</v>
      </c>
    </row>
    <row r="351" spans="1:11" x14ac:dyDescent="0.2">
      <c r="A351" s="10">
        <v>46086</v>
      </c>
      <c r="B351" s="5" t="s">
        <v>714</v>
      </c>
      <c r="C351" s="20" t="s">
        <v>519</v>
      </c>
      <c r="D351" t="s">
        <v>178</v>
      </c>
      <c r="E351" t="s">
        <v>737</v>
      </c>
      <c r="F351" t="s">
        <v>155</v>
      </c>
      <c r="G351" t="s">
        <v>380</v>
      </c>
      <c r="H351" s="79">
        <v>2</v>
      </c>
      <c r="I351" s="160" cm="1">
        <f t="array" ref="I351">IFERROR(
  VALUE($H351) *
  VALUE(
    _xlfn.XLOOKUP(
      TRIM($F351) &amp; "|" &amp; LEFT(SUBSTITUTE($G351,CHAR(160)," "),5) &amp; "|Full Rate",
      TRIM(SUBSTITUTE($T$2:$T$38,CHAR(160)," ")) &amp; "|" &amp;
      LEFT(SUBSTITUTE($U$2:$U$38,CHAR(160)," "),5) &amp; "|" &amp;
      TRIM(SUBSTITUTE($V$2:$V$38,CHAR(160)," ")),
      $W$2:$W$38
    )
  ),
"")</f>
        <v>520</v>
      </c>
      <c r="J351" s="161" cm="1">
        <f t="array" ref="J351">IFERROR(
  VALUE($H351) *
  VALUE(
    _xlfn.XLOOKUP(
      TRIM($F351) &amp; "|" &amp; LEFT(SUBSTITUTE($G351,CHAR(160)," "),5) &amp; "|Reduced Rate",
      TRIM(SUBSTITUTE($T$2:$T$38,CHAR(160)," ")) &amp; "|" &amp;
      LEFT(SUBSTITUTE($U$2:$U$38,CHAR(160)," "),5) &amp; "|" &amp;
      TRIM(SUBSTITUTE($V$2:$V$38,CHAR(160)," ")),
      $W$2:$W$38
    )
  ),
"")</f>
        <v>240</v>
      </c>
      <c r="K351" s="42" cm="1">
        <f t="array" ref="K351">IFERROR(
  VALUE($H351) *
  VALUE(
    _xlfn.XLOOKUP(
      TRIM($F351) &amp; "|" &amp; LEFT(SUBSTITUTE($G351,CHAR(160)," "),5) &amp; "|Ideas Rate",
      TRIM(SUBSTITUTE($T$2:$T$38,CHAR(160)," ")) &amp; "|" &amp;
      LEFT(SUBSTITUTE($U$2:$U$38,CHAR(160)," "),5) &amp; "|" &amp;
      TRIM(SUBSTITUTE($V$2:$V$38,CHAR(160)," ")),
      $W$2:$W$38
    )
  ),
"")</f>
        <v>180</v>
      </c>
    </row>
    <row r="352" spans="1:11" x14ac:dyDescent="0.2">
      <c r="A352" s="10">
        <v>46086</v>
      </c>
      <c r="B352" s="5" t="s">
        <v>714</v>
      </c>
      <c r="C352" s="20" t="s">
        <v>519</v>
      </c>
      <c r="D352" t="s">
        <v>178</v>
      </c>
      <c r="E352" t="s">
        <v>738</v>
      </c>
      <c r="F352" t="s">
        <v>155</v>
      </c>
      <c r="G352" t="s">
        <v>380</v>
      </c>
      <c r="H352" s="79">
        <v>0.5</v>
      </c>
      <c r="I352" s="160" cm="1">
        <f t="array" ref="I352">IFERROR(
  VALUE($H352) *
  VALUE(
    _xlfn.XLOOKUP(
      TRIM($F352) &amp; "|" &amp; LEFT(SUBSTITUTE($G352,CHAR(160)," "),5) &amp; "|Full Rate",
      TRIM(SUBSTITUTE($T$2:$T$38,CHAR(160)," ")) &amp; "|" &amp;
      LEFT(SUBSTITUTE($U$2:$U$38,CHAR(160)," "),5) &amp; "|" &amp;
      TRIM(SUBSTITUTE($V$2:$V$38,CHAR(160)," ")),
      $W$2:$W$38
    )
  ),
"")</f>
        <v>130</v>
      </c>
      <c r="J352" s="161" cm="1">
        <f t="array" ref="J352">IFERROR(
  VALUE($H352) *
  VALUE(
    _xlfn.XLOOKUP(
      TRIM($F352) &amp; "|" &amp; LEFT(SUBSTITUTE($G352,CHAR(160)," "),5) &amp; "|Reduced Rate",
      TRIM(SUBSTITUTE($T$2:$T$38,CHAR(160)," ")) &amp; "|" &amp;
      LEFT(SUBSTITUTE($U$2:$U$38,CHAR(160)," "),5) &amp; "|" &amp;
      TRIM(SUBSTITUTE($V$2:$V$38,CHAR(160)," ")),
      $W$2:$W$38
    )
  ),
"")</f>
        <v>60</v>
      </c>
      <c r="K352" s="42" cm="1">
        <f t="array" ref="K352">IFERROR(
  VALUE($H352) *
  VALUE(
    _xlfn.XLOOKUP(
      TRIM($F352) &amp; "|" &amp; LEFT(SUBSTITUTE($G352,CHAR(160)," "),5) &amp; "|Ideas Rate",
      TRIM(SUBSTITUTE($T$2:$T$38,CHAR(160)," ")) &amp; "|" &amp;
      LEFT(SUBSTITUTE($U$2:$U$38,CHAR(160)," "),5) &amp; "|" &amp;
      TRIM(SUBSTITUTE($V$2:$V$38,CHAR(160)," ")),
      $W$2:$W$38
    )
  ),
"")</f>
        <v>45</v>
      </c>
    </row>
    <row r="353" spans="1:11" x14ac:dyDescent="0.2">
      <c r="A353" s="10">
        <v>46086</v>
      </c>
      <c r="B353" s="5" t="s">
        <v>714</v>
      </c>
      <c r="C353" s="20" t="s">
        <v>519</v>
      </c>
      <c r="D353" t="s">
        <v>178</v>
      </c>
      <c r="E353" t="s">
        <v>739</v>
      </c>
      <c r="F353" t="s">
        <v>155</v>
      </c>
      <c r="G353" t="s">
        <v>380</v>
      </c>
      <c r="H353" s="79">
        <v>0.5</v>
      </c>
      <c r="I353" s="160" cm="1">
        <f t="array" ref="I353">IFERROR(
  VALUE($H353) *
  VALUE(
    _xlfn.XLOOKUP(
      TRIM($F353) &amp; "|" &amp; LEFT(SUBSTITUTE($G353,CHAR(160)," "),5) &amp; "|Full Rate",
      TRIM(SUBSTITUTE($T$2:$T$38,CHAR(160)," ")) &amp; "|" &amp;
      LEFT(SUBSTITUTE($U$2:$U$38,CHAR(160)," "),5) &amp; "|" &amp;
      TRIM(SUBSTITUTE($V$2:$V$38,CHAR(160)," ")),
      $W$2:$W$38
    )
  ),
"")</f>
        <v>130</v>
      </c>
      <c r="J353" s="161" cm="1">
        <f t="array" ref="J353">IFERROR(
  VALUE($H353) *
  VALUE(
    _xlfn.XLOOKUP(
      TRIM($F353) &amp; "|" &amp; LEFT(SUBSTITUTE($G353,CHAR(160)," "),5) &amp; "|Reduced Rate",
      TRIM(SUBSTITUTE($T$2:$T$38,CHAR(160)," ")) &amp; "|" &amp;
      LEFT(SUBSTITUTE($U$2:$U$38,CHAR(160)," "),5) &amp; "|" &amp;
      TRIM(SUBSTITUTE($V$2:$V$38,CHAR(160)," ")),
      $W$2:$W$38
    )
  ),
"")</f>
        <v>60</v>
      </c>
      <c r="K353" s="42" cm="1">
        <f t="array" ref="K353">IFERROR(
  VALUE($H353) *
  VALUE(
    _xlfn.XLOOKUP(
      TRIM($F353) &amp; "|" &amp; LEFT(SUBSTITUTE($G353,CHAR(160)," "),5) &amp; "|Ideas Rate",
      TRIM(SUBSTITUTE($T$2:$T$38,CHAR(160)," ")) &amp; "|" &amp;
      LEFT(SUBSTITUTE($U$2:$U$38,CHAR(160)," "),5) &amp; "|" &amp;
      TRIM(SUBSTITUTE($V$2:$V$38,CHAR(160)," ")),
      $W$2:$W$38
    )
  ),
"")</f>
        <v>45</v>
      </c>
    </row>
    <row r="354" spans="1:11" x14ac:dyDescent="0.2">
      <c r="A354" s="10">
        <v>46086</v>
      </c>
      <c r="B354" s="5" t="s">
        <v>714</v>
      </c>
      <c r="C354" s="20" t="s">
        <v>519</v>
      </c>
      <c r="D354" t="s">
        <v>178</v>
      </c>
      <c r="E354" t="s">
        <v>745</v>
      </c>
      <c r="F354" t="s">
        <v>10</v>
      </c>
      <c r="G354" t="s">
        <v>380</v>
      </c>
      <c r="H354" s="79">
        <v>2</v>
      </c>
      <c r="I354" s="160" cm="1">
        <f t="array" ref="I354">IFERROR(
  VALUE($H354) *
  VALUE(
    _xlfn.XLOOKUP(
      TRIM($F354) &amp; "|" &amp; LEFT(SUBSTITUTE($G354,CHAR(160)," "),5) &amp; "|Full Rate",
      TRIM(SUBSTITUTE($T$2:$T$38,CHAR(160)," ")) &amp; "|" &amp;
      LEFT(SUBSTITUTE($U$2:$U$38,CHAR(160)," "),5) &amp; "|" &amp;
      TRIM(SUBSTITUTE($V$2:$V$38,CHAR(160)," ")),
      $W$2:$W$38
    )
  ),
"")</f>
        <v>500</v>
      </c>
      <c r="J354" s="161" cm="1">
        <f t="array" ref="J354">IFERROR(
  VALUE($H354) *
  VALUE(
    _xlfn.XLOOKUP(
      TRIM($F354) &amp; "|" &amp; LEFT(SUBSTITUTE($G354,CHAR(160)," "),5) &amp; "|Reduced Rate",
      TRIM(SUBSTITUTE($T$2:$T$38,CHAR(160)," ")) &amp; "|" &amp;
      LEFT(SUBSTITUTE($U$2:$U$38,CHAR(160)," "),5) &amp; "|" &amp;
      TRIM(SUBSTITUTE($V$2:$V$38,CHAR(160)," ")),
      $W$2:$W$38
    )
  ),
"")</f>
        <v>300</v>
      </c>
      <c r="K354" s="42" cm="1">
        <f t="array" ref="K354">IFERROR(
  VALUE($H354) *
  VALUE(
    _xlfn.XLOOKUP(
      TRIM($F354) &amp; "|" &amp; LEFT(SUBSTITUTE($G354,CHAR(160)," "),5) &amp; "|Ideas Rate",
      TRIM(SUBSTITUTE($T$2:$T$38,CHAR(160)," ")) &amp; "|" &amp;
      LEFT(SUBSTITUTE($U$2:$U$38,CHAR(160)," "),5) &amp; "|" &amp;
      TRIM(SUBSTITUTE($V$2:$V$38,CHAR(160)," ")),
      $W$2:$W$38
    )
  ),
"")</f>
        <v>150</v>
      </c>
    </row>
    <row r="355" spans="1:11" x14ac:dyDescent="0.2">
      <c r="A355" s="10">
        <v>46086</v>
      </c>
      <c r="B355" s="5" t="s">
        <v>714</v>
      </c>
      <c r="C355" s="20" t="s">
        <v>519</v>
      </c>
      <c r="D355" t="s">
        <v>178</v>
      </c>
      <c r="E355" t="s">
        <v>746</v>
      </c>
      <c r="F355" t="s">
        <v>10</v>
      </c>
      <c r="G355" t="s">
        <v>380</v>
      </c>
      <c r="H355" s="79">
        <v>0.5</v>
      </c>
      <c r="I355" s="160" cm="1">
        <f t="array" ref="I355">IFERROR(
  VALUE($H355) *
  VALUE(
    _xlfn.XLOOKUP(
      TRIM($F355) &amp; "|" &amp; LEFT(SUBSTITUTE($G355,CHAR(160)," "),5) &amp; "|Full Rate",
      TRIM(SUBSTITUTE($T$2:$T$38,CHAR(160)," ")) &amp; "|" &amp;
      LEFT(SUBSTITUTE($U$2:$U$38,CHAR(160)," "),5) &amp; "|" &amp;
      TRIM(SUBSTITUTE($V$2:$V$38,CHAR(160)," ")),
      $W$2:$W$38
    )
  ),
"")</f>
        <v>125</v>
      </c>
      <c r="J355" s="161" cm="1">
        <f t="array" ref="J355">IFERROR(
  VALUE($H355) *
  VALUE(
    _xlfn.XLOOKUP(
      TRIM($F355) &amp; "|" &amp; LEFT(SUBSTITUTE($G355,CHAR(160)," "),5) &amp; "|Reduced Rate",
      TRIM(SUBSTITUTE($T$2:$T$38,CHAR(160)," ")) &amp; "|" &amp;
      LEFT(SUBSTITUTE($U$2:$U$38,CHAR(160)," "),5) &amp; "|" &amp;
      TRIM(SUBSTITUTE($V$2:$V$38,CHAR(160)," ")),
      $W$2:$W$38
    )
  ),
"")</f>
        <v>75</v>
      </c>
      <c r="K355" s="42" cm="1">
        <f t="array" ref="K355">IFERROR(
  VALUE($H355) *
  VALUE(
    _xlfn.XLOOKUP(
      TRIM($F355) &amp; "|" &amp; LEFT(SUBSTITUTE($G355,CHAR(160)," "),5) &amp; "|Ideas Rate",
      TRIM(SUBSTITUTE($T$2:$T$38,CHAR(160)," ")) &amp; "|" &amp;
      LEFT(SUBSTITUTE($U$2:$U$38,CHAR(160)," "),5) &amp; "|" &amp;
      TRIM(SUBSTITUTE($V$2:$V$38,CHAR(160)," ")),
      $W$2:$W$38
    )
  ),
"")</f>
        <v>37.5</v>
      </c>
    </row>
    <row r="356" spans="1:11" x14ac:dyDescent="0.2">
      <c r="A356" s="10">
        <v>46086</v>
      </c>
      <c r="B356" s="5" t="s">
        <v>714</v>
      </c>
      <c r="C356" s="20" t="s">
        <v>519</v>
      </c>
      <c r="D356" t="s">
        <v>178</v>
      </c>
      <c r="E356" t="s">
        <v>747</v>
      </c>
      <c r="F356" t="s">
        <v>10</v>
      </c>
      <c r="G356" t="s">
        <v>380</v>
      </c>
      <c r="H356" s="79">
        <v>0.5</v>
      </c>
      <c r="I356" s="160" cm="1">
        <f t="array" ref="I356">IFERROR(
  VALUE($H356) *
  VALUE(
    _xlfn.XLOOKUP(
      TRIM($F356) &amp; "|" &amp; LEFT(SUBSTITUTE($G356,CHAR(160)," "),5) &amp; "|Full Rate",
      TRIM(SUBSTITUTE($T$2:$T$38,CHAR(160)," ")) &amp; "|" &amp;
      LEFT(SUBSTITUTE($U$2:$U$38,CHAR(160)," "),5) &amp; "|" &amp;
      TRIM(SUBSTITUTE($V$2:$V$38,CHAR(160)," ")),
      $W$2:$W$38
    )
  ),
"")</f>
        <v>125</v>
      </c>
      <c r="J356" s="161" cm="1">
        <f t="array" ref="J356">IFERROR(
  VALUE($H356) *
  VALUE(
    _xlfn.XLOOKUP(
      TRIM($F356) &amp; "|" &amp; LEFT(SUBSTITUTE($G356,CHAR(160)," "),5) &amp; "|Reduced Rate",
      TRIM(SUBSTITUTE($T$2:$T$38,CHAR(160)," ")) &amp; "|" &amp;
      LEFT(SUBSTITUTE($U$2:$U$38,CHAR(160)," "),5) &amp; "|" &amp;
      TRIM(SUBSTITUTE($V$2:$V$38,CHAR(160)," ")),
      $W$2:$W$38
    )
  ),
"")</f>
        <v>75</v>
      </c>
      <c r="K356" s="42" cm="1">
        <f t="array" ref="K356">IFERROR(
  VALUE($H356) *
  VALUE(
    _xlfn.XLOOKUP(
      TRIM($F356) &amp; "|" &amp; LEFT(SUBSTITUTE($G356,CHAR(160)," "),5) &amp; "|Ideas Rate",
      TRIM(SUBSTITUTE($T$2:$T$38,CHAR(160)," ")) &amp; "|" &amp;
      LEFT(SUBSTITUTE($U$2:$U$38,CHAR(160)," "),5) &amp; "|" &amp;
      TRIM(SUBSTITUTE($V$2:$V$38,CHAR(160)," ")),
      $W$2:$W$38
    )
  ),
"")</f>
        <v>37.5</v>
      </c>
    </row>
    <row r="357" spans="1:11" x14ac:dyDescent="0.2">
      <c r="A357" s="10">
        <v>46086</v>
      </c>
      <c r="B357" s="5" t="s">
        <v>714</v>
      </c>
      <c r="C357" s="20" t="s">
        <v>519</v>
      </c>
      <c r="D357" t="s">
        <v>178</v>
      </c>
      <c r="E357" t="s">
        <v>748</v>
      </c>
      <c r="F357" t="s">
        <v>9</v>
      </c>
      <c r="G357" t="s">
        <v>380</v>
      </c>
      <c r="H357" s="79">
        <v>2</v>
      </c>
      <c r="I357" s="160" cm="1">
        <f t="array" ref="I357">IFERROR(
  VALUE($H357) *
  VALUE(
    _xlfn.XLOOKUP(
      TRIM($F357) &amp; "|" &amp; LEFT(SUBSTITUTE($G357,CHAR(160)," "),5) &amp; "|Full Rate",
      TRIM(SUBSTITUTE($T$2:$T$38,CHAR(160)," ")) &amp; "|" &amp;
      LEFT(SUBSTITUTE($U$2:$U$38,CHAR(160)," "),5) &amp; "|" &amp;
      TRIM(SUBSTITUTE($V$2:$V$38,CHAR(160)," ")),
      $W$2:$W$38
    )
  ),
"")</f>
        <v>500</v>
      </c>
      <c r="J357" s="161" cm="1">
        <f t="array" ref="J357">IFERROR(
  VALUE($H357) *
  VALUE(
    _xlfn.XLOOKUP(
      TRIM($F357) &amp; "|" &amp; LEFT(SUBSTITUTE($G357,CHAR(160)," "),5) &amp; "|Reduced Rate",
      TRIM(SUBSTITUTE($T$2:$T$38,CHAR(160)," ")) &amp; "|" &amp;
      LEFT(SUBSTITUTE($U$2:$U$38,CHAR(160)," "),5) &amp; "|" &amp;
      TRIM(SUBSTITUTE($V$2:$V$38,CHAR(160)," ")),
      $W$2:$W$38
    )
  ),
"")</f>
        <v>300</v>
      </c>
      <c r="K357" s="42" cm="1">
        <f t="array" ref="K357">IFERROR(
  VALUE($H357) *
  VALUE(
    _xlfn.XLOOKUP(
      TRIM($F357) &amp; "|" &amp; LEFT(SUBSTITUTE($G357,CHAR(160)," "),5) &amp; "|Ideas Rate",
      TRIM(SUBSTITUTE($T$2:$T$38,CHAR(160)," ")) &amp; "|" &amp;
      LEFT(SUBSTITUTE($U$2:$U$38,CHAR(160)," "),5) &amp; "|" &amp;
      TRIM(SUBSTITUTE($V$2:$V$38,CHAR(160)," ")),
      $W$2:$W$38
    )
  ),
"")</f>
        <v>150</v>
      </c>
    </row>
    <row r="358" spans="1:11" x14ac:dyDescent="0.2">
      <c r="A358" s="10">
        <v>46086</v>
      </c>
      <c r="B358" s="5" t="s">
        <v>714</v>
      </c>
      <c r="C358" s="20" t="s">
        <v>519</v>
      </c>
      <c r="D358" t="s">
        <v>178</v>
      </c>
      <c r="E358" t="s">
        <v>749</v>
      </c>
      <c r="F358" t="s">
        <v>9</v>
      </c>
      <c r="G358" t="s">
        <v>380</v>
      </c>
      <c r="H358" s="79">
        <v>0.5</v>
      </c>
      <c r="I358" s="160" cm="1">
        <f t="array" ref="I358">IFERROR(
  VALUE($H358) *
  VALUE(
    _xlfn.XLOOKUP(
      TRIM($F358) &amp; "|" &amp; LEFT(SUBSTITUTE($G358,CHAR(160)," "),5) &amp; "|Full Rate",
      TRIM(SUBSTITUTE($T$2:$T$38,CHAR(160)," ")) &amp; "|" &amp;
      LEFT(SUBSTITUTE($U$2:$U$38,CHAR(160)," "),5) &amp; "|" &amp;
      TRIM(SUBSTITUTE($V$2:$V$38,CHAR(160)," ")),
      $W$2:$W$38
    )
  ),
"")</f>
        <v>125</v>
      </c>
      <c r="J358" s="161" cm="1">
        <f t="array" ref="J358">IFERROR(
  VALUE($H358) *
  VALUE(
    _xlfn.XLOOKUP(
      TRIM($F358) &amp; "|" &amp; LEFT(SUBSTITUTE($G358,CHAR(160)," "),5) &amp; "|Reduced Rate",
      TRIM(SUBSTITUTE($T$2:$T$38,CHAR(160)," ")) &amp; "|" &amp;
      LEFT(SUBSTITUTE($U$2:$U$38,CHAR(160)," "),5) &amp; "|" &amp;
      TRIM(SUBSTITUTE($V$2:$V$38,CHAR(160)," ")),
      $W$2:$W$38
    )
  ),
"")</f>
        <v>75</v>
      </c>
      <c r="K358" s="42" cm="1">
        <f t="array" ref="K358">IFERROR(
  VALUE($H358) *
  VALUE(
    _xlfn.XLOOKUP(
      TRIM($F358) &amp; "|" &amp; LEFT(SUBSTITUTE($G358,CHAR(160)," "),5) &amp; "|Ideas Rate",
      TRIM(SUBSTITUTE($T$2:$T$38,CHAR(160)," ")) &amp; "|" &amp;
      LEFT(SUBSTITUTE($U$2:$U$38,CHAR(160)," "),5) &amp; "|" &amp;
      TRIM(SUBSTITUTE($V$2:$V$38,CHAR(160)," ")),
      $W$2:$W$38
    )
  ),
"")</f>
        <v>37.5</v>
      </c>
    </row>
    <row r="359" spans="1:11" x14ac:dyDescent="0.2">
      <c r="A359" s="10">
        <v>46086</v>
      </c>
      <c r="B359" s="5" t="s">
        <v>714</v>
      </c>
      <c r="C359" s="20" t="s">
        <v>519</v>
      </c>
      <c r="D359" t="s">
        <v>178</v>
      </c>
      <c r="E359" t="s">
        <v>750</v>
      </c>
      <c r="F359" t="s">
        <v>9</v>
      </c>
      <c r="G359" t="s">
        <v>380</v>
      </c>
      <c r="H359" s="79">
        <v>0.5</v>
      </c>
      <c r="I359" s="160" cm="1">
        <f t="array" ref="I359">IFERROR(
  VALUE($H359) *
  VALUE(
    _xlfn.XLOOKUP(
      TRIM($F359) &amp; "|" &amp; LEFT(SUBSTITUTE($G359,CHAR(160)," "),5) &amp; "|Full Rate",
      TRIM(SUBSTITUTE($T$2:$T$38,CHAR(160)," ")) &amp; "|" &amp;
      LEFT(SUBSTITUTE($U$2:$U$38,CHAR(160)," "),5) &amp; "|" &amp;
      TRIM(SUBSTITUTE($V$2:$V$38,CHAR(160)," ")),
      $W$2:$W$38
    )
  ),
"")</f>
        <v>125</v>
      </c>
      <c r="J359" s="161" cm="1">
        <f t="array" ref="J359">IFERROR(
  VALUE($H359) *
  VALUE(
    _xlfn.XLOOKUP(
      TRIM($F359) &amp; "|" &amp; LEFT(SUBSTITUTE($G359,CHAR(160)," "),5) &amp; "|Reduced Rate",
      TRIM(SUBSTITUTE($T$2:$T$38,CHAR(160)," ")) &amp; "|" &amp;
      LEFT(SUBSTITUTE($U$2:$U$38,CHAR(160)," "),5) &amp; "|" &amp;
      TRIM(SUBSTITUTE($V$2:$V$38,CHAR(160)," ")),
      $W$2:$W$38
    )
  ),
"")</f>
        <v>75</v>
      </c>
      <c r="K359" s="42" cm="1">
        <f t="array" ref="K359">IFERROR(
  VALUE($H359) *
  VALUE(
    _xlfn.XLOOKUP(
      TRIM($F359) &amp; "|" &amp; LEFT(SUBSTITUTE($G359,CHAR(160)," "),5) &amp; "|Ideas Rate",
      TRIM(SUBSTITUTE($T$2:$T$38,CHAR(160)," ")) &amp; "|" &amp;
      LEFT(SUBSTITUTE($U$2:$U$38,CHAR(160)," "),5) &amp; "|" &amp;
      TRIM(SUBSTITUTE($V$2:$V$38,CHAR(160)," ")),
      $W$2:$W$38
    )
  ),
"")</f>
        <v>37.5</v>
      </c>
    </row>
    <row r="360" spans="1:11" x14ac:dyDescent="0.2">
      <c r="A360" s="10">
        <v>46086</v>
      </c>
      <c r="B360" s="5" t="s">
        <v>714</v>
      </c>
      <c r="C360" s="20" t="s">
        <v>519</v>
      </c>
      <c r="D360" t="s">
        <v>182</v>
      </c>
      <c r="E360" t="s">
        <v>718</v>
      </c>
      <c r="F360" t="s">
        <v>155</v>
      </c>
      <c r="G360" t="s">
        <v>367</v>
      </c>
      <c r="H360" s="79">
        <v>5</v>
      </c>
      <c r="I360" s="160" cm="1">
        <f t="array" ref="I360">IFERROR(
  VALUE($H360) *
  VALUE(
    _xlfn.XLOOKUP(
      TRIM($F360) &amp; "|" &amp; LEFT(SUBSTITUTE($G360,CHAR(160)," "),5) &amp; "|Full Rate",
      TRIM(SUBSTITUTE($T$2:$T$38,CHAR(160)," ")) &amp; "|" &amp;
      LEFT(SUBSTITUTE($U$2:$U$38,CHAR(160)," "),5) &amp; "|" &amp;
      TRIM(SUBSTITUTE($V$2:$V$38,CHAR(160)," ")),
      $W$2:$W$38
    )
  ),
"")</f>
        <v>2000</v>
      </c>
      <c r="J360" s="161" cm="1">
        <f t="array" ref="J360">IFERROR(
  VALUE($H360) *
  VALUE(
    _xlfn.XLOOKUP(
      TRIM($F360) &amp; "|" &amp; LEFT(SUBSTITUTE($G360,CHAR(160)," "),5) &amp; "|Reduced Rate",
      TRIM(SUBSTITUTE($T$2:$T$38,CHAR(160)," ")) &amp; "|" &amp;
      LEFT(SUBSTITUTE($U$2:$U$38,CHAR(160)," "),5) &amp; "|" &amp;
      TRIM(SUBSTITUTE($V$2:$V$38,CHAR(160)," ")),
      $W$2:$W$38
    )
  ),
"")</f>
        <v>1000</v>
      </c>
      <c r="K360" s="42" cm="1">
        <f t="array" ref="K360">IFERROR(
  VALUE($H360) *
  VALUE(
    _xlfn.XLOOKUP(
      TRIM($F360) &amp; "|" &amp; LEFT(SUBSTITUTE($G360,CHAR(160)," "),5) &amp; "|Ideas Rate",
      TRIM(SUBSTITUTE($T$2:$T$38,CHAR(160)," ")) &amp; "|" &amp;
      LEFT(SUBSTITUTE($U$2:$U$38,CHAR(160)," "),5) &amp; "|" &amp;
      TRIM(SUBSTITUTE($V$2:$V$38,CHAR(160)," ")),
      $W$2:$W$38
    )
  ),
"")</f>
        <v>600</v>
      </c>
    </row>
    <row r="361" spans="1:11" x14ac:dyDescent="0.2">
      <c r="A361" s="10">
        <v>46087</v>
      </c>
      <c r="B361" s="5" t="s">
        <v>714</v>
      </c>
      <c r="C361" s="20" t="s">
        <v>519</v>
      </c>
      <c r="D361" t="s">
        <v>182</v>
      </c>
      <c r="E361" t="s">
        <v>712</v>
      </c>
      <c r="F361" t="s">
        <v>155</v>
      </c>
      <c r="G361" t="s">
        <v>367</v>
      </c>
      <c r="H361" s="79">
        <v>1</v>
      </c>
      <c r="I361" s="160" cm="1">
        <f t="array" ref="I361">IFERROR(
  VALUE($H361) *
  VALUE(
    _xlfn.XLOOKUP(
      TRIM($F361) &amp; "|" &amp; LEFT(SUBSTITUTE($G361,CHAR(160)," "),5) &amp; "|Full Rate",
      TRIM(SUBSTITUTE($T$2:$T$38,CHAR(160)," ")) &amp; "|" &amp;
      LEFT(SUBSTITUTE($U$2:$U$38,CHAR(160)," "),5) &amp; "|" &amp;
      TRIM(SUBSTITUTE($V$2:$V$38,CHAR(160)," ")),
      $W$2:$W$38
    )
  ),
"")</f>
        <v>400</v>
      </c>
      <c r="J361" s="161" cm="1">
        <f t="array" ref="J361">IFERROR(
  VALUE($H361) *
  VALUE(
    _xlfn.XLOOKUP(
      TRIM($F361) &amp; "|" &amp; LEFT(SUBSTITUTE($G361,CHAR(160)," "),5) &amp; "|Reduced Rate",
      TRIM(SUBSTITUTE($T$2:$T$38,CHAR(160)," ")) &amp; "|" &amp;
      LEFT(SUBSTITUTE($U$2:$U$38,CHAR(160)," "),5) &amp; "|" &amp;
      TRIM(SUBSTITUTE($V$2:$V$38,CHAR(160)," ")),
      $W$2:$W$38
    )
  ),
"")</f>
        <v>200</v>
      </c>
      <c r="K361" s="42" cm="1">
        <f t="array" ref="K361">IFERROR(
  VALUE($H361) *
  VALUE(
    _xlfn.XLOOKUP(
      TRIM($F361) &amp; "|" &amp; LEFT(SUBSTITUTE($G361,CHAR(160)," "),5) &amp; "|Ideas Rate",
      TRIM(SUBSTITUTE($T$2:$T$38,CHAR(160)," ")) &amp; "|" &amp;
      LEFT(SUBSTITUTE($U$2:$U$38,CHAR(160)," "),5) &amp; "|" &amp;
      TRIM(SUBSTITUTE($V$2:$V$38,CHAR(160)," ")),
      $W$2:$W$38
    )
  ),
"")</f>
        <v>120</v>
      </c>
    </row>
    <row r="362" spans="1:11" x14ac:dyDescent="0.2">
      <c r="A362" s="10">
        <v>46087</v>
      </c>
      <c r="B362" s="5" t="s">
        <v>714</v>
      </c>
      <c r="C362" s="20" t="s">
        <v>519</v>
      </c>
      <c r="D362" t="s">
        <v>182</v>
      </c>
      <c r="E362" t="s">
        <v>740</v>
      </c>
      <c r="F362" t="s">
        <v>155</v>
      </c>
      <c r="G362" t="s">
        <v>380</v>
      </c>
      <c r="H362" s="79">
        <v>5</v>
      </c>
      <c r="I362" s="160" cm="1">
        <f t="array" ref="I362">IFERROR(
  VALUE($H362) *
  VALUE(
    _xlfn.XLOOKUP(
      TRIM($F362) &amp; "|" &amp; LEFT(SUBSTITUTE($G362,CHAR(160)," "),5) &amp; "|Full Rate",
      TRIM(SUBSTITUTE($T$2:$T$38,CHAR(160)," ")) &amp; "|" &amp;
      LEFT(SUBSTITUTE($U$2:$U$38,CHAR(160)," "),5) &amp; "|" &amp;
      TRIM(SUBSTITUTE($V$2:$V$38,CHAR(160)," ")),
      $W$2:$W$38
    )
  ),
"")</f>
        <v>1300</v>
      </c>
      <c r="J362" s="161" cm="1">
        <f t="array" ref="J362">IFERROR(
  VALUE($H362) *
  VALUE(
    _xlfn.XLOOKUP(
      TRIM($F362) &amp; "|" &amp; LEFT(SUBSTITUTE($G362,CHAR(160)," "),5) &amp; "|Reduced Rate",
      TRIM(SUBSTITUTE($T$2:$T$38,CHAR(160)," ")) &amp; "|" &amp;
      LEFT(SUBSTITUTE($U$2:$U$38,CHAR(160)," "),5) &amp; "|" &amp;
      TRIM(SUBSTITUTE($V$2:$V$38,CHAR(160)," ")),
      $W$2:$W$38
    )
  ),
"")</f>
        <v>600</v>
      </c>
      <c r="K362" s="42" cm="1">
        <f t="array" ref="K362">IFERROR(
  VALUE($H362) *
  VALUE(
    _xlfn.XLOOKUP(
      TRIM($F362) &amp; "|" &amp; LEFT(SUBSTITUTE($G362,CHAR(160)," "),5) &amp; "|Ideas Rate",
      TRIM(SUBSTITUTE($T$2:$T$38,CHAR(160)," ")) &amp; "|" &amp;
      LEFT(SUBSTITUTE($U$2:$U$38,CHAR(160)," "),5) &amp; "|" &amp;
      TRIM(SUBSTITUTE($V$2:$V$38,CHAR(160)," ")),
      $W$2:$W$38
    )
  ),
"")</f>
        <v>450</v>
      </c>
    </row>
    <row r="363" spans="1:11" x14ac:dyDescent="0.2">
      <c r="A363" s="10">
        <v>46087</v>
      </c>
      <c r="B363" s="5" t="s">
        <v>714</v>
      </c>
      <c r="C363" s="20" t="s">
        <v>519</v>
      </c>
      <c r="D363" t="s">
        <v>178</v>
      </c>
      <c r="E363" t="s">
        <v>741</v>
      </c>
      <c r="F363" t="s">
        <v>155</v>
      </c>
      <c r="G363" t="s">
        <v>380</v>
      </c>
      <c r="H363" s="79">
        <v>0.5</v>
      </c>
      <c r="I363" s="160" cm="1">
        <f t="array" ref="I363">IFERROR(
  VALUE($H363) *
  VALUE(
    _xlfn.XLOOKUP(
      TRIM($F363) &amp; "|" &amp; LEFT(SUBSTITUTE($G363,CHAR(160)," "),5) &amp; "|Full Rate",
      TRIM(SUBSTITUTE($T$2:$T$38,CHAR(160)," ")) &amp; "|" &amp;
      LEFT(SUBSTITUTE($U$2:$U$38,CHAR(160)," "),5) &amp; "|" &amp;
      TRIM(SUBSTITUTE($V$2:$V$38,CHAR(160)," ")),
      $W$2:$W$38
    )
  ),
"")</f>
        <v>130</v>
      </c>
      <c r="J363" s="161" cm="1">
        <f t="array" ref="J363">IFERROR(
  VALUE($H363) *
  VALUE(
    _xlfn.XLOOKUP(
      TRIM($F363) &amp; "|" &amp; LEFT(SUBSTITUTE($G363,CHAR(160)," "),5) &amp; "|Reduced Rate",
      TRIM(SUBSTITUTE($T$2:$T$38,CHAR(160)," ")) &amp; "|" &amp;
      LEFT(SUBSTITUTE($U$2:$U$38,CHAR(160)," "),5) &amp; "|" &amp;
      TRIM(SUBSTITUTE($V$2:$V$38,CHAR(160)," ")),
      $W$2:$W$38
    )
  ),
"")</f>
        <v>60</v>
      </c>
      <c r="K363" s="42" cm="1">
        <f t="array" ref="K363">IFERROR(
  VALUE($H363) *
  VALUE(
    _xlfn.XLOOKUP(
      TRIM($F363) &amp; "|" &amp; LEFT(SUBSTITUTE($G363,CHAR(160)," "),5) &amp; "|Ideas Rate",
      TRIM(SUBSTITUTE($T$2:$T$38,CHAR(160)," ")) &amp; "|" &amp;
      LEFT(SUBSTITUTE($U$2:$U$38,CHAR(160)," "),5) &amp; "|" &amp;
      TRIM(SUBSTITUTE($V$2:$V$38,CHAR(160)," ")),
      $W$2:$W$38
    )
  ),
"")</f>
        <v>45</v>
      </c>
    </row>
    <row r="364" spans="1:11" x14ac:dyDescent="0.2">
      <c r="A364" s="10">
        <v>46087</v>
      </c>
      <c r="B364" s="5" t="s">
        <v>714</v>
      </c>
      <c r="C364" s="20" t="s">
        <v>519</v>
      </c>
      <c r="D364" t="s">
        <v>182</v>
      </c>
      <c r="E364" t="s">
        <v>742</v>
      </c>
      <c r="F364" t="s">
        <v>155</v>
      </c>
      <c r="G364" t="s">
        <v>380</v>
      </c>
      <c r="H364" s="79">
        <v>1</v>
      </c>
      <c r="I364" s="160" cm="1">
        <f t="array" ref="I364">IFERROR(
  VALUE($H364) *
  VALUE(
    _xlfn.XLOOKUP(
      TRIM($F364) &amp; "|" &amp; LEFT(SUBSTITUTE($G364,CHAR(160)," "),5) &amp; "|Full Rate",
      TRIM(SUBSTITUTE($T$2:$T$38,CHAR(160)," ")) &amp; "|" &amp;
      LEFT(SUBSTITUTE($U$2:$U$38,CHAR(160)," "),5) &amp; "|" &amp;
      TRIM(SUBSTITUTE($V$2:$V$38,CHAR(160)," ")),
      $W$2:$W$38
    )
  ),
"")</f>
        <v>260</v>
      </c>
      <c r="J364" s="161" cm="1">
        <f t="array" ref="J364">IFERROR(
  VALUE($H364) *
  VALUE(
    _xlfn.XLOOKUP(
      TRIM($F364) &amp; "|" &amp; LEFT(SUBSTITUTE($G364,CHAR(160)," "),5) &amp; "|Reduced Rate",
      TRIM(SUBSTITUTE($T$2:$T$38,CHAR(160)," ")) &amp; "|" &amp;
      LEFT(SUBSTITUTE($U$2:$U$38,CHAR(160)," "),5) &amp; "|" &amp;
      TRIM(SUBSTITUTE($V$2:$V$38,CHAR(160)," ")),
      $W$2:$W$38
    )
  ),
"")</f>
        <v>120</v>
      </c>
      <c r="K364" s="42" cm="1">
        <f t="array" ref="K364">IFERROR(
  VALUE($H364) *
  VALUE(
    _xlfn.XLOOKUP(
      TRIM($F364) &amp; "|" &amp; LEFT(SUBSTITUTE($G364,CHAR(160)," "),5) &amp; "|Ideas Rate",
      TRIM(SUBSTITUTE($T$2:$T$38,CHAR(160)," ")) &amp; "|" &amp;
      LEFT(SUBSTITUTE($U$2:$U$38,CHAR(160)," "),5) &amp; "|" &amp;
      TRIM(SUBSTITUTE($V$2:$V$38,CHAR(160)," ")),
      $W$2:$W$38
    )
  ),
"")</f>
        <v>90</v>
      </c>
    </row>
    <row r="365" spans="1:11" x14ac:dyDescent="0.2">
      <c r="A365" s="10">
        <v>46090</v>
      </c>
      <c r="B365" s="5" t="s">
        <v>714</v>
      </c>
      <c r="C365" s="20" t="s">
        <v>519</v>
      </c>
      <c r="D365" t="s">
        <v>178</v>
      </c>
      <c r="E365" t="s">
        <v>704</v>
      </c>
      <c r="F365" t="s">
        <v>155</v>
      </c>
      <c r="G365" t="s">
        <v>367</v>
      </c>
      <c r="H365" s="79">
        <v>0.25</v>
      </c>
      <c r="I365" s="160" cm="1">
        <f t="array" ref="I365">IFERROR(
  VALUE($H365) *
  VALUE(
    _xlfn.XLOOKUP(
      TRIM($F365) &amp; "|" &amp; LEFT(SUBSTITUTE($G365,CHAR(160)," "),5) &amp; "|Full Rate",
      TRIM(SUBSTITUTE($T$2:$T$38,CHAR(160)," ")) &amp; "|" &amp;
      LEFT(SUBSTITUTE($U$2:$U$38,CHAR(160)," "),5) &amp; "|" &amp;
      TRIM(SUBSTITUTE($V$2:$V$38,CHAR(160)," ")),
      $W$2:$W$38
    )
  ),
"")</f>
        <v>100</v>
      </c>
      <c r="J365" s="161" cm="1">
        <f t="array" ref="J365">IFERROR(
  VALUE($H365) *
  VALUE(
    _xlfn.XLOOKUP(
      TRIM($F365) &amp; "|" &amp; LEFT(SUBSTITUTE($G365,CHAR(160)," "),5) &amp; "|Reduced Rate",
      TRIM(SUBSTITUTE($T$2:$T$38,CHAR(160)," ")) &amp; "|" &amp;
      LEFT(SUBSTITUTE($U$2:$U$38,CHAR(160)," "),5) &amp; "|" &amp;
      TRIM(SUBSTITUTE($V$2:$V$38,CHAR(160)," ")),
      $W$2:$W$38
    )
  ),
"")</f>
        <v>50</v>
      </c>
      <c r="K365" s="42" cm="1">
        <f t="array" ref="K365">IFERROR(
  VALUE($H365) *
  VALUE(
    _xlfn.XLOOKUP(
      TRIM($F365) &amp; "|" &amp; LEFT(SUBSTITUTE($G365,CHAR(160)," "),5) &amp; "|Ideas Rate",
      TRIM(SUBSTITUTE($T$2:$T$38,CHAR(160)," ")) &amp; "|" &amp;
      LEFT(SUBSTITUTE($U$2:$U$38,CHAR(160)," "),5) &amp; "|" &amp;
      TRIM(SUBSTITUTE($V$2:$V$38,CHAR(160)," ")),
      $W$2:$W$38
    )
  ),
"")</f>
        <v>30</v>
      </c>
    </row>
    <row r="366" spans="1:11" x14ac:dyDescent="0.2">
      <c r="A366" s="10">
        <v>46090</v>
      </c>
      <c r="B366" s="5" t="s">
        <v>714</v>
      </c>
      <c r="C366" s="20" t="s">
        <v>519</v>
      </c>
      <c r="D366" t="s">
        <v>182</v>
      </c>
      <c r="E366" t="s">
        <v>743</v>
      </c>
      <c r="F366" t="s">
        <v>155</v>
      </c>
      <c r="G366" t="s">
        <v>367</v>
      </c>
      <c r="H366" s="79">
        <v>6</v>
      </c>
      <c r="I366" s="160" cm="1">
        <f t="array" ref="I366">IFERROR(
  VALUE($H366) *
  VALUE(
    _xlfn.XLOOKUP(
      TRIM($F366) &amp; "|" &amp; LEFT(SUBSTITUTE($G366,CHAR(160)," "),5) &amp; "|Full Rate",
      TRIM(SUBSTITUTE($T$2:$T$38,CHAR(160)," ")) &amp; "|" &amp;
      LEFT(SUBSTITUTE($U$2:$U$38,CHAR(160)," "),5) &amp; "|" &amp;
      TRIM(SUBSTITUTE($V$2:$V$38,CHAR(160)," ")),
      $W$2:$W$38
    )
  ),
"")</f>
        <v>2400</v>
      </c>
      <c r="J366" s="161" cm="1">
        <f t="array" ref="J366">IFERROR(
  VALUE($H366) *
  VALUE(
    _xlfn.XLOOKUP(
      TRIM($F366) &amp; "|" &amp; LEFT(SUBSTITUTE($G366,CHAR(160)," "),5) &amp; "|Reduced Rate",
      TRIM(SUBSTITUTE($T$2:$T$38,CHAR(160)," ")) &amp; "|" &amp;
      LEFT(SUBSTITUTE($U$2:$U$38,CHAR(160)," "),5) &amp; "|" &amp;
      TRIM(SUBSTITUTE($V$2:$V$38,CHAR(160)," ")),
      $W$2:$W$38
    )
  ),
"")</f>
        <v>1200</v>
      </c>
      <c r="K366" s="42" cm="1">
        <f t="array" ref="K366">IFERROR(
  VALUE($H366) *
  VALUE(
    _xlfn.XLOOKUP(
      TRIM($F366) &amp; "|" &amp; LEFT(SUBSTITUTE($G366,CHAR(160)," "),5) &amp; "|Ideas Rate",
      TRIM(SUBSTITUTE($T$2:$T$38,CHAR(160)," ")) &amp; "|" &amp;
      LEFT(SUBSTITUTE($U$2:$U$38,CHAR(160)," "),5) &amp; "|" &amp;
      TRIM(SUBSTITUTE($V$2:$V$38,CHAR(160)," ")),
      $W$2:$W$38
    )
  ),
"")</f>
        <v>720</v>
      </c>
    </row>
    <row r="367" spans="1:11" x14ac:dyDescent="0.2">
      <c r="A367" s="10">
        <v>46090</v>
      </c>
      <c r="B367" s="5" t="s">
        <v>714</v>
      </c>
      <c r="C367" s="20" t="s">
        <v>519</v>
      </c>
      <c r="D367" t="s">
        <v>178</v>
      </c>
      <c r="E367" t="s">
        <v>744</v>
      </c>
      <c r="F367" t="s">
        <v>9</v>
      </c>
      <c r="G367" t="s">
        <v>367</v>
      </c>
      <c r="H367" s="79">
        <v>0.25</v>
      </c>
      <c r="I367" s="160" cm="1">
        <f t="array" ref="I367">IFERROR(
  VALUE($H367) *
  VALUE(
    _xlfn.XLOOKUP(
      TRIM($F367) &amp; "|" &amp; LEFT(SUBSTITUTE($G367,CHAR(160)," "),5) &amp; "|Full Rate",
      TRIM(SUBSTITUTE($T$2:$T$38,CHAR(160)," ")) &amp; "|" &amp;
      LEFT(SUBSTITUTE($U$2:$U$38,CHAR(160)," "),5) &amp; "|" &amp;
      TRIM(SUBSTITUTE($V$2:$V$38,CHAR(160)," ")),
      $W$2:$W$38
    )
  ),
"")</f>
        <v>125</v>
      </c>
      <c r="J367" s="161" cm="1">
        <f t="array" ref="J367">IFERROR(
  VALUE($H367) *
  VALUE(
    _xlfn.XLOOKUP(
      TRIM($F367) &amp; "|" &amp; LEFT(SUBSTITUTE($G367,CHAR(160)," "),5) &amp; "|Reduced Rate",
      TRIM(SUBSTITUTE($T$2:$T$38,CHAR(160)," ")) &amp; "|" &amp;
      LEFT(SUBSTITUTE($U$2:$U$38,CHAR(160)," "),5) &amp; "|" &amp;
      TRIM(SUBSTITUTE($V$2:$V$38,CHAR(160)," ")),
      $W$2:$W$38
    )
  ),
"")</f>
        <v>75</v>
      </c>
      <c r="K367" s="42" cm="1">
        <f t="array" ref="K367">IFERROR(
  VALUE($H367) *
  VALUE(
    _xlfn.XLOOKUP(
      TRIM($F367) &amp; "|" &amp; LEFT(SUBSTITUTE($G367,CHAR(160)," "),5) &amp; "|Ideas Rate",
      TRIM(SUBSTITUTE($T$2:$T$38,CHAR(160)," ")) &amp; "|" &amp;
      LEFT(SUBSTITUTE($U$2:$U$38,CHAR(160)," "),5) &amp; "|" &amp;
      TRIM(SUBSTITUTE($V$2:$V$38,CHAR(160)," ")),
      $W$2:$W$38
    )
  ),
"")</f>
        <v>37.5</v>
      </c>
    </row>
    <row r="368" spans="1:11" x14ac:dyDescent="0.2">
      <c r="A368" s="10">
        <v>46090</v>
      </c>
      <c r="B368" s="5" t="s">
        <v>714</v>
      </c>
      <c r="C368" s="20" t="s">
        <v>519</v>
      </c>
      <c r="D368" t="s">
        <v>192</v>
      </c>
      <c r="E368" t="s">
        <v>509</v>
      </c>
      <c r="F368" t="s">
        <v>9</v>
      </c>
      <c r="G368" t="s">
        <v>367</v>
      </c>
      <c r="H368" s="79">
        <v>2</v>
      </c>
      <c r="I368" s="160" cm="1">
        <f t="array" ref="I368">IFERROR(
  VALUE($H368) *
  VALUE(
    _xlfn.XLOOKUP(
      TRIM($F368) &amp; "|" &amp; LEFT(SUBSTITUTE($G368,CHAR(160)," "),5) &amp; "|Full Rate",
      TRIM(SUBSTITUTE($T$2:$T$38,CHAR(160)," ")) &amp; "|" &amp;
      LEFT(SUBSTITUTE($U$2:$U$38,CHAR(160)," "),5) &amp; "|" &amp;
      TRIM(SUBSTITUTE($V$2:$V$38,CHAR(160)," ")),
      $W$2:$W$38
    )
  ),
"")</f>
        <v>1000</v>
      </c>
      <c r="J368" s="161" cm="1">
        <f t="array" ref="J368">IFERROR(
  VALUE($H368) *
  VALUE(
    _xlfn.XLOOKUP(
      TRIM($F368) &amp; "|" &amp; LEFT(SUBSTITUTE($G368,CHAR(160)," "),5) &amp; "|Reduced Rate",
      TRIM(SUBSTITUTE($T$2:$T$38,CHAR(160)," ")) &amp; "|" &amp;
      LEFT(SUBSTITUTE($U$2:$U$38,CHAR(160)," "),5) &amp; "|" &amp;
      TRIM(SUBSTITUTE($V$2:$V$38,CHAR(160)," ")),
      $W$2:$W$38
    )
  ),
"")</f>
        <v>600</v>
      </c>
      <c r="K368" s="42" cm="1">
        <f t="array" ref="K368">IFERROR(
  VALUE($H368) *
  VALUE(
    _xlfn.XLOOKUP(
      TRIM($F368) &amp; "|" &amp; LEFT(SUBSTITUTE($G368,CHAR(160)," "),5) &amp; "|Ideas Rate",
      TRIM(SUBSTITUTE($T$2:$T$38,CHAR(160)," ")) &amp; "|" &amp;
      LEFT(SUBSTITUTE($U$2:$U$38,CHAR(160)," "),5) &amp; "|" &amp;
      TRIM(SUBSTITUTE($V$2:$V$38,CHAR(160)," ")),
      $W$2:$W$38
    )
  ),
"")</f>
        <v>300</v>
      </c>
    </row>
    <row r="369" spans="1:11" x14ac:dyDescent="0.2">
      <c r="A369" s="10">
        <v>46091</v>
      </c>
      <c r="B369" s="5" t="s">
        <v>714</v>
      </c>
      <c r="C369" s="20" t="s">
        <v>715</v>
      </c>
      <c r="D369" t="s">
        <v>190</v>
      </c>
      <c r="E369" t="s">
        <v>760</v>
      </c>
      <c r="F369" t="s">
        <v>9</v>
      </c>
      <c r="G369" t="s">
        <v>367</v>
      </c>
      <c r="H369" s="79">
        <v>4</v>
      </c>
      <c r="I369" s="160" cm="1">
        <f t="array" ref="I369">IFERROR(
  VALUE($H369) *
  VALUE(
    _xlfn.XLOOKUP(
      TRIM($F369) &amp; "|" &amp; LEFT(SUBSTITUTE($G369,CHAR(160)," "),5) &amp; "|Full Rate",
      TRIM(SUBSTITUTE($T$2:$T$38,CHAR(160)," ")) &amp; "|" &amp;
      LEFT(SUBSTITUTE($U$2:$U$38,CHAR(160)," "),5) &amp; "|" &amp;
      TRIM(SUBSTITUTE($V$2:$V$38,CHAR(160)," ")),
      $W$2:$W$38
    )
  ),
"")</f>
        <v>2000</v>
      </c>
      <c r="J369" s="161" cm="1">
        <f t="array" ref="J369">IFERROR(
  VALUE($H369) *
  VALUE(
    _xlfn.XLOOKUP(
      TRIM($F369) &amp; "|" &amp; LEFT(SUBSTITUTE($G369,CHAR(160)," "),5) &amp; "|Reduced Rate",
      TRIM(SUBSTITUTE($T$2:$T$38,CHAR(160)," ")) &amp; "|" &amp;
      LEFT(SUBSTITUTE($U$2:$U$38,CHAR(160)," "),5) &amp; "|" &amp;
      TRIM(SUBSTITUTE($V$2:$V$38,CHAR(160)," ")),
      $W$2:$W$38
    )
  ),
"")</f>
        <v>1200</v>
      </c>
      <c r="K369" s="42" cm="1">
        <f t="array" ref="K369">IFERROR(
  VALUE($H369) *
  VALUE(
    _xlfn.XLOOKUP(
      TRIM($F369) &amp; "|" &amp; LEFT(SUBSTITUTE($G369,CHAR(160)," "),5) &amp; "|Ideas Rate",
      TRIM(SUBSTITUTE($T$2:$T$38,CHAR(160)," ")) &amp; "|" &amp;
      LEFT(SUBSTITUTE($U$2:$U$38,CHAR(160)," "),5) &amp; "|" &amp;
      TRIM(SUBSTITUTE($V$2:$V$38,CHAR(160)," ")),
      $W$2:$W$38
    )
  ),
"")</f>
        <v>600</v>
      </c>
    </row>
    <row r="370" spans="1:11" x14ac:dyDescent="0.2">
      <c r="A370" s="10">
        <v>46092</v>
      </c>
      <c r="B370" s="5" t="s">
        <v>714</v>
      </c>
      <c r="C370" s="20" t="s">
        <v>519</v>
      </c>
      <c r="D370" t="s">
        <v>178</v>
      </c>
      <c r="E370" t="s">
        <v>751</v>
      </c>
      <c r="F370" t="s">
        <v>155</v>
      </c>
      <c r="G370" t="s">
        <v>380</v>
      </c>
      <c r="H370" s="79">
        <v>1.5</v>
      </c>
      <c r="I370" s="160" cm="1">
        <f t="array" ref="I370">IFERROR(
  VALUE($H370) *
  VALUE(
    _xlfn.XLOOKUP(
      TRIM($F370) &amp; "|" &amp; LEFT(SUBSTITUTE($G370,CHAR(160)," "),5) &amp; "|Full Rate",
      TRIM(SUBSTITUTE($T$2:$T$38,CHAR(160)," ")) &amp; "|" &amp;
      LEFT(SUBSTITUTE($U$2:$U$38,CHAR(160)," "),5) &amp; "|" &amp;
      TRIM(SUBSTITUTE($V$2:$V$38,CHAR(160)," ")),
      $W$2:$W$38
    )
  ),
"")</f>
        <v>390</v>
      </c>
      <c r="J370" s="161" cm="1">
        <f t="array" ref="J370">IFERROR(
  VALUE($H370) *
  VALUE(
    _xlfn.XLOOKUP(
      TRIM($F370) &amp; "|" &amp; LEFT(SUBSTITUTE($G370,CHAR(160)," "),5) &amp; "|Reduced Rate",
      TRIM(SUBSTITUTE($T$2:$T$38,CHAR(160)," ")) &amp; "|" &amp;
      LEFT(SUBSTITUTE($U$2:$U$38,CHAR(160)," "),5) &amp; "|" &amp;
      TRIM(SUBSTITUTE($V$2:$V$38,CHAR(160)," ")),
      $W$2:$W$38
    )
  ),
"")</f>
        <v>180</v>
      </c>
      <c r="K370" s="42" cm="1">
        <f t="array" ref="K370">IFERROR(
  VALUE($H370) *
  VALUE(
    _xlfn.XLOOKUP(
      TRIM($F370) &amp; "|" &amp; LEFT(SUBSTITUTE($G370,CHAR(160)," "),5) &amp; "|Ideas Rate",
      TRIM(SUBSTITUTE($T$2:$T$38,CHAR(160)," ")) &amp; "|" &amp;
      LEFT(SUBSTITUTE($U$2:$U$38,CHAR(160)," "),5) &amp; "|" &amp;
      TRIM(SUBSTITUTE($V$2:$V$38,CHAR(160)," ")),
      $W$2:$W$38
    )
  ),
"")</f>
        <v>135</v>
      </c>
    </row>
    <row r="371" spans="1:11" x14ac:dyDescent="0.2">
      <c r="A371" s="10">
        <v>46092</v>
      </c>
      <c r="B371" s="5" t="s">
        <v>714</v>
      </c>
      <c r="C371" s="20" t="s">
        <v>519</v>
      </c>
      <c r="D371" t="s">
        <v>182</v>
      </c>
      <c r="E371" t="s">
        <v>752</v>
      </c>
      <c r="F371" t="s">
        <v>155</v>
      </c>
      <c r="G371" t="s">
        <v>367</v>
      </c>
      <c r="H371" s="79">
        <v>3.5</v>
      </c>
      <c r="I371" s="160" cm="1">
        <f t="array" ref="I371">IFERROR(
  VALUE($H371) *
  VALUE(
    _xlfn.XLOOKUP(
      TRIM($F371) &amp; "|" &amp; LEFT(SUBSTITUTE($G371,CHAR(160)," "),5) &amp; "|Full Rate",
      TRIM(SUBSTITUTE($T$2:$T$38,CHAR(160)," ")) &amp; "|" &amp;
      LEFT(SUBSTITUTE($U$2:$U$38,CHAR(160)," "),5) &amp; "|" &amp;
      TRIM(SUBSTITUTE($V$2:$V$38,CHAR(160)," ")),
      $W$2:$W$38
    )
  ),
"")</f>
        <v>1400</v>
      </c>
      <c r="J371" s="161" cm="1">
        <f t="array" ref="J371">IFERROR(
  VALUE($H371) *
  VALUE(
    _xlfn.XLOOKUP(
      TRIM($F371) &amp; "|" &amp; LEFT(SUBSTITUTE($G371,CHAR(160)," "),5) &amp; "|Reduced Rate",
      TRIM(SUBSTITUTE($T$2:$T$38,CHAR(160)," ")) &amp; "|" &amp;
      LEFT(SUBSTITUTE($U$2:$U$38,CHAR(160)," "),5) &amp; "|" &amp;
      TRIM(SUBSTITUTE($V$2:$V$38,CHAR(160)," ")),
      $W$2:$W$38
    )
  ),
"")</f>
        <v>700</v>
      </c>
      <c r="K371" s="42" cm="1">
        <f t="array" ref="K371">IFERROR(
  VALUE($H371) *
  VALUE(
    _xlfn.XLOOKUP(
      TRIM($F371) &amp; "|" &amp; LEFT(SUBSTITUTE($G371,CHAR(160)," "),5) &amp; "|Ideas Rate",
      TRIM(SUBSTITUTE($T$2:$T$38,CHAR(160)," ")) &amp; "|" &amp;
      LEFT(SUBSTITUTE($U$2:$U$38,CHAR(160)," "),5) &amp; "|" &amp;
      TRIM(SUBSTITUTE($V$2:$V$38,CHAR(160)," ")),
      $W$2:$W$38
    )
  ),
"")</f>
        <v>420</v>
      </c>
    </row>
    <row r="372" spans="1:11" x14ac:dyDescent="0.2">
      <c r="A372" s="10">
        <v>46092</v>
      </c>
      <c r="B372" s="5" t="s">
        <v>714</v>
      </c>
      <c r="C372" s="20" t="s">
        <v>519</v>
      </c>
      <c r="D372" t="s">
        <v>178</v>
      </c>
      <c r="E372" t="s">
        <v>753</v>
      </c>
      <c r="F372" t="s">
        <v>155</v>
      </c>
      <c r="G372" t="s">
        <v>367</v>
      </c>
      <c r="H372" s="79">
        <v>0.75</v>
      </c>
      <c r="I372" s="160" cm="1">
        <f t="array" ref="I372">IFERROR(
  VALUE($H372) *
  VALUE(
    _xlfn.XLOOKUP(
      TRIM($F372) &amp; "|" &amp; LEFT(SUBSTITUTE($G372,CHAR(160)," "),5) &amp; "|Full Rate",
      TRIM(SUBSTITUTE($T$2:$T$38,CHAR(160)," ")) &amp; "|" &amp;
      LEFT(SUBSTITUTE($U$2:$U$38,CHAR(160)," "),5) &amp; "|" &amp;
      TRIM(SUBSTITUTE($V$2:$V$38,CHAR(160)," ")),
      $W$2:$W$38
    )
  ),
"")</f>
        <v>300</v>
      </c>
      <c r="J372" s="161" cm="1">
        <f t="array" ref="J372">IFERROR(
  VALUE($H372) *
  VALUE(
    _xlfn.XLOOKUP(
      TRIM($F372) &amp; "|" &amp; LEFT(SUBSTITUTE($G372,CHAR(160)," "),5) &amp; "|Reduced Rate",
      TRIM(SUBSTITUTE($T$2:$T$38,CHAR(160)," ")) &amp; "|" &amp;
      LEFT(SUBSTITUTE($U$2:$U$38,CHAR(160)," "),5) &amp; "|" &amp;
      TRIM(SUBSTITUTE($V$2:$V$38,CHAR(160)," ")),
      $W$2:$W$38
    )
  ),
"")</f>
        <v>150</v>
      </c>
      <c r="K372" s="42" cm="1">
        <f t="array" ref="K372">IFERROR(
  VALUE($H372) *
  VALUE(
    _xlfn.XLOOKUP(
      TRIM($F372) &amp; "|" &amp; LEFT(SUBSTITUTE($G372,CHAR(160)," "),5) &amp; "|Ideas Rate",
      TRIM(SUBSTITUTE($T$2:$T$38,CHAR(160)," ")) &amp; "|" &amp;
      LEFT(SUBSTITUTE($U$2:$U$38,CHAR(160)," "),5) &amp; "|" &amp;
      TRIM(SUBSTITUTE($V$2:$V$38,CHAR(160)," ")),
      $W$2:$W$38
    )
  ),
"")</f>
        <v>90</v>
      </c>
    </row>
    <row r="373" spans="1:11" x14ac:dyDescent="0.2">
      <c r="A373" s="10">
        <v>46092</v>
      </c>
      <c r="B373" s="5" t="s">
        <v>714</v>
      </c>
      <c r="C373" s="20" t="s">
        <v>519</v>
      </c>
      <c r="D373" t="s">
        <v>178</v>
      </c>
      <c r="E373" t="s">
        <v>754</v>
      </c>
      <c r="F373" t="s">
        <v>10</v>
      </c>
      <c r="G373" t="s">
        <v>380</v>
      </c>
      <c r="H373" s="79">
        <v>1.5</v>
      </c>
      <c r="I373" s="160" cm="1">
        <f t="array" ref="I373">IFERROR(
  VALUE($H373) *
  VALUE(
    _xlfn.XLOOKUP(
      TRIM($F373) &amp; "|" &amp; LEFT(SUBSTITUTE($G373,CHAR(160)," "),5) &amp; "|Full Rate",
      TRIM(SUBSTITUTE($T$2:$T$38,CHAR(160)," ")) &amp; "|" &amp;
      LEFT(SUBSTITUTE($U$2:$U$38,CHAR(160)," "),5) &amp; "|" &amp;
      TRIM(SUBSTITUTE($V$2:$V$38,CHAR(160)," ")),
      $W$2:$W$38
    )
  ),
"")</f>
        <v>375</v>
      </c>
      <c r="J373" s="161" cm="1">
        <f t="array" ref="J373">IFERROR(
  VALUE($H373) *
  VALUE(
    _xlfn.XLOOKUP(
      TRIM($F373) &amp; "|" &amp; LEFT(SUBSTITUTE($G373,CHAR(160)," "),5) &amp; "|Reduced Rate",
      TRIM(SUBSTITUTE($T$2:$T$38,CHAR(160)," ")) &amp; "|" &amp;
      LEFT(SUBSTITUTE($U$2:$U$38,CHAR(160)," "),5) &amp; "|" &amp;
      TRIM(SUBSTITUTE($V$2:$V$38,CHAR(160)," ")),
      $W$2:$W$38
    )
  ),
"")</f>
        <v>225</v>
      </c>
      <c r="K373" s="42" cm="1">
        <f t="array" ref="K373">IFERROR(
  VALUE($H373) *
  VALUE(
    _xlfn.XLOOKUP(
      TRIM($F373) &amp; "|" &amp; LEFT(SUBSTITUTE($G373,CHAR(160)," "),5) &amp; "|Ideas Rate",
      TRIM(SUBSTITUTE($T$2:$T$38,CHAR(160)," ")) &amp; "|" &amp;
      LEFT(SUBSTITUTE($U$2:$U$38,CHAR(160)," "),5) &amp; "|" &amp;
      TRIM(SUBSTITUTE($V$2:$V$38,CHAR(160)," ")),
      $W$2:$W$38
    )
  ),
"")</f>
        <v>112.5</v>
      </c>
    </row>
    <row r="374" spans="1:11" x14ac:dyDescent="0.2">
      <c r="A374" s="10">
        <v>46092</v>
      </c>
      <c r="B374" s="5" t="s">
        <v>714</v>
      </c>
      <c r="C374" s="20" t="s">
        <v>519</v>
      </c>
      <c r="D374" t="s">
        <v>178</v>
      </c>
      <c r="E374" s="41" t="s">
        <v>755</v>
      </c>
      <c r="F374" t="s">
        <v>9</v>
      </c>
      <c r="G374" t="s">
        <v>380</v>
      </c>
      <c r="H374" s="79">
        <v>1.5</v>
      </c>
      <c r="I374" s="160" cm="1">
        <f t="array" ref="I374">IFERROR(
  VALUE($H374) *
  VALUE(
    _xlfn.XLOOKUP(
      TRIM($F374) &amp; "|" &amp; LEFT(SUBSTITUTE($G374,CHAR(160)," "),5) &amp; "|Full Rate",
      TRIM(SUBSTITUTE($T$2:$T$38,CHAR(160)," ")) &amp; "|" &amp;
      LEFT(SUBSTITUTE($U$2:$U$38,CHAR(160)," "),5) &amp; "|" &amp;
      TRIM(SUBSTITUTE($V$2:$V$38,CHAR(160)," ")),
      $W$2:$W$38
    )
  ),
"")</f>
        <v>375</v>
      </c>
      <c r="J374" s="161" cm="1">
        <f t="array" ref="J374">IFERROR(
  VALUE($H374) *
  VALUE(
    _xlfn.XLOOKUP(
      TRIM($F374) &amp; "|" &amp; LEFT(SUBSTITUTE($G374,CHAR(160)," "),5) &amp; "|Reduced Rate",
      TRIM(SUBSTITUTE($T$2:$T$38,CHAR(160)," ")) &amp; "|" &amp;
      LEFT(SUBSTITUTE($U$2:$U$38,CHAR(160)," "),5) &amp; "|" &amp;
      TRIM(SUBSTITUTE($V$2:$V$38,CHAR(160)," ")),
      $W$2:$W$38
    )
  ),
"")</f>
        <v>225</v>
      </c>
      <c r="K374" s="42" cm="1">
        <f t="array" ref="K374">IFERROR(
  VALUE($H374) *
  VALUE(
    _xlfn.XLOOKUP(
      TRIM($F374) &amp; "|" &amp; LEFT(SUBSTITUTE($G374,CHAR(160)," "),5) &amp; "|Ideas Rate",
      TRIM(SUBSTITUTE($T$2:$T$38,CHAR(160)," ")) &amp; "|" &amp;
      LEFT(SUBSTITUTE($U$2:$U$38,CHAR(160)," "),5) &amp; "|" &amp;
      TRIM(SUBSTITUTE($V$2:$V$38,CHAR(160)," ")),
      $W$2:$W$38
    )
  ),
"")</f>
        <v>112.5</v>
      </c>
    </row>
    <row r="375" spans="1:11" x14ac:dyDescent="0.2">
      <c r="A375" s="10">
        <v>46092</v>
      </c>
      <c r="B375" s="5" t="s">
        <v>714</v>
      </c>
      <c r="C375" s="20" t="s">
        <v>519</v>
      </c>
      <c r="D375" t="s">
        <v>178</v>
      </c>
      <c r="E375" s="41" t="s">
        <v>759</v>
      </c>
      <c r="F375" t="s">
        <v>9</v>
      </c>
      <c r="G375" t="s">
        <v>380</v>
      </c>
      <c r="H375" s="79">
        <v>0.75</v>
      </c>
      <c r="I375" s="160" cm="1">
        <f t="array" ref="I375">IFERROR(
  VALUE($H375) *
  VALUE(
    _xlfn.XLOOKUP(
      TRIM($F375) &amp; "|" &amp; LEFT(SUBSTITUTE($G375,CHAR(160)," "),5) &amp; "|Full Rate",
      TRIM(SUBSTITUTE($T$2:$T$38,CHAR(160)," ")) &amp; "|" &amp;
      LEFT(SUBSTITUTE($U$2:$U$38,CHAR(160)," "),5) &amp; "|" &amp;
      TRIM(SUBSTITUTE($V$2:$V$38,CHAR(160)," ")),
      $W$2:$W$38
    )
  ),
"")</f>
        <v>187.5</v>
      </c>
      <c r="J375" s="161" cm="1">
        <f t="array" ref="J375">IFERROR(
  VALUE($H375) *
  VALUE(
    _xlfn.XLOOKUP(
      TRIM($F375) &amp; "|" &amp; LEFT(SUBSTITUTE($G375,CHAR(160)," "),5) &amp; "|Reduced Rate",
      TRIM(SUBSTITUTE($T$2:$T$38,CHAR(160)," ")) &amp; "|" &amp;
      LEFT(SUBSTITUTE($U$2:$U$38,CHAR(160)," "),5) &amp; "|" &amp;
      TRIM(SUBSTITUTE($V$2:$V$38,CHAR(160)," ")),
      $W$2:$W$38
    )
  ),
"")</f>
        <v>112.5</v>
      </c>
      <c r="K375" s="42" cm="1">
        <f t="array" ref="K375">IFERROR(
  VALUE($H375) *
  VALUE(
    _xlfn.XLOOKUP(
      TRIM($F375) &amp; "|" &amp; LEFT(SUBSTITUTE($G375,CHAR(160)," "),5) &amp; "|Ideas Rate",
      TRIM(SUBSTITUTE($T$2:$T$38,CHAR(160)," ")) &amp; "|" &amp;
      LEFT(SUBSTITUTE($U$2:$U$38,CHAR(160)," "),5) &amp; "|" &amp;
      TRIM(SUBSTITUTE($V$2:$V$38,CHAR(160)," ")),
      $W$2:$W$38
    )
  ),
"")</f>
        <v>56.25</v>
      </c>
    </row>
    <row r="376" spans="1:11" x14ac:dyDescent="0.2">
      <c r="A376" s="10">
        <v>46092</v>
      </c>
      <c r="B376" s="5" t="s">
        <v>714</v>
      </c>
      <c r="C376" s="20" t="s">
        <v>715</v>
      </c>
      <c r="D376" t="s">
        <v>178</v>
      </c>
      <c r="E376" s="41" t="s">
        <v>758</v>
      </c>
      <c r="F376" t="s">
        <v>10</v>
      </c>
      <c r="G376" t="s">
        <v>380</v>
      </c>
      <c r="H376" s="79">
        <v>0.75</v>
      </c>
      <c r="I376" s="160" cm="1">
        <f t="array" ref="I376">IFERROR(
  VALUE($H376) *
  VALUE(
    _xlfn.XLOOKUP(
      TRIM($F376) &amp; "|" &amp; LEFT(SUBSTITUTE($G376,CHAR(160)," "),5) &amp; "|Full Rate",
      TRIM(SUBSTITUTE($T$2:$T$38,CHAR(160)," ")) &amp; "|" &amp;
      LEFT(SUBSTITUTE($U$2:$U$38,CHAR(160)," "),5) &amp; "|" &amp;
      TRIM(SUBSTITUTE($V$2:$V$38,CHAR(160)," ")),
      $W$2:$W$38
    )
  ),
"")</f>
        <v>187.5</v>
      </c>
      <c r="J376" s="161" cm="1">
        <f t="array" ref="J376">IFERROR(
  VALUE($H376) *
  VALUE(
    _xlfn.XLOOKUP(
      TRIM($F376) &amp; "|" &amp; LEFT(SUBSTITUTE($G376,CHAR(160)," "),5) &amp; "|Reduced Rate",
      TRIM(SUBSTITUTE($T$2:$T$38,CHAR(160)," ")) &amp; "|" &amp;
      LEFT(SUBSTITUTE($U$2:$U$38,CHAR(160)," "),5) &amp; "|" &amp;
      TRIM(SUBSTITUTE($V$2:$V$38,CHAR(160)," ")),
      $W$2:$W$38
    )
  ),
"")</f>
        <v>112.5</v>
      </c>
      <c r="K376" s="42" cm="1">
        <f t="array" ref="K376">IFERROR(
  VALUE($H376) *
  VALUE(
    _xlfn.XLOOKUP(
      TRIM($F376) &amp; "|" &amp; LEFT(SUBSTITUTE($G376,CHAR(160)," "),5) &amp; "|Ideas Rate",
      TRIM(SUBSTITUTE($T$2:$T$38,CHAR(160)," ")) &amp; "|" &amp;
      LEFT(SUBSTITUTE($U$2:$U$38,CHAR(160)," "),5) &amp; "|" &amp;
      TRIM(SUBSTITUTE($V$2:$V$38,CHAR(160)," ")),
      $W$2:$W$38
    )
  ),
"")</f>
        <v>56.25</v>
      </c>
    </row>
    <row r="377" spans="1:11" x14ac:dyDescent="0.2">
      <c r="A377" s="10">
        <v>46093</v>
      </c>
      <c r="B377" s="5" t="s">
        <v>714</v>
      </c>
      <c r="C377" s="20" t="s">
        <v>519</v>
      </c>
      <c r="D377" t="s">
        <v>190</v>
      </c>
      <c r="E377" s="41" t="s">
        <v>760</v>
      </c>
      <c r="F377" t="s">
        <v>10</v>
      </c>
      <c r="G377" t="s">
        <v>367</v>
      </c>
      <c r="H377" s="79">
        <v>1</v>
      </c>
      <c r="I377" s="160" cm="1">
        <f t="array" ref="I377">IFERROR(
  VALUE($H377) *
  VALUE(
    _xlfn.XLOOKUP(
      TRIM($F377) &amp; "|" &amp; LEFT(SUBSTITUTE($G377,CHAR(160)," "),5) &amp; "|Full Rate",
      TRIM(SUBSTITUTE($T$2:$T$38,CHAR(160)," ")) &amp; "|" &amp;
      LEFT(SUBSTITUTE($U$2:$U$38,CHAR(160)," "),5) &amp; "|" &amp;
      TRIM(SUBSTITUTE($V$2:$V$38,CHAR(160)," ")),
      $W$2:$W$38
    )
  ),
"")</f>
        <v>500</v>
      </c>
      <c r="J377" s="161" cm="1">
        <f t="array" ref="J377">IFERROR(
  VALUE($H377) *
  VALUE(
    _xlfn.XLOOKUP(
      TRIM($F377) &amp; "|" &amp; LEFT(SUBSTITUTE($G377,CHAR(160)," "),5) &amp; "|Reduced Rate",
      TRIM(SUBSTITUTE($T$2:$T$38,CHAR(160)," ")) &amp; "|" &amp;
      LEFT(SUBSTITUTE($U$2:$U$38,CHAR(160)," "),5) &amp; "|" &amp;
      TRIM(SUBSTITUTE($V$2:$V$38,CHAR(160)," ")),
      $W$2:$W$38
    )
  ),
"")</f>
        <v>300</v>
      </c>
      <c r="K377" s="42" cm="1">
        <f t="array" ref="K377">IFERROR(
  VALUE($H377) *
  VALUE(
    _xlfn.XLOOKUP(
      TRIM($F377) &amp; "|" &amp; LEFT(SUBSTITUTE($G377,CHAR(160)," "),5) &amp; "|Ideas Rate",
      TRIM(SUBSTITUTE($T$2:$T$38,CHAR(160)," ")) &amp; "|" &amp;
      LEFT(SUBSTITUTE($U$2:$U$38,CHAR(160)," "),5) &amp; "|" &amp;
      TRIM(SUBSTITUTE($V$2:$V$38,CHAR(160)," ")),
      $W$2:$W$38
    )
  ),
"")</f>
        <v>150</v>
      </c>
    </row>
    <row r="378" spans="1:11" x14ac:dyDescent="0.2">
      <c r="A378" s="10">
        <v>46093</v>
      </c>
      <c r="B378" s="5" t="s">
        <v>714</v>
      </c>
      <c r="C378" s="20" t="s">
        <v>519</v>
      </c>
      <c r="D378" t="s">
        <v>182</v>
      </c>
      <c r="E378" t="s">
        <v>752</v>
      </c>
      <c r="F378" t="s">
        <v>155</v>
      </c>
      <c r="G378" t="s">
        <v>367</v>
      </c>
      <c r="H378" s="79">
        <v>3.5</v>
      </c>
      <c r="I378" s="160" cm="1">
        <f t="array" ref="I378">IFERROR(
  VALUE($H378) *
  VALUE(
    _xlfn.XLOOKUP(
      TRIM($F378) &amp; "|" &amp; LEFT(SUBSTITUTE($G378,CHAR(160)," "),5) &amp; "|Full Rate",
      TRIM(SUBSTITUTE($T$2:$T$38,CHAR(160)," ")) &amp; "|" &amp;
      LEFT(SUBSTITUTE($U$2:$U$38,CHAR(160)," "),5) &amp; "|" &amp;
      TRIM(SUBSTITUTE($V$2:$V$38,CHAR(160)," ")),
      $W$2:$W$38
    )
  ),
"")</f>
        <v>1400</v>
      </c>
      <c r="J378" s="161" cm="1">
        <f t="array" ref="J378">IFERROR(
  VALUE($H378) *
  VALUE(
    _xlfn.XLOOKUP(
      TRIM($F378) &amp; "|" &amp; LEFT(SUBSTITUTE($G378,CHAR(160)," "),5) &amp; "|Reduced Rate",
      TRIM(SUBSTITUTE($T$2:$T$38,CHAR(160)," ")) &amp; "|" &amp;
      LEFT(SUBSTITUTE($U$2:$U$38,CHAR(160)," "),5) &amp; "|" &amp;
      TRIM(SUBSTITUTE($V$2:$V$38,CHAR(160)," ")),
      $W$2:$W$38
    )
  ),
"")</f>
        <v>700</v>
      </c>
      <c r="K378" s="42" cm="1">
        <f t="array" ref="K378">IFERROR(
  VALUE($H378) *
  VALUE(
    _xlfn.XLOOKUP(
      TRIM($F378) &amp; "|" &amp; LEFT(SUBSTITUTE($G378,CHAR(160)," "),5) &amp; "|Ideas Rate",
      TRIM(SUBSTITUTE($T$2:$T$38,CHAR(160)," ")) &amp; "|" &amp;
      LEFT(SUBSTITUTE($U$2:$U$38,CHAR(160)," "),5) &amp; "|" &amp;
      TRIM(SUBSTITUTE($V$2:$V$38,CHAR(160)," ")),
      $W$2:$W$38
    )
  ),
"")</f>
        <v>420</v>
      </c>
    </row>
    <row r="379" spans="1:11" x14ac:dyDescent="0.2">
      <c r="A379" s="10">
        <v>46093</v>
      </c>
      <c r="B379" s="5" t="s">
        <v>714</v>
      </c>
      <c r="C379" s="20" t="s">
        <v>519</v>
      </c>
      <c r="D379" t="s">
        <v>182</v>
      </c>
      <c r="E379" s="41" t="s">
        <v>761</v>
      </c>
      <c r="F379" t="s">
        <v>10</v>
      </c>
      <c r="G379" t="s">
        <v>380</v>
      </c>
      <c r="H379" s="79">
        <v>1</v>
      </c>
      <c r="I379" s="160" cm="1">
        <f t="array" ref="I379">IFERROR(
  VALUE($H379) *
  VALUE(
    _xlfn.XLOOKUP(
      TRIM($F379) &amp; "|" &amp; LEFT(SUBSTITUTE($G379,CHAR(160)," "),5) &amp; "|Full Rate",
      TRIM(SUBSTITUTE($T$2:$T$38,CHAR(160)," ")) &amp; "|" &amp;
      LEFT(SUBSTITUTE($U$2:$U$38,CHAR(160)," "),5) &amp; "|" &amp;
      TRIM(SUBSTITUTE($V$2:$V$38,CHAR(160)," ")),
      $W$2:$W$38
    )
  ),
"")</f>
        <v>250</v>
      </c>
      <c r="J379" s="161" cm="1">
        <f t="array" ref="J379">IFERROR(
  VALUE($H379) *
  VALUE(
    _xlfn.XLOOKUP(
      TRIM($F379) &amp; "|" &amp; LEFT(SUBSTITUTE($G379,CHAR(160)," "),5) &amp; "|Reduced Rate",
      TRIM(SUBSTITUTE($T$2:$T$38,CHAR(160)," ")) &amp; "|" &amp;
      LEFT(SUBSTITUTE($U$2:$U$38,CHAR(160)," "),5) &amp; "|" &amp;
      TRIM(SUBSTITUTE($V$2:$V$38,CHAR(160)," ")),
      $W$2:$W$38
    )
  ),
"")</f>
        <v>150</v>
      </c>
      <c r="K379" s="42" cm="1">
        <f t="array" ref="K379">IFERROR(
  VALUE($H379) *
  VALUE(
    _xlfn.XLOOKUP(
      TRIM($F379) &amp; "|" &amp; LEFT(SUBSTITUTE($G379,CHAR(160)," "),5) &amp; "|Ideas Rate",
      TRIM(SUBSTITUTE($T$2:$T$38,CHAR(160)," ")) &amp; "|" &amp;
      LEFT(SUBSTITUTE($U$2:$U$38,CHAR(160)," "),5) &amp; "|" &amp;
      TRIM(SUBSTITUTE($V$2:$V$38,CHAR(160)," ")),
      $W$2:$W$38
    )
  ),
"")</f>
        <v>75</v>
      </c>
    </row>
    <row r="380" spans="1:11" x14ac:dyDescent="0.2">
      <c r="A380" s="10">
        <v>46093</v>
      </c>
      <c r="B380" s="5" t="s">
        <v>714</v>
      </c>
      <c r="C380" s="20" t="s">
        <v>519</v>
      </c>
      <c r="D380" t="s">
        <v>182</v>
      </c>
      <c r="E380" s="41" t="s">
        <v>761</v>
      </c>
      <c r="F380" t="s">
        <v>9</v>
      </c>
      <c r="G380" t="s">
        <v>380</v>
      </c>
      <c r="H380" s="79">
        <v>1</v>
      </c>
      <c r="I380" s="160" cm="1">
        <f t="array" ref="I380">IFERROR(
  VALUE($H380) *
  VALUE(
    _xlfn.XLOOKUP(
      TRIM($F380) &amp; "|" &amp; LEFT(SUBSTITUTE($G380,CHAR(160)," "),5) &amp; "|Full Rate",
      TRIM(SUBSTITUTE($T$2:$T$38,CHAR(160)," ")) &amp; "|" &amp;
      LEFT(SUBSTITUTE($U$2:$U$38,CHAR(160)," "),5) &amp; "|" &amp;
      TRIM(SUBSTITUTE($V$2:$V$38,CHAR(160)," ")),
      $W$2:$W$38
    )
  ),
"")</f>
        <v>250</v>
      </c>
      <c r="J380" s="161" cm="1">
        <f t="array" ref="J380">IFERROR(
  VALUE($H380) *
  VALUE(
    _xlfn.XLOOKUP(
      TRIM($F380) &amp; "|" &amp; LEFT(SUBSTITUTE($G380,CHAR(160)," "),5) &amp; "|Reduced Rate",
      TRIM(SUBSTITUTE($T$2:$T$38,CHAR(160)," ")) &amp; "|" &amp;
      LEFT(SUBSTITUTE($U$2:$U$38,CHAR(160)," "),5) &amp; "|" &amp;
      TRIM(SUBSTITUTE($V$2:$V$38,CHAR(160)," ")),
      $W$2:$W$38
    )
  ),
"")</f>
        <v>150</v>
      </c>
      <c r="K380" s="42" cm="1">
        <f t="array" ref="K380">IFERROR(
  VALUE($H380) *
  VALUE(
    _xlfn.XLOOKUP(
      TRIM($F380) &amp; "|" &amp; LEFT(SUBSTITUTE($G380,CHAR(160)," "),5) &amp; "|Ideas Rate",
      TRIM(SUBSTITUTE($T$2:$T$38,CHAR(160)," ")) &amp; "|" &amp;
      LEFT(SUBSTITUTE($U$2:$U$38,CHAR(160)," "),5) &amp; "|" &amp;
      TRIM(SUBSTITUTE($V$2:$V$38,CHAR(160)," ")),
      $W$2:$W$38
    )
  ),
"")</f>
        <v>75</v>
      </c>
    </row>
    <row r="381" spans="1:11" x14ac:dyDescent="0.2">
      <c r="A381" s="10">
        <v>46094</v>
      </c>
      <c r="B381" s="5" t="s">
        <v>714</v>
      </c>
      <c r="C381" s="20" t="s">
        <v>519</v>
      </c>
      <c r="D381" t="s">
        <v>178</v>
      </c>
      <c r="E381" t="s">
        <v>704</v>
      </c>
      <c r="F381" t="s">
        <v>155</v>
      </c>
      <c r="G381" t="s">
        <v>380</v>
      </c>
      <c r="H381" s="79">
        <v>1</v>
      </c>
      <c r="I381" s="160" cm="1">
        <f t="array" ref="I381">IFERROR(
  VALUE($H381) *
  VALUE(
    _xlfn.XLOOKUP(
      TRIM($F381) &amp; "|" &amp; LEFT(SUBSTITUTE($G381,CHAR(160)," "),5) &amp; "|Full Rate",
      TRIM(SUBSTITUTE($T$2:$T$38,CHAR(160)," ")) &amp; "|" &amp;
      LEFT(SUBSTITUTE($U$2:$U$38,CHAR(160)," "),5) &amp; "|" &amp;
      TRIM(SUBSTITUTE($V$2:$V$38,CHAR(160)," ")),
      $W$2:$W$38
    )
  ),
"")</f>
        <v>260</v>
      </c>
      <c r="J381" s="161" cm="1">
        <f t="array" ref="J381">IFERROR(
  VALUE($H381) *
  VALUE(
    _xlfn.XLOOKUP(
      TRIM($F381) &amp; "|" &amp; LEFT(SUBSTITUTE($G381,CHAR(160)," "),5) &amp; "|Reduced Rate",
      TRIM(SUBSTITUTE($T$2:$T$38,CHAR(160)," ")) &amp; "|" &amp;
      LEFT(SUBSTITUTE($U$2:$U$38,CHAR(160)," "),5) &amp; "|" &amp;
      TRIM(SUBSTITUTE($V$2:$V$38,CHAR(160)," ")),
      $W$2:$W$38
    )
  ),
"")</f>
        <v>120</v>
      </c>
      <c r="K381" s="42" cm="1">
        <f t="array" ref="K381">IFERROR(
  VALUE($H381) *
  VALUE(
    _xlfn.XLOOKUP(
      TRIM($F381) &amp; "|" &amp; LEFT(SUBSTITUTE($G381,CHAR(160)," "),5) &amp; "|Ideas Rate",
      TRIM(SUBSTITUTE($T$2:$T$38,CHAR(160)," ")) &amp; "|" &amp;
      LEFT(SUBSTITUTE($U$2:$U$38,CHAR(160)," "),5) &amp; "|" &amp;
      TRIM(SUBSTITUTE($V$2:$V$38,CHAR(160)," ")),
      $W$2:$W$38
    )
  ),
"")</f>
        <v>90</v>
      </c>
    </row>
    <row r="382" spans="1:11" x14ac:dyDescent="0.2">
      <c r="A382" s="10">
        <v>46094</v>
      </c>
      <c r="B382" s="5" t="s">
        <v>714</v>
      </c>
      <c r="C382" s="20" t="s">
        <v>519</v>
      </c>
      <c r="D382" t="s">
        <v>178</v>
      </c>
      <c r="E382" t="s">
        <v>756</v>
      </c>
      <c r="F382" t="s">
        <v>155</v>
      </c>
      <c r="G382" t="s">
        <v>380</v>
      </c>
      <c r="H382" s="79">
        <v>0.25</v>
      </c>
      <c r="I382" s="160" cm="1">
        <f t="array" ref="I382">IFERROR(
  VALUE($H382) *
  VALUE(
    _xlfn.XLOOKUP(
      TRIM($F382) &amp; "|" &amp; LEFT(SUBSTITUTE($G382,CHAR(160)," "),5) &amp; "|Full Rate",
      TRIM(SUBSTITUTE($T$2:$T$38,CHAR(160)," ")) &amp; "|" &amp;
      LEFT(SUBSTITUTE($U$2:$U$38,CHAR(160)," "),5) &amp; "|" &amp;
      TRIM(SUBSTITUTE($V$2:$V$38,CHAR(160)," ")),
      $W$2:$W$38
    )
  ),
"")</f>
        <v>65</v>
      </c>
      <c r="J382" s="161" cm="1">
        <f t="array" ref="J382">IFERROR(
  VALUE($H382) *
  VALUE(
    _xlfn.XLOOKUP(
      TRIM($F382) &amp; "|" &amp; LEFT(SUBSTITUTE($G382,CHAR(160)," "),5) &amp; "|Reduced Rate",
      TRIM(SUBSTITUTE($T$2:$T$38,CHAR(160)," ")) &amp; "|" &amp;
      LEFT(SUBSTITUTE($U$2:$U$38,CHAR(160)," "),5) &amp; "|" &amp;
      TRIM(SUBSTITUTE($V$2:$V$38,CHAR(160)," ")),
      $W$2:$W$38
    )
  ),
"")</f>
        <v>30</v>
      </c>
      <c r="K382" s="42" cm="1">
        <f t="array" ref="K382">IFERROR(
  VALUE($H382) *
  VALUE(
    _xlfn.XLOOKUP(
      TRIM($F382) &amp; "|" &amp; LEFT(SUBSTITUTE($G382,CHAR(160)," "),5) &amp; "|Ideas Rate",
      TRIM(SUBSTITUTE($T$2:$T$38,CHAR(160)," ")) &amp; "|" &amp;
      LEFT(SUBSTITUTE($U$2:$U$38,CHAR(160)," "),5) &amp; "|" &amp;
      TRIM(SUBSTITUTE($V$2:$V$38,CHAR(160)," ")),
      $W$2:$W$38
    )
  ),
"")</f>
        <v>22.5</v>
      </c>
    </row>
    <row r="383" spans="1:11" x14ac:dyDescent="0.2">
      <c r="A383" s="10">
        <v>46094</v>
      </c>
      <c r="B383" s="5" t="s">
        <v>714</v>
      </c>
      <c r="C383" s="20" t="s">
        <v>519</v>
      </c>
      <c r="D383" t="s">
        <v>182</v>
      </c>
      <c r="E383" t="s">
        <v>757</v>
      </c>
      <c r="F383" t="s">
        <v>155</v>
      </c>
      <c r="G383" t="s">
        <v>367</v>
      </c>
      <c r="H383" s="79">
        <v>6</v>
      </c>
      <c r="I383" s="160" cm="1">
        <f t="array" ref="I383">IFERROR(
  VALUE($H383) *
  VALUE(
    _xlfn.XLOOKUP(
      TRIM($F383) &amp; "|" &amp; LEFT(SUBSTITUTE($G383,CHAR(160)," "),5) &amp; "|Full Rate",
      TRIM(SUBSTITUTE($T$2:$T$38,CHAR(160)," ")) &amp; "|" &amp;
      LEFT(SUBSTITUTE($U$2:$U$38,CHAR(160)," "),5) &amp; "|" &amp;
      TRIM(SUBSTITUTE($V$2:$V$38,CHAR(160)," ")),
      $W$2:$W$38
    )
  ),
"")</f>
        <v>2400</v>
      </c>
      <c r="J383" s="161" cm="1">
        <f t="array" ref="J383">IFERROR(
  VALUE($H383) *
  VALUE(
    _xlfn.XLOOKUP(
      TRIM($F383) &amp; "|" &amp; LEFT(SUBSTITUTE($G383,CHAR(160)," "),5) &amp; "|Reduced Rate",
      TRIM(SUBSTITUTE($T$2:$T$38,CHAR(160)," ")) &amp; "|" &amp;
      LEFT(SUBSTITUTE($U$2:$U$38,CHAR(160)," "),5) &amp; "|" &amp;
      TRIM(SUBSTITUTE($V$2:$V$38,CHAR(160)," ")),
      $W$2:$W$38
    )
  ),
"")</f>
        <v>1200</v>
      </c>
      <c r="K383" s="42" cm="1">
        <f t="array" ref="K383">IFERROR(
  VALUE($H383) *
  VALUE(
    _xlfn.XLOOKUP(
      TRIM($F383) &amp; "|" &amp; LEFT(SUBSTITUTE($G383,CHAR(160)," "),5) &amp; "|Ideas Rate",
      TRIM(SUBSTITUTE($T$2:$T$38,CHAR(160)," ")) &amp; "|" &amp;
      LEFT(SUBSTITUTE($U$2:$U$38,CHAR(160)," "),5) &amp; "|" &amp;
      TRIM(SUBSTITUTE($V$2:$V$38,CHAR(160)," ")),
      $W$2:$W$38
    )
  ),
"")</f>
        <v>720</v>
      </c>
    </row>
    <row r="384" spans="1:11" x14ac:dyDescent="0.2">
      <c r="A384" s="10">
        <v>46094</v>
      </c>
      <c r="B384" s="5" t="s">
        <v>714</v>
      </c>
      <c r="C384" s="20" t="s">
        <v>519</v>
      </c>
      <c r="D384" t="s">
        <v>178</v>
      </c>
      <c r="E384" t="s">
        <v>744</v>
      </c>
      <c r="F384" t="s">
        <v>9</v>
      </c>
      <c r="G384" t="s">
        <v>380</v>
      </c>
      <c r="H384" s="79">
        <v>1</v>
      </c>
      <c r="I384" s="160" cm="1">
        <f t="array" ref="I384">IFERROR(
  VALUE($H384) *
  VALUE(
    _xlfn.XLOOKUP(
      TRIM($F384) &amp; "|" &amp; LEFT(SUBSTITUTE($G384,CHAR(160)," "),5) &amp; "|Full Rate",
      TRIM(SUBSTITUTE($T$2:$T$38,CHAR(160)," ")) &amp; "|" &amp;
      LEFT(SUBSTITUTE($U$2:$U$38,CHAR(160)," "),5) &amp; "|" &amp;
      TRIM(SUBSTITUTE($V$2:$V$38,CHAR(160)," ")),
      $W$2:$W$38
    )
  ),
"")</f>
        <v>250</v>
      </c>
      <c r="J384" s="161" cm="1">
        <f t="array" ref="J384">IFERROR(
  VALUE($H384) *
  VALUE(
    _xlfn.XLOOKUP(
      TRIM($F384) &amp; "|" &amp; LEFT(SUBSTITUTE($G384,CHAR(160)," "),5) &amp; "|Reduced Rate",
      TRIM(SUBSTITUTE($T$2:$T$38,CHAR(160)," ")) &amp; "|" &amp;
      LEFT(SUBSTITUTE($U$2:$U$38,CHAR(160)," "),5) &amp; "|" &amp;
      TRIM(SUBSTITUTE($V$2:$V$38,CHAR(160)," ")),
      $W$2:$W$38
    )
  ),
"")</f>
        <v>150</v>
      </c>
      <c r="K384" s="42" cm="1">
        <f t="array" ref="K384">IFERROR(
  VALUE($H384) *
  VALUE(
    _xlfn.XLOOKUP(
      TRIM($F384) &amp; "|" &amp; LEFT(SUBSTITUTE($G384,CHAR(160)," "),5) &amp; "|Ideas Rate",
      TRIM(SUBSTITUTE($T$2:$T$38,CHAR(160)," ")) &amp; "|" &amp;
      LEFT(SUBSTITUTE($U$2:$U$38,CHAR(160)," "),5) &amp; "|" &amp;
      TRIM(SUBSTITUTE($V$2:$V$38,CHAR(160)," ")),
      $W$2:$W$38
    )
  ),
"")</f>
        <v>75</v>
      </c>
    </row>
    <row r="385" spans="1:11" x14ac:dyDescent="0.2">
      <c r="A385" s="10">
        <v>46094</v>
      </c>
      <c r="B385" s="5" t="s">
        <v>714</v>
      </c>
      <c r="C385" s="20" t="s">
        <v>519</v>
      </c>
      <c r="D385" t="s">
        <v>178</v>
      </c>
      <c r="E385" t="s">
        <v>744</v>
      </c>
      <c r="F385" t="s">
        <v>10</v>
      </c>
      <c r="G385" t="s">
        <v>380</v>
      </c>
      <c r="H385" s="79">
        <v>0.25</v>
      </c>
      <c r="I385" s="160" cm="1">
        <f t="array" ref="I385">IFERROR(
  VALUE($H385) *
  VALUE(
    _xlfn.XLOOKUP(
      TRIM($F385) &amp; "|" &amp; LEFT(SUBSTITUTE($G385,CHAR(160)," "),5) &amp; "|Full Rate",
      TRIM(SUBSTITUTE($T$2:$T$38,CHAR(160)," ")) &amp; "|" &amp;
      LEFT(SUBSTITUTE($U$2:$U$38,CHAR(160)," "),5) &amp; "|" &amp;
      TRIM(SUBSTITUTE($V$2:$V$38,CHAR(160)," ")),
      $W$2:$W$38
    )
  ),
"")</f>
        <v>62.5</v>
      </c>
      <c r="J385" s="161" cm="1">
        <f t="array" ref="J385">IFERROR(
  VALUE($H385) *
  VALUE(
    _xlfn.XLOOKUP(
      TRIM($F385) &amp; "|" &amp; LEFT(SUBSTITUTE($G385,CHAR(160)," "),5) &amp; "|Reduced Rate",
      TRIM(SUBSTITUTE($T$2:$T$38,CHAR(160)," ")) &amp; "|" &amp;
      LEFT(SUBSTITUTE($U$2:$U$38,CHAR(160)," "),5) &amp; "|" &amp;
      TRIM(SUBSTITUTE($V$2:$V$38,CHAR(160)," ")),
      $W$2:$W$38
    )
  ),
"")</f>
        <v>37.5</v>
      </c>
      <c r="K385" s="42" cm="1">
        <f t="array" ref="K385">IFERROR(
  VALUE($H385) *
  VALUE(
    _xlfn.XLOOKUP(
      TRIM($F385) &amp; "|" &amp; LEFT(SUBSTITUTE($G385,CHAR(160)," "),5) &amp; "|Ideas Rate",
      TRIM(SUBSTITUTE($T$2:$T$38,CHAR(160)," ")) &amp; "|" &amp;
      LEFT(SUBSTITUTE($U$2:$U$38,CHAR(160)," "),5) &amp; "|" &amp;
      TRIM(SUBSTITUTE($V$2:$V$38,CHAR(160)," ")),
      $W$2:$W$38
    )
  ),
"")</f>
        <v>18.75</v>
      </c>
    </row>
    <row r="386" spans="1:11" x14ac:dyDescent="0.2">
      <c r="A386" s="10">
        <v>46094</v>
      </c>
      <c r="B386" s="5" t="s">
        <v>714</v>
      </c>
      <c r="C386" s="20" t="s">
        <v>519</v>
      </c>
      <c r="D386" t="s">
        <v>178</v>
      </c>
      <c r="E386" t="s">
        <v>762</v>
      </c>
      <c r="F386" t="s">
        <v>10</v>
      </c>
      <c r="G386" t="s">
        <v>380</v>
      </c>
      <c r="H386" s="79">
        <v>3.5</v>
      </c>
      <c r="I386" s="160" cm="1">
        <f t="array" ref="I386">IFERROR(
  VALUE($H386) *
  VALUE(
    _xlfn.XLOOKUP(
      TRIM($F386) &amp; "|" &amp; LEFT(SUBSTITUTE($G386,CHAR(160)," "),5) &amp; "|Full Rate",
      TRIM(SUBSTITUTE($T$2:$T$38,CHAR(160)," ")) &amp; "|" &amp;
      LEFT(SUBSTITUTE($U$2:$U$38,CHAR(160)," "),5) &amp; "|" &amp;
      TRIM(SUBSTITUTE($V$2:$V$38,CHAR(160)," ")),
      $W$2:$W$38
    )
  ),
"")</f>
        <v>875</v>
      </c>
      <c r="J386" s="161" cm="1">
        <f t="array" ref="J386">IFERROR(
  VALUE($H386) *
  VALUE(
    _xlfn.XLOOKUP(
      TRIM($F386) &amp; "|" &amp; LEFT(SUBSTITUTE($G386,CHAR(160)," "),5) &amp; "|Reduced Rate",
      TRIM(SUBSTITUTE($T$2:$T$38,CHAR(160)," ")) &amp; "|" &amp;
      LEFT(SUBSTITUTE($U$2:$U$38,CHAR(160)," "),5) &amp; "|" &amp;
      TRIM(SUBSTITUTE($V$2:$V$38,CHAR(160)," ")),
      $W$2:$W$38
    )
  ),
"")</f>
        <v>525</v>
      </c>
      <c r="K386" s="42" cm="1">
        <f t="array" ref="K386">IFERROR(
  VALUE($H386) *
  VALUE(
    _xlfn.XLOOKUP(
      TRIM($F386) &amp; "|" &amp; LEFT(SUBSTITUTE($G386,CHAR(160)," "),5) &amp; "|Ideas Rate",
      TRIM(SUBSTITUTE($T$2:$T$38,CHAR(160)," ")) &amp; "|" &amp;
      LEFT(SUBSTITUTE($U$2:$U$38,CHAR(160)," "),5) &amp; "|" &amp;
      TRIM(SUBSTITUTE($V$2:$V$38,CHAR(160)," ")),
      $W$2:$W$38
    )
  ),
"")</f>
        <v>262.5</v>
      </c>
    </row>
    <row r="387" spans="1:11" x14ac:dyDescent="0.2">
      <c r="A387" s="10">
        <v>46094</v>
      </c>
      <c r="B387" s="5" t="s">
        <v>714</v>
      </c>
      <c r="C387" s="20" t="s">
        <v>519</v>
      </c>
      <c r="D387" t="s">
        <v>178</v>
      </c>
      <c r="E387" t="s">
        <v>762</v>
      </c>
      <c r="F387" t="s">
        <v>9</v>
      </c>
      <c r="G387" t="s">
        <v>380</v>
      </c>
      <c r="H387" s="79">
        <v>1.5</v>
      </c>
      <c r="I387" s="160" cm="1">
        <f t="array" ref="I387">IFERROR(
  VALUE($H387) *
  VALUE(
    _xlfn.XLOOKUP(
      TRIM($F387) &amp; "|" &amp; LEFT(SUBSTITUTE($G387,CHAR(160)," "),5) &amp; "|Full Rate",
      TRIM(SUBSTITUTE($T$2:$T$38,CHAR(160)," ")) &amp; "|" &amp;
      LEFT(SUBSTITUTE($U$2:$U$38,CHAR(160)," "),5) &amp; "|" &amp;
      TRIM(SUBSTITUTE($V$2:$V$38,CHAR(160)," ")),
      $W$2:$W$38
    )
  ),
"")</f>
        <v>375</v>
      </c>
      <c r="J387" s="161" cm="1">
        <f t="array" ref="J387">IFERROR(
  VALUE($H387) *
  VALUE(
    _xlfn.XLOOKUP(
      TRIM($F387) &amp; "|" &amp; LEFT(SUBSTITUTE($G387,CHAR(160)," "),5) &amp; "|Reduced Rate",
      TRIM(SUBSTITUTE($T$2:$T$38,CHAR(160)," ")) &amp; "|" &amp;
      LEFT(SUBSTITUTE($U$2:$U$38,CHAR(160)," "),5) &amp; "|" &amp;
      TRIM(SUBSTITUTE($V$2:$V$38,CHAR(160)," ")),
      $W$2:$W$38
    )
  ),
"")</f>
        <v>225</v>
      </c>
      <c r="K387" s="42" cm="1">
        <f t="array" ref="K387">IFERROR(
  VALUE($H387) *
  VALUE(
    _xlfn.XLOOKUP(
      TRIM($F387) &amp; "|" &amp; LEFT(SUBSTITUTE($G387,CHAR(160)," "),5) &amp; "|Ideas Rate",
      TRIM(SUBSTITUTE($T$2:$T$38,CHAR(160)," ")) &amp; "|" &amp;
      LEFT(SUBSTITUTE($U$2:$U$38,CHAR(160)," "),5) &amp; "|" &amp;
      TRIM(SUBSTITUTE($V$2:$V$38,CHAR(160)," ")),
      $W$2:$W$38
    )
  ),
"")</f>
        <v>112.5</v>
      </c>
    </row>
    <row r="388" spans="1:11" x14ac:dyDescent="0.2">
      <c r="A388" s="10">
        <v>46097</v>
      </c>
      <c r="B388" s="5" t="s">
        <v>714</v>
      </c>
      <c r="C388" s="20" t="s">
        <v>519</v>
      </c>
      <c r="D388" t="s">
        <v>178</v>
      </c>
      <c r="E388" t="s">
        <v>763</v>
      </c>
      <c r="F388" t="s">
        <v>9</v>
      </c>
      <c r="G388" t="s">
        <v>380</v>
      </c>
      <c r="H388" s="79">
        <v>1</v>
      </c>
      <c r="I388" s="160" cm="1">
        <f t="array" ref="I388">IFERROR(
  VALUE($H388) *
  VALUE(
    _xlfn.XLOOKUP(
      TRIM($F388) &amp; "|" &amp; LEFT(SUBSTITUTE($G388,CHAR(160)," "),5) &amp; "|Full Rate",
      TRIM(SUBSTITUTE($T$2:$T$38,CHAR(160)," ")) &amp; "|" &amp;
      LEFT(SUBSTITUTE($U$2:$U$38,CHAR(160)," "),5) &amp; "|" &amp;
      TRIM(SUBSTITUTE($V$2:$V$38,CHAR(160)," ")),
      $W$2:$W$38
    )
  ),
"")</f>
        <v>250</v>
      </c>
      <c r="J388" s="161" cm="1">
        <f t="array" ref="J388">IFERROR(
  VALUE($H388) *
  VALUE(
    _xlfn.XLOOKUP(
      TRIM($F388) &amp; "|" &amp; LEFT(SUBSTITUTE($G388,CHAR(160)," "),5) &amp; "|Reduced Rate",
      TRIM(SUBSTITUTE($T$2:$T$38,CHAR(160)," ")) &amp; "|" &amp;
      LEFT(SUBSTITUTE($U$2:$U$38,CHAR(160)," "),5) &amp; "|" &amp;
      TRIM(SUBSTITUTE($V$2:$V$38,CHAR(160)," ")),
      $W$2:$W$38
    )
  ),
"")</f>
        <v>150</v>
      </c>
      <c r="K388" s="42" cm="1">
        <f t="array" ref="K388">IFERROR(
  VALUE($H388) *
  VALUE(
    _xlfn.XLOOKUP(
      TRIM($F388) &amp; "|" &amp; LEFT(SUBSTITUTE($G388,CHAR(160)," "),5) &amp; "|Ideas Rate",
      TRIM(SUBSTITUTE($T$2:$T$38,CHAR(160)," ")) &amp; "|" &amp;
      LEFT(SUBSTITUTE($U$2:$U$38,CHAR(160)," "),5) &amp; "|" &amp;
      TRIM(SUBSTITUTE($V$2:$V$38,CHAR(160)," ")),
      $W$2:$W$38
    )
  ),
"")</f>
        <v>75</v>
      </c>
    </row>
    <row r="389" spans="1:11" x14ac:dyDescent="0.2">
      <c r="A389" s="10">
        <v>46097</v>
      </c>
      <c r="B389" s="5" t="s">
        <v>714</v>
      </c>
      <c r="C389" s="20" t="s">
        <v>519</v>
      </c>
      <c r="D389" t="s">
        <v>178</v>
      </c>
      <c r="E389" t="s">
        <v>763</v>
      </c>
      <c r="F389" t="s">
        <v>10</v>
      </c>
      <c r="G389" t="s">
        <v>380</v>
      </c>
      <c r="H389" s="79">
        <v>1</v>
      </c>
      <c r="I389" s="160" cm="1">
        <f t="array" ref="I389">IFERROR(
  VALUE($H389) *
  VALUE(
    _xlfn.XLOOKUP(
      TRIM($F389) &amp; "|" &amp; LEFT(SUBSTITUTE($G389,CHAR(160)," "),5) &amp; "|Full Rate",
      TRIM(SUBSTITUTE($T$2:$T$38,CHAR(160)," ")) &amp; "|" &amp;
      LEFT(SUBSTITUTE($U$2:$U$38,CHAR(160)," "),5) &amp; "|" &amp;
      TRIM(SUBSTITUTE($V$2:$V$38,CHAR(160)," ")),
      $W$2:$W$38
    )
  ),
"")</f>
        <v>250</v>
      </c>
      <c r="J389" s="161" cm="1">
        <f t="array" ref="J389">IFERROR(
  VALUE($H389) *
  VALUE(
    _xlfn.XLOOKUP(
      TRIM($F389) &amp; "|" &amp; LEFT(SUBSTITUTE($G389,CHAR(160)," "),5) &amp; "|Reduced Rate",
      TRIM(SUBSTITUTE($T$2:$T$38,CHAR(160)," ")) &amp; "|" &amp;
      LEFT(SUBSTITUTE($U$2:$U$38,CHAR(160)," "),5) &amp; "|" &amp;
      TRIM(SUBSTITUTE($V$2:$V$38,CHAR(160)," ")),
      $W$2:$W$38
    )
  ),
"")</f>
        <v>150</v>
      </c>
      <c r="K389" s="42" cm="1">
        <f t="array" ref="K389">IFERROR(
  VALUE($H389) *
  VALUE(
    _xlfn.XLOOKUP(
      TRIM($F389) &amp; "|" &amp; LEFT(SUBSTITUTE($G389,CHAR(160)," "),5) &amp; "|Ideas Rate",
      TRIM(SUBSTITUTE($T$2:$T$38,CHAR(160)," ")) &amp; "|" &amp;
      LEFT(SUBSTITUTE($U$2:$U$38,CHAR(160)," "),5) &amp; "|" &amp;
      TRIM(SUBSTITUTE($V$2:$V$38,CHAR(160)," ")),
      $W$2:$W$38
    )
  ),
"")</f>
        <v>75</v>
      </c>
    </row>
    <row r="390" spans="1:11" x14ac:dyDescent="0.2">
      <c r="A390" s="10">
        <v>46097</v>
      </c>
      <c r="B390" s="5" t="s">
        <v>714</v>
      </c>
      <c r="C390" s="20" t="s">
        <v>519</v>
      </c>
      <c r="D390" t="s">
        <v>323</v>
      </c>
      <c r="E390" t="s">
        <v>774</v>
      </c>
      <c r="F390" t="s">
        <v>155</v>
      </c>
      <c r="G390" t="s">
        <v>368</v>
      </c>
      <c r="H390" s="79">
        <v>4.5</v>
      </c>
      <c r="I390" s="160" cm="1">
        <f t="array" ref="I390">IFERROR(
  VALUE($H390) *
  VALUE(
    _xlfn.XLOOKUP(
      TRIM($F390) &amp; "|" &amp; LEFT(SUBSTITUTE($G390,CHAR(160)," "),5) &amp; "|Full Rate",
      TRIM(SUBSTITUTE($T$2:$T$38,CHAR(160)," ")) &amp; "|" &amp;
      LEFT(SUBSTITUTE($U$2:$U$38,CHAR(160)," "),5) &amp; "|" &amp;
      TRIM(SUBSTITUTE($V$2:$V$38,CHAR(160)," ")),
      $W$2:$W$38
    )
  ),
"")</f>
        <v>450</v>
      </c>
      <c r="J390" s="161" cm="1">
        <f t="array" ref="J390">IFERROR(
  VALUE($H390) *
  VALUE(
    _xlfn.XLOOKUP(
      TRIM($F390) &amp; "|" &amp; LEFT(SUBSTITUTE($G390,CHAR(160)," "),5) &amp; "|Reduced Rate",
      TRIM(SUBSTITUTE($T$2:$T$38,CHAR(160)," ")) &amp; "|" &amp;
      LEFT(SUBSTITUTE($U$2:$U$38,CHAR(160)," "),5) &amp; "|" &amp;
      TRIM(SUBSTITUTE($V$2:$V$38,CHAR(160)," ")),
      $W$2:$W$38
    )
  ),
"")</f>
        <v>225</v>
      </c>
      <c r="K390" s="42" cm="1">
        <f t="array" ref="K390">IFERROR(
  VALUE($H390) *
  VALUE(
    _xlfn.XLOOKUP(
      TRIM($F390) &amp; "|" &amp; LEFT(SUBSTITUTE($G390,CHAR(160)," "),5) &amp; "|Ideas Rate",
      TRIM(SUBSTITUTE($T$2:$T$38,CHAR(160)," ")) &amp; "|" &amp;
      LEFT(SUBSTITUTE($U$2:$U$38,CHAR(160)," "),5) &amp; "|" &amp;
      TRIM(SUBSTITUTE($V$2:$V$38,CHAR(160)," ")),
      $W$2:$W$38
    )
  ),
"")</f>
        <v>135</v>
      </c>
    </row>
    <row r="391" spans="1:11" x14ac:dyDescent="0.2">
      <c r="A391" s="10">
        <v>46097</v>
      </c>
      <c r="B391" s="5" t="s">
        <v>714</v>
      </c>
      <c r="C391" s="20" t="s">
        <v>519</v>
      </c>
      <c r="D391" t="s">
        <v>178</v>
      </c>
      <c r="E391" t="s">
        <v>775</v>
      </c>
      <c r="F391" t="s">
        <v>155</v>
      </c>
      <c r="G391" t="s">
        <v>380</v>
      </c>
      <c r="H391" s="79">
        <v>1</v>
      </c>
      <c r="I391" s="160" cm="1">
        <f t="array" ref="I391">IFERROR(
  VALUE($H391) *
  VALUE(
    _xlfn.XLOOKUP(
      TRIM($F391) &amp; "|" &amp; LEFT(SUBSTITUTE($G391,CHAR(160)," "),5) &amp; "|Full Rate",
      TRIM(SUBSTITUTE($T$2:$T$38,CHAR(160)," ")) &amp; "|" &amp;
      LEFT(SUBSTITUTE($U$2:$U$38,CHAR(160)," "),5) &amp; "|" &amp;
      TRIM(SUBSTITUTE($V$2:$V$38,CHAR(160)," ")),
      $W$2:$W$38
    )
  ),
"")</f>
        <v>260</v>
      </c>
      <c r="J391" s="161" cm="1">
        <f t="array" ref="J391">IFERROR(
  VALUE($H391) *
  VALUE(
    _xlfn.XLOOKUP(
      TRIM($F391) &amp; "|" &amp; LEFT(SUBSTITUTE($G391,CHAR(160)," "),5) &amp; "|Reduced Rate",
      TRIM(SUBSTITUTE($T$2:$T$38,CHAR(160)," ")) &amp; "|" &amp;
      LEFT(SUBSTITUTE($U$2:$U$38,CHAR(160)," "),5) &amp; "|" &amp;
      TRIM(SUBSTITUTE($V$2:$V$38,CHAR(160)," ")),
      $W$2:$W$38
    )
  ),
"")</f>
        <v>120</v>
      </c>
      <c r="K391" s="42" cm="1">
        <f t="array" ref="K391">IFERROR(
  VALUE($H391) *
  VALUE(
    _xlfn.XLOOKUP(
      TRIM($F391) &amp; "|" &amp; LEFT(SUBSTITUTE($G391,CHAR(160)," "),5) &amp; "|Ideas Rate",
      TRIM(SUBSTITUTE($T$2:$T$38,CHAR(160)," ")) &amp; "|" &amp;
      LEFT(SUBSTITUTE($U$2:$U$38,CHAR(160)," "),5) &amp; "|" &amp;
      TRIM(SUBSTITUTE($V$2:$V$38,CHAR(160)," ")),
      $W$2:$W$38
    )
  ),
"")</f>
        <v>90</v>
      </c>
    </row>
    <row r="392" spans="1:11" x14ac:dyDescent="0.2">
      <c r="A392" s="10">
        <v>46097</v>
      </c>
      <c r="B392" s="5" t="s">
        <v>714</v>
      </c>
      <c r="C392" s="20" t="s">
        <v>519</v>
      </c>
      <c r="D392" t="s">
        <v>190</v>
      </c>
      <c r="E392" t="s">
        <v>776</v>
      </c>
      <c r="F392" t="s">
        <v>155</v>
      </c>
      <c r="G392" t="s">
        <v>368</v>
      </c>
      <c r="H392" s="79">
        <v>2</v>
      </c>
      <c r="I392" s="160" cm="1">
        <f t="array" ref="I392">IFERROR(
  VALUE($H392) *
  VALUE(
    _xlfn.XLOOKUP(
      TRIM($F392) &amp; "|" &amp; LEFT(SUBSTITUTE($G392,CHAR(160)," "),5) &amp; "|Full Rate",
      TRIM(SUBSTITUTE($T$2:$T$38,CHAR(160)," ")) &amp; "|" &amp;
      LEFT(SUBSTITUTE($U$2:$U$38,CHAR(160)," "),5) &amp; "|" &amp;
      TRIM(SUBSTITUTE($V$2:$V$38,CHAR(160)," ")),
      $W$2:$W$38
    )
  ),
"")</f>
        <v>200</v>
      </c>
      <c r="J392" s="161" cm="1">
        <f t="array" ref="J392">IFERROR(
  VALUE($H392) *
  VALUE(
    _xlfn.XLOOKUP(
      TRIM($F392) &amp; "|" &amp; LEFT(SUBSTITUTE($G392,CHAR(160)," "),5) &amp; "|Reduced Rate",
      TRIM(SUBSTITUTE($T$2:$T$38,CHAR(160)," ")) &amp; "|" &amp;
      LEFT(SUBSTITUTE($U$2:$U$38,CHAR(160)," "),5) &amp; "|" &amp;
      TRIM(SUBSTITUTE($V$2:$V$38,CHAR(160)," ")),
      $W$2:$W$38
    )
  ),
"")</f>
        <v>100</v>
      </c>
      <c r="K392" s="42" cm="1">
        <f t="array" ref="K392">IFERROR(
  VALUE($H392) *
  VALUE(
    _xlfn.XLOOKUP(
      TRIM($F392) &amp; "|" &amp; LEFT(SUBSTITUTE($G392,CHAR(160)," "),5) &amp; "|Ideas Rate",
      TRIM(SUBSTITUTE($T$2:$T$38,CHAR(160)," ")) &amp; "|" &amp;
      LEFT(SUBSTITUTE($U$2:$U$38,CHAR(160)," "),5) &amp; "|" &amp;
      TRIM(SUBSTITUTE($V$2:$V$38,CHAR(160)," ")),
      $W$2:$W$38
    )
  ),
"")</f>
        <v>60</v>
      </c>
    </row>
    <row r="393" spans="1:11" x14ac:dyDescent="0.2">
      <c r="A393" s="10">
        <v>46098</v>
      </c>
      <c r="B393" s="5" t="s">
        <v>714</v>
      </c>
      <c r="C393" s="20" t="s">
        <v>519</v>
      </c>
      <c r="D393" t="s">
        <v>190</v>
      </c>
      <c r="E393" s="54" t="s">
        <v>764</v>
      </c>
      <c r="F393" t="s">
        <v>9</v>
      </c>
      <c r="G393" t="s">
        <v>380</v>
      </c>
      <c r="H393" s="79">
        <v>5</v>
      </c>
      <c r="I393" s="160" cm="1">
        <f t="array" ref="I393">IFERROR(
  VALUE($H393) *
  VALUE(
    _xlfn.XLOOKUP(
      TRIM($F393) &amp; "|" &amp; LEFT(SUBSTITUTE($G393,CHAR(160)," "),5) &amp; "|Full Rate",
      TRIM(SUBSTITUTE($T$2:$T$38,CHAR(160)," ")) &amp; "|" &amp;
      LEFT(SUBSTITUTE($U$2:$U$38,CHAR(160)," "),5) &amp; "|" &amp;
      TRIM(SUBSTITUTE($V$2:$V$38,CHAR(160)," ")),
      $W$2:$W$38
    )
  ),
"")</f>
        <v>1250</v>
      </c>
      <c r="J393" s="161" cm="1">
        <f t="array" ref="J393">IFERROR(
  VALUE($H393) *
  VALUE(
    _xlfn.XLOOKUP(
      TRIM($F393) &amp; "|" &amp; LEFT(SUBSTITUTE($G393,CHAR(160)," "),5) &amp; "|Reduced Rate",
      TRIM(SUBSTITUTE($T$2:$T$38,CHAR(160)," ")) &amp; "|" &amp;
      LEFT(SUBSTITUTE($U$2:$U$38,CHAR(160)," "),5) &amp; "|" &amp;
      TRIM(SUBSTITUTE($V$2:$V$38,CHAR(160)," ")),
      $W$2:$W$38
    )
  ),
"")</f>
        <v>750</v>
      </c>
      <c r="K393" s="42" cm="1">
        <f t="array" ref="K393">IFERROR(
  VALUE($H393) *
  VALUE(
    _xlfn.XLOOKUP(
      TRIM($F393) &amp; "|" &amp; LEFT(SUBSTITUTE($G393,CHAR(160)," "),5) &amp; "|Ideas Rate",
      TRIM(SUBSTITUTE($T$2:$T$38,CHAR(160)," ")) &amp; "|" &amp;
      LEFT(SUBSTITUTE($U$2:$U$38,CHAR(160)," "),5) &amp; "|" &amp;
      TRIM(SUBSTITUTE($V$2:$V$38,CHAR(160)," ")),
      $W$2:$W$38
    )
  ),
"")</f>
        <v>375</v>
      </c>
    </row>
    <row r="394" spans="1:11" x14ac:dyDescent="0.2">
      <c r="A394" s="10">
        <v>46098</v>
      </c>
      <c r="B394" s="5" t="s">
        <v>714</v>
      </c>
      <c r="C394" s="20" t="s">
        <v>519</v>
      </c>
      <c r="D394" t="s">
        <v>190</v>
      </c>
      <c r="E394" s="54" t="s">
        <v>765</v>
      </c>
      <c r="F394" t="s">
        <v>9</v>
      </c>
      <c r="G394" t="s">
        <v>380</v>
      </c>
      <c r="H394" s="79">
        <v>5</v>
      </c>
      <c r="I394" s="160" cm="1">
        <f t="array" ref="I394">IFERROR(
  VALUE($H394) *
  VALUE(
    _xlfn.XLOOKUP(
      TRIM($F394) &amp; "|" &amp; LEFT(SUBSTITUTE($G394,CHAR(160)," "),5) &amp; "|Full Rate",
      TRIM(SUBSTITUTE($T$2:$T$38,CHAR(160)," ")) &amp; "|" &amp;
      LEFT(SUBSTITUTE($U$2:$U$38,CHAR(160)," "),5) &amp; "|" &amp;
      TRIM(SUBSTITUTE($V$2:$V$38,CHAR(160)," ")),
      $W$2:$W$38
    )
  ),
"")</f>
        <v>1250</v>
      </c>
      <c r="J394" s="161" cm="1">
        <f t="array" ref="J394">IFERROR(
  VALUE($H394) *
  VALUE(
    _xlfn.XLOOKUP(
      TRIM($F394) &amp; "|" &amp; LEFT(SUBSTITUTE($G394,CHAR(160)," "),5) &amp; "|Reduced Rate",
      TRIM(SUBSTITUTE($T$2:$T$38,CHAR(160)," ")) &amp; "|" &amp;
      LEFT(SUBSTITUTE($U$2:$U$38,CHAR(160)," "),5) &amp; "|" &amp;
      TRIM(SUBSTITUTE($V$2:$V$38,CHAR(160)," ")),
      $W$2:$W$38
    )
  ),
"")</f>
        <v>750</v>
      </c>
      <c r="K394" s="42" cm="1">
        <f t="array" ref="K394">IFERROR(
  VALUE($H394) *
  VALUE(
    _xlfn.XLOOKUP(
      TRIM($F394) &amp; "|" &amp; LEFT(SUBSTITUTE($G394,CHAR(160)," "),5) &amp; "|Ideas Rate",
      TRIM(SUBSTITUTE($T$2:$T$38,CHAR(160)," ")) &amp; "|" &amp;
      LEFT(SUBSTITUTE($U$2:$U$38,CHAR(160)," "),5) &amp; "|" &amp;
      TRIM(SUBSTITUTE($V$2:$V$38,CHAR(160)," ")),
      $W$2:$W$38
    )
  ),
"")</f>
        <v>375</v>
      </c>
    </row>
    <row r="395" spans="1:11" x14ac:dyDescent="0.2">
      <c r="A395" s="10">
        <v>46098</v>
      </c>
      <c r="B395" s="5" t="s">
        <v>714</v>
      </c>
      <c r="C395" s="20" t="s">
        <v>519</v>
      </c>
      <c r="D395" t="s">
        <v>182</v>
      </c>
      <c r="E395" s="54" t="s">
        <v>752</v>
      </c>
      <c r="F395" t="s">
        <v>155</v>
      </c>
      <c r="G395" t="s">
        <v>367</v>
      </c>
      <c r="H395" s="79">
        <v>8</v>
      </c>
      <c r="I395" s="160" cm="1">
        <f t="array" ref="I395">IFERROR(
  VALUE($H395) *
  VALUE(
    _xlfn.XLOOKUP(
      TRIM($F395) &amp; "|" &amp; LEFT(SUBSTITUTE($G395,CHAR(160)," "),5) &amp; "|Full Rate",
      TRIM(SUBSTITUTE($T$2:$T$38,CHAR(160)," ")) &amp; "|" &amp;
      LEFT(SUBSTITUTE($U$2:$U$38,CHAR(160)," "),5) &amp; "|" &amp;
      TRIM(SUBSTITUTE($V$2:$V$38,CHAR(160)," ")),
      $W$2:$W$38
    )
  ),
"")</f>
        <v>3200</v>
      </c>
      <c r="J395" s="161" cm="1">
        <f t="array" ref="J395">IFERROR(
  VALUE($H395) *
  VALUE(
    _xlfn.XLOOKUP(
      TRIM($F395) &amp; "|" &amp; LEFT(SUBSTITUTE($G395,CHAR(160)," "),5) &amp; "|Reduced Rate",
      TRIM(SUBSTITUTE($T$2:$T$38,CHAR(160)," ")) &amp; "|" &amp;
      LEFT(SUBSTITUTE($U$2:$U$38,CHAR(160)," "),5) &amp; "|" &amp;
      TRIM(SUBSTITUTE($V$2:$V$38,CHAR(160)," ")),
      $W$2:$W$38
    )
  ),
"")</f>
        <v>1600</v>
      </c>
      <c r="K395" s="42" cm="1">
        <f t="array" ref="K395">IFERROR(
  VALUE($H395) *
  VALUE(
    _xlfn.XLOOKUP(
      TRIM($F395) &amp; "|" &amp; LEFT(SUBSTITUTE($G395,CHAR(160)," "),5) &amp; "|Ideas Rate",
      TRIM(SUBSTITUTE($T$2:$T$38,CHAR(160)," ")) &amp; "|" &amp;
      LEFT(SUBSTITUTE($U$2:$U$38,CHAR(160)," "),5) &amp; "|" &amp;
      TRIM(SUBSTITUTE($V$2:$V$38,CHAR(160)," ")),
      $W$2:$W$38
    )
  ),
"")</f>
        <v>960</v>
      </c>
    </row>
    <row r="396" spans="1:11" x14ac:dyDescent="0.2">
      <c r="A396" s="10">
        <v>46099</v>
      </c>
      <c r="B396" s="5" t="s">
        <v>714</v>
      </c>
      <c r="C396" s="20" t="s">
        <v>519</v>
      </c>
      <c r="D396" t="s">
        <v>190</v>
      </c>
      <c r="E396" s="54" t="s">
        <v>764</v>
      </c>
      <c r="F396" t="s">
        <v>9</v>
      </c>
      <c r="G396" t="s">
        <v>380</v>
      </c>
      <c r="H396" s="79">
        <v>5</v>
      </c>
      <c r="I396" s="160" cm="1">
        <f t="array" ref="I396">IFERROR(
  VALUE($H396) *
  VALUE(
    _xlfn.XLOOKUP(
      TRIM($F396) &amp; "|" &amp; LEFT(SUBSTITUTE($G396,CHAR(160)," "),5) &amp; "|Full Rate",
      TRIM(SUBSTITUTE($T$2:$T$38,CHAR(160)," ")) &amp; "|" &amp;
      LEFT(SUBSTITUTE($U$2:$U$38,CHAR(160)," "),5) &amp; "|" &amp;
      TRIM(SUBSTITUTE($V$2:$V$38,CHAR(160)," ")),
      $W$2:$W$38
    )
  ),
"")</f>
        <v>1250</v>
      </c>
      <c r="J396" s="161" cm="1">
        <f t="array" ref="J396">IFERROR(
  VALUE($H396) *
  VALUE(
    _xlfn.XLOOKUP(
      TRIM($F396) &amp; "|" &amp; LEFT(SUBSTITUTE($G396,CHAR(160)," "),5) &amp; "|Reduced Rate",
      TRIM(SUBSTITUTE($T$2:$T$38,CHAR(160)," ")) &amp; "|" &amp;
      LEFT(SUBSTITUTE($U$2:$U$38,CHAR(160)," "),5) &amp; "|" &amp;
      TRIM(SUBSTITUTE($V$2:$V$38,CHAR(160)," ")),
      $W$2:$W$38
    )
  ),
"")</f>
        <v>750</v>
      </c>
      <c r="K396" s="42" cm="1">
        <f t="array" ref="K396">IFERROR(
  VALUE($H396) *
  VALUE(
    _xlfn.XLOOKUP(
      TRIM($F396) &amp; "|" &amp; LEFT(SUBSTITUTE($G396,CHAR(160)," "),5) &amp; "|Ideas Rate",
      TRIM(SUBSTITUTE($T$2:$T$38,CHAR(160)," ")) &amp; "|" &amp;
      LEFT(SUBSTITUTE($U$2:$U$38,CHAR(160)," "),5) &amp; "|" &amp;
      TRIM(SUBSTITUTE($V$2:$V$38,CHAR(160)," ")),
      $W$2:$W$38
    )
  ),
"")</f>
        <v>375</v>
      </c>
    </row>
    <row r="397" spans="1:11" x14ac:dyDescent="0.2">
      <c r="A397" s="10">
        <v>46099</v>
      </c>
      <c r="B397" s="5" t="s">
        <v>714</v>
      </c>
      <c r="C397" s="20" t="s">
        <v>519</v>
      </c>
      <c r="D397" t="s">
        <v>190</v>
      </c>
      <c r="E397" s="54" t="s">
        <v>765</v>
      </c>
      <c r="F397" t="s">
        <v>9</v>
      </c>
      <c r="G397" t="s">
        <v>380</v>
      </c>
      <c r="H397" s="79">
        <v>5</v>
      </c>
      <c r="I397" s="160" cm="1">
        <f t="array" ref="I397">IFERROR(
  VALUE($H397) *
  VALUE(
    _xlfn.XLOOKUP(
      TRIM($F397) &amp; "|" &amp; LEFT(SUBSTITUTE($G397,CHAR(160)," "),5) &amp; "|Full Rate",
      TRIM(SUBSTITUTE($T$2:$T$38,CHAR(160)," ")) &amp; "|" &amp;
      LEFT(SUBSTITUTE($U$2:$U$38,CHAR(160)," "),5) &amp; "|" &amp;
      TRIM(SUBSTITUTE($V$2:$V$38,CHAR(160)," ")),
      $W$2:$W$38
    )
  ),
"")</f>
        <v>1250</v>
      </c>
      <c r="J397" s="161" cm="1">
        <f t="array" ref="J397">IFERROR(
  VALUE($H397) *
  VALUE(
    _xlfn.XLOOKUP(
      TRIM($F397) &amp; "|" &amp; LEFT(SUBSTITUTE($G397,CHAR(160)," "),5) &amp; "|Reduced Rate",
      TRIM(SUBSTITUTE($T$2:$T$38,CHAR(160)," ")) &amp; "|" &amp;
      LEFT(SUBSTITUTE($U$2:$U$38,CHAR(160)," "),5) &amp; "|" &amp;
      TRIM(SUBSTITUTE($V$2:$V$38,CHAR(160)," ")),
      $W$2:$W$38
    )
  ),
"")</f>
        <v>750</v>
      </c>
      <c r="K397" s="42" cm="1">
        <f t="array" ref="K397">IFERROR(
  VALUE($H397) *
  VALUE(
    _xlfn.XLOOKUP(
      TRIM($F397) &amp; "|" &amp; LEFT(SUBSTITUTE($G397,CHAR(160)," "),5) &amp; "|Ideas Rate",
      TRIM(SUBSTITUTE($T$2:$T$38,CHAR(160)," ")) &amp; "|" &amp;
      LEFT(SUBSTITUTE($U$2:$U$38,CHAR(160)," "),5) &amp; "|" &amp;
      TRIM(SUBSTITUTE($V$2:$V$38,CHAR(160)," ")),
      $W$2:$W$38
    )
  ),
"")</f>
        <v>375</v>
      </c>
    </row>
    <row r="398" spans="1:11" x14ac:dyDescent="0.2">
      <c r="A398" s="10">
        <v>46099</v>
      </c>
      <c r="B398" s="5" t="s">
        <v>714</v>
      </c>
      <c r="C398" s="20" t="s">
        <v>519</v>
      </c>
      <c r="D398" t="s">
        <v>178</v>
      </c>
      <c r="E398" s="54" t="s">
        <v>766</v>
      </c>
      <c r="F398" t="s">
        <v>9</v>
      </c>
      <c r="G398" t="s">
        <v>380</v>
      </c>
      <c r="H398" s="79">
        <v>0.5</v>
      </c>
      <c r="I398" s="160" cm="1">
        <f t="array" ref="I398">IFERROR(
  VALUE($H398) *
  VALUE(
    _xlfn.XLOOKUP(
      TRIM($F398) &amp; "|" &amp; LEFT(SUBSTITUTE($G398,CHAR(160)," "),5) &amp; "|Full Rate",
      TRIM(SUBSTITUTE($T$2:$T$38,CHAR(160)," ")) &amp; "|" &amp;
      LEFT(SUBSTITUTE($U$2:$U$38,CHAR(160)," "),5) &amp; "|" &amp;
      TRIM(SUBSTITUTE($V$2:$V$38,CHAR(160)," ")),
      $W$2:$W$38
    )
  ),
"")</f>
        <v>125</v>
      </c>
      <c r="J398" s="161" cm="1">
        <f t="array" ref="J398">IFERROR(
  VALUE($H398) *
  VALUE(
    _xlfn.XLOOKUP(
      TRIM($F398) &amp; "|" &amp; LEFT(SUBSTITUTE($G398,CHAR(160)," "),5) &amp; "|Reduced Rate",
      TRIM(SUBSTITUTE($T$2:$T$38,CHAR(160)," ")) &amp; "|" &amp;
      LEFT(SUBSTITUTE($U$2:$U$38,CHAR(160)," "),5) &amp; "|" &amp;
      TRIM(SUBSTITUTE($V$2:$V$38,CHAR(160)," ")),
      $W$2:$W$38
    )
  ),
"")</f>
        <v>75</v>
      </c>
      <c r="K398" s="42" cm="1">
        <f t="array" ref="K398">IFERROR(
  VALUE($H398) *
  VALUE(
    _xlfn.XLOOKUP(
      TRIM($F398) &amp; "|" &amp; LEFT(SUBSTITUTE($G398,CHAR(160)," "),5) &amp; "|Ideas Rate",
      TRIM(SUBSTITUTE($T$2:$T$38,CHAR(160)," ")) &amp; "|" &amp;
      LEFT(SUBSTITUTE($U$2:$U$38,CHAR(160)," "),5) &amp; "|" &amp;
      TRIM(SUBSTITUTE($V$2:$V$38,CHAR(160)," ")),
      $W$2:$W$38
    )
  ),
"")</f>
        <v>37.5</v>
      </c>
    </row>
    <row r="399" spans="1:11" x14ac:dyDescent="0.2">
      <c r="A399" s="10">
        <v>46099</v>
      </c>
      <c r="B399" s="5" t="s">
        <v>714</v>
      </c>
      <c r="C399" s="20" t="s">
        <v>519</v>
      </c>
      <c r="D399" t="s">
        <v>178</v>
      </c>
      <c r="E399" s="54" t="s">
        <v>767</v>
      </c>
      <c r="F399" t="s">
        <v>10</v>
      </c>
      <c r="G399" t="s">
        <v>380</v>
      </c>
      <c r="H399" s="79">
        <v>0.5</v>
      </c>
      <c r="I399" s="160" cm="1">
        <f t="array" ref="I399">IFERROR(
  VALUE($H399) *
  VALUE(
    _xlfn.XLOOKUP(
      TRIM($F399) &amp; "|" &amp; LEFT(SUBSTITUTE($G399,CHAR(160)," "),5) &amp; "|Full Rate",
      TRIM(SUBSTITUTE($T$2:$T$38,CHAR(160)," ")) &amp; "|" &amp;
      LEFT(SUBSTITUTE($U$2:$U$38,CHAR(160)," "),5) &amp; "|" &amp;
      TRIM(SUBSTITUTE($V$2:$V$38,CHAR(160)," ")),
      $W$2:$W$38
    )
  ),
"")</f>
        <v>125</v>
      </c>
      <c r="J399" s="161" cm="1">
        <f t="array" ref="J399">IFERROR(
  VALUE($H399) *
  VALUE(
    _xlfn.XLOOKUP(
      TRIM($F399) &amp; "|" &amp; LEFT(SUBSTITUTE($G399,CHAR(160)," "),5) &amp; "|Reduced Rate",
      TRIM(SUBSTITUTE($T$2:$T$38,CHAR(160)," ")) &amp; "|" &amp;
      LEFT(SUBSTITUTE($U$2:$U$38,CHAR(160)," "),5) &amp; "|" &amp;
      TRIM(SUBSTITUTE($V$2:$V$38,CHAR(160)," ")),
      $W$2:$W$38
    )
  ),
"")</f>
        <v>75</v>
      </c>
      <c r="K399" s="42" cm="1">
        <f t="array" ref="K399">IFERROR(
  VALUE($H399) *
  VALUE(
    _xlfn.XLOOKUP(
      TRIM($F399) &amp; "|" &amp; LEFT(SUBSTITUTE($G399,CHAR(160)," "),5) &amp; "|Ideas Rate",
      TRIM(SUBSTITUTE($T$2:$T$38,CHAR(160)," ")) &amp; "|" &amp;
      LEFT(SUBSTITUTE($U$2:$U$38,CHAR(160)," "),5) &amp; "|" &amp;
      TRIM(SUBSTITUTE($V$2:$V$38,CHAR(160)," ")),
      $W$2:$W$38
    )
  ),
"")</f>
        <v>37.5</v>
      </c>
    </row>
    <row r="400" spans="1:11" x14ac:dyDescent="0.2">
      <c r="A400" s="10">
        <v>46099</v>
      </c>
      <c r="B400" s="5" t="s">
        <v>714</v>
      </c>
      <c r="C400" s="20" t="s">
        <v>519</v>
      </c>
      <c r="D400" t="s">
        <v>182</v>
      </c>
      <c r="E400" s="54" t="s">
        <v>757</v>
      </c>
      <c r="F400" t="s">
        <v>155</v>
      </c>
      <c r="G400" t="s">
        <v>367</v>
      </c>
      <c r="H400" s="79">
        <v>8</v>
      </c>
      <c r="I400" s="160" cm="1">
        <f t="array" ref="I400">IFERROR(
  VALUE($H400) *
  VALUE(
    _xlfn.XLOOKUP(
      TRIM($F400) &amp; "|" &amp; LEFT(SUBSTITUTE($G400,CHAR(160)," "),5) &amp; "|Full Rate",
      TRIM(SUBSTITUTE($T$2:$T$38,CHAR(160)," ")) &amp; "|" &amp;
      LEFT(SUBSTITUTE($U$2:$U$38,CHAR(160)," "),5) &amp; "|" &amp;
      TRIM(SUBSTITUTE($V$2:$V$38,CHAR(160)," ")),
      $W$2:$W$38
    )
  ),
"")</f>
        <v>3200</v>
      </c>
      <c r="J400" s="161" cm="1">
        <f t="array" ref="J400">IFERROR(
  VALUE($H400) *
  VALUE(
    _xlfn.XLOOKUP(
      TRIM($F400) &amp; "|" &amp; LEFT(SUBSTITUTE($G400,CHAR(160)," "),5) &amp; "|Reduced Rate",
      TRIM(SUBSTITUTE($T$2:$T$38,CHAR(160)," ")) &amp; "|" &amp;
      LEFT(SUBSTITUTE($U$2:$U$38,CHAR(160)," "),5) &amp; "|" &amp;
      TRIM(SUBSTITUTE($V$2:$V$38,CHAR(160)," ")),
      $W$2:$W$38
    )
  ),
"")</f>
        <v>1600</v>
      </c>
      <c r="K400" s="42" cm="1">
        <f t="array" ref="K400">IFERROR(
  VALUE($H400) *
  VALUE(
    _xlfn.XLOOKUP(
      TRIM($F400) &amp; "|" &amp; LEFT(SUBSTITUTE($G400,CHAR(160)," "),5) &amp; "|Ideas Rate",
      TRIM(SUBSTITUTE($T$2:$T$38,CHAR(160)," ")) &amp; "|" &amp;
      LEFT(SUBSTITUTE($U$2:$U$38,CHAR(160)," "),5) &amp; "|" &amp;
      TRIM(SUBSTITUTE($V$2:$V$38,CHAR(160)," ")),
      $W$2:$W$38
    )
  ),
"")</f>
        <v>960</v>
      </c>
    </row>
    <row r="401" spans="1:11" x14ac:dyDescent="0.2">
      <c r="A401" s="10">
        <v>46100</v>
      </c>
      <c r="B401" s="5" t="s">
        <v>714</v>
      </c>
      <c r="C401" s="20" t="s">
        <v>519</v>
      </c>
      <c r="D401" t="s">
        <v>190</v>
      </c>
      <c r="E401" s="54" t="s">
        <v>768</v>
      </c>
      <c r="F401" t="s">
        <v>10</v>
      </c>
      <c r="G401" t="s">
        <v>368</v>
      </c>
      <c r="H401" s="79">
        <v>12</v>
      </c>
      <c r="I401" s="160" cm="1">
        <f t="array" ref="I401">IFERROR(
  VALUE($H401) *
  VALUE(
    _xlfn.XLOOKUP(
      TRIM($F401) &amp; "|" &amp; LEFT(SUBSTITUTE($G401,CHAR(160)," "),5) &amp; "|Full Rate",
      TRIM(SUBSTITUTE($T$2:$T$38,CHAR(160)," ")) &amp; "|" &amp;
      LEFT(SUBSTITUTE($U$2:$U$38,CHAR(160)," "),5) &amp; "|" &amp;
      TRIM(SUBSTITUTE($V$2:$V$38,CHAR(160)," ")),
      $W$2:$W$38
    )
  ),
"")</f>
        <v>1200</v>
      </c>
      <c r="J401" s="161" cm="1">
        <f t="array" ref="J401">IFERROR(
  VALUE($H401) *
  VALUE(
    _xlfn.XLOOKUP(
      TRIM($F401) &amp; "|" &amp; LEFT(SUBSTITUTE($G401,CHAR(160)," "),5) &amp; "|Reduced Rate",
      TRIM(SUBSTITUTE($T$2:$T$38,CHAR(160)," ")) &amp; "|" &amp;
      LEFT(SUBSTITUTE($U$2:$U$38,CHAR(160)," "),5) &amp; "|" &amp;
      TRIM(SUBSTITUTE($V$2:$V$38,CHAR(160)," ")),
      $W$2:$W$38
    )
  ),
"")</f>
        <v>600</v>
      </c>
      <c r="K401" s="42" cm="1">
        <f t="array" ref="K401">IFERROR(
  VALUE($H401) *
  VALUE(
    _xlfn.XLOOKUP(
      TRIM($F401) &amp; "|" &amp; LEFT(SUBSTITUTE($G401,CHAR(160)," "),5) &amp; "|Ideas Rate",
      TRIM(SUBSTITUTE($T$2:$T$38,CHAR(160)," ")) &amp; "|" &amp;
      LEFT(SUBSTITUTE($U$2:$U$38,CHAR(160)," "),5) &amp; "|" &amp;
      TRIM(SUBSTITUTE($V$2:$V$38,CHAR(160)," ")),
      $W$2:$W$38
    )
  ),
"")</f>
        <v>360</v>
      </c>
    </row>
    <row r="402" spans="1:11" x14ac:dyDescent="0.2">
      <c r="A402" s="10">
        <v>46100</v>
      </c>
      <c r="B402" s="5" t="s">
        <v>714</v>
      </c>
      <c r="C402" s="20" t="s">
        <v>519</v>
      </c>
      <c r="D402" t="s">
        <v>190</v>
      </c>
      <c r="E402" s="54" t="s">
        <v>768</v>
      </c>
      <c r="F402" t="s">
        <v>9</v>
      </c>
      <c r="G402" t="s">
        <v>368</v>
      </c>
      <c r="H402" s="79">
        <v>12</v>
      </c>
      <c r="I402" s="160" cm="1">
        <f t="array" ref="I402">IFERROR(
  VALUE($H402) *
  VALUE(
    _xlfn.XLOOKUP(
      TRIM($F402) &amp; "|" &amp; LEFT(SUBSTITUTE($G402,CHAR(160)," "),5) &amp; "|Full Rate",
      TRIM(SUBSTITUTE($T$2:$T$38,CHAR(160)," ")) &amp; "|" &amp;
      LEFT(SUBSTITUTE($U$2:$U$38,CHAR(160)," "),5) &amp; "|" &amp;
      TRIM(SUBSTITUTE($V$2:$V$38,CHAR(160)," ")),
      $W$2:$W$38
    )
  ),
"")</f>
        <v>1200</v>
      </c>
      <c r="J402" s="161" cm="1">
        <f t="array" ref="J402">IFERROR(
  VALUE($H402) *
  VALUE(
    _xlfn.XLOOKUP(
      TRIM($F402) &amp; "|" &amp; LEFT(SUBSTITUTE($G402,CHAR(160)," "),5) &amp; "|Reduced Rate",
      TRIM(SUBSTITUTE($T$2:$T$38,CHAR(160)," ")) &amp; "|" &amp;
      LEFT(SUBSTITUTE($U$2:$U$38,CHAR(160)," "),5) &amp; "|" &amp;
      TRIM(SUBSTITUTE($V$2:$V$38,CHAR(160)," ")),
      $W$2:$W$38
    )
  ),
"")</f>
        <v>600</v>
      </c>
      <c r="K402" s="42" cm="1">
        <f t="array" ref="K402">IFERROR(
  VALUE($H402) *
  VALUE(
    _xlfn.XLOOKUP(
      TRIM($F402) &amp; "|" &amp; LEFT(SUBSTITUTE($G402,CHAR(160)," "),5) &amp; "|Ideas Rate",
      TRIM(SUBSTITUTE($T$2:$T$38,CHAR(160)," ")) &amp; "|" &amp;
      LEFT(SUBSTITUTE($U$2:$U$38,CHAR(160)," "),5) &amp; "|" &amp;
      TRIM(SUBSTITUTE($V$2:$V$38,CHAR(160)," ")),
      $W$2:$W$38
    )
  ),
"")</f>
        <v>360</v>
      </c>
    </row>
    <row r="403" spans="1:11" x14ac:dyDescent="0.2">
      <c r="A403" s="10">
        <v>46100</v>
      </c>
      <c r="B403" s="5" t="s">
        <v>714</v>
      </c>
      <c r="C403" s="20" t="s">
        <v>519</v>
      </c>
      <c r="D403" t="s">
        <v>182</v>
      </c>
      <c r="E403" s="54" t="s">
        <v>757</v>
      </c>
      <c r="F403" t="s">
        <v>155</v>
      </c>
      <c r="G403" t="s">
        <v>367</v>
      </c>
      <c r="H403" s="79">
        <v>8</v>
      </c>
      <c r="I403" s="160" cm="1">
        <f t="array" ref="I403">IFERROR(
  VALUE($H403) *
  VALUE(
    _xlfn.XLOOKUP(
      TRIM($F403) &amp; "|" &amp; LEFT(SUBSTITUTE($G403,CHAR(160)," "),5) &amp; "|Full Rate",
      TRIM(SUBSTITUTE($T$2:$T$38,CHAR(160)," ")) &amp; "|" &amp;
      LEFT(SUBSTITUTE($U$2:$U$38,CHAR(160)," "),5) &amp; "|" &amp;
      TRIM(SUBSTITUTE($V$2:$V$38,CHAR(160)," ")),
      $W$2:$W$38
    )
  ),
"")</f>
        <v>3200</v>
      </c>
      <c r="J403" s="161" cm="1">
        <f t="array" ref="J403">IFERROR(
  VALUE($H403) *
  VALUE(
    _xlfn.XLOOKUP(
      TRIM($F403) &amp; "|" &amp; LEFT(SUBSTITUTE($G403,CHAR(160)," "),5) &amp; "|Reduced Rate",
      TRIM(SUBSTITUTE($T$2:$T$38,CHAR(160)," ")) &amp; "|" &amp;
      LEFT(SUBSTITUTE($U$2:$U$38,CHAR(160)," "),5) &amp; "|" &amp;
      TRIM(SUBSTITUTE($V$2:$V$38,CHAR(160)," ")),
      $W$2:$W$38
    )
  ),
"")</f>
        <v>1600</v>
      </c>
      <c r="K403" s="42" cm="1">
        <f t="array" ref="K403">IFERROR(
  VALUE($H403) *
  VALUE(
    _xlfn.XLOOKUP(
      TRIM($F403) &amp; "|" &amp; LEFT(SUBSTITUTE($G403,CHAR(160)," "),5) &amp; "|Ideas Rate",
      TRIM(SUBSTITUTE($T$2:$T$38,CHAR(160)," ")) &amp; "|" &amp;
      LEFT(SUBSTITUTE($U$2:$U$38,CHAR(160)," "),5) &amp; "|" &amp;
      TRIM(SUBSTITUTE($V$2:$V$38,CHAR(160)," ")),
      $W$2:$W$38
    )
  ),
"")</f>
        <v>960</v>
      </c>
    </row>
    <row r="404" spans="1:11" x14ac:dyDescent="0.2">
      <c r="A404" s="10">
        <v>46100</v>
      </c>
      <c r="B404" s="5" t="s">
        <v>714</v>
      </c>
      <c r="C404" s="20" t="s">
        <v>519</v>
      </c>
      <c r="E404" s="54" t="s">
        <v>782</v>
      </c>
      <c r="F404" t="s">
        <v>156</v>
      </c>
      <c r="G404" t="s">
        <v>368</v>
      </c>
      <c r="H404" s="79">
        <v>4</v>
      </c>
      <c r="I404" s="160" cm="1">
        <f t="array" ref="I404">IFERROR(
  VALUE($H404) *
  VALUE(
    _xlfn.XLOOKUP(
      TRIM($F404) &amp; "|" &amp; LEFT(SUBSTITUTE($G404,CHAR(160)," "),5) &amp; "|Full Rate",
      TRIM(SUBSTITUTE($T$2:$T$38,CHAR(160)," ")) &amp; "|" &amp;
      LEFT(SUBSTITUTE($U$2:$U$38,CHAR(160)," "),5) &amp; "|" &amp;
      TRIM(SUBSTITUTE($V$2:$V$38,CHAR(160)," ")),
      $W$2:$W$38
    )
  ),
"")</f>
        <v>400</v>
      </c>
      <c r="J404" s="161" cm="1">
        <f t="array" ref="J404">IFERROR(
  VALUE($H404) *
  VALUE(
    _xlfn.XLOOKUP(
      TRIM($F404) &amp; "|" &amp; LEFT(SUBSTITUTE($G404,CHAR(160)," "),5) &amp; "|Reduced Rate",
      TRIM(SUBSTITUTE($T$2:$T$38,CHAR(160)," ")) &amp; "|" &amp;
      LEFT(SUBSTITUTE($U$2:$U$38,CHAR(160)," "),5) &amp; "|" &amp;
      TRIM(SUBSTITUTE($V$2:$V$38,CHAR(160)," ")),
      $W$2:$W$38
    )
  ),
"")</f>
        <v>200</v>
      </c>
      <c r="K404" s="42" cm="1">
        <f t="array" ref="K404">IFERROR(
  VALUE($H404) *
  VALUE(
    _xlfn.XLOOKUP(
      TRIM($F404) &amp; "|" &amp; LEFT(SUBSTITUTE($G404,CHAR(160)," "),5) &amp; "|Ideas Rate",
      TRIM(SUBSTITUTE($T$2:$T$38,CHAR(160)," ")) &amp; "|" &amp;
      LEFT(SUBSTITUTE($U$2:$U$38,CHAR(160)," "),5) &amp; "|" &amp;
      TRIM(SUBSTITUTE($V$2:$V$38,CHAR(160)," ")),
      $W$2:$W$38
    )
  ),
"")</f>
        <v>120</v>
      </c>
    </row>
    <row r="405" spans="1:11" x14ac:dyDescent="0.2">
      <c r="A405" s="10">
        <v>46101</v>
      </c>
      <c r="B405" s="5" t="s">
        <v>714</v>
      </c>
      <c r="C405" s="20" t="s">
        <v>519</v>
      </c>
      <c r="D405" t="s">
        <v>190</v>
      </c>
      <c r="E405" s="54" t="s">
        <v>769</v>
      </c>
      <c r="F405" t="s">
        <v>9</v>
      </c>
      <c r="G405" t="s">
        <v>368</v>
      </c>
      <c r="H405" s="79">
        <v>12</v>
      </c>
      <c r="I405" s="160" cm="1">
        <f t="array" ref="I405">IFERROR(
  VALUE($H405) *
  VALUE(
    _xlfn.XLOOKUP(
      TRIM($F405) &amp; "|" &amp; LEFT(SUBSTITUTE($G405,CHAR(160)," "),5) &amp; "|Full Rate",
      TRIM(SUBSTITUTE($T$2:$T$38,CHAR(160)," ")) &amp; "|" &amp;
      LEFT(SUBSTITUTE($U$2:$U$38,CHAR(160)," "),5) &amp; "|" &amp;
      TRIM(SUBSTITUTE($V$2:$V$38,CHAR(160)," ")),
      $W$2:$W$38
    )
  ),
"")</f>
        <v>1200</v>
      </c>
      <c r="J405" s="161" cm="1">
        <f t="array" ref="J405">IFERROR(
  VALUE($H405) *
  VALUE(
    _xlfn.XLOOKUP(
      TRIM($F405) &amp; "|" &amp; LEFT(SUBSTITUTE($G405,CHAR(160)," "),5) &amp; "|Reduced Rate",
      TRIM(SUBSTITUTE($T$2:$T$38,CHAR(160)," ")) &amp; "|" &amp;
      LEFT(SUBSTITUTE($U$2:$U$38,CHAR(160)," "),5) &amp; "|" &amp;
      TRIM(SUBSTITUTE($V$2:$V$38,CHAR(160)," ")),
      $W$2:$W$38
    )
  ),
"")</f>
        <v>600</v>
      </c>
      <c r="K405" s="42" cm="1">
        <f t="array" ref="K405">IFERROR(
  VALUE($H405) *
  VALUE(
    _xlfn.XLOOKUP(
      TRIM($F405) &amp; "|" &amp; LEFT(SUBSTITUTE($G405,CHAR(160)," "),5) &amp; "|Ideas Rate",
      TRIM(SUBSTITUTE($T$2:$T$38,CHAR(160)," ")) &amp; "|" &amp;
      LEFT(SUBSTITUTE($U$2:$U$38,CHAR(160)," "),5) &amp; "|" &amp;
      TRIM(SUBSTITUTE($V$2:$V$38,CHAR(160)," ")),
      $W$2:$W$38
    )
  ),
"")</f>
        <v>360</v>
      </c>
    </row>
    <row r="406" spans="1:11" x14ac:dyDescent="0.2">
      <c r="A406" s="10">
        <v>46101</v>
      </c>
      <c r="B406" s="5" t="s">
        <v>714</v>
      </c>
      <c r="C406" s="20" t="s">
        <v>519</v>
      </c>
      <c r="D406" t="s">
        <v>190</v>
      </c>
      <c r="E406" s="54" t="s">
        <v>770</v>
      </c>
      <c r="F406" t="s">
        <v>10</v>
      </c>
      <c r="G406" t="s">
        <v>368</v>
      </c>
      <c r="H406" s="79">
        <v>5</v>
      </c>
      <c r="I406" s="160" cm="1">
        <f t="array" ref="I406">IFERROR(
  VALUE($H406) *
  VALUE(
    _xlfn.XLOOKUP(
      TRIM($F406) &amp; "|" &amp; LEFT(SUBSTITUTE($G406,CHAR(160)," "),5) &amp; "|Full Rate",
      TRIM(SUBSTITUTE($T$2:$T$38,CHAR(160)," ")) &amp; "|" &amp;
      LEFT(SUBSTITUTE($U$2:$U$38,CHAR(160)," "),5) &amp; "|" &amp;
      TRIM(SUBSTITUTE($V$2:$V$38,CHAR(160)," ")),
      $W$2:$W$38
    )
  ),
"")</f>
        <v>500</v>
      </c>
      <c r="J406" s="161" cm="1">
        <f t="array" ref="J406">IFERROR(
  VALUE($H406) *
  VALUE(
    _xlfn.XLOOKUP(
      TRIM($F406) &amp; "|" &amp; LEFT(SUBSTITUTE($G406,CHAR(160)," "),5) &amp; "|Reduced Rate",
      TRIM(SUBSTITUTE($T$2:$T$38,CHAR(160)," ")) &amp; "|" &amp;
      LEFT(SUBSTITUTE($U$2:$U$38,CHAR(160)," "),5) &amp; "|" &amp;
      TRIM(SUBSTITUTE($V$2:$V$38,CHAR(160)," ")),
      $W$2:$W$38
    )
  ),
"")</f>
        <v>250</v>
      </c>
      <c r="K406" s="42" cm="1">
        <f t="array" ref="K406">IFERROR(
  VALUE($H406) *
  VALUE(
    _xlfn.XLOOKUP(
      TRIM($F406) &amp; "|" &amp; LEFT(SUBSTITUTE($G406,CHAR(160)," "),5) &amp; "|Ideas Rate",
      TRIM(SUBSTITUTE($T$2:$T$38,CHAR(160)," ")) &amp; "|" &amp;
      LEFT(SUBSTITUTE($U$2:$U$38,CHAR(160)," "),5) &amp; "|" &amp;
      TRIM(SUBSTITUTE($V$2:$V$38,CHAR(160)," ")),
      $W$2:$W$38
    )
  ),
"")</f>
        <v>150</v>
      </c>
    </row>
    <row r="407" spans="1:11" x14ac:dyDescent="0.2">
      <c r="A407" s="10">
        <v>46101</v>
      </c>
      <c r="B407" s="5" t="s">
        <v>714</v>
      </c>
      <c r="C407" s="20" t="s">
        <v>519</v>
      </c>
      <c r="D407" t="s">
        <v>190</v>
      </c>
      <c r="E407" s="54" t="s">
        <v>771</v>
      </c>
      <c r="F407" t="s">
        <v>10</v>
      </c>
      <c r="G407" t="s">
        <v>368</v>
      </c>
      <c r="H407" s="79">
        <v>1.5</v>
      </c>
      <c r="I407" s="160" cm="1">
        <f t="array" ref="I407">IFERROR(
  VALUE($H407) *
  VALUE(
    _xlfn.XLOOKUP(
      TRIM($F407) &amp; "|" &amp; LEFT(SUBSTITUTE($G407,CHAR(160)," "),5) &amp; "|Full Rate",
      TRIM(SUBSTITUTE($T$2:$T$38,CHAR(160)," ")) &amp; "|" &amp;
      LEFT(SUBSTITUTE($U$2:$U$38,CHAR(160)," "),5) &amp; "|" &amp;
      TRIM(SUBSTITUTE($V$2:$V$38,CHAR(160)," ")),
      $W$2:$W$38
    )
  ),
"")</f>
        <v>150</v>
      </c>
      <c r="J407" s="161" cm="1">
        <f t="array" ref="J407">IFERROR(
  VALUE($H407) *
  VALUE(
    _xlfn.XLOOKUP(
      TRIM($F407) &amp; "|" &amp; LEFT(SUBSTITUTE($G407,CHAR(160)," "),5) &amp; "|Reduced Rate",
      TRIM(SUBSTITUTE($T$2:$T$38,CHAR(160)," ")) &amp; "|" &amp;
      LEFT(SUBSTITUTE($U$2:$U$38,CHAR(160)," "),5) &amp; "|" &amp;
      TRIM(SUBSTITUTE($V$2:$V$38,CHAR(160)," ")),
      $W$2:$W$38
    )
  ),
"")</f>
        <v>75</v>
      </c>
      <c r="K407" s="42" cm="1">
        <f t="array" ref="K407">IFERROR(
  VALUE($H407) *
  VALUE(
    _xlfn.XLOOKUP(
      TRIM($F407) &amp; "|" &amp; LEFT(SUBSTITUTE($G407,CHAR(160)," "),5) &amp; "|Ideas Rate",
      TRIM(SUBSTITUTE($T$2:$T$38,CHAR(160)," ")) &amp; "|" &amp;
      LEFT(SUBSTITUTE($U$2:$U$38,CHAR(160)," "),5) &amp; "|" &amp;
      TRIM(SUBSTITUTE($V$2:$V$38,CHAR(160)," ")),
      $W$2:$W$38
    )
  ),
"")</f>
        <v>45</v>
      </c>
    </row>
    <row r="408" spans="1:11" x14ac:dyDescent="0.2">
      <c r="A408" s="10">
        <v>46101</v>
      </c>
      <c r="B408" s="5" t="s">
        <v>714</v>
      </c>
      <c r="C408" s="20" t="s">
        <v>519</v>
      </c>
      <c r="D408" t="s">
        <v>190</v>
      </c>
      <c r="E408" s="54" t="s">
        <v>771</v>
      </c>
      <c r="F408" t="s">
        <v>9</v>
      </c>
      <c r="G408" t="s">
        <v>368</v>
      </c>
      <c r="H408" s="79">
        <v>1.5</v>
      </c>
      <c r="I408" s="160" cm="1">
        <f t="array" ref="I408">IFERROR(
  VALUE($H408) *
  VALUE(
    _xlfn.XLOOKUP(
      TRIM($F408) &amp; "|" &amp; LEFT(SUBSTITUTE($G408,CHAR(160)," "),5) &amp; "|Full Rate",
      TRIM(SUBSTITUTE($T$2:$T$38,CHAR(160)," ")) &amp; "|" &amp;
      LEFT(SUBSTITUTE($U$2:$U$38,CHAR(160)," "),5) &amp; "|" &amp;
      TRIM(SUBSTITUTE($V$2:$V$38,CHAR(160)," ")),
      $W$2:$W$38
    )
  ),
"")</f>
        <v>150</v>
      </c>
      <c r="J408" s="161" cm="1">
        <f t="array" ref="J408">IFERROR(
  VALUE($H408) *
  VALUE(
    _xlfn.XLOOKUP(
      TRIM($F408) &amp; "|" &amp; LEFT(SUBSTITUTE($G408,CHAR(160)," "),5) &amp; "|Reduced Rate",
      TRIM(SUBSTITUTE($T$2:$T$38,CHAR(160)," ")) &amp; "|" &amp;
      LEFT(SUBSTITUTE($U$2:$U$38,CHAR(160)," "),5) &amp; "|" &amp;
      TRIM(SUBSTITUTE($V$2:$V$38,CHAR(160)," ")),
      $W$2:$W$38
    )
  ),
"")</f>
        <v>75</v>
      </c>
      <c r="K408" s="42" cm="1">
        <f t="array" ref="K408">IFERROR(
  VALUE($H408) *
  VALUE(
    _xlfn.XLOOKUP(
      TRIM($F408) &amp; "|" &amp; LEFT(SUBSTITUTE($G408,CHAR(160)," "),5) &amp; "|Ideas Rate",
      TRIM(SUBSTITUTE($T$2:$T$38,CHAR(160)," ")) &amp; "|" &amp;
      LEFT(SUBSTITUTE($U$2:$U$38,CHAR(160)," "),5) &amp; "|" &amp;
      TRIM(SUBSTITUTE($V$2:$V$38,CHAR(160)," ")),
      $W$2:$W$38
    )
  ),
"")</f>
        <v>45</v>
      </c>
    </row>
    <row r="409" spans="1:11" x14ac:dyDescent="0.2">
      <c r="A409" s="10">
        <v>46101</v>
      </c>
      <c r="B409" s="5" t="s">
        <v>714</v>
      </c>
      <c r="C409" s="20" t="s">
        <v>519</v>
      </c>
      <c r="E409" s="54" t="s">
        <v>782</v>
      </c>
      <c r="F409" t="s">
        <v>156</v>
      </c>
      <c r="G409" t="s">
        <v>368</v>
      </c>
      <c r="H409" s="79">
        <v>3</v>
      </c>
      <c r="I409" s="160" cm="1">
        <f t="array" ref="I409">IFERROR(
  VALUE($H409) *
  VALUE(
    _xlfn.XLOOKUP(
      TRIM($F409) &amp; "|" &amp; LEFT(SUBSTITUTE($G409,CHAR(160)," "),5) &amp; "|Full Rate",
      TRIM(SUBSTITUTE($T$2:$T$38,CHAR(160)," ")) &amp; "|" &amp;
      LEFT(SUBSTITUTE($U$2:$U$38,CHAR(160)," "),5) &amp; "|" &amp;
      TRIM(SUBSTITUTE($V$2:$V$38,CHAR(160)," ")),
      $W$2:$W$38
    )
  ),
"")</f>
        <v>300</v>
      </c>
      <c r="J409" s="161" cm="1">
        <f t="array" ref="J409">IFERROR(
  VALUE($H409) *
  VALUE(
    _xlfn.XLOOKUP(
      TRIM($F409) &amp; "|" &amp; LEFT(SUBSTITUTE($G409,CHAR(160)," "),5) &amp; "|Reduced Rate",
      TRIM(SUBSTITUTE($T$2:$T$38,CHAR(160)," ")) &amp; "|" &amp;
      LEFT(SUBSTITUTE($U$2:$U$38,CHAR(160)," "),5) &amp; "|" &amp;
      TRIM(SUBSTITUTE($V$2:$V$38,CHAR(160)," ")),
      $W$2:$W$38
    )
  ),
"")</f>
        <v>150</v>
      </c>
      <c r="K409" s="42" cm="1">
        <f t="array" ref="K409">IFERROR(
  VALUE($H409) *
  VALUE(
    _xlfn.XLOOKUP(
      TRIM($F409) &amp; "|" &amp; LEFT(SUBSTITUTE($G409,CHAR(160)," "),5) &amp; "|Ideas Rate",
      TRIM(SUBSTITUTE($T$2:$T$38,CHAR(160)," ")) &amp; "|" &amp;
      LEFT(SUBSTITUTE($U$2:$U$38,CHAR(160)," "),5) &amp; "|" &amp;
      TRIM(SUBSTITUTE($V$2:$V$38,CHAR(160)," ")),
      $W$2:$W$38
    )
  ),
"")</f>
        <v>90</v>
      </c>
    </row>
    <row r="410" spans="1:11" x14ac:dyDescent="0.2">
      <c r="A410" s="10">
        <v>46101</v>
      </c>
      <c r="B410" s="5" t="s">
        <v>714</v>
      </c>
      <c r="C410" s="20" t="s">
        <v>519</v>
      </c>
      <c r="D410" t="s">
        <v>182</v>
      </c>
      <c r="E410" t="s">
        <v>757</v>
      </c>
      <c r="F410" t="s">
        <v>155</v>
      </c>
      <c r="G410" t="s">
        <v>367</v>
      </c>
      <c r="H410" s="79">
        <v>10</v>
      </c>
      <c r="I410" s="160" cm="1">
        <f t="array" ref="I410">IFERROR(
  VALUE($H410) *
  VALUE(
    _xlfn.XLOOKUP(
      TRIM($F410) &amp; "|" &amp; LEFT(SUBSTITUTE($G410,CHAR(160)," "),5) &amp; "|Full Rate",
      TRIM(SUBSTITUTE($T$2:$T$38,CHAR(160)," ")) &amp; "|" &amp;
      LEFT(SUBSTITUTE($U$2:$U$38,CHAR(160)," "),5) &amp; "|" &amp;
      TRIM(SUBSTITUTE($V$2:$V$38,CHAR(160)," ")),
      $W$2:$W$38
    )
  ),
"")</f>
        <v>4000</v>
      </c>
      <c r="J410" s="161" cm="1">
        <f t="array" ref="J410">IFERROR(
  VALUE($H410) *
  VALUE(
    _xlfn.XLOOKUP(
      TRIM($F410) &amp; "|" &amp; LEFT(SUBSTITUTE($G410,CHAR(160)," "),5) &amp; "|Reduced Rate",
      TRIM(SUBSTITUTE($T$2:$T$38,CHAR(160)," ")) &amp; "|" &amp;
      LEFT(SUBSTITUTE($U$2:$U$38,CHAR(160)," "),5) &amp; "|" &amp;
      TRIM(SUBSTITUTE($V$2:$V$38,CHAR(160)," ")),
      $W$2:$W$38
    )
  ),
"")</f>
        <v>2000</v>
      </c>
      <c r="K410" s="42" cm="1">
        <f t="array" ref="K410">IFERROR(
  VALUE($H410) *
  VALUE(
    _xlfn.XLOOKUP(
      TRIM($F410) &amp; "|" &amp; LEFT(SUBSTITUTE($G410,CHAR(160)," "),5) &amp; "|Ideas Rate",
      TRIM(SUBSTITUTE($T$2:$T$38,CHAR(160)," ")) &amp; "|" &amp;
      LEFT(SUBSTITUTE($U$2:$U$38,CHAR(160)," "),5) &amp; "|" &amp;
      TRIM(SUBSTITUTE($V$2:$V$38,CHAR(160)," ")),
      $W$2:$W$38
    )
  ),
"")</f>
        <v>1200</v>
      </c>
    </row>
    <row r="411" spans="1:11" x14ac:dyDescent="0.2">
      <c r="A411" s="10">
        <v>46102</v>
      </c>
      <c r="B411" s="5" t="s">
        <v>714</v>
      </c>
      <c r="C411" s="20" t="s">
        <v>519</v>
      </c>
      <c r="D411" t="s">
        <v>182</v>
      </c>
      <c r="E411" t="s">
        <v>777</v>
      </c>
      <c r="F411" t="s">
        <v>155</v>
      </c>
      <c r="G411" t="s">
        <v>367</v>
      </c>
      <c r="H411" s="79">
        <v>5</v>
      </c>
      <c r="I411" s="160" cm="1">
        <f t="array" ref="I411">IFERROR(
  VALUE($H411) *
  VALUE(
    _xlfn.XLOOKUP(
      TRIM($F411) &amp; "|" &amp; LEFT(SUBSTITUTE($G411,CHAR(160)," "),5) &amp; "|Full Rate",
      TRIM(SUBSTITUTE($T$2:$T$38,CHAR(160)," ")) &amp; "|" &amp;
      LEFT(SUBSTITUTE($U$2:$U$38,CHAR(160)," "),5) &amp; "|" &amp;
      TRIM(SUBSTITUTE($V$2:$V$38,CHAR(160)," ")),
      $W$2:$W$38
    )
  ),
"")</f>
        <v>2000</v>
      </c>
      <c r="J411" s="161" cm="1">
        <f t="array" ref="J411">IFERROR(
  VALUE($H411) *
  VALUE(
    _xlfn.XLOOKUP(
      TRIM($F411) &amp; "|" &amp; LEFT(SUBSTITUTE($G411,CHAR(160)," "),5) &amp; "|Reduced Rate",
      TRIM(SUBSTITUTE($T$2:$T$38,CHAR(160)," ")) &amp; "|" &amp;
      LEFT(SUBSTITUTE($U$2:$U$38,CHAR(160)," "),5) &amp; "|" &amp;
      TRIM(SUBSTITUTE($V$2:$V$38,CHAR(160)," ")),
      $W$2:$W$38
    )
  ),
"")</f>
        <v>1000</v>
      </c>
      <c r="K411" s="42" cm="1">
        <f t="array" ref="K411">IFERROR(
  VALUE($H411) *
  VALUE(
    _xlfn.XLOOKUP(
      TRIM($F411) &amp; "|" &amp; LEFT(SUBSTITUTE($G411,CHAR(160)," "),5) &amp; "|Ideas Rate",
      TRIM(SUBSTITUTE($T$2:$T$38,CHAR(160)," ")) &amp; "|" &amp;
      LEFT(SUBSTITUTE($U$2:$U$38,CHAR(160)," "),5) &amp; "|" &amp;
      TRIM(SUBSTITUTE($V$2:$V$38,CHAR(160)," ")),
      $W$2:$W$38
    )
  ),
"")</f>
        <v>600</v>
      </c>
    </row>
    <row r="412" spans="1:11" x14ac:dyDescent="0.2">
      <c r="A412" s="10">
        <v>46102</v>
      </c>
      <c r="B412" s="5" t="s">
        <v>714</v>
      </c>
      <c r="C412" s="20" t="s">
        <v>519</v>
      </c>
      <c r="D412" t="s">
        <v>190</v>
      </c>
      <c r="E412" t="s">
        <v>809</v>
      </c>
      <c r="F412" t="s">
        <v>9</v>
      </c>
      <c r="G412" t="s">
        <v>368</v>
      </c>
      <c r="H412" s="79">
        <v>2.5</v>
      </c>
      <c r="I412" s="160" cm="1">
        <f t="array" ref="I412">IFERROR(
  VALUE($H412) *
  VALUE(
    _xlfn.XLOOKUP(
      TRIM($F412) &amp; "|" &amp; LEFT(SUBSTITUTE($G412,CHAR(160)," "),5) &amp; "|Full Rate",
      TRIM(SUBSTITUTE($T$2:$T$38,CHAR(160)," ")) &amp; "|" &amp;
      LEFT(SUBSTITUTE($U$2:$U$38,CHAR(160)," "),5) &amp; "|" &amp;
      TRIM(SUBSTITUTE($V$2:$V$38,CHAR(160)," ")),
      $W$2:$W$38
    )
  ),
"")</f>
        <v>250</v>
      </c>
      <c r="J412" s="161" cm="1">
        <f t="array" ref="J412">IFERROR(
  VALUE($H412) *
  VALUE(
    _xlfn.XLOOKUP(
      TRIM($F412) &amp; "|" &amp; LEFT(SUBSTITUTE($G412,CHAR(160)," "),5) &amp; "|Reduced Rate",
      TRIM(SUBSTITUTE($T$2:$T$38,CHAR(160)," ")) &amp; "|" &amp;
      LEFT(SUBSTITUTE($U$2:$U$38,CHAR(160)," "),5) &amp; "|" &amp;
      TRIM(SUBSTITUTE($V$2:$V$38,CHAR(160)," ")),
      $W$2:$W$38
    )
  ),
"")</f>
        <v>125</v>
      </c>
      <c r="K412" s="42" cm="1">
        <f t="array" ref="K412">IFERROR(
  VALUE($H412) *
  VALUE(
    _xlfn.XLOOKUP(
      TRIM($F412) &amp; "|" &amp; LEFT(SUBSTITUTE($G412,CHAR(160)," "),5) &amp; "|Ideas Rate",
      TRIM(SUBSTITUTE($T$2:$T$38,CHAR(160)," ")) &amp; "|" &amp;
      LEFT(SUBSTITUTE($U$2:$U$38,CHAR(160)," "),5) &amp; "|" &amp;
      TRIM(SUBSTITUTE($V$2:$V$38,CHAR(160)," ")),
      $W$2:$W$38
    )
  ),
"")</f>
        <v>75</v>
      </c>
    </row>
    <row r="413" spans="1:11" x14ac:dyDescent="0.2">
      <c r="A413" s="10">
        <v>46102</v>
      </c>
      <c r="B413" s="5" t="s">
        <v>714</v>
      </c>
      <c r="C413" s="20" t="s">
        <v>519</v>
      </c>
      <c r="D413" t="s">
        <v>190</v>
      </c>
      <c r="E413" t="s">
        <v>809</v>
      </c>
      <c r="F413" t="s">
        <v>10</v>
      </c>
      <c r="G413" t="s">
        <v>368</v>
      </c>
      <c r="H413" s="79">
        <v>2.5</v>
      </c>
      <c r="I413" s="160" cm="1">
        <f t="array" ref="I413">IFERROR(
  VALUE($H413) *
  VALUE(
    _xlfn.XLOOKUP(
      TRIM($F413) &amp; "|" &amp; LEFT(SUBSTITUTE($G413,CHAR(160)," "),5) &amp; "|Full Rate",
      TRIM(SUBSTITUTE($T$2:$T$38,CHAR(160)," ")) &amp; "|" &amp;
      LEFT(SUBSTITUTE($U$2:$U$38,CHAR(160)," "),5) &amp; "|" &amp;
      TRIM(SUBSTITUTE($V$2:$V$38,CHAR(160)," ")),
      $W$2:$W$38
    )
  ),
"")</f>
        <v>250</v>
      </c>
      <c r="J413" s="161" cm="1">
        <f t="array" ref="J413">IFERROR(
  VALUE($H413) *
  VALUE(
    _xlfn.XLOOKUP(
      TRIM($F413) &amp; "|" &amp; LEFT(SUBSTITUTE($G413,CHAR(160)," "),5) &amp; "|Reduced Rate",
      TRIM(SUBSTITUTE($T$2:$T$38,CHAR(160)," ")) &amp; "|" &amp;
      LEFT(SUBSTITUTE($U$2:$U$38,CHAR(160)," "),5) &amp; "|" &amp;
      TRIM(SUBSTITUTE($V$2:$V$38,CHAR(160)," ")),
      $W$2:$W$38
    )
  ),
"")</f>
        <v>125</v>
      </c>
      <c r="K413" s="42" cm="1">
        <f t="array" ref="K413">IFERROR(
  VALUE($H413) *
  VALUE(
    _xlfn.XLOOKUP(
      TRIM($F413) &amp; "|" &amp; LEFT(SUBSTITUTE($G413,CHAR(160)," "),5) &amp; "|Ideas Rate",
      TRIM(SUBSTITUTE($T$2:$T$38,CHAR(160)," ")) &amp; "|" &amp;
      LEFT(SUBSTITUTE($U$2:$U$38,CHAR(160)," "),5) &amp; "|" &amp;
      TRIM(SUBSTITUTE($V$2:$V$38,CHAR(160)," ")),
      $W$2:$W$38
    )
  ),
"")</f>
        <v>75</v>
      </c>
    </row>
    <row r="414" spans="1:11" x14ac:dyDescent="0.2">
      <c r="A414" s="10">
        <v>46103</v>
      </c>
      <c r="B414" s="5" t="s">
        <v>714</v>
      </c>
      <c r="C414" s="20" t="s">
        <v>519</v>
      </c>
      <c r="D414" t="s">
        <v>182</v>
      </c>
      <c r="E414" t="s">
        <v>777</v>
      </c>
      <c r="F414" t="s">
        <v>155</v>
      </c>
      <c r="G414" t="s">
        <v>367</v>
      </c>
      <c r="H414" s="79">
        <v>4</v>
      </c>
      <c r="I414" s="160" cm="1">
        <f t="array" ref="I414">IFERROR(
  VALUE($H414) *
  VALUE(
    _xlfn.XLOOKUP(
      TRIM($F414) &amp; "|" &amp; LEFT(SUBSTITUTE($G414,CHAR(160)," "),5) &amp; "|Full Rate",
      TRIM(SUBSTITUTE($T$2:$T$38,CHAR(160)," ")) &amp; "|" &amp;
      LEFT(SUBSTITUTE($U$2:$U$38,CHAR(160)," "),5) &amp; "|" &amp;
      TRIM(SUBSTITUTE($V$2:$V$38,CHAR(160)," ")),
      $W$2:$W$38
    )
  ),
"")</f>
        <v>1600</v>
      </c>
      <c r="J414" s="161" cm="1">
        <f t="array" ref="J414">IFERROR(
  VALUE($H414) *
  VALUE(
    _xlfn.XLOOKUP(
      TRIM($F414) &amp; "|" &amp; LEFT(SUBSTITUTE($G414,CHAR(160)," "),5) &amp; "|Reduced Rate",
      TRIM(SUBSTITUTE($T$2:$T$38,CHAR(160)," ")) &amp; "|" &amp;
      LEFT(SUBSTITUTE($U$2:$U$38,CHAR(160)," "),5) &amp; "|" &amp;
      TRIM(SUBSTITUTE($V$2:$V$38,CHAR(160)," ")),
      $W$2:$W$38
    )
  ),
"")</f>
        <v>800</v>
      </c>
      <c r="K414" s="42" cm="1">
        <f t="array" ref="K414">IFERROR(
  VALUE($H414) *
  VALUE(
    _xlfn.XLOOKUP(
      TRIM($F414) &amp; "|" &amp; LEFT(SUBSTITUTE($G414,CHAR(160)," "),5) &amp; "|Ideas Rate",
      TRIM(SUBSTITUTE($T$2:$T$38,CHAR(160)," ")) &amp; "|" &amp;
      LEFT(SUBSTITUTE($U$2:$U$38,CHAR(160)," "),5) &amp; "|" &amp;
      TRIM(SUBSTITUTE($V$2:$V$38,CHAR(160)," ")),
      $W$2:$W$38
    )
  ),
"")</f>
        <v>480</v>
      </c>
    </row>
    <row r="415" spans="1:11" x14ac:dyDescent="0.2">
      <c r="A415" s="10">
        <v>46104</v>
      </c>
      <c r="B415" s="5" t="s">
        <v>714</v>
      </c>
      <c r="C415" s="20" t="s">
        <v>519</v>
      </c>
      <c r="D415" t="s">
        <v>182</v>
      </c>
      <c r="E415" t="s">
        <v>777</v>
      </c>
      <c r="F415" t="s">
        <v>155</v>
      </c>
      <c r="G415" t="s">
        <v>367</v>
      </c>
      <c r="H415" s="79">
        <v>18</v>
      </c>
      <c r="I415" s="160" cm="1">
        <f t="array" ref="I415">IFERROR(
  VALUE($H415) *
  VALUE(
    _xlfn.XLOOKUP(
      TRIM($F415) &amp; "|" &amp; LEFT(SUBSTITUTE($G415,CHAR(160)," "),5) &amp; "|Full Rate",
      TRIM(SUBSTITUTE($T$2:$T$38,CHAR(160)," ")) &amp; "|" &amp;
      LEFT(SUBSTITUTE($U$2:$U$38,CHAR(160)," "),5) &amp; "|" &amp;
      TRIM(SUBSTITUTE($V$2:$V$38,CHAR(160)," ")),
      $W$2:$W$38
    )
  ),
"")</f>
        <v>7200</v>
      </c>
      <c r="J415" s="161" cm="1">
        <f t="array" ref="J415">IFERROR(
  VALUE($H415) *
  VALUE(
    _xlfn.XLOOKUP(
      TRIM($F415) &amp; "|" &amp; LEFT(SUBSTITUTE($G415,CHAR(160)," "),5) &amp; "|Reduced Rate",
      TRIM(SUBSTITUTE($T$2:$T$38,CHAR(160)," ")) &amp; "|" &amp;
      LEFT(SUBSTITUTE($U$2:$U$38,CHAR(160)," "),5) &amp; "|" &amp;
      TRIM(SUBSTITUTE($V$2:$V$38,CHAR(160)," ")),
      $W$2:$W$38
    )
  ),
"")</f>
        <v>3600</v>
      </c>
      <c r="K415" s="42" cm="1">
        <f t="array" ref="K415">IFERROR(
  VALUE($H415) *
  VALUE(
    _xlfn.XLOOKUP(
      TRIM($F415) &amp; "|" &amp; LEFT(SUBSTITUTE($G415,CHAR(160)," "),5) &amp; "|Ideas Rate",
      TRIM(SUBSTITUTE($T$2:$T$38,CHAR(160)," ")) &amp; "|" &amp;
      LEFT(SUBSTITUTE($U$2:$U$38,CHAR(160)," "),5) &amp; "|" &amp;
      TRIM(SUBSTITUTE($V$2:$V$38,CHAR(160)," ")),
      $W$2:$W$38
    )
  ),
"")</f>
        <v>2160</v>
      </c>
    </row>
    <row r="416" spans="1:11" x14ac:dyDescent="0.2">
      <c r="A416" s="10">
        <v>46104</v>
      </c>
      <c r="B416" s="5" t="s">
        <v>714</v>
      </c>
      <c r="C416" s="20" t="s">
        <v>519</v>
      </c>
      <c r="D416" t="s">
        <v>190</v>
      </c>
      <c r="E416" t="s">
        <v>809</v>
      </c>
      <c r="F416" t="s">
        <v>9</v>
      </c>
      <c r="G416" t="s">
        <v>368</v>
      </c>
      <c r="H416" s="79">
        <v>4</v>
      </c>
      <c r="I416" s="160" cm="1">
        <f t="array" ref="I416">IFERROR(
  VALUE($H416) *
  VALUE(
    _xlfn.XLOOKUP(
      TRIM($F416) &amp; "|" &amp; LEFT(SUBSTITUTE($G416,CHAR(160)," "),5) &amp; "|Full Rate",
      TRIM(SUBSTITUTE($T$2:$T$38,CHAR(160)," ")) &amp; "|" &amp;
      LEFT(SUBSTITUTE($U$2:$U$38,CHAR(160)," "),5) &amp; "|" &amp;
      TRIM(SUBSTITUTE($V$2:$V$38,CHAR(160)," ")),
      $W$2:$W$38
    )
  ),
"")</f>
        <v>400</v>
      </c>
      <c r="J416" s="161" cm="1">
        <f t="array" ref="J416">IFERROR(
  VALUE($H416) *
  VALUE(
    _xlfn.XLOOKUP(
      TRIM($F416) &amp; "|" &amp; LEFT(SUBSTITUTE($G416,CHAR(160)," "),5) &amp; "|Reduced Rate",
      TRIM(SUBSTITUTE($T$2:$T$38,CHAR(160)," ")) &amp; "|" &amp;
      LEFT(SUBSTITUTE($U$2:$U$38,CHAR(160)," "),5) &amp; "|" &amp;
      TRIM(SUBSTITUTE($V$2:$V$38,CHAR(160)," ")),
      $W$2:$W$38
    )
  ),
"")</f>
        <v>200</v>
      </c>
      <c r="K416" s="42" cm="1">
        <f t="array" ref="K416">IFERROR(
  VALUE($H416) *
  VALUE(
    _xlfn.XLOOKUP(
      TRIM($F416) &amp; "|" &amp; LEFT(SUBSTITUTE($G416,CHAR(160)," "),5) &amp; "|Ideas Rate",
      TRIM(SUBSTITUTE($T$2:$T$38,CHAR(160)," ")) &amp; "|" &amp;
      LEFT(SUBSTITUTE($U$2:$U$38,CHAR(160)," "),5) &amp; "|" &amp;
      TRIM(SUBSTITUTE($V$2:$V$38,CHAR(160)," ")),
      $W$2:$W$38
    )
  ),
"")</f>
        <v>120</v>
      </c>
    </row>
    <row r="417" spans="1:11" x14ac:dyDescent="0.2">
      <c r="A417" s="10">
        <v>46104</v>
      </c>
      <c r="B417" s="5" t="s">
        <v>714</v>
      </c>
      <c r="C417" s="20" t="s">
        <v>519</v>
      </c>
      <c r="D417" t="s">
        <v>190</v>
      </c>
      <c r="E417" t="s">
        <v>809</v>
      </c>
      <c r="F417" t="s">
        <v>10</v>
      </c>
      <c r="G417" t="s">
        <v>368</v>
      </c>
      <c r="H417" s="79">
        <v>4</v>
      </c>
      <c r="I417" s="160" cm="1">
        <f t="array" ref="I417">IFERROR(
  VALUE($H417) *
  VALUE(
    _xlfn.XLOOKUP(
      TRIM($F417) &amp; "|" &amp; LEFT(SUBSTITUTE($G417,CHAR(160)," "),5) &amp; "|Full Rate",
      TRIM(SUBSTITUTE($T$2:$T$38,CHAR(160)," ")) &amp; "|" &amp;
      LEFT(SUBSTITUTE($U$2:$U$38,CHAR(160)," "),5) &amp; "|" &amp;
      TRIM(SUBSTITUTE($V$2:$V$38,CHAR(160)," ")),
      $W$2:$W$38
    )
  ),
"")</f>
        <v>400</v>
      </c>
      <c r="J417" s="161" cm="1">
        <f t="array" ref="J417">IFERROR(
  VALUE($H417) *
  VALUE(
    _xlfn.XLOOKUP(
      TRIM($F417) &amp; "|" &amp; LEFT(SUBSTITUTE($G417,CHAR(160)," "),5) &amp; "|Reduced Rate",
      TRIM(SUBSTITUTE($T$2:$T$38,CHAR(160)," ")) &amp; "|" &amp;
      LEFT(SUBSTITUTE($U$2:$U$38,CHAR(160)," "),5) &amp; "|" &amp;
      TRIM(SUBSTITUTE($V$2:$V$38,CHAR(160)," ")),
      $W$2:$W$38
    )
  ),
"")</f>
        <v>200</v>
      </c>
      <c r="K417" s="42" cm="1">
        <f t="array" ref="K417">IFERROR(
  VALUE($H417) *
  VALUE(
    _xlfn.XLOOKUP(
      TRIM($F417) &amp; "|" &amp; LEFT(SUBSTITUTE($G417,CHAR(160)," "),5) &amp; "|Ideas Rate",
      TRIM(SUBSTITUTE($T$2:$T$38,CHAR(160)," ")) &amp; "|" &amp;
      LEFT(SUBSTITUTE($U$2:$U$38,CHAR(160)," "),5) &amp; "|" &amp;
      TRIM(SUBSTITUTE($V$2:$V$38,CHAR(160)," ")),
      $W$2:$W$38
    )
  ),
"")</f>
        <v>120</v>
      </c>
    </row>
    <row r="418" spans="1:11" x14ac:dyDescent="0.2">
      <c r="A418" s="10">
        <v>46105</v>
      </c>
      <c r="B418" s="5" t="s">
        <v>714</v>
      </c>
      <c r="C418" s="20" t="s">
        <v>519</v>
      </c>
      <c r="D418" t="s">
        <v>182</v>
      </c>
      <c r="E418" t="s">
        <v>777</v>
      </c>
      <c r="F418" t="s">
        <v>155</v>
      </c>
      <c r="G418" t="s">
        <v>367</v>
      </c>
      <c r="H418" s="79">
        <v>6.75</v>
      </c>
      <c r="I418" s="160" cm="1">
        <f t="array" ref="I418">IFERROR(
  VALUE($H418) *
  VALUE(
    _xlfn.XLOOKUP(
      TRIM($F418) &amp; "|" &amp; LEFT(SUBSTITUTE($G418,CHAR(160)," "),5) &amp; "|Full Rate",
      TRIM(SUBSTITUTE($T$2:$T$38,CHAR(160)," ")) &amp; "|" &amp;
      LEFT(SUBSTITUTE($U$2:$U$38,CHAR(160)," "),5) &amp; "|" &amp;
      TRIM(SUBSTITUTE($V$2:$V$38,CHAR(160)," ")),
      $W$2:$W$38
    )
  ),
"")</f>
        <v>2700</v>
      </c>
      <c r="J418" s="161" cm="1">
        <f t="array" ref="J418">IFERROR(
  VALUE($H418) *
  VALUE(
    _xlfn.XLOOKUP(
      TRIM($F418) &amp; "|" &amp; LEFT(SUBSTITUTE($G418,CHAR(160)," "),5) &amp; "|Reduced Rate",
      TRIM(SUBSTITUTE($T$2:$T$38,CHAR(160)," ")) &amp; "|" &amp;
      LEFT(SUBSTITUTE($U$2:$U$38,CHAR(160)," "),5) &amp; "|" &amp;
      TRIM(SUBSTITUTE($V$2:$V$38,CHAR(160)," ")),
      $W$2:$W$38
    )
  ),
"")</f>
        <v>1350</v>
      </c>
      <c r="K418" s="42" cm="1">
        <f t="array" ref="K418">IFERROR(
  VALUE($H418) *
  VALUE(
    _xlfn.XLOOKUP(
      TRIM($F418) &amp; "|" &amp; LEFT(SUBSTITUTE($G418,CHAR(160)," "),5) &amp; "|Ideas Rate",
      TRIM(SUBSTITUTE($T$2:$T$38,CHAR(160)," ")) &amp; "|" &amp;
      LEFT(SUBSTITUTE($U$2:$U$38,CHAR(160)," "),5) &amp; "|" &amp;
      TRIM(SUBSTITUTE($V$2:$V$38,CHAR(160)," ")),
      $W$2:$W$38
    )
  ),
"")</f>
        <v>810</v>
      </c>
    </row>
    <row r="419" spans="1:11" x14ac:dyDescent="0.2">
      <c r="A419" s="10">
        <v>46105</v>
      </c>
      <c r="B419" s="5" t="s">
        <v>714</v>
      </c>
      <c r="C419" s="20" t="s">
        <v>519</v>
      </c>
      <c r="D419" t="s">
        <v>178</v>
      </c>
      <c r="E419" t="s">
        <v>778</v>
      </c>
      <c r="F419" t="s">
        <v>155</v>
      </c>
      <c r="G419" t="s">
        <v>380</v>
      </c>
      <c r="H419" s="79">
        <v>0.25</v>
      </c>
      <c r="I419" s="160" cm="1">
        <f t="array" ref="I419">IFERROR(
  VALUE($H419) *
  VALUE(
    _xlfn.XLOOKUP(
      TRIM($F419) &amp; "|" &amp; LEFT(SUBSTITUTE($G419,CHAR(160)," "),5) &amp; "|Full Rate",
      TRIM(SUBSTITUTE($T$2:$T$38,CHAR(160)," ")) &amp; "|" &amp;
      LEFT(SUBSTITUTE($U$2:$U$38,CHAR(160)," "),5) &amp; "|" &amp;
      TRIM(SUBSTITUTE($V$2:$V$38,CHAR(160)," ")),
      $W$2:$W$38
    )
  ),
"")</f>
        <v>65</v>
      </c>
      <c r="J419" s="161" cm="1">
        <f t="array" ref="J419">IFERROR(
  VALUE($H419) *
  VALUE(
    _xlfn.XLOOKUP(
      TRIM($F419) &amp; "|" &amp; LEFT(SUBSTITUTE($G419,CHAR(160)," "),5) &amp; "|Reduced Rate",
      TRIM(SUBSTITUTE($T$2:$T$38,CHAR(160)," ")) &amp; "|" &amp;
      LEFT(SUBSTITUTE($U$2:$U$38,CHAR(160)," "),5) &amp; "|" &amp;
      TRIM(SUBSTITUTE($V$2:$V$38,CHAR(160)," ")),
      $W$2:$W$38
    )
  ),
"")</f>
        <v>30</v>
      </c>
      <c r="K419" s="42" cm="1">
        <f t="array" ref="K419">IFERROR(
  VALUE($H419) *
  VALUE(
    _xlfn.XLOOKUP(
      TRIM($F419) &amp; "|" &amp; LEFT(SUBSTITUTE($G419,CHAR(160)," "),5) &amp; "|Ideas Rate",
      TRIM(SUBSTITUTE($T$2:$T$38,CHAR(160)," ")) &amp; "|" &amp;
      LEFT(SUBSTITUTE($U$2:$U$38,CHAR(160)," "),5) &amp; "|" &amp;
      TRIM(SUBSTITUTE($V$2:$V$38,CHAR(160)," ")),
      $W$2:$W$38
    )
  ),
"")</f>
        <v>22.5</v>
      </c>
    </row>
    <row r="420" spans="1:11" x14ac:dyDescent="0.2">
      <c r="A420" s="10">
        <v>46105</v>
      </c>
      <c r="B420" s="5" t="s">
        <v>714</v>
      </c>
      <c r="C420" s="20" t="s">
        <v>519</v>
      </c>
      <c r="D420" t="s">
        <v>178</v>
      </c>
      <c r="E420" t="s">
        <v>779</v>
      </c>
      <c r="F420" t="s">
        <v>10</v>
      </c>
      <c r="G420" t="s">
        <v>380</v>
      </c>
      <c r="H420" s="79">
        <v>0.25</v>
      </c>
      <c r="I420" s="160" cm="1">
        <f t="array" ref="I420">IFERROR(
  VALUE($H420) *
  VALUE(
    _xlfn.XLOOKUP(
      TRIM($F420) &amp; "|" &amp; LEFT(SUBSTITUTE($G420,CHAR(160)," "),5) &amp; "|Full Rate",
      TRIM(SUBSTITUTE($T$2:$T$38,CHAR(160)," ")) &amp; "|" &amp;
      LEFT(SUBSTITUTE($U$2:$U$38,CHAR(160)," "),5) &amp; "|" &amp;
      TRIM(SUBSTITUTE($V$2:$V$38,CHAR(160)," ")),
      $W$2:$W$38
    )
  ),
"")</f>
        <v>62.5</v>
      </c>
      <c r="J420" s="161" cm="1">
        <f t="array" ref="J420">IFERROR(
  VALUE($H420) *
  VALUE(
    _xlfn.XLOOKUP(
      TRIM($F420) &amp; "|" &amp; LEFT(SUBSTITUTE($G420,CHAR(160)," "),5) &amp; "|Reduced Rate",
      TRIM(SUBSTITUTE($T$2:$T$38,CHAR(160)," ")) &amp; "|" &amp;
      LEFT(SUBSTITUTE($U$2:$U$38,CHAR(160)," "),5) &amp; "|" &amp;
      TRIM(SUBSTITUTE($V$2:$V$38,CHAR(160)," ")),
      $W$2:$W$38
    )
  ),
"")</f>
        <v>37.5</v>
      </c>
      <c r="K420" s="42" cm="1">
        <f t="array" ref="K420">IFERROR(
  VALUE($H420) *
  VALUE(
    _xlfn.XLOOKUP(
      TRIM($F420) &amp; "|" &amp; LEFT(SUBSTITUTE($G420,CHAR(160)," "),5) &amp; "|Ideas Rate",
      TRIM(SUBSTITUTE($T$2:$T$38,CHAR(160)," ")) &amp; "|" &amp;
      LEFT(SUBSTITUTE($U$2:$U$38,CHAR(160)," "),5) &amp; "|" &amp;
      TRIM(SUBSTITUTE($V$2:$V$38,CHAR(160)," ")),
      $W$2:$W$38
    )
  ),
"")</f>
        <v>18.75</v>
      </c>
    </row>
    <row r="421" spans="1:11" x14ac:dyDescent="0.2">
      <c r="A421" s="10">
        <v>46105</v>
      </c>
      <c r="B421" s="5" t="s">
        <v>714</v>
      </c>
      <c r="C421" s="20" t="s">
        <v>519</v>
      </c>
      <c r="D421" t="s">
        <v>178</v>
      </c>
      <c r="E421" t="s">
        <v>816</v>
      </c>
      <c r="F421" t="s">
        <v>10</v>
      </c>
      <c r="G421" t="s">
        <v>367</v>
      </c>
      <c r="H421" s="79">
        <v>1.5</v>
      </c>
      <c r="I421" s="160" cm="1">
        <f t="array" ref="I421">IFERROR(
  VALUE($H421) *
  VALUE(
    _xlfn.XLOOKUP(
      TRIM($F421) &amp; "|" &amp; LEFT(SUBSTITUTE($G421,CHAR(160)," "),5) &amp; "|Full Rate",
      TRIM(SUBSTITUTE($T$2:$T$38,CHAR(160)," ")) &amp; "|" &amp;
      LEFT(SUBSTITUTE($U$2:$U$38,CHAR(160)," "),5) &amp; "|" &amp;
      TRIM(SUBSTITUTE($V$2:$V$38,CHAR(160)," ")),
      $W$2:$W$38
    )
  ),
"")</f>
        <v>750</v>
      </c>
      <c r="J421" s="161" cm="1">
        <f t="array" ref="J421">IFERROR(
  VALUE($H421) *
  VALUE(
    _xlfn.XLOOKUP(
      TRIM($F421) &amp; "|" &amp; LEFT(SUBSTITUTE($G421,CHAR(160)," "),5) &amp; "|Reduced Rate",
      TRIM(SUBSTITUTE($T$2:$T$38,CHAR(160)," ")) &amp; "|" &amp;
      LEFT(SUBSTITUTE($U$2:$U$38,CHAR(160)," "),5) &amp; "|" &amp;
      TRIM(SUBSTITUTE($V$2:$V$38,CHAR(160)," ")),
      $W$2:$W$38
    )
  ),
"")</f>
        <v>450</v>
      </c>
      <c r="K421" s="42" cm="1">
        <f t="array" ref="K421">IFERROR(
  VALUE($H421) *
  VALUE(
    _xlfn.XLOOKUP(
      TRIM($F421) &amp; "|" &amp; LEFT(SUBSTITUTE($G421,CHAR(160)," "),5) &amp; "|Ideas Rate",
      TRIM(SUBSTITUTE($T$2:$T$38,CHAR(160)," ")) &amp; "|" &amp;
      LEFT(SUBSTITUTE($U$2:$U$38,CHAR(160)," "),5) &amp; "|" &amp;
      TRIM(SUBSTITUTE($V$2:$V$38,CHAR(160)," ")),
      $W$2:$W$38
    )
  ),
"")</f>
        <v>225</v>
      </c>
    </row>
    <row r="422" spans="1:11" x14ac:dyDescent="0.2">
      <c r="A422" s="10">
        <v>46105</v>
      </c>
      <c r="B422" s="5" t="s">
        <v>714</v>
      </c>
      <c r="C422" s="20" t="s">
        <v>715</v>
      </c>
      <c r="D422" t="s">
        <v>178</v>
      </c>
      <c r="E422" t="s">
        <v>816</v>
      </c>
      <c r="F422" t="s">
        <v>9</v>
      </c>
      <c r="G422" t="s">
        <v>367</v>
      </c>
      <c r="H422" s="79">
        <v>1.5</v>
      </c>
      <c r="I422" s="160" cm="1">
        <f t="array" ref="I422">IFERROR(
  VALUE($H422) *
  VALUE(
    _xlfn.XLOOKUP(
      TRIM($F422) &amp; "|" &amp; LEFT(SUBSTITUTE($G422,CHAR(160)," "),5) &amp; "|Full Rate",
      TRIM(SUBSTITUTE($T$2:$T$38,CHAR(160)," ")) &amp; "|" &amp;
      LEFT(SUBSTITUTE($U$2:$U$38,CHAR(160)," "),5) &amp; "|" &amp;
      TRIM(SUBSTITUTE($V$2:$V$38,CHAR(160)," ")),
      $W$2:$W$38
    )
  ),
"")</f>
        <v>750</v>
      </c>
      <c r="J422" s="161" cm="1">
        <f t="array" ref="J422">IFERROR(
  VALUE($H422) *
  VALUE(
    _xlfn.XLOOKUP(
      TRIM($F422) &amp; "|" &amp; LEFT(SUBSTITUTE($G422,CHAR(160)," "),5) &amp; "|Reduced Rate",
      TRIM(SUBSTITUTE($T$2:$T$38,CHAR(160)," ")) &amp; "|" &amp;
      LEFT(SUBSTITUTE($U$2:$U$38,CHAR(160)," "),5) &amp; "|" &amp;
      TRIM(SUBSTITUTE($V$2:$V$38,CHAR(160)," ")),
      $W$2:$W$38
    )
  ),
"")</f>
        <v>450</v>
      </c>
      <c r="K422" s="42" cm="1">
        <f t="array" ref="K422">IFERROR(
  VALUE($H422) *
  VALUE(
    _xlfn.XLOOKUP(
      TRIM($F422) &amp; "|" &amp; LEFT(SUBSTITUTE($G422,CHAR(160)," "),5) &amp; "|Ideas Rate",
      TRIM(SUBSTITUTE($T$2:$T$38,CHAR(160)," ")) &amp; "|" &amp;
      LEFT(SUBSTITUTE($U$2:$U$38,CHAR(160)," "),5) &amp; "|" &amp;
      TRIM(SUBSTITUTE($V$2:$V$38,CHAR(160)," ")),
      $W$2:$W$38
    )
  ),
"")</f>
        <v>225</v>
      </c>
    </row>
    <row r="423" spans="1:11" x14ac:dyDescent="0.2">
      <c r="A423" s="10">
        <v>46105</v>
      </c>
      <c r="B423" s="5" t="s">
        <v>714</v>
      </c>
      <c r="C423" s="20" t="s">
        <v>519</v>
      </c>
      <c r="D423" t="s">
        <v>178</v>
      </c>
      <c r="E423" t="s">
        <v>817</v>
      </c>
      <c r="F423" t="s">
        <v>10</v>
      </c>
      <c r="G423" t="s">
        <v>367</v>
      </c>
      <c r="H423" s="79">
        <v>2</v>
      </c>
      <c r="I423" s="160" cm="1">
        <f t="array" ref="I423">IFERROR(
  VALUE($H423) *
  VALUE(
    _xlfn.XLOOKUP(
      TRIM($F423) &amp; "|" &amp; LEFT(SUBSTITUTE($G423,CHAR(160)," "),5) &amp; "|Full Rate",
      TRIM(SUBSTITUTE($T$2:$T$38,CHAR(160)," ")) &amp; "|" &amp;
      LEFT(SUBSTITUTE($U$2:$U$38,CHAR(160)," "),5) &amp; "|" &amp;
      TRIM(SUBSTITUTE($V$2:$V$38,CHAR(160)," ")),
      $W$2:$W$38
    )
  ),
"")</f>
        <v>1000</v>
      </c>
      <c r="J423" s="161" cm="1">
        <f t="array" ref="J423">IFERROR(
  VALUE($H423) *
  VALUE(
    _xlfn.XLOOKUP(
      TRIM($F423) &amp; "|" &amp; LEFT(SUBSTITUTE($G423,CHAR(160)," "),5) &amp; "|Reduced Rate",
      TRIM(SUBSTITUTE($T$2:$T$38,CHAR(160)," ")) &amp; "|" &amp;
      LEFT(SUBSTITUTE($U$2:$U$38,CHAR(160)," "),5) &amp; "|" &amp;
      TRIM(SUBSTITUTE($V$2:$V$38,CHAR(160)," ")),
      $W$2:$W$38
    )
  ),
"")</f>
        <v>600</v>
      </c>
      <c r="K423" s="42" cm="1">
        <f t="array" ref="K423">IFERROR(
  VALUE($H423) *
  VALUE(
    _xlfn.XLOOKUP(
      TRIM($F423) &amp; "|" &amp; LEFT(SUBSTITUTE($G423,CHAR(160)," "),5) &amp; "|Ideas Rate",
      TRIM(SUBSTITUTE($T$2:$T$38,CHAR(160)," ")) &amp; "|" &amp;
      LEFT(SUBSTITUTE($U$2:$U$38,CHAR(160)," "),5) &amp; "|" &amp;
      TRIM(SUBSTITUTE($V$2:$V$38,CHAR(160)," ")),
      $W$2:$W$38
    )
  ),
"")</f>
        <v>300</v>
      </c>
    </row>
    <row r="424" spans="1:11" x14ac:dyDescent="0.2">
      <c r="A424" s="10">
        <v>46105</v>
      </c>
      <c r="B424" s="5" t="s">
        <v>714</v>
      </c>
      <c r="C424" s="20" t="s">
        <v>519</v>
      </c>
      <c r="D424" t="s">
        <v>178</v>
      </c>
      <c r="E424" t="s">
        <v>817</v>
      </c>
      <c r="F424" t="s">
        <v>9</v>
      </c>
      <c r="G424" t="s">
        <v>367</v>
      </c>
      <c r="H424" s="79">
        <v>2</v>
      </c>
      <c r="I424" s="160" cm="1">
        <f t="array" ref="I424">IFERROR(
  VALUE($H424) *
  VALUE(
    _xlfn.XLOOKUP(
      TRIM($F424) &amp; "|" &amp; LEFT(SUBSTITUTE($G424,CHAR(160)," "),5) &amp; "|Full Rate",
      TRIM(SUBSTITUTE($T$2:$T$38,CHAR(160)," ")) &amp; "|" &amp;
      LEFT(SUBSTITUTE($U$2:$U$38,CHAR(160)," "),5) &amp; "|" &amp;
      TRIM(SUBSTITUTE($V$2:$V$38,CHAR(160)," ")),
      $W$2:$W$38
    )
  ),
"")</f>
        <v>1000</v>
      </c>
      <c r="J424" s="161" cm="1">
        <f t="array" ref="J424">IFERROR(
  VALUE($H424) *
  VALUE(
    _xlfn.XLOOKUP(
      TRIM($F424) &amp; "|" &amp; LEFT(SUBSTITUTE($G424,CHAR(160)," "),5) &amp; "|Reduced Rate",
      TRIM(SUBSTITUTE($T$2:$T$38,CHAR(160)," ")) &amp; "|" &amp;
      LEFT(SUBSTITUTE($U$2:$U$38,CHAR(160)," "),5) &amp; "|" &amp;
      TRIM(SUBSTITUTE($V$2:$V$38,CHAR(160)," ")),
      $W$2:$W$38
    )
  ),
"")</f>
        <v>600</v>
      </c>
      <c r="K424" s="42" cm="1">
        <f t="array" ref="K424">IFERROR(
  VALUE($H424) *
  VALUE(
    _xlfn.XLOOKUP(
      TRIM($F424) &amp; "|" &amp; LEFT(SUBSTITUTE($G424,CHAR(160)," "),5) &amp; "|Ideas Rate",
      TRIM(SUBSTITUTE($T$2:$T$38,CHAR(160)," ")) &amp; "|" &amp;
      LEFT(SUBSTITUTE($U$2:$U$38,CHAR(160)," "),5) &amp; "|" &amp;
      TRIM(SUBSTITUTE($V$2:$V$38,CHAR(160)," ")),
      $W$2:$W$38
    )
  ),
"")</f>
        <v>300</v>
      </c>
    </row>
    <row r="425" spans="1:11" x14ac:dyDescent="0.2">
      <c r="A425" s="10">
        <v>46105</v>
      </c>
      <c r="B425" s="5" t="s">
        <v>714</v>
      </c>
      <c r="C425" s="20" t="s">
        <v>519</v>
      </c>
      <c r="D425" t="s">
        <v>184</v>
      </c>
      <c r="E425" t="s">
        <v>810</v>
      </c>
      <c r="F425" t="s">
        <v>9</v>
      </c>
      <c r="G425" t="s">
        <v>368</v>
      </c>
      <c r="H425" s="79">
        <v>4</v>
      </c>
      <c r="I425" s="160" cm="1">
        <f t="array" ref="I425">IFERROR(
  VALUE($H425) *
  VALUE(
    _xlfn.XLOOKUP(
      TRIM($F425) &amp; "|" &amp; LEFT(SUBSTITUTE($G425,CHAR(160)," "),5) &amp; "|Full Rate",
      TRIM(SUBSTITUTE($T$2:$T$38,CHAR(160)," ")) &amp; "|" &amp;
      LEFT(SUBSTITUTE($U$2:$U$38,CHAR(160)," "),5) &amp; "|" &amp;
      TRIM(SUBSTITUTE($V$2:$V$38,CHAR(160)," ")),
      $W$2:$W$38
    )
  ),
"")</f>
        <v>400</v>
      </c>
      <c r="J425" s="161" cm="1">
        <f t="array" ref="J425">IFERROR(
  VALUE($H425) *
  VALUE(
    _xlfn.XLOOKUP(
      TRIM($F425) &amp; "|" &amp; LEFT(SUBSTITUTE($G425,CHAR(160)," "),5) &amp; "|Reduced Rate",
      TRIM(SUBSTITUTE($T$2:$T$38,CHAR(160)," ")) &amp; "|" &amp;
      LEFT(SUBSTITUTE($U$2:$U$38,CHAR(160)," "),5) &amp; "|" &amp;
      TRIM(SUBSTITUTE($V$2:$V$38,CHAR(160)," ")),
      $W$2:$W$38
    )
  ),
"")</f>
        <v>200</v>
      </c>
      <c r="K425" s="42" cm="1">
        <f t="array" ref="K425">IFERROR(
  VALUE($H425) *
  VALUE(
    _xlfn.XLOOKUP(
      TRIM($F425) &amp; "|" &amp; LEFT(SUBSTITUTE($G425,CHAR(160)," "),5) &amp; "|Ideas Rate",
      TRIM(SUBSTITUTE($T$2:$T$38,CHAR(160)," ")) &amp; "|" &amp;
      LEFT(SUBSTITUTE($U$2:$U$38,CHAR(160)," "),5) &amp; "|" &amp;
      TRIM(SUBSTITUTE($V$2:$V$38,CHAR(160)," ")),
      $W$2:$W$38
    )
  ),
"")</f>
        <v>120</v>
      </c>
    </row>
    <row r="426" spans="1:11" x14ac:dyDescent="0.2">
      <c r="A426" s="10">
        <v>46105</v>
      </c>
      <c r="B426" s="5" t="s">
        <v>714</v>
      </c>
      <c r="C426" s="20" t="s">
        <v>519</v>
      </c>
      <c r="D426" t="s">
        <v>178</v>
      </c>
      <c r="E426" t="s">
        <v>819</v>
      </c>
      <c r="F426" t="s">
        <v>9</v>
      </c>
      <c r="G426" t="s">
        <v>380</v>
      </c>
      <c r="H426" s="79">
        <v>2</v>
      </c>
      <c r="I426" s="160" cm="1">
        <f t="array" ref="I426">IFERROR(
  VALUE($H426) *
  VALUE(
    _xlfn.XLOOKUP(
      TRIM($F426) &amp; "|" &amp; LEFT(SUBSTITUTE($G426,CHAR(160)," "),5) &amp; "|Full Rate",
      TRIM(SUBSTITUTE($T$2:$T$38,CHAR(160)," ")) &amp; "|" &amp;
      LEFT(SUBSTITUTE($U$2:$U$38,CHAR(160)," "),5) &amp; "|" &amp;
      TRIM(SUBSTITUTE($V$2:$V$38,CHAR(160)," ")),
      $W$2:$W$38
    )
  ),
"")</f>
        <v>500</v>
      </c>
      <c r="J426" s="161" cm="1">
        <f t="array" ref="J426">IFERROR(
  VALUE($H426) *
  VALUE(
    _xlfn.XLOOKUP(
      TRIM($F426) &amp; "|" &amp; LEFT(SUBSTITUTE($G426,CHAR(160)," "),5) &amp; "|Reduced Rate",
      TRIM(SUBSTITUTE($T$2:$T$38,CHAR(160)," ")) &amp; "|" &amp;
      LEFT(SUBSTITUTE($U$2:$U$38,CHAR(160)," "),5) &amp; "|" &amp;
      TRIM(SUBSTITUTE($V$2:$V$38,CHAR(160)," ")),
      $W$2:$W$38
    )
  ),
"")</f>
        <v>300</v>
      </c>
      <c r="K426" s="42" cm="1">
        <f t="array" ref="K426">IFERROR(
  VALUE($H426) *
  VALUE(
    _xlfn.XLOOKUP(
      TRIM($F426) &amp; "|" &amp; LEFT(SUBSTITUTE($G426,CHAR(160)," "),5) &amp; "|Ideas Rate",
      TRIM(SUBSTITUTE($T$2:$T$38,CHAR(160)," ")) &amp; "|" &amp;
      LEFT(SUBSTITUTE($U$2:$U$38,CHAR(160)," "),5) &amp; "|" &amp;
      TRIM(SUBSTITUTE($V$2:$V$38,CHAR(160)," ")),
      $W$2:$W$38
    )
  ),
"")</f>
        <v>150</v>
      </c>
    </row>
    <row r="427" spans="1:11" x14ac:dyDescent="0.2">
      <c r="A427" s="10">
        <v>46105</v>
      </c>
      <c r="B427" s="5" t="s">
        <v>714</v>
      </c>
      <c r="C427" s="20" t="s">
        <v>519</v>
      </c>
      <c r="D427" t="s">
        <v>178</v>
      </c>
      <c r="E427" t="s">
        <v>818</v>
      </c>
      <c r="F427" t="s">
        <v>10</v>
      </c>
      <c r="G427" t="s">
        <v>380</v>
      </c>
      <c r="H427" s="79">
        <v>2</v>
      </c>
      <c r="I427" s="160" cm="1">
        <f t="array" ref="I427">IFERROR(
  VALUE($H427) *
  VALUE(
    _xlfn.XLOOKUP(
      TRIM($F427) &amp; "|" &amp; LEFT(SUBSTITUTE($G427,CHAR(160)," "),5) &amp; "|Full Rate",
      TRIM(SUBSTITUTE($T$2:$T$38,CHAR(160)," ")) &amp; "|" &amp;
      LEFT(SUBSTITUTE($U$2:$U$38,CHAR(160)," "),5) &amp; "|" &amp;
      TRIM(SUBSTITUTE($V$2:$V$38,CHAR(160)," ")),
      $W$2:$W$38
    )
  ),
"")</f>
        <v>500</v>
      </c>
      <c r="J427" s="161" cm="1">
        <f t="array" ref="J427">IFERROR(
  VALUE($H427) *
  VALUE(
    _xlfn.XLOOKUP(
      TRIM($F427) &amp; "|" &amp; LEFT(SUBSTITUTE($G427,CHAR(160)," "),5) &amp; "|Reduced Rate",
      TRIM(SUBSTITUTE($T$2:$T$38,CHAR(160)," ")) &amp; "|" &amp;
      LEFT(SUBSTITUTE($U$2:$U$38,CHAR(160)," "),5) &amp; "|" &amp;
      TRIM(SUBSTITUTE($V$2:$V$38,CHAR(160)," ")),
      $W$2:$W$38
    )
  ),
"")</f>
        <v>300</v>
      </c>
      <c r="K427" s="42" cm="1">
        <f t="array" ref="K427">IFERROR(
  VALUE($H427) *
  VALUE(
    _xlfn.XLOOKUP(
      TRIM($F427) &amp; "|" &amp; LEFT(SUBSTITUTE($G427,CHAR(160)," "),5) &amp; "|Ideas Rate",
      TRIM(SUBSTITUTE($T$2:$T$38,CHAR(160)," ")) &amp; "|" &amp;
      LEFT(SUBSTITUTE($U$2:$U$38,CHAR(160)," "),5) &amp; "|" &amp;
      TRIM(SUBSTITUTE($V$2:$V$38,CHAR(160)," ")),
      $W$2:$W$38
    )
  ),
"")</f>
        <v>150</v>
      </c>
    </row>
    <row r="428" spans="1:11" x14ac:dyDescent="0.2">
      <c r="A428" s="10">
        <v>46106</v>
      </c>
      <c r="B428" s="5" t="s">
        <v>714</v>
      </c>
      <c r="C428" s="20" t="s">
        <v>519</v>
      </c>
      <c r="D428" t="s">
        <v>853</v>
      </c>
      <c r="E428" t="s">
        <v>782</v>
      </c>
      <c r="F428" t="s">
        <v>156</v>
      </c>
      <c r="G428" t="s">
        <v>368</v>
      </c>
      <c r="H428" s="79">
        <v>5</v>
      </c>
      <c r="I428" s="160" cm="1">
        <f t="array" ref="I428">IFERROR(
  VALUE($H428) *
  VALUE(
    _xlfn.XLOOKUP(
      TRIM($F428) &amp; "|" &amp; LEFT(SUBSTITUTE($G428,CHAR(160)," "),5) &amp; "|Full Rate",
      TRIM(SUBSTITUTE($T$2:$T$38,CHAR(160)," ")) &amp; "|" &amp;
      LEFT(SUBSTITUTE($U$2:$U$38,CHAR(160)," "),5) &amp; "|" &amp;
      TRIM(SUBSTITUTE($V$2:$V$38,CHAR(160)," ")),
      $W$2:$W$38
    )
  ),
"")</f>
        <v>500</v>
      </c>
      <c r="J428" s="161" cm="1">
        <f t="array" ref="J428">IFERROR(
  VALUE($H428) *
  VALUE(
    _xlfn.XLOOKUP(
      TRIM($F428) &amp; "|" &amp; LEFT(SUBSTITUTE($G428,CHAR(160)," "),5) &amp; "|Reduced Rate",
      TRIM(SUBSTITUTE($T$2:$T$38,CHAR(160)," ")) &amp; "|" &amp;
      LEFT(SUBSTITUTE($U$2:$U$38,CHAR(160)," "),5) &amp; "|" &amp;
      TRIM(SUBSTITUTE($V$2:$V$38,CHAR(160)," ")),
      $W$2:$W$38
    )
  ),
"")</f>
        <v>250</v>
      </c>
      <c r="K428" s="42" cm="1">
        <f t="array" ref="K428">IFERROR(
  VALUE($H428) *
  VALUE(
    _xlfn.XLOOKUP(
      TRIM($F428) &amp; "|" &amp; LEFT(SUBSTITUTE($G428,CHAR(160)," "),5) &amp; "|Ideas Rate",
      TRIM(SUBSTITUTE($T$2:$T$38,CHAR(160)," ")) &amp; "|" &amp;
      LEFT(SUBSTITUTE($U$2:$U$38,CHAR(160)," "),5) &amp; "|" &amp;
      TRIM(SUBSTITUTE($V$2:$V$38,CHAR(160)," ")),
      $W$2:$W$38
    )
  ),
"")</f>
        <v>150</v>
      </c>
    </row>
    <row r="429" spans="1:11" x14ac:dyDescent="0.2">
      <c r="A429" s="10">
        <v>46106</v>
      </c>
      <c r="B429" s="5" t="s">
        <v>714</v>
      </c>
      <c r="C429" s="20" t="s">
        <v>519</v>
      </c>
      <c r="D429" t="s">
        <v>190</v>
      </c>
      <c r="E429" t="s">
        <v>809</v>
      </c>
      <c r="F429" t="s">
        <v>9</v>
      </c>
      <c r="G429" t="s">
        <v>368</v>
      </c>
      <c r="H429" s="79">
        <v>2</v>
      </c>
      <c r="I429" s="160" cm="1">
        <f t="array" ref="I429">IFERROR(
  VALUE($H429) *
  VALUE(
    _xlfn.XLOOKUP(
      TRIM($F429) &amp; "|" &amp; LEFT(SUBSTITUTE($G429,CHAR(160)," "),5) &amp; "|Full Rate",
      TRIM(SUBSTITUTE($T$2:$T$38,CHAR(160)," ")) &amp; "|" &amp;
      LEFT(SUBSTITUTE($U$2:$U$38,CHAR(160)," "),5) &amp; "|" &amp;
      TRIM(SUBSTITUTE($V$2:$V$38,CHAR(160)," ")),
      $W$2:$W$38
    )
  ),
"")</f>
        <v>200</v>
      </c>
      <c r="J429" s="161" cm="1">
        <f t="array" ref="J429">IFERROR(
  VALUE($H429) *
  VALUE(
    _xlfn.XLOOKUP(
      TRIM($F429) &amp; "|" &amp; LEFT(SUBSTITUTE($G429,CHAR(160)," "),5) &amp; "|Reduced Rate",
      TRIM(SUBSTITUTE($T$2:$T$38,CHAR(160)," ")) &amp; "|" &amp;
      LEFT(SUBSTITUTE($U$2:$U$38,CHAR(160)," "),5) &amp; "|" &amp;
      TRIM(SUBSTITUTE($V$2:$V$38,CHAR(160)," ")),
      $W$2:$W$38
    )
  ),
"")</f>
        <v>100</v>
      </c>
      <c r="K429" s="42" cm="1">
        <f t="array" ref="K429">IFERROR(
  VALUE($H429) *
  VALUE(
    _xlfn.XLOOKUP(
      TRIM($F429) &amp; "|" &amp; LEFT(SUBSTITUTE($G429,CHAR(160)," "),5) &amp; "|Ideas Rate",
      TRIM(SUBSTITUTE($T$2:$T$38,CHAR(160)," ")) &amp; "|" &amp;
      LEFT(SUBSTITUTE($U$2:$U$38,CHAR(160)," "),5) &amp; "|" &amp;
      TRIM(SUBSTITUTE($V$2:$V$38,CHAR(160)," ")),
      $W$2:$W$38
    )
  ),
"")</f>
        <v>60</v>
      </c>
    </row>
    <row r="430" spans="1:11" x14ac:dyDescent="0.2">
      <c r="A430" s="10">
        <v>46106</v>
      </c>
      <c r="B430" s="5" t="s">
        <v>714</v>
      </c>
      <c r="C430" s="20" t="s">
        <v>519</v>
      </c>
      <c r="D430" t="s">
        <v>190</v>
      </c>
      <c r="E430" t="s">
        <v>809</v>
      </c>
      <c r="F430" t="s">
        <v>10</v>
      </c>
      <c r="G430" t="s">
        <v>368</v>
      </c>
      <c r="H430" s="79">
        <v>2</v>
      </c>
      <c r="I430" s="160" cm="1">
        <f t="array" ref="I430">IFERROR(
  VALUE($H430) *
  VALUE(
    _xlfn.XLOOKUP(
      TRIM($F430) &amp; "|" &amp; LEFT(SUBSTITUTE($G430,CHAR(160)," "),5) &amp; "|Full Rate",
      TRIM(SUBSTITUTE($T$2:$T$38,CHAR(160)," ")) &amp; "|" &amp;
      LEFT(SUBSTITUTE($U$2:$U$38,CHAR(160)," "),5) &amp; "|" &amp;
      TRIM(SUBSTITUTE($V$2:$V$38,CHAR(160)," ")),
      $W$2:$W$38
    )
  ),
"")</f>
        <v>200</v>
      </c>
      <c r="J430" s="161" cm="1">
        <f t="array" ref="J430">IFERROR(
  VALUE($H430) *
  VALUE(
    _xlfn.XLOOKUP(
      TRIM($F430) &amp; "|" &amp; LEFT(SUBSTITUTE($G430,CHAR(160)," "),5) &amp; "|Reduced Rate",
      TRIM(SUBSTITUTE($T$2:$T$38,CHAR(160)," ")) &amp; "|" &amp;
      LEFT(SUBSTITUTE($U$2:$U$38,CHAR(160)," "),5) &amp; "|" &amp;
      TRIM(SUBSTITUTE($V$2:$V$38,CHAR(160)," ")),
      $W$2:$W$38
    )
  ),
"")</f>
        <v>100</v>
      </c>
      <c r="K430" s="42" cm="1">
        <f t="array" ref="K430">IFERROR(
  VALUE($H430) *
  VALUE(
    _xlfn.XLOOKUP(
      TRIM($F430) &amp; "|" &amp; LEFT(SUBSTITUTE($G430,CHAR(160)," "),5) &amp; "|Ideas Rate",
      TRIM(SUBSTITUTE($T$2:$T$38,CHAR(160)," ")) &amp; "|" &amp;
      LEFT(SUBSTITUTE($U$2:$U$38,CHAR(160)," "),5) &amp; "|" &amp;
      TRIM(SUBSTITUTE($V$2:$V$38,CHAR(160)," ")),
      $W$2:$W$38
    )
  ),
"")</f>
        <v>60</v>
      </c>
    </row>
    <row r="431" spans="1:11" x14ac:dyDescent="0.2">
      <c r="A431" s="10">
        <v>46106</v>
      </c>
      <c r="B431" s="5" t="s">
        <v>714</v>
      </c>
      <c r="C431" s="20" t="s">
        <v>519</v>
      </c>
      <c r="D431" t="s">
        <v>178</v>
      </c>
      <c r="E431" t="s">
        <v>820</v>
      </c>
      <c r="F431" t="s">
        <v>10</v>
      </c>
      <c r="G431" t="s">
        <v>380</v>
      </c>
      <c r="H431" s="79">
        <v>1.5</v>
      </c>
      <c r="I431" s="160" cm="1">
        <f t="array" ref="I431">IFERROR(
  VALUE($H431) *
  VALUE(
    _xlfn.XLOOKUP(
      TRIM($F431) &amp; "|" &amp; LEFT(SUBSTITUTE($G431,CHAR(160)," "),5) &amp; "|Full Rate",
      TRIM(SUBSTITUTE($T$2:$T$38,CHAR(160)," ")) &amp; "|" &amp;
      LEFT(SUBSTITUTE($U$2:$U$38,CHAR(160)," "),5) &amp; "|" &amp;
      TRIM(SUBSTITUTE($V$2:$V$38,CHAR(160)," ")),
      $W$2:$W$38
    )
  ),
"")</f>
        <v>375</v>
      </c>
      <c r="J431" s="161" cm="1">
        <f t="array" ref="J431">IFERROR(
  VALUE($H431) *
  VALUE(
    _xlfn.XLOOKUP(
      TRIM($F431) &amp; "|" &amp; LEFT(SUBSTITUTE($G431,CHAR(160)," "),5) &amp; "|Reduced Rate",
      TRIM(SUBSTITUTE($T$2:$T$38,CHAR(160)," ")) &amp; "|" &amp;
      LEFT(SUBSTITUTE($U$2:$U$38,CHAR(160)," "),5) &amp; "|" &amp;
      TRIM(SUBSTITUTE($V$2:$V$38,CHAR(160)," ")),
      $W$2:$W$38
    )
  ),
"")</f>
        <v>225</v>
      </c>
      <c r="K431" s="42" cm="1">
        <f t="array" ref="K431">IFERROR(
  VALUE($H431) *
  VALUE(
    _xlfn.XLOOKUP(
      TRIM($F431) &amp; "|" &amp; LEFT(SUBSTITUTE($G431,CHAR(160)," "),5) &amp; "|Ideas Rate",
      TRIM(SUBSTITUTE($T$2:$T$38,CHAR(160)," ")) &amp; "|" &amp;
      LEFT(SUBSTITUTE($U$2:$U$38,CHAR(160)," "),5) &amp; "|" &amp;
      TRIM(SUBSTITUTE($V$2:$V$38,CHAR(160)," ")),
      $W$2:$W$38
    )
  ),
"")</f>
        <v>112.5</v>
      </c>
    </row>
    <row r="432" spans="1:11" x14ac:dyDescent="0.2">
      <c r="A432" s="10">
        <v>46106</v>
      </c>
      <c r="B432" s="5" t="s">
        <v>714</v>
      </c>
      <c r="C432" s="20" t="s">
        <v>519</v>
      </c>
      <c r="D432" t="s">
        <v>178</v>
      </c>
      <c r="E432" t="s">
        <v>821</v>
      </c>
      <c r="F432" t="s">
        <v>9</v>
      </c>
      <c r="G432" t="s">
        <v>380</v>
      </c>
      <c r="H432" s="79">
        <v>1.5</v>
      </c>
      <c r="I432" s="160" cm="1">
        <f t="array" ref="I432">IFERROR(
  VALUE($H432) *
  VALUE(
    _xlfn.XLOOKUP(
      TRIM($F432) &amp; "|" &amp; LEFT(SUBSTITUTE($G432,CHAR(160)," "),5) &amp; "|Full Rate",
      TRIM(SUBSTITUTE($T$2:$T$38,CHAR(160)," ")) &amp; "|" &amp;
      LEFT(SUBSTITUTE($U$2:$U$38,CHAR(160)," "),5) &amp; "|" &amp;
      TRIM(SUBSTITUTE($V$2:$V$38,CHAR(160)," ")),
      $W$2:$W$38
    )
  ),
"")</f>
        <v>375</v>
      </c>
      <c r="J432" s="161" cm="1">
        <f t="array" ref="J432">IFERROR(
  VALUE($H432) *
  VALUE(
    _xlfn.XLOOKUP(
      TRIM($F432) &amp; "|" &amp; LEFT(SUBSTITUTE($G432,CHAR(160)," "),5) &amp; "|Reduced Rate",
      TRIM(SUBSTITUTE($T$2:$T$38,CHAR(160)," ")) &amp; "|" &amp;
      LEFT(SUBSTITUTE($U$2:$U$38,CHAR(160)," "),5) &amp; "|" &amp;
      TRIM(SUBSTITUTE($V$2:$V$38,CHAR(160)," ")),
      $W$2:$W$38
    )
  ),
"")</f>
        <v>225</v>
      </c>
      <c r="K432" s="42" cm="1">
        <f t="array" ref="K432">IFERROR(
  VALUE($H432) *
  VALUE(
    _xlfn.XLOOKUP(
      TRIM($F432) &amp; "|" &amp; LEFT(SUBSTITUTE($G432,CHAR(160)," "),5) &amp; "|Ideas Rate",
      TRIM(SUBSTITUTE($T$2:$T$38,CHAR(160)," ")) &amp; "|" &amp;
      LEFT(SUBSTITUTE($U$2:$U$38,CHAR(160)," "),5) &amp; "|" &amp;
      TRIM(SUBSTITUTE($V$2:$V$38,CHAR(160)," ")),
      $W$2:$W$38
    )
  ),
"")</f>
        <v>112.5</v>
      </c>
    </row>
    <row r="433" spans="1:11" x14ac:dyDescent="0.2">
      <c r="A433" s="10">
        <v>46107</v>
      </c>
      <c r="B433" s="5" t="s">
        <v>714</v>
      </c>
      <c r="C433" s="20" t="s">
        <v>519</v>
      </c>
      <c r="D433" t="s">
        <v>182</v>
      </c>
      <c r="E433" t="s">
        <v>780</v>
      </c>
      <c r="F433" t="s">
        <v>155</v>
      </c>
      <c r="G433" t="s">
        <v>367</v>
      </c>
      <c r="H433" s="79">
        <v>5</v>
      </c>
      <c r="I433" s="160" cm="1">
        <f t="array" ref="I433">IFERROR(
  VALUE($H433) *
  VALUE(
    _xlfn.XLOOKUP(
      TRIM($F433) &amp; "|" &amp; LEFT(SUBSTITUTE($G433,CHAR(160)," "),5) &amp; "|Full Rate",
      TRIM(SUBSTITUTE($T$2:$T$38,CHAR(160)," ")) &amp; "|" &amp;
      LEFT(SUBSTITUTE($U$2:$U$38,CHAR(160)," "),5) &amp; "|" &amp;
      TRIM(SUBSTITUTE($V$2:$V$38,CHAR(160)," ")),
      $W$2:$W$38
    )
  ),
"")</f>
        <v>2000</v>
      </c>
      <c r="J433" s="161" cm="1">
        <f t="array" ref="J433">IFERROR(
  VALUE($H433) *
  VALUE(
    _xlfn.XLOOKUP(
      TRIM($F433) &amp; "|" &amp; LEFT(SUBSTITUTE($G433,CHAR(160)," "),5) &amp; "|Reduced Rate",
      TRIM(SUBSTITUTE($T$2:$T$38,CHAR(160)," ")) &amp; "|" &amp;
      LEFT(SUBSTITUTE($U$2:$U$38,CHAR(160)," "),5) &amp; "|" &amp;
      TRIM(SUBSTITUTE($V$2:$V$38,CHAR(160)," ")),
      $W$2:$W$38
    )
  ),
"")</f>
        <v>1000</v>
      </c>
      <c r="K433" s="42" cm="1">
        <f t="array" ref="K433">IFERROR(
  VALUE($H433) *
  VALUE(
    _xlfn.XLOOKUP(
      TRIM($F433) &amp; "|" &amp; LEFT(SUBSTITUTE($G433,CHAR(160)," "),5) &amp; "|Ideas Rate",
      TRIM(SUBSTITUTE($T$2:$T$38,CHAR(160)," ")) &amp; "|" &amp;
      LEFT(SUBSTITUTE($U$2:$U$38,CHAR(160)," "),5) &amp; "|" &amp;
      TRIM(SUBSTITUTE($V$2:$V$38,CHAR(160)," ")),
      $W$2:$W$38
    )
  ),
"")</f>
        <v>600</v>
      </c>
    </row>
    <row r="434" spans="1:11" x14ac:dyDescent="0.2">
      <c r="A434" s="10">
        <v>46108</v>
      </c>
      <c r="B434" s="5" t="s">
        <v>714</v>
      </c>
      <c r="C434" s="20" t="s">
        <v>519</v>
      </c>
      <c r="D434" t="s">
        <v>853</v>
      </c>
      <c r="E434" t="s">
        <v>782</v>
      </c>
      <c r="F434" t="s">
        <v>156</v>
      </c>
      <c r="G434" t="s">
        <v>368</v>
      </c>
      <c r="H434" s="79">
        <v>2</v>
      </c>
      <c r="I434" s="160" cm="1">
        <f t="array" ref="I434">IFERROR(
  VALUE($H434) *
  VALUE(
    _xlfn.XLOOKUP(
      TRIM($F434) &amp; "|" &amp; LEFT(SUBSTITUTE($G434,CHAR(160)," "),5) &amp; "|Full Rate",
      TRIM(SUBSTITUTE($T$2:$T$38,CHAR(160)," ")) &amp; "|" &amp;
      LEFT(SUBSTITUTE($U$2:$U$38,CHAR(160)," "),5) &amp; "|" &amp;
      TRIM(SUBSTITUTE($V$2:$V$38,CHAR(160)," ")),
      $W$2:$W$38
    )
  ),
"")</f>
        <v>200</v>
      </c>
      <c r="J434" s="161" cm="1">
        <f t="array" ref="J434">IFERROR(
  VALUE($H434) *
  VALUE(
    _xlfn.XLOOKUP(
      TRIM($F434) &amp; "|" &amp; LEFT(SUBSTITUTE($G434,CHAR(160)," "),5) &amp; "|Reduced Rate",
      TRIM(SUBSTITUTE($T$2:$T$38,CHAR(160)," ")) &amp; "|" &amp;
      LEFT(SUBSTITUTE($U$2:$U$38,CHAR(160)," "),5) &amp; "|" &amp;
      TRIM(SUBSTITUTE($V$2:$V$38,CHAR(160)," ")),
      $W$2:$W$38
    )
  ),
"")</f>
        <v>100</v>
      </c>
      <c r="K434" s="42" cm="1">
        <f t="array" ref="K434">IFERROR(
  VALUE($H434) *
  VALUE(
    _xlfn.XLOOKUP(
      TRIM($F434) &amp; "|" &amp; LEFT(SUBSTITUTE($G434,CHAR(160)," "),5) &amp; "|Ideas Rate",
      TRIM(SUBSTITUTE($T$2:$T$38,CHAR(160)," ")) &amp; "|" &amp;
      LEFT(SUBSTITUTE($U$2:$U$38,CHAR(160)," "),5) &amp; "|" &amp;
      TRIM(SUBSTITUTE($V$2:$V$38,CHAR(160)," ")),
      $W$2:$W$38
    )
  ),
"")</f>
        <v>60</v>
      </c>
    </row>
    <row r="435" spans="1:11" x14ac:dyDescent="0.2">
      <c r="A435" s="10">
        <v>46108</v>
      </c>
      <c r="B435" s="5" t="s">
        <v>714</v>
      </c>
      <c r="C435" s="20" t="s">
        <v>519</v>
      </c>
      <c r="D435" t="s">
        <v>182</v>
      </c>
      <c r="E435" t="s">
        <v>783</v>
      </c>
      <c r="F435" t="s">
        <v>155</v>
      </c>
      <c r="G435" t="s">
        <v>367</v>
      </c>
      <c r="H435" s="79">
        <v>2</v>
      </c>
      <c r="I435" s="160" cm="1">
        <f t="array" ref="I435">IFERROR(
  VALUE($H435) *
  VALUE(
    _xlfn.XLOOKUP(
      TRIM($F435) &amp; "|" &amp; LEFT(SUBSTITUTE($G435,CHAR(160)," "),5) &amp; "|Full Rate",
      TRIM(SUBSTITUTE($T$2:$T$38,CHAR(160)," ")) &amp; "|" &amp;
      LEFT(SUBSTITUTE($U$2:$U$38,CHAR(160)," "),5) &amp; "|" &amp;
      TRIM(SUBSTITUTE($V$2:$V$38,CHAR(160)," ")),
      $W$2:$W$38
    )
  ),
"")</f>
        <v>800</v>
      </c>
      <c r="J435" s="161" cm="1">
        <f t="array" ref="J435">IFERROR(
  VALUE($H435) *
  VALUE(
    _xlfn.XLOOKUP(
      TRIM($F435) &amp; "|" &amp; LEFT(SUBSTITUTE($G435,CHAR(160)," "),5) &amp; "|Reduced Rate",
      TRIM(SUBSTITUTE($T$2:$T$38,CHAR(160)," ")) &amp; "|" &amp;
      LEFT(SUBSTITUTE($U$2:$U$38,CHAR(160)," "),5) &amp; "|" &amp;
      TRIM(SUBSTITUTE($V$2:$V$38,CHAR(160)," ")),
      $W$2:$W$38
    )
  ),
"")</f>
        <v>400</v>
      </c>
      <c r="K435" s="42" cm="1">
        <f t="array" ref="K435">IFERROR(
  VALUE($H435) *
  VALUE(
    _xlfn.XLOOKUP(
      TRIM($F435) &amp; "|" &amp; LEFT(SUBSTITUTE($G435,CHAR(160)," "),5) &amp; "|Ideas Rate",
      TRIM(SUBSTITUTE($T$2:$T$38,CHAR(160)," ")) &amp; "|" &amp;
      LEFT(SUBSTITUTE($U$2:$U$38,CHAR(160)," "),5) &amp; "|" &amp;
      TRIM(SUBSTITUTE($V$2:$V$38,CHAR(160)," ")),
      $W$2:$W$38
    )
  ),
"")</f>
        <v>240</v>
      </c>
    </row>
    <row r="436" spans="1:11" x14ac:dyDescent="0.2">
      <c r="A436" s="10">
        <v>46108</v>
      </c>
      <c r="B436" s="5" t="s">
        <v>714</v>
      </c>
      <c r="C436" s="20" t="s">
        <v>519</v>
      </c>
      <c r="D436" t="s">
        <v>182</v>
      </c>
      <c r="E436" t="s">
        <v>784</v>
      </c>
      <c r="F436" t="s">
        <v>155</v>
      </c>
      <c r="G436" t="s">
        <v>367</v>
      </c>
      <c r="H436" s="79">
        <v>4</v>
      </c>
      <c r="I436" s="160" cm="1">
        <f t="array" ref="I436">IFERROR(
  VALUE($H436) *
  VALUE(
    _xlfn.XLOOKUP(
      TRIM($F436) &amp; "|" &amp; LEFT(SUBSTITUTE($G436,CHAR(160)," "),5) &amp; "|Full Rate",
      TRIM(SUBSTITUTE($T$2:$T$38,CHAR(160)," ")) &amp; "|" &amp;
      LEFT(SUBSTITUTE($U$2:$U$38,CHAR(160)," "),5) &amp; "|" &amp;
      TRIM(SUBSTITUTE($V$2:$V$38,CHAR(160)," ")),
      $W$2:$W$38
    )
  ),
"")</f>
        <v>1600</v>
      </c>
      <c r="J436" s="161" cm="1">
        <f t="array" ref="J436">IFERROR(
  VALUE($H436) *
  VALUE(
    _xlfn.XLOOKUP(
      TRIM($F436) &amp; "|" &amp; LEFT(SUBSTITUTE($G436,CHAR(160)," "),5) &amp; "|Reduced Rate",
      TRIM(SUBSTITUTE($T$2:$T$38,CHAR(160)," ")) &amp; "|" &amp;
      LEFT(SUBSTITUTE($U$2:$U$38,CHAR(160)," "),5) &amp; "|" &amp;
      TRIM(SUBSTITUTE($V$2:$V$38,CHAR(160)," ")),
      $W$2:$W$38
    )
  ),
"")</f>
        <v>800</v>
      </c>
      <c r="K436" s="42" cm="1">
        <f t="array" ref="K436">IFERROR(
  VALUE($H436) *
  VALUE(
    _xlfn.XLOOKUP(
      TRIM($F436) &amp; "|" &amp; LEFT(SUBSTITUTE($G436,CHAR(160)," "),5) &amp; "|Ideas Rate",
      TRIM(SUBSTITUTE($T$2:$T$38,CHAR(160)," ")) &amp; "|" &amp;
      LEFT(SUBSTITUTE($U$2:$U$38,CHAR(160)," "),5) &amp; "|" &amp;
      TRIM(SUBSTITUTE($V$2:$V$38,CHAR(160)," ")),
      $W$2:$W$38
    )
  ),
"")</f>
        <v>480</v>
      </c>
    </row>
    <row r="437" spans="1:11" x14ac:dyDescent="0.2">
      <c r="A437" s="10">
        <v>46109</v>
      </c>
      <c r="B437" s="5" t="s">
        <v>714</v>
      </c>
      <c r="C437" s="20" t="s">
        <v>519</v>
      </c>
      <c r="D437" t="s">
        <v>182</v>
      </c>
      <c r="E437" t="s">
        <v>785</v>
      </c>
      <c r="F437" t="s">
        <v>155</v>
      </c>
      <c r="G437" t="s">
        <v>367</v>
      </c>
      <c r="H437" s="79">
        <v>2</v>
      </c>
      <c r="I437" s="160" cm="1">
        <f t="array" ref="I437">IFERROR(
  VALUE($H437) *
  VALUE(
    _xlfn.XLOOKUP(
      TRIM($F437) &amp; "|" &amp; LEFT(SUBSTITUTE($G437,CHAR(160)," "),5) &amp; "|Full Rate",
      TRIM(SUBSTITUTE($T$2:$T$38,CHAR(160)," ")) &amp; "|" &amp;
      LEFT(SUBSTITUTE($U$2:$U$38,CHAR(160)," "),5) &amp; "|" &amp;
      TRIM(SUBSTITUTE($V$2:$V$38,CHAR(160)," ")),
      $W$2:$W$38
    )
  ),
"")</f>
        <v>800</v>
      </c>
      <c r="J437" s="161" cm="1">
        <f t="array" ref="J437">IFERROR(
  VALUE($H437) *
  VALUE(
    _xlfn.XLOOKUP(
      TRIM($F437) &amp; "|" &amp; LEFT(SUBSTITUTE($G437,CHAR(160)," "),5) &amp; "|Reduced Rate",
      TRIM(SUBSTITUTE($T$2:$T$38,CHAR(160)," ")) &amp; "|" &amp;
      LEFT(SUBSTITUTE($U$2:$U$38,CHAR(160)," "),5) &amp; "|" &amp;
      TRIM(SUBSTITUTE($V$2:$V$38,CHAR(160)," ")),
      $W$2:$W$38
    )
  ),
"")</f>
        <v>400</v>
      </c>
      <c r="K437" s="42" cm="1">
        <f t="array" ref="K437">IFERROR(
  VALUE($H437) *
  VALUE(
    _xlfn.XLOOKUP(
      TRIM($F437) &amp; "|" &amp; LEFT(SUBSTITUTE($G437,CHAR(160)," "),5) &amp; "|Ideas Rate",
      TRIM(SUBSTITUTE($T$2:$T$38,CHAR(160)," ")) &amp; "|" &amp;
      LEFT(SUBSTITUTE($U$2:$U$38,CHAR(160)," "),5) &amp; "|" &amp;
      TRIM(SUBSTITUTE($V$2:$V$38,CHAR(160)," ")),
      $W$2:$W$38
    )
  ),
"")</f>
        <v>240</v>
      </c>
    </row>
    <row r="438" spans="1:11" x14ac:dyDescent="0.2">
      <c r="A438" s="10">
        <v>46110</v>
      </c>
      <c r="B438" s="5" t="s">
        <v>714</v>
      </c>
      <c r="C438" s="20" t="s">
        <v>519</v>
      </c>
      <c r="D438" t="s">
        <v>182</v>
      </c>
      <c r="E438" t="s">
        <v>786</v>
      </c>
      <c r="F438" t="s">
        <v>155</v>
      </c>
      <c r="G438" t="s">
        <v>367</v>
      </c>
      <c r="H438" s="79">
        <v>2</v>
      </c>
      <c r="I438" s="160" cm="1">
        <f t="array" ref="I438">IFERROR(
  VALUE($H438) *
  VALUE(
    _xlfn.XLOOKUP(
      TRIM($F438) &amp; "|" &amp; LEFT(SUBSTITUTE($G438,CHAR(160)," "),5) &amp; "|Full Rate",
      TRIM(SUBSTITUTE($T$2:$T$38,CHAR(160)," ")) &amp; "|" &amp;
      LEFT(SUBSTITUTE($U$2:$U$38,CHAR(160)," "),5) &amp; "|" &amp;
      TRIM(SUBSTITUTE($V$2:$V$38,CHAR(160)," ")),
      $W$2:$W$38
    )
  ),
"")</f>
        <v>800</v>
      </c>
      <c r="J438" s="161" cm="1">
        <f t="array" ref="J438">IFERROR(
  VALUE($H438) *
  VALUE(
    _xlfn.XLOOKUP(
      TRIM($F438) &amp; "|" &amp; LEFT(SUBSTITUTE($G438,CHAR(160)," "),5) &amp; "|Reduced Rate",
      TRIM(SUBSTITUTE($T$2:$T$38,CHAR(160)," ")) &amp; "|" &amp;
      LEFT(SUBSTITUTE($U$2:$U$38,CHAR(160)," "),5) &amp; "|" &amp;
      TRIM(SUBSTITUTE($V$2:$V$38,CHAR(160)," ")),
      $W$2:$W$38
    )
  ),
"")</f>
        <v>400</v>
      </c>
      <c r="K438" s="42" cm="1">
        <f t="array" ref="K438">IFERROR(
  VALUE($H438) *
  VALUE(
    _xlfn.XLOOKUP(
      TRIM($F438) &amp; "|" &amp; LEFT(SUBSTITUTE($G438,CHAR(160)," "),5) &amp; "|Ideas Rate",
      TRIM(SUBSTITUTE($T$2:$T$38,CHAR(160)," ")) &amp; "|" &amp;
      LEFT(SUBSTITUTE($U$2:$U$38,CHAR(160)," "),5) &amp; "|" &amp;
      TRIM(SUBSTITUTE($V$2:$V$38,CHAR(160)," ")),
      $W$2:$W$38
    )
  ),
"")</f>
        <v>240</v>
      </c>
    </row>
    <row r="439" spans="1:11" x14ac:dyDescent="0.2">
      <c r="A439" s="10">
        <v>46111</v>
      </c>
      <c r="B439" s="5" t="s">
        <v>714</v>
      </c>
      <c r="C439" s="20" t="s">
        <v>519</v>
      </c>
      <c r="D439" t="s">
        <v>192</v>
      </c>
      <c r="E439" t="s">
        <v>509</v>
      </c>
      <c r="F439" t="s">
        <v>155</v>
      </c>
      <c r="G439" t="s">
        <v>367</v>
      </c>
      <c r="H439" s="79">
        <v>0.5</v>
      </c>
      <c r="I439" s="160" cm="1">
        <f t="array" ref="I439">IFERROR(
  VALUE($H439) *
  VALUE(
    _xlfn.XLOOKUP(
      TRIM($F439) &amp; "|" &amp; LEFT(SUBSTITUTE($G439,CHAR(160)," "),5) &amp; "|Full Rate",
      TRIM(SUBSTITUTE($T$2:$T$38,CHAR(160)," ")) &amp; "|" &amp;
      LEFT(SUBSTITUTE($U$2:$U$38,CHAR(160)," "),5) &amp; "|" &amp;
      TRIM(SUBSTITUTE($V$2:$V$38,CHAR(160)," ")),
      $W$2:$W$38
    )
  ),
"")</f>
        <v>200</v>
      </c>
      <c r="J439" s="161" cm="1">
        <f t="array" ref="J439">IFERROR(
  VALUE($H439) *
  VALUE(
    _xlfn.XLOOKUP(
      TRIM($F439) &amp; "|" &amp; LEFT(SUBSTITUTE($G439,CHAR(160)," "),5) &amp; "|Reduced Rate",
      TRIM(SUBSTITUTE($T$2:$T$38,CHAR(160)," ")) &amp; "|" &amp;
      LEFT(SUBSTITUTE($U$2:$U$38,CHAR(160)," "),5) &amp; "|" &amp;
      TRIM(SUBSTITUTE($V$2:$V$38,CHAR(160)," ")),
      $W$2:$W$38
    )
  ),
"")</f>
        <v>100</v>
      </c>
      <c r="K439" s="42" cm="1">
        <f t="array" ref="K439">IFERROR(
  VALUE($H439) *
  VALUE(
    _xlfn.XLOOKUP(
      TRIM($F439) &amp; "|" &amp; LEFT(SUBSTITUTE($G439,CHAR(160)," "),5) &amp; "|Ideas Rate",
      TRIM(SUBSTITUTE($T$2:$T$38,CHAR(160)," ")) &amp; "|" &amp;
      LEFT(SUBSTITUTE($U$2:$U$38,CHAR(160)," "),5) &amp; "|" &amp;
      TRIM(SUBSTITUTE($V$2:$V$38,CHAR(160)," ")),
      $W$2:$W$38
    )
  ),
"")</f>
        <v>60</v>
      </c>
    </row>
    <row r="440" spans="1:11" x14ac:dyDescent="0.2">
      <c r="A440" s="10">
        <v>46111</v>
      </c>
      <c r="B440" s="5" t="s">
        <v>714</v>
      </c>
      <c r="C440" s="20" t="s">
        <v>519</v>
      </c>
      <c r="D440" t="s">
        <v>182</v>
      </c>
      <c r="E440" t="s">
        <v>785</v>
      </c>
      <c r="F440" t="s">
        <v>155</v>
      </c>
      <c r="G440" t="s">
        <v>367</v>
      </c>
      <c r="H440" s="79">
        <v>5</v>
      </c>
      <c r="I440" s="160" cm="1">
        <f t="array" ref="I440">IFERROR(
  VALUE($H440) *
  VALUE(
    _xlfn.XLOOKUP(
      TRIM($F440) &amp; "|" &amp; LEFT(SUBSTITUTE($G440,CHAR(160)," "),5) &amp; "|Full Rate",
      TRIM(SUBSTITUTE($T$2:$T$38,CHAR(160)," ")) &amp; "|" &amp;
      LEFT(SUBSTITUTE($U$2:$U$38,CHAR(160)," "),5) &amp; "|" &amp;
      TRIM(SUBSTITUTE($V$2:$V$38,CHAR(160)," ")),
      $W$2:$W$38
    )
  ),
"")</f>
        <v>2000</v>
      </c>
      <c r="J440" s="161" cm="1">
        <f t="array" ref="J440">IFERROR(
  VALUE($H440) *
  VALUE(
    _xlfn.XLOOKUP(
      TRIM($F440) &amp; "|" &amp; LEFT(SUBSTITUTE($G440,CHAR(160)," "),5) &amp; "|Reduced Rate",
      TRIM(SUBSTITUTE($T$2:$T$38,CHAR(160)," ")) &amp; "|" &amp;
      LEFT(SUBSTITUTE($U$2:$U$38,CHAR(160)," "),5) &amp; "|" &amp;
      TRIM(SUBSTITUTE($V$2:$V$38,CHAR(160)," ")),
      $W$2:$W$38
    )
  ),
"")</f>
        <v>1000</v>
      </c>
      <c r="K440" s="42" cm="1">
        <f t="array" ref="K440">IFERROR(
  VALUE($H440) *
  VALUE(
    _xlfn.XLOOKUP(
      TRIM($F440) &amp; "|" &amp; LEFT(SUBSTITUTE($G440,CHAR(160)," "),5) &amp; "|Ideas Rate",
      TRIM(SUBSTITUTE($T$2:$T$38,CHAR(160)," ")) &amp; "|" &amp;
      LEFT(SUBSTITUTE($U$2:$U$38,CHAR(160)," "),5) &amp; "|" &amp;
      TRIM(SUBSTITUTE($V$2:$V$38,CHAR(160)," ")),
      $W$2:$W$38
    )
  ),
"")</f>
        <v>600</v>
      </c>
    </row>
    <row r="441" spans="1:11" x14ac:dyDescent="0.2">
      <c r="A441" s="10">
        <v>46112</v>
      </c>
      <c r="B441" s="5" t="s">
        <v>714</v>
      </c>
      <c r="C441" s="20" t="s">
        <v>519</v>
      </c>
      <c r="D441" t="s">
        <v>182</v>
      </c>
      <c r="E441" t="s">
        <v>785</v>
      </c>
      <c r="F441" t="s">
        <v>155</v>
      </c>
      <c r="G441" t="s">
        <v>367</v>
      </c>
      <c r="H441" s="79">
        <v>6</v>
      </c>
      <c r="I441" s="160" cm="1">
        <f t="array" ref="I441">IFERROR(
  VALUE($H441) *
  VALUE(
    _xlfn.XLOOKUP(
      TRIM($F441) &amp; "|" &amp; LEFT(SUBSTITUTE($G441,CHAR(160)," "),5) &amp; "|Full Rate",
      TRIM(SUBSTITUTE($T$2:$T$38,CHAR(160)," ")) &amp; "|" &amp;
      LEFT(SUBSTITUTE($U$2:$U$38,CHAR(160)," "),5) &amp; "|" &amp;
      TRIM(SUBSTITUTE($V$2:$V$38,CHAR(160)," ")),
      $W$2:$W$38
    )
  ),
"")</f>
        <v>2400</v>
      </c>
      <c r="J441" s="161" cm="1">
        <f t="array" ref="J441">IFERROR(
  VALUE($H441) *
  VALUE(
    _xlfn.XLOOKUP(
      TRIM($F441) &amp; "|" &amp; LEFT(SUBSTITUTE($G441,CHAR(160)," "),5) &amp; "|Reduced Rate",
      TRIM(SUBSTITUTE($T$2:$T$38,CHAR(160)," ")) &amp; "|" &amp;
      LEFT(SUBSTITUTE($U$2:$U$38,CHAR(160)," "),5) &amp; "|" &amp;
      TRIM(SUBSTITUTE($V$2:$V$38,CHAR(160)," ")),
      $W$2:$W$38
    )
  ),
"")</f>
        <v>1200</v>
      </c>
      <c r="K441" s="42" cm="1">
        <f t="array" ref="K441">IFERROR(
  VALUE($H441) *
  VALUE(
    _xlfn.XLOOKUP(
      TRIM($F441) &amp; "|" &amp; LEFT(SUBSTITUTE($G441,CHAR(160)," "),5) &amp; "|Ideas Rate",
      TRIM(SUBSTITUTE($T$2:$T$38,CHAR(160)," ")) &amp; "|" &amp;
      LEFT(SUBSTITUTE($U$2:$U$38,CHAR(160)," "),5) &amp; "|" &amp;
      TRIM(SUBSTITUTE($V$2:$V$38,CHAR(160)," ")),
      $W$2:$W$38
    )
  ),
"")</f>
        <v>720</v>
      </c>
    </row>
    <row r="442" spans="1:11" x14ac:dyDescent="0.2">
      <c r="A442" s="10">
        <v>46113</v>
      </c>
      <c r="B442" s="5" t="s">
        <v>787</v>
      </c>
      <c r="C442" s="20" t="s">
        <v>519</v>
      </c>
      <c r="D442" t="s">
        <v>182</v>
      </c>
      <c r="E442" t="s">
        <v>786</v>
      </c>
      <c r="F442" t="s">
        <v>155</v>
      </c>
      <c r="G442" t="s">
        <v>367</v>
      </c>
      <c r="H442" s="79">
        <v>5</v>
      </c>
      <c r="I442" s="160" cm="1">
        <f t="array" ref="I442">IFERROR(
  VALUE($H442) *
  VALUE(
    _xlfn.XLOOKUP(
      TRIM($F442) &amp; "|" &amp; LEFT(SUBSTITUTE($G442,CHAR(160)," "),5) &amp; "|Full Rate",
      TRIM(SUBSTITUTE($T$2:$T$38,CHAR(160)," ")) &amp; "|" &amp;
      LEFT(SUBSTITUTE($U$2:$U$38,CHAR(160)," "),5) &amp; "|" &amp;
      TRIM(SUBSTITUTE($V$2:$V$38,CHAR(160)," ")),
      $W$2:$W$38
    )
  ),
"")</f>
        <v>2000</v>
      </c>
      <c r="J442" s="161" cm="1">
        <f t="array" ref="J442">IFERROR(
  VALUE($H442) *
  VALUE(
    _xlfn.XLOOKUP(
      TRIM($F442) &amp; "|" &amp; LEFT(SUBSTITUTE($G442,CHAR(160)," "),5) &amp; "|Reduced Rate",
      TRIM(SUBSTITUTE($T$2:$T$38,CHAR(160)," ")) &amp; "|" &amp;
      LEFT(SUBSTITUTE($U$2:$U$38,CHAR(160)," "),5) &amp; "|" &amp;
      TRIM(SUBSTITUTE($V$2:$V$38,CHAR(160)," ")),
      $W$2:$W$38
    )
  ),
"")</f>
        <v>1000</v>
      </c>
      <c r="K442" s="42" cm="1">
        <f t="array" ref="K442">IFERROR(
  VALUE($H442) *
  VALUE(
    _xlfn.XLOOKUP(
      TRIM($F442) &amp; "|" &amp; LEFT(SUBSTITUTE($G442,CHAR(160)," "),5) &amp; "|Ideas Rate",
      TRIM(SUBSTITUTE($T$2:$T$38,CHAR(160)," ")) &amp; "|" &amp;
      LEFT(SUBSTITUTE($U$2:$U$38,CHAR(160)," "),5) &amp; "|" &amp;
      TRIM(SUBSTITUTE($V$2:$V$38,CHAR(160)," ")),
      $W$2:$W$38
    )
  ),
"")</f>
        <v>600</v>
      </c>
    </row>
    <row r="443" spans="1:11" x14ac:dyDescent="0.2">
      <c r="A443" s="10">
        <v>46113</v>
      </c>
      <c r="B443" s="5" t="s">
        <v>787</v>
      </c>
      <c r="C443" s="20" t="s">
        <v>519</v>
      </c>
      <c r="D443" t="s">
        <v>178</v>
      </c>
      <c r="E443" t="s">
        <v>704</v>
      </c>
      <c r="F443" t="s">
        <v>155</v>
      </c>
      <c r="G443" t="s">
        <v>380</v>
      </c>
      <c r="H443" s="79">
        <v>1.25</v>
      </c>
      <c r="I443" s="160" cm="1">
        <f t="array" ref="I443">IFERROR(
  VALUE($H443) *
  VALUE(
    _xlfn.XLOOKUP(
      TRIM($F443) &amp; "|" &amp; LEFT(SUBSTITUTE($G443,CHAR(160)," "),5) &amp; "|Full Rate",
      TRIM(SUBSTITUTE($T$2:$T$38,CHAR(160)," ")) &amp; "|" &amp;
      LEFT(SUBSTITUTE($U$2:$U$38,CHAR(160)," "),5) &amp; "|" &amp;
      TRIM(SUBSTITUTE($V$2:$V$38,CHAR(160)," ")),
      $W$2:$W$38
    )
  ),
"")</f>
        <v>325</v>
      </c>
      <c r="J443" s="161" cm="1">
        <f t="array" ref="J443">IFERROR(
  VALUE($H443) *
  VALUE(
    _xlfn.XLOOKUP(
      TRIM($F443) &amp; "|" &amp; LEFT(SUBSTITUTE($G443,CHAR(160)," "),5) &amp; "|Reduced Rate",
      TRIM(SUBSTITUTE($T$2:$T$38,CHAR(160)," ")) &amp; "|" &amp;
      LEFT(SUBSTITUTE($U$2:$U$38,CHAR(160)," "),5) &amp; "|" &amp;
      TRIM(SUBSTITUTE($V$2:$V$38,CHAR(160)," ")),
      $W$2:$W$38
    )
  ),
"")</f>
        <v>150</v>
      </c>
      <c r="K443" s="42" cm="1">
        <f t="array" ref="K443">IFERROR(
  VALUE($H443) *
  VALUE(
    _xlfn.XLOOKUP(
      TRIM($F443) &amp; "|" &amp; LEFT(SUBSTITUTE($G443,CHAR(160)," "),5) &amp; "|Ideas Rate",
      TRIM(SUBSTITUTE($T$2:$T$38,CHAR(160)," ")) &amp; "|" &amp;
      LEFT(SUBSTITUTE($U$2:$U$38,CHAR(160)," "),5) &amp; "|" &amp;
      TRIM(SUBSTITUTE($V$2:$V$38,CHAR(160)," ")),
      $W$2:$W$38
    )
  ),
"")</f>
        <v>112.5</v>
      </c>
    </row>
    <row r="444" spans="1:11" x14ac:dyDescent="0.2">
      <c r="A444" s="10">
        <v>46113</v>
      </c>
      <c r="B444" s="5" t="s">
        <v>787</v>
      </c>
      <c r="C444" s="20" t="s">
        <v>519</v>
      </c>
      <c r="D444" t="s">
        <v>178</v>
      </c>
      <c r="E444" t="s">
        <v>744</v>
      </c>
      <c r="F444" t="s">
        <v>9</v>
      </c>
      <c r="G444" t="s">
        <v>380</v>
      </c>
      <c r="H444" s="79">
        <v>1.25</v>
      </c>
      <c r="I444" s="160" cm="1">
        <f t="array" ref="I444">IFERROR(
  VALUE($H444) *
  VALUE(
    _xlfn.XLOOKUP(
      TRIM($F444) &amp; "|" &amp; LEFT(SUBSTITUTE($G444,CHAR(160)," "),5) &amp; "|Full Rate",
      TRIM(SUBSTITUTE($T$2:$T$38,CHAR(160)," ")) &amp; "|" &amp;
      LEFT(SUBSTITUTE($U$2:$U$38,CHAR(160)," "),5) &amp; "|" &amp;
      TRIM(SUBSTITUTE($V$2:$V$38,CHAR(160)," ")),
      $W$2:$W$38
    )
  ),
"")</f>
        <v>312.5</v>
      </c>
      <c r="J444" s="161" cm="1">
        <f t="array" ref="J444">IFERROR(
  VALUE($H444) *
  VALUE(
    _xlfn.XLOOKUP(
      TRIM($F444) &amp; "|" &amp; LEFT(SUBSTITUTE($G444,CHAR(160)," "),5) &amp; "|Reduced Rate",
      TRIM(SUBSTITUTE($T$2:$T$38,CHAR(160)," ")) &amp; "|" &amp;
      LEFT(SUBSTITUTE($U$2:$U$38,CHAR(160)," "),5) &amp; "|" &amp;
      TRIM(SUBSTITUTE($V$2:$V$38,CHAR(160)," ")),
      $W$2:$W$38
    )
  ),
"")</f>
        <v>187.5</v>
      </c>
      <c r="K444" s="42" cm="1">
        <f t="array" ref="K444">IFERROR(
  VALUE($H444) *
  VALUE(
    _xlfn.XLOOKUP(
      TRIM($F444) &amp; "|" &amp; LEFT(SUBSTITUTE($G444,CHAR(160)," "),5) &amp; "|Ideas Rate",
      TRIM(SUBSTITUTE($T$2:$T$38,CHAR(160)," ")) &amp; "|" &amp;
      LEFT(SUBSTITUTE($U$2:$U$38,CHAR(160)," "),5) &amp; "|" &amp;
      TRIM(SUBSTITUTE($V$2:$V$38,CHAR(160)," ")),
      $W$2:$W$38
    )
  ),
"")</f>
        <v>93.75</v>
      </c>
    </row>
    <row r="445" spans="1:11" x14ac:dyDescent="0.2">
      <c r="A445" s="10">
        <v>46113</v>
      </c>
      <c r="B445" s="5" t="s">
        <v>787</v>
      </c>
      <c r="C445" s="20" t="s">
        <v>519</v>
      </c>
      <c r="D445" t="s">
        <v>190</v>
      </c>
      <c r="E445" t="s">
        <v>809</v>
      </c>
      <c r="F445" t="s">
        <v>10</v>
      </c>
      <c r="G445" t="s">
        <v>368</v>
      </c>
      <c r="H445" s="79">
        <v>1.5</v>
      </c>
      <c r="I445" s="160" cm="1">
        <f t="array" ref="I445">IFERROR(
  VALUE($H445) *
  VALUE(
    _xlfn.XLOOKUP(
      TRIM($F445) &amp; "|" &amp; LEFT(SUBSTITUTE($G445,CHAR(160)," "),5) &amp; "|Full Rate",
      TRIM(SUBSTITUTE($T$2:$T$38,CHAR(160)," ")) &amp; "|" &amp;
      LEFT(SUBSTITUTE($U$2:$U$38,CHAR(160)," "),5) &amp; "|" &amp;
      TRIM(SUBSTITUTE($V$2:$V$38,CHAR(160)," ")),
      $W$2:$W$38
    )
  ),
"")</f>
        <v>150</v>
      </c>
      <c r="J445" s="161" cm="1">
        <f t="array" ref="J445">IFERROR(
  VALUE($H445) *
  VALUE(
    _xlfn.XLOOKUP(
      TRIM($F445) &amp; "|" &amp; LEFT(SUBSTITUTE($G445,CHAR(160)," "),5) &amp; "|Reduced Rate",
      TRIM(SUBSTITUTE($T$2:$T$38,CHAR(160)," ")) &amp; "|" &amp;
      LEFT(SUBSTITUTE($U$2:$U$38,CHAR(160)," "),5) &amp; "|" &amp;
      TRIM(SUBSTITUTE($V$2:$V$38,CHAR(160)," ")),
      $W$2:$W$38
    )
  ),
"")</f>
        <v>75</v>
      </c>
      <c r="K445" s="42" cm="1">
        <f t="array" ref="K445">IFERROR(
  VALUE($H445) *
  VALUE(
    _xlfn.XLOOKUP(
      TRIM($F445) &amp; "|" &amp; LEFT(SUBSTITUTE($G445,CHAR(160)," "),5) &amp; "|Ideas Rate",
      TRIM(SUBSTITUTE($T$2:$T$38,CHAR(160)," ")) &amp; "|" &amp;
      LEFT(SUBSTITUTE($U$2:$U$38,CHAR(160)," "),5) &amp; "|" &amp;
      TRIM(SUBSTITUTE($V$2:$V$38,CHAR(160)," ")),
      $W$2:$W$38
    )
  ),
"")</f>
        <v>45</v>
      </c>
    </row>
    <row r="446" spans="1:11" x14ac:dyDescent="0.2">
      <c r="A446" s="10">
        <v>46114</v>
      </c>
      <c r="B446" s="5" t="s">
        <v>787</v>
      </c>
      <c r="C446" s="20" t="s">
        <v>519</v>
      </c>
      <c r="D446" t="s">
        <v>182</v>
      </c>
      <c r="E446" t="s">
        <v>785</v>
      </c>
      <c r="F446" t="s">
        <v>155</v>
      </c>
      <c r="G446" t="s">
        <v>367</v>
      </c>
      <c r="H446" s="79">
        <v>6</v>
      </c>
      <c r="I446" s="160" cm="1">
        <f t="array" ref="I446">IFERROR(
  VALUE($H446) *
  VALUE(
    _xlfn.XLOOKUP(
      TRIM($F446) &amp; "|" &amp; LEFT(SUBSTITUTE($G446,CHAR(160)," "),5) &amp; "|Full Rate",
      TRIM(SUBSTITUTE($T$2:$T$38,CHAR(160)," ")) &amp; "|" &amp;
      LEFT(SUBSTITUTE($U$2:$U$38,CHAR(160)," "),5) &amp; "|" &amp;
      TRIM(SUBSTITUTE($V$2:$V$38,CHAR(160)," ")),
      $W$2:$W$38
    )
  ),
"")</f>
        <v>2400</v>
      </c>
      <c r="J446" s="161" cm="1">
        <f t="array" ref="J446">IFERROR(
  VALUE($H446) *
  VALUE(
    _xlfn.XLOOKUP(
      TRIM($F446) &amp; "|" &amp; LEFT(SUBSTITUTE($G446,CHAR(160)," "),5) &amp; "|Reduced Rate",
      TRIM(SUBSTITUTE($T$2:$T$38,CHAR(160)," ")) &amp; "|" &amp;
      LEFT(SUBSTITUTE($U$2:$U$38,CHAR(160)," "),5) &amp; "|" &amp;
      TRIM(SUBSTITUTE($V$2:$V$38,CHAR(160)," ")),
      $W$2:$W$38
    )
  ),
"")</f>
        <v>1200</v>
      </c>
      <c r="K446" s="42" cm="1">
        <f t="array" ref="K446">IFERROR(
  VALUE($H446) *
  VALUE(
    _xlfn.XLOOKUP(
      TRIM($F446) &amp; "|" &amp; LEFT(SUBSTITUTE($G446,CHAR(160)," "),5) &amp; "|Ideas Rate",
      TRIM(SUBSTITUTE($T$2:$T$38,CHAR(160)," ")) &amp; "|" &amp;
      LEFT(SUBSTITUTE($U$2:$U$38,CHAR(160)," "),5) &amp; "|" &amp;
      TRIM(SUBSTITUTE($V$2:$V$38,CHAR(160)," ")),
      $W$2:$W$38
    )
  ),
"")</f>
        <v>720</v>
      </c>
    </row>
    <row r="447" spans="1:11" x14ac:dyDescent="0.2">
      <c r="A447" s="10">
        <v>46114</v>
      </c>
      <c r="B447" s="5" t="s">
        <v>787</v>
      </c>
      <c r="C447" s="20" t="s">
        <v>715</v>
      </c>
      <c r="D447" t="s">
        <v>178</v>
      </c>
      <c r="E447" t="s">
        <v>678</v>
      </c>
      <c r="F447" t="s">
        <v>10</v>
      </c>
      <c r="G447" t="s">
        <v>380</v>
      </c>
      <c r="H447" s="79">
        <v>1</v>
      </c>
      <c r="I447" s="160" cm="1">
        <f t="array" ref="I447">IFERROR(
  VALUE($H447) *
  VALUE(
    _xlfn.XLOOKUP(
      TRIM($F447) &amp; "|" &amp; LEFT(SUBSTITUTE($G447,CHAR(160)," "),5) &amp; "|Full Rate",
      TRIM(SUBSTITUTE($T$2:$T$38,CHAR(160)," ")) &amp; "|" &amp;
      LEFT(SUBSTITUTE($U$2:$U$38,CHAR(160)," "),5) &amp; "|" &amp;
      TRIM(SUBSTITUTE($V$2:$V$38,CHAR(160)," ")),
      $W$2:$W$38
    )
  ),
"")</f>
        <v>250</v>
      </c>
      <c r="J447" s="161" cm="1">
        <f t="array" ref="J447">IFERROR(
  VALUE($H447) *
  VALUE(
    _xlfn.XLOOKUP(
      TRIM($F447) &amp; "|" &amp; LEFT(SUBSTITUTE($G447,CHAR(160)," "),5) &amp; "|Reduced Rate",
      TRIM(SUBSTITUTE($T$2:$T$38,CHAR(160)," ")) &amp; "|" &amp;
      LEFT(SUBSTITUTE($U$2:$U$38,CHAR(160)," "),5) &amp; "|" &amp;
      TRIM(SUBSTITUTE($V$2:$V$38,CHAR(160)," ")),
      $W$2:$W$38
    )
  ),
"")</f>
        <v>150</v>
      </c>
      <c r="K447" s="42" cm="1">
        <f t="array" ref="K447">IFERROR(
  VALUE($H447) *
  VALUE(
    _xlfn.XLOOKUP(
      TRIM($F447) &amp; "|" &amp; LEFT(SUBSTITUTE($G447,CHAR(160)," "),5) &amp; "|Ideas Rate",
      TRIM(SUBSTITUTE($T$2:$T$38,CHAR(160)," ")) &amp; "|" &amp;
      LEFT(SUBSTITUTE($U$2:$U$38,CHAR(160)," "),5) &amp; "|" &amp;
      TRIM(SUBSTITUTE($V$2:$V$38,CHAR(160)," ")),
      $W$2:$W$38
    )
  ),
"")</f>
        <v>75</v>
      </c>
    </row>
    <row r="448" spans="1:11" x14ac:dyDescent="0.2">
      <c r="A448" s="10">
        <v>46114</v>
      </c>
      <c r="B448" s="5" t="s">
        <v>787</v>
      </c>
      <c r="C448" s="20" t="s">
        <v>519</v>
      </c>
      <c r="D448" t="s">
        <v>178</v>
      </c>
      <c r="E448" t="s">
        <v>677</v>
      </c>
      <c r="F448" t="s">
        <v>9</v>
      </c>
      <c r="G448" t="s">
        <v>380</v>
      </c>
      <c r="H448" s="79">
        <v>1</v>
      </c>
      <c r="I448" s="160" cm="1">
        <f t="array" ref="I448">IFERROR(
  VALUE($H448) *
  VALUE(
    _xlfn.XLOOKUP(
      TRIM($F448) &amp; "|" &amp; LEFT(SUBSTITUTE($G448,CHAR(160)," "),5) &amp; "|Full Rate",
      TRIM(SUBSTITUTE($T$2:$T$38,CHAR(160)," ")) &amp; "|" &amp;
      LEFT(SUBSTITUTE($U$2:$U$38,CHAR(160)," "),5) &amp; "|" &amp;
      TRIM(SUBSTITUTE($V$2:$V$38,CHAR(160)," ")),
      $W$2:$W$38
    )
  ),
"")</f>
        <v>250</v>
      </c>
      <c r="J448" s="161" cm="1">
        <f t="array" ref="J448">IFERROR(
  VALUE($H448) *
  VALUE(
    _xlfn.XLOOKUP(
      TRIM($F448) &amp; "|" &amp; LEFT(SUBSTITUTE($G448,CHAR(160)," "),5) &amp; "|Reduced Rate",
      TRIM(SUBSTITUTE($T$2:$T$38,CHAR(160)," ")) &amp; "|" &amp;
      LEFT(SUBSTITUTE($U$2:$U$38,CHAR(160)," "),5) &amp; "|" &amp;
      TRIM(SUBSTITUTE($V$2:$V$38,CHAR(160)," ")),
      $W$2:$W$38
    )
  ),
"")</f>
        <v>150</v>
      </c>
      <c r="K448" s="42" cm="1">
        <f t="array" ref="K448">IFERROR(
  VALUE($H448) *
  VALUE(
    _xlfn.XLOOKUP(
      TRIM($F448) &amp; "|" &amp; LEFT(SUBSTITUTE($G448,CHAR(160)," "),5) &amp; "|Ideas Rate",
      TRIM(SUBSTITUTE($T$2:$T$38,CHAR(160)," ")) &amp; "|" &amp;
      LEFT(SUBSTITUTE($U$2:$U$38,CHAR(160)," "),5) &amp; "|" &amp;
      TRIM(SUBSTITUTE($V$2:$V$38,CHAR(160)," ")),
      $W$2:$W$38
    )
  ),
"")</f>
        <v>75</v>
      </c>
    </row>
    <row r="449" spans="1:11" x14ac:dyDescent="0.2">
      <c r="A449" s="10">
        <v>46115</v>
      </c>
      <c r="B449" s="5" t="s">
        <v>787</v>
      </c>
      <c r="C449" s="20" t="s">
        <v>715</v>
      </c>
      <c r="D449" t="s">
        <v>178</v>
      </c>
      <c r="E449" t="s">
        <v>809</v>
      </c>
      <c r="F449" t="s">
        <v>10</v>
      </c>
      <c r="G449" t="s">
        <v>368</v>
      </c>
      <c r="H449" s="79">
        <v>1</v>
      </c>
      <c r="I449" s="160" cm="1">
        <f t="array" ref="I449">IFERROR(
  VALUE($H449) *
  VALUE(
    _xlfn.XLOOKUP(
      TRIM($F449) &amp; "|" &amp; LEFT(SUBSTITUTE($G449,CHAR(160)," "),5) &amp; "|Full Rate",
      TRIM(SUBSTITUTE($T$2:$T$38,CHAR(160)," ")) &amp; "|" &amp;
      LEFT(SUBSTITUTE($U$2:$U$38,CHAR(160)," "),5) &amp; "|" &amp;
      TRIM(SUBSTITUTE($V$2:$V$38,CHAR(160)," ")),
      $W$2:$W$38
    )
  ),
"")</f>
        <v>100</v>
      </c>
      <c r="J449" s="161" cm="1">
        <f t="array" ref="J449">IFERROR(
  VALUE($H449) *
  VALUE(
    _xlfn.XLOOKUP(
      TRIM($F449) &amp; "|" &amp; LEFT(SUBSTITUTE($G449,CHAR(160)," "),5) &amp; "|Reduced Rate",
      TRIM(SUBSTITUTE($T$2:$T$38,CHAR(160)," ")) &amp; "|" &amp;
      LEFT(SUBSTITUTE($U$2:$U$38,CHAR(160)," "),5) &amp; "|" &amp;
      TRIM(SUBSTITUTE($V$2:$V$38,CHAR(160)," ")),
      $W$2:$W$38
    )
  ),
"")</f>
        <v>50</v>
      </c>
      <c r="K449" s="42" cm="1">
        <f t="array" ref="K449">IFERROR(
  VALUE($H449) *
  VALUE(
    _xlfn.XLOOKUP(
      TRIM($F449) &amp; "|" &amp; LEFT(SUBSTITUTE($G449,CHAR(160)," "),5) &amp; "|Ideas Rate",
      TRIM(SUBSTITUTE($T$2:$T$38,CHAR(160)," ")) &amp; "|" &amp;
      LEFT(SUBSTITUTE($U$2:$U$38,CHAR(160)," "),5) &amp; "|" &amp;
      TRIM(SUBSTITUTE($V$2:$V$38,CHAR(160)," ")),
      $W$2:$W$38
    )
  ),
"")</f>
        <v>30</v>
      </c>
    </row>
    <row r="450" spans="1:11" x14ac:dyDescent="0.2">
      <c r="A450" s="10">
        <v>46117</v>
      </c>
      <c r="B450" s="5" t="s">
        <v>787</v>
      </c>
      <c r="C450" s="20" t="s">
        <v>715</v>
      </c>
      <c r="D450" t="s">
        <v>190</v>
      </c>
      <c r="E450" t="s">
        <v>811</v>
      </c>
      <c r="F450" t="s">
        <v>10</v>
      </c>
      <c r="G450" t="s">
        <v>368</v>
      </c>
      <c r="H450" s="79">
        <v>2.5</v>
      </c>
      <c r="I450" s="160" cm="1">
        <f t="array" ref="I450">IFERROR(
  VALUE($H450) *
  VALUE(
    _xlfn.XLOOKUP(
      TRIM($F450) &amp; "|" &amp; LEFT(SUBSTITUTE($G450,CHAR(160)," "),5) &amp; "|Full Rate",
      TRIM(SUBSTITUTE($T$2:$T$38,CHAR(160)," ")) &amp; "|" &amp;
      LEFT(SUBSTITUTE($U$2:$U$38,CHAR(160)," "),5) &amp; "|" &amp;
      TRIM(SUBSTITUTE($V$2:$V$38,CHAR(160)," ")),
      $W$2:$W$38
    )
  ),
"")</f>
        <v>250</v>
      </c>
      <c r="J450" s="161" cm="1">
        <f t="array" ref="J450">IFERROR(
  VALUE($H450) *
  VALUE(
    _xlfn.XLOOKUP(
      TRIM($F450) &amp; "|" &amp; LEFT(SUBSTITUTE($G450,CHAR(160)," "),5) &amp; "|Reduced Rate",
      TRIM(SUBSTITUTE($T$2:$T$38,CHAR(160)," ")) &amp; "|" &amp;
      LEFT(SUBSTITUTE($U$2:$U$38,CHAR(160)," "),5) &amp; "|" &amp;
      TRIM(SUBSTITUTE($V$2:$V$38,CHAR(160)," ")),
      $W$2:$W$38
    )
  ),
"")</f>
        <v>125</v>
      </c>
      <c r="K450" s="42" cm="1">
        <f t="array" ref="K450">IFERROR(
  VALUE($H450) *
  VALUE(
    _xlfn.XLOOKUP(
      TRIM($F450) &amp; "|" &amp; LEFT(SUBSTITUTE($G450,CHAR(160)," "),5) &amp; "|Ideas Rate",
      TRIM(SUBSTITUTE($T$2:$T$38,CHAR(160)," ")) &amp; "|" &amp;
      LEFT(SUBSTITUTE($U$2:$U$38,CHAR(160)," "),5) &amp; "|" &amp;
      TRIM(SUBSTITUTE($V$2:$V$38,CHAR(160)," ")),
      $W$2:$W$38
    )
  ),
"")</f>
        <v>75</v>
      </c>
    </row>
    <row r="451" spans="1:11" x14ac:dyDescent="0.2">
      <c r="A451" s="10">
        <v>46118</v>
      </c>
      <c r="B451" s="5" t="s">
        <v>787</v>
      </c>
      <c r="C451" s="20" t="s">
        <v>519</v>
      </c>
      <c r="D451" t="s">
        <v>182</v>
      </c>
      <c r="E451" t="s">
        <v>785</v>
      </c>
      <c r="F451" t="s">
        <v>155</v>
      </c>
      <c r="G451" t="s">
        <v>367</v>
      </c>
      <c r="H451" s="79">
        <v>2</v>
      </c>
      <c r="I451" s="160" cm="1">
        <f t="array" ref="I451">IFERROR(
  VALUE($H451) *
  VALUE(
    _xlfn.XLOOKUP(
      TRIM($F451) &amp; "|" &amp; LEFT(SUBSTITUTE($G451,CHAR(160)," "),5) &amp; "|Full Rate",
      TRIM(SUBSTITUTE($T$2:$T$38,CHAR(160)," ")) &amp; "|" &amp;
      LEFT(SUBSTITUTE($U$2:$U$38,CHAR(160)," "),5) &amp; "|" &amp;
      TRIM(SUBSTITUTE($V$2:$V$38,CHAR(160)," ")),
      $W$2:$W$38
    )
  ),
"")</f>
        <v>800</v>
      </c>
      <c r="J451" s="161" cm="1">
        <f t="array" ref="J451">IFERROR(
  VALUE($H451) *
  VALUE(
    _xlfn.XLOOKUP(
      TRIM($F451) &amp; "|" &amp; LEFT(SUBSTITUTE($G451,CHAR(160)," "),5) &amp; "|Reduced Rate",
      TRIM(SUBSTITUTE($T$2:$T$38,CHAR(160)," ")) &amp; "|" &amp;
      LEFT(SUBSTITUTE($U$2:$U$38,CHAR(160)," "),5) &amp; "|" &amp;
      TRIM(SUBSTITUTE($V$2:$V$38,CHAR(160)," ")),
      $W$2:$W$38
    )
  ),
"")</f>
        <v>400</v>
      </c>
      <c r="K451" s="42" cm="1">
        <f t="array" ref="K451">IFERROR(
  VALUE($H451) *
  VALUE(
    _xlfn.XLOOKUP(
      TRIM($F451) &amp; "|" &amp; LEFT(SUBSTITUTE($G451,CHAR(160)," "),5) &amp; "|Ideas Rate",
      TRIM(SUBSTITUTE($T$2:$T$38,CHAR(160)," ")) &amp; "|" &amp;
      LEFT(SUBSTITUTE($U$2:$U$38,CHAR(160)," "),5) &amp; "|" &amp;
      TRIM(SUBSTITUTE($V$2:$V$38,CHAR(160)," ")),
      $W$2:$W$38
    )
  ),
"")</f>
        <v>240</v>
      </c>
    </row>
    <row r="452" spans="1:11" x14ac:dyDescent="0.2">
      <c r="A452" s="10">
        <v>46119</v>
      </c>
      <c r="B452" s="5" t="s">
        <v>787</v>
      </c>
      <c r="C452" s="20" t="s">
        <v>519</v>
      </c>
      <c r="D452" t="s">
        <v>182</v>
      </c>
      <c r="E452" t="s">
        <v>785</v>
      </c>
      <c r="F452" t="s">
        <v>155</v>
      </c>
      <c r="G452" t="s">
        <v>367</v>
      </c>
      <c r="H452" s="79">
        <v>6</v>
      </c>
      <c r="I452" s="160" cm="1">
        <f t="array" ref="I452">IFERROR(
  VALUE($H452) *
  VALUE(
    _xlfn.XLOOKUP(
      TRIM($F452) &amp; "|" &amp; LEFT(SUBSTITUTE($G452,CHAR(160)," "),5) &amp; "|Full Rate",
      TRIM(SUBSTITUTE($T$2:$T$38,CHAR(160)," ")) &amp; "|" &amp;
      LEFT(SUBSTITUTE($U$2:$U$38,CHAR(160)," "),5) &amp; "|" &amp;
      TRIM(SUBSTITUTE($V$2:$V$38,CHAR(160)," ")),
      $W$2:$W$38
    )
  ),
"")</f>
        <v>2400</v>
      </c>
      <c r="J452" s="161" cm="1">
        <f t="array" ref="J452">IFERROR(
  VALUE($H452) *
  VALUE(
    _xlfn.XLOOKUP(
      TRIM($F452) &amp; "|" &amp; LEFT(SUBSTITUTE($G452,CHAR(160)," "),5) &amp; "|Reduced Rate",
      TRIM(SUBSTITUTE($T$2:$T$38,CHAR(160)," ")) &amp; "|" &amp;
      LEFT(SUBSTITUTE($U$2:$U$38,CHAR(160)," "),5) &amp; "|" &amp;
      TRIM(SUBSTITUTE($V$2:$V$38,CHAR(160)," ")),
      $W$2:$W$38
    )
  ),
"")</f>
        <v>1200</v>
      </c>
      <c r="K452" s="42" cm="1">
        <f t="array" ref="K452">IFERROR(
  VALUE($H452) *
  VALUE(
    _xlfn.XLOOKUP(
      TRIM($F452) &amp; "|" &amp; LEFT(SUBSTITUTE($G452,CHAR(160)," "),5) &amp; "|Ideas Rate",
      TRIM(SUBSTITUTE($T$2:$T$38,CHAR(160)," ")) &amp; "|" &amp;
      LEFT(SUBSTITUTE($U$2:$U$38,CHAR(160)," "),5) &amp; "|" &amp;
      TRIM(SUBSTITUTE($V$2:$V$38,CHAR(160)," ")),
      $W$2:$W$38
    )
  ),
"")</f>
        <v>720</v>
      </c>
    </row>
    <row r="453" spans="1:11" x14ac:dyDescent="0.2">
      <c r="A453" s="10">
        <v>46119</v>
      </c>
      <c r="B453" s="5" t="s">
        <v>787</v>
      </c>
      <c r="C453" s="20" t="s">
        <v>519</v>
      </c>
      <c r="D453" t="s">
        <v>190</v>
      </c>
      <c r="E453" t="s">
        <v>809</v>
      </c>
      <c r="F453" t="s">
        <v>10</v>
      </c>
      <c r="G453" t="s">
        <v>368</v>
      </c>
      <c r="H453" s="79">
        <v>1</v>
      </c>
      <c r="I453" s="160" cm="1">
        <f t="array" ref="I453">IFERROR(
  VALUE($H453) *
  VALUE(
    _xlfn.XLOOKUP(
      TRIM($F453) &amp; "|" &amp; LEFT(SUBSTITUTE($G453,CHAR(160)," "),5) &amp; "|Full Rate",
      TRIM(SUBSTITUTE($T$2:$T$38,CHAR(160)," ")) &amp; "|" &amp;
      LEFT(SUBSTITUTE($U$2:$U$38,CHAR(160)," "),5) &amp; "|" &amp;
      TRIM(SUBSTITUTE($V$2:$V$38,CHAR(160)," ")),
      $W$2:$W$38
    )
  ),
"")</f>
        <v>100</v>
      </c>
      <c r="J453" s="161" cm="1">
        <f t="array" ref="J453">IFERROR(
  VALUE($H453) *
  VALUE(
    _xlfn.XLOOKUP(
      TRIM($F453) &amp; "|" &amp; LEFT(SUBSTITUTE($G453,CHAR(160)," "),5) &amp; "|Reduced Rate",
      TRIM(SUBSTITUTE($T$2:$T$38,CHAR(160)," ")) &amp; "|" &amp;
      LEFT(SUBSTITUTE($U$2:$U$38,CHAR(160)," "),5) &amp; "|" &amp;
      TRIM(SUBSTITUTE($V$2:$V$38,CHAR(160)," ")),
      $W$2:$W$38
    )
  ),
"")</f>
        <v>50</v>
      </c>
      <c r="K453" s="42" cm="1">
        <f t="array" ref="K453">IFERROR(
  VALUE($H453) *
  VALUE(
    _xlfn.XLOOKUP(
      TRIM($F453) &amp; "|" &amp; LEFT(SUBSTITUTE($G453,CHAR(160)," "),5) &amp; "|Ideas Rate",
      TRIM(SUBSTITUTE($T$2:$T$38,CHAR(160)," ")) &amp; "|" &amp;
      LEFT(SUBSTITUTE($U$2:$U$38,CHAR(160)," "),5) &amp; "|" &amp;
      TRIM(SUBSTITUTE($V$2:$V$38,CHAR(160)," ")),
      $W$2:$W$38
    )
  ),
"")</f>
        <v>30</v>
      </c>
    </row>
    <row r="454" spans="1:11" x14ac:dyDescent="0.2">
      <c r="A454" s="10">
        <v>46120</v>
      </c>
      <c r="B454" s="5" t="s">
        <v>787</v>
      </c>
      <c r="C454" s="20" t="s">
        <v>519</v>
      </c>
      <c r="D454" t="s">
        <v>192</v>
      </c>
      <c r="E454" t="s">
        <v>509</v>
      </c>
      <c r="F454" t="s">
        <v>155</v>
      </c>
      <c r="G454" t="s">
        <v>380</v>
      </c>
      <c r="H454" s="79">
        <v>0.5</v>
      </c>
      <c r="I454" s="160" cm="1">
        <f t="array" ref="I454">IFERROR(
  VALUE($H454) *
  VALUE(
    _xlfn.XLOOKUP(
      TRIM($F454) &amp; "|" &amp; LEFT(SUBSTITUTE($G454,CHAR(160)," "),5) &amp; "|Full Rate",
      TRIM(SUBSTITUTE($T$2:$T$38,CHAR(160)," ")) &amp; "|" &amp;
      LEFT(SUBSTITUTE($U$2:$U$38,CHAR(160)," "),5) &amp; "|" &amp;
      TRIM(SUBSTITUTE($V$2:$V$38,CHAR(160)," ")),
      $W$2:$W$38
    )
  ),
"")</f>
        <v>130</v>
      </c>
      <c r="J454" s="161" cm="1">
        <f t="array" ref="J454">IFERROR(
  VALUE($H454) *
  VALUE(
    _xlfn.XLOOKUP(
      TRIM($F454) &amp; "|" &amp; LEFT(SUBSTITUTE($G454,CHAR(160)," "),5) &amp; "|Reduced Rate",
      TRIM(SUBSTITUTE($T$2:$T$38,CHAR(160)," ")) &amp; "|" &amp;
      LEFT(SUBSTITUTE($U$2:$U$38,CHAR(160)," "),5) &amp; "|" &amp;
      TRIM(SUBSTITUTE($V$2:$V$38,CHAR(160)," ")),
      $W$2:$W$38
    )
  ),
"")</f>
        <v>60</v>
      </c>
      <c r="K454" s="42" cm="1">
        <f t="array" ref="K454">IFERROR(
  VALUE($H454) *
  VALUE(
    _xlfn.XLOOKUP(
      TRIM($F454) &amp; "|" &amp; LEFT(SUBSTITUTE($G454,CHAR(160)," "),5) &amp; "|Ideas Rate",
      TRIM(SUBSTITUTE($T$2:$T$38,CHAR(160)," ")) &amp; "|" &amp;
      LEFT(SUBSTITUTE($U$2:$U$38,CHAR(160)," "),5) &amp; "|" &amp;
      TRIM(SUBSTITUTE($V$2:$V$38,CHAR(160)," ")),
      $W$2:$W$38
    )
  ),
"")</f>
        <v>45</v>
      </c>
    </row>
    <row r="455" spans="1:11" x14ac:dyDescent="0.2">
      <c r="A455" s="10">
        <v>46120</v>
      </c>
      <c r="B455" s="5" t="s">
        <v>787</v>
      </c>
      <c r="C455" s="20" t="s">
        <v>715</v>
      </c>
      <c r="D455" t="s">
        <v>182</v>
      </c>
      <c r="E455" t="s">
        <v>785</v>
      </c>
      <c r="F455" t="s">
        <v>155</v>
      </c>
      <c r="G455" t="s">
        <v>367</v>
      </c>
      <c r="H455" s="79">
        <v>5.5</v>
      </c>
      <c r="I455" s="160" cm="1">
        <f t="array" ref="I455">IFERROR(
  VALUE($H455) *
  VALUE(
    _xlfn.XLOOKUP(
      TRIM($F455) &amp; "|" &amp; LEFT(SUBSTITUTE($G455,CHAR(160)," "),5) &amp; "|Full Rate",
      TRIM(SUBSTITUTE($T$2:$T$38,CHAR(160)," ")) &amp; "|" &amp;
      LEFT(SUBSTITUTE($U$2:$U$38,CHAR(160)," "),5) &amp; "|" &amp;
      TRIM(SUBSTITUTE($V$2:$V$38,CHAR(160)," ")),
      $W$2:$W$38
    )
  ),
"")</f>
        <v>2200</v>
      </c>
      <c r="J455" s="161" cm="1">
        <f t="array" ref="J455">IFERROR(
  VALUE($H455) *
  VALUE(
    _xlfn.XLOOKUP(
      TRIM($F455) &amp; "|" &amp; LEFT(SUBSTITUTE($G455,CHAR(160)," "),5) &amp; "|Reduced Rate",
      TRIM(SUBSTITUTE($T$2:$T$38,CHAR(160)," ")) &amp; "|" &amp;
      LEFT(SUBSTITUTE($U$2:$U$38,CHAR(160)," "),5) &amp; "|" &amp;
      TRIM(SUBSTITUTE($V$2:$V$38,CHAR(160)," ")),
      $W$2:$W$38
    )
  ),
"")</f>
        <v>1100</v>
      </c>
      <c r="K455" s="42" cm="1">
        <f t="array" ref="K455">IFERROR(
  VALUE($H455) *
  VALUE(
    _xlfn.XLOOKUP(
      TRIM($F455) &amp; "|" &amp; LEFT(SUBSTITUTE($G455,CHAR(160)," "),5) &amp; "|Ideas Rate",
      TRIM(SUBSTITUTE($T$2:$T$38,CHAR(160)," ")) &amp; "|" &amp;
      LEFT(SUBSTITUTE($U$2:$U$38,CHAR(160)," "),5) &amp; "|" &amp;
      TRIM(SUBSTITUTE($V$2:$V$38,CHAR(160)," ")),
      $W$2:$W$38
    )
  ),
"")</f>
        <v>660</v>
      </c>
    </row>
    <row r="456" spans="1:11" x14ac:dyDescent="0.2">
      <c r="A456" s="10">
        <v>46120</v>
      </c>
      <c r="B456" s="5" t="s">
        <v>787</v>
      </c>
      <c r="C456" s="20" t="s">
        <v>519</v>
      </c>
      <c r="D456" t="s">
        <v>190</v>
      </c>
      <c r="E456" t="s">
        <v>809</v>
      </c>
      <c r="F456" t="s">
        <v>10</v>
      </c>
      <c r="G456" t="s">
        <v>368</v>
      </c>
      <c r="H456" s="79">
        <v>1</v>
      </c>
      <c r="I456" s="160" cm="1">
        <f t="array" ref="I456">IFERROR(
  VALUE($H456) *
  VALUE(
    _xlfn.XLOOKUP(
      TRIM($F456) &amp; "|" &amp; LEFT(SUBSTITUTE($G456,CHAR(160)," "),5) &amp; "|Full Rate",
      TRIM(SUBSTITUTE($T$2:$T$38,CHAR(160)," ")) &amp; "|" &amp;
      LEFT(SUBSTITUTE($U$2:$U$38,CHAR(160)," "),5) &amp; "|" &amp;
      TRIM(SUBSTITUTE($V$2:$V$38,CHAR(160)," ")),
      $W$2:$W$38
    )
  ),
"")</f>
        <v>100</v>
      </c>
      <c r="J456" s="161" cm="1">
        <f t="array" ref="J456">IFERROR(
  VALUE($H456) *
  VALUE(
    _xlfn.XLOOKUP(
      TRIM($F456) &amp; "|" &amp; LEFT(SUBSTITUTE($G456,CHAR(160)," "),5) &amp; "|Reduced Rate",
      TRIM(SUBSTITUTE($T$2:$T$38,CHAR(160)," ")) &amp; "|" &amp;
      LEFT(SUBSTITUTE($U$2:$U$38,CHAR(160)," "),5) &amp; "|" &amp;
      TRIM(SUBSTITUTE($V$2:$V$38,CHAR(160)," ")),
      $W$2:$W$38
    )
  ),
"")</f>
        <v>50</v>
      </c>
      <c r="K456" s="42" cm="1">
        <f t="array" ref="K456">IFERROR(
  VALUE($H456) *
  VALUE(
    _xlfn.XLOOKUP(
      TRIM($F456) &amp; "|" &amp; LEFT(SUBSTITUTE($G456,CHAR(160)," "),5) &amp; "|Ideas Rate",
      TRIM(SUBSTITUTE($T$2:$T$38,CHAR(160)," ")) &amp; "|" &amp;
      LEFT(SUBSTITUTE($U$2:$U$38,CHAR(160)," "),5) &amp; "|" &amp;
      TRIM(SUBSTITUTE($V$2:$V$38,CHAR(160)," ")),
      $W$2:$W$38
    )
  ),
"")</f>
        <v>30</v>
      </c>
    </row>
    <row r="457" spans="1:11" x14ac:dyDescent="0.2">
      <c r="A457" s="10">
        <v>46120</v>
      </c>
      <c r="B457" s="5" t="s">
        <v>787</v>
      </c>
      <c r="C457" s="20" t="s">
        <v>519</v>
      </c>
      <c r="D457" t="s">
        <v>29</v>
      </c>
      <c r="E457" t="s">
        <v>812</v>
      </c>
      <c r="F457" t="s">
        <v>9</v>
      </c>
      <c r="G457" t="s">
        <v>380</v>
      </c>
      <c r="H457" s="79">
        <v>4</v>
      </c>
      <c r="I457" s="160" cm="1">
        <f t="array" ref="I457">IFERROR(
  VALUE($H457) *
  VALUE(
    _xlfn.XLOOKUP(
      TRIM($F457) &amp; "|" &amp; LEFT(SUBSTITUTE($G457,CHAR(160)," "),5) &amp; "|Full Rate",
      TRIM(SUBSTITUTE($T$2:$T$38,CHAR(160)," ")) &amp; "|" &amp;
      LEFT(SUBSTITUTE($U$2:$U$38,CHAR(160)," "),5) &amp; "|" &amp;
      TRIM(SUBSTITUTE($V$2:$V$38,CHAR(160)," ")),
      $W$2:$W$38
    )
  ),
"")</f>
        <v>1000</v>
      </c>
      <c r="J457" s="161" cm="1">
        <f t="array" ref="J457">IFERROR(
  VALUE($H457) *
  VALUE(
    _xlfn.XLOOKUP(
      TRIM($F457) &amp; "|" &amp; LEFT(SUBSTITUTE($G457,CHAR(160)," "),5) &amp; "|Reduced Rate",
      TRIM(SUBSTITUTE($T$2:$T$38,CHAR(160)," ")) &amp; "|" &amp;
      LEFT(SUBSTITUTE($U$2:$U$38,CHAR(160)," "),5) &amp; "|" &amp;
      TRIM(SUBSTITUTE($V$2:$V$38,CHAR(160)," ")),
      $W$2:$W$38
    )
  ),
"")</f>
        <v>600</v>
      </c>
      <c r="K457" s="42" cm="1">
        <f t="array" ref="K457">IFERROR(
  VALUE($H457) *
  VALUE(
    _xlfn.XLOOKUP(
      TRIM($F457) &amp; "|" &amp; LEFT(SUBSTITUTE($G457,CHAR(160)," "),5) &amp; "|Ideas Rate",
      TRIM(SUBSTITUTE($T$2:$T$38,CHAR(160)," ")) &amp; "|" &amp;
      LEFT(SUBSTITUTE($U$2:$U$38,CHAR(160)," "),5) &amp; "|" &amp;
      TRIM(SUBSTITUTE($V$2:$V$38,CHAR(160)," ")),
      $W$2:$W$38
    )
  ),
"")</f>
        <v>300</v>
      </c>
    </row>
    <row r="458" spans="1:11" x14ac:dyDescent="0.2">
      <c r="A458" s="10">
        <v>46120</v>
      </c>
      <c r="B458" s="5" t="s">
        <v>787</v>
      </c>
      <c r="C458" s="20" t="s">
        <v>519</v>
      </c>
      <c r="D458" t="s">
        <v>192</v>
      </c>
      <c r="E458" t="s">
        <v>813</v>
      </c>
      <c r="F458" t="s">
        <v>9</v>
      </c>
      <c r="G458" t="s">
        <v>380</v>
      </c>
      <c r="H458" s="79">
        <v>4</v>
      </c>
      <c r="I458" s="160" cm="1">
        <f t="array" ref="I458">IFERROR(
  VALUE($H458) *
  VALUE(
    _xlfn.XLOOKUP(
      TRIM($F458) &amp; "|" &amp; LEFT(SUBSTITUTE($G458,CHAR(160)," "),5) &amp; "|Full Rate",
      TRIM(SUBSTITUTE($T$2:$T$38,CHAR(160)," ")) &amp; "|" &amp;
      LEFT(SUBSTITUTE($U$2:$U$38,CHAR(160)," "),5) &amp; "|" &amp;
      TRIM(SUBSTITUTE($V$2:$V$38,CHAR(160)," ")),
      $W$2:$W$38
    )
  ),
"")</f>
        <v>1000</v>
      </c>
      <c r="J458" s="161" cm="1">
        <f t="array" ref="J458">IFERROR(
  VALUE($H458) *
  VALUE(
    _xlfn.XLOOKUP(
      TRIM($F458) &amp; "|" &amp; LEFT(SUBSTITUTE($G458,CHAR(160)," "),5) &amp; "|Reduced Rate",
      TRIM(SUBSTITUTE($T$2:$T$38,CHAR(160)," ")) &amp; "|" &amp;
      LEFT(SUBSTITUTE($U$2:$U$38,CHAR(160)," "),5) &amp; "|" &amp;
      TRIM(SUBSTITUTE($V$2:$V$38,CHAR(160)," ")),
      $W$2:$W$38
    )
  ),
"")</f>
        <v>600</v>
      </c>
      <c r="K458" s="42" cm="1">
        <f t="array" ref="K458">IFERROR(
  VALUE($H458) *
  VALUE(
    _xlfn.XLOOKUP(
      TRIM($F458) &amp; "|" &amp; LEFT(SUBSTITUTE($G458,CHAR(160)," "),5) &amp; "|Ideas Rate",
      TRIM(SUBSTITUTE($T$2:$T$38,CHAR(160)," ")) &amp; "|" &amp;
      LEFT(SUBSTITUTE($U$2:$U$38,CHAR(160)," "),5) &amp; "|" &amp;
      TRIM(SUBSTITUTE($V$2:$V$38,CHAR(160)," ")),
      $W$2:$W$38
    )
  ),
"")</f>
        <v>300</v>
      </c>
    </row>
    <row r="459" spans="1:11" x14ac:dyDescent="0.2">
      <c r="A459" s="10">
        <v>46120</v>
      </c>
      <c r="B459" s="5" t="s">
        <v>787</v>
      </c>
      <c r="C459" s="20" t="s">
        <v>519</v>
      </c>
      <c r="D459" t="s">
        <v>178</v>
      </c>
      <c r="E459" t="s">
        <v>814</v>
      </c>
      <c r="F459" t="s">
        <v>9</v>
      </c>
      <c r="G459" t="s">
        <v>380</v>
      </c>
      <c r="H459" s="79">
        <v>5</v>
      </c>
      <c r="I459" s="160" cm="1">
        <f t="array" ref="I459">IFERROR(
  VALUE($H459) *
  VALUE(
    _xlfn.XLOOKUP(
      TRIM($F459) &amp; "|" &amp; LEFT(SUBSTITUTE($G459,CHAR(160)," "),5) &amp; "|Full Rate",
      TRIM(SUBSTITUTE($T$2:$T$38,CHAR(160)," ")) &amp; "|" &amp;
      LEFT(SUBSTITUTE($U$2:$U$38,CHAR(160)," "),5) &amp; "|" &amp;
      TRIM(SUBSTITUTE($V$2:$V$38,CHAR(160)," ")),
      $W$2:$W$38
    )
  ),
"")</f>
        <v>1250</v>
      </c>
      <c r="J459" s="161" cm="1">
        <f t="array" ref="J459">IFERROR(
  VALUE($H459) *
  VALUE(
    _xlfn.XLOOKUP(
      TRIM($F459) &amp; "|" &amp; LEFT(SUBSTITUTE($G459,CHAR(160)," "),5) &amp; "|Reduced Rate",
      TRIM(SUBSTITUTE($T$2:$T$38,CHAR(160)," ")) &amp; "|" &amp;
      LEFT(SUBSTITUTE($U$2:$U$38,CHAR(160)," "),5) &amp; "|" &amp;
      TRIM(SUBSTITUTE($V$2:$V$38,CHAR(160)," ")),
      $W$2:$W$38
    )
  ),
"")</f>
        <v>750</v>
      </c>
      <c r="K459" s="42" cm="1">
        <f t="array" ref="K459">IFERROR(
  VALUE($H459) *
  VALUE(
    _xlfn.XLOOKUP(
      TRIM($F459) &amp; "|" &amp; LEFT(SUBSTITUTE($G459,CHAR(160)," "),5) &amp; "|Ideas Rate",
      TRIM(SUBSTITUTE($T$2:$T$38,CHAR(160)," ")) &amp; "|" &amp;
      LEFT(SUBSTITUTE($U$2:$U$38,CHAR(160)," "),5) &amp; "|" &amp;
      TRIM(SUBSTITUTE($V$2:$V$38,CHAR(160)," ")),
      $W$2:$W$38
    )
  ),
"")</f>
        <v>375</v>
      </c>
    </row>
    <row r="460" spans="1:11" x14ac:dyDescent="0.2">
      <c r="A460" s="10">
        <v>46120</v>
      </c>
      <c r="B460" s="5" t="s">
        <v>787</v>
      </c>
      <c r="C460" s="20" t="s">
        <v>519</v>
      </c>
      <c r="D460" t="s">
        <v>178</v>
      </c>
      <c r="E460" t="s">
        <v>815</v>
      </c>
      <c r="F460" t="s">
        <v>9</v>
      </c>
      <c r="G460" t="s">
        <v>380</v>
      </c>
      <c r="H460" s="79">
        <v>1.5</v>
      </c>
      <c r="I460" s="160" cm="1">
        <f t="array" ref="I460">IFERROR(
  VALUE($H460) *
  VALUE(
    _xlfn.XLOOKUP(
      TRIM($F460) &amp; "|" &amp; LEFT(SUBSTITUTE($G460,CHAR(160)," "),5) &amp; "|Full Rate",
      TRIM(SUBSTITUTE($T$2:$T$38,CHAR(160)," ")) &amp; "|" &amp;
      LEFT(SUBSTITUTE($U$2:$U$38,CHAR(160)," "),5) &amp; "|" &amp;
      TRIM(SUBSTITUTE($V$2:$V$38,CHAR(160)," ")),
      $W$2:$W$38
    )
  ),
"")</f>
        <v>375</v>
      </c>
      <c r="J460" s="161" cm="1">
        <f t="array" ref="J460">IFERROR(
  VALUE($H460) *
  VALUE(
    _xlfn.XLOOKUP(
      TRIM($F460) &amp; "|" &amp; LEFT(SUBSTITUTE($G460,CHAR(160)," "),5) &amp; "|Reduced Rate",
      TRIM(SUBSTITUTE($T$2:$T$38,CHAR(160)," ")) &amp; "|" &amp;
      LEFT(SUBSTITUTE($U$2:$U$38,CHAR(160)," "),5) &amp; "|" &amp;
      TRIM(SUBSTITUTE($V$2:$V$38,CHAR(160)," ")),
      $W$2:$W$38
    )
  ),
"")</f>
        <v>225</v>
      </c>
      <c r="K460" s="42" cm="1">
        <f t="array" ref="K460">IFERROR(
  VALUE($H460) *
  VALUE(
    _xlfn.XLOOKUP(
      TRIM($F460) &amp; "|" &amp; LEFT(SUBSTITUTE($G460,CHAR(160)," "),5) &amp; "|Ideas Rate",
      TRIM(SUBSTITUTE($T$2:$T$38,CHAR(160)," ")) &amp; "|" &amp;
      LEFT(SUBSTITUTE($U$2:$U$38,CHAR(160)," "),5) &amp; "|" &amp;
      TRIM(SUBSTITUTE($V$2:$V$38,CHAR(160)," ")),
      $W$2:$W$38
    )
  ),
"")</f>
        <v>112.5</v>
      </c>
    </row>
    <row r="461" spans="1:11" x14ac:dyDescent="0.2">
      <c r="A461" s="10">
        <v>46121</v>
      </c>
      <c r="B461" s="5" t="s">
        <v>787</v>
      </c>
      <c r="C461" s="20" t="s">
        <v>715</v>
      </c>
      <c r="D461" t="s">
        <v>192</v>
      </c>
      <c r="E461" t="s">
        <v>509</v>
      </c>
      <c r="F461" t="s">
        <v>155</v>
      </c>
      <c r="G461" t="s">
        <v>380</v>
      </c>
      <c r="H461" s="79">
        <v>0.5</v>
      </c>
      <c r="I461" s="160" cm="1">
        <f t="array" ref="I461">IFERROR(
  VALUE($H461) *
  VALUE(
    _xlfn.XLOOKUP(
      TRIM($F461) &amp; "|" &amp; LEFT(SUBSTITUTE($G461,CHAR(160)," "),5) &amp; "|Full Rate",
      TRIM(SUBSTITUTE($T$2:$T$38,CHAR(160)," ")) &amp; "|" &amp;
      LEFT(SUBSTITUTE($U$2:$U$38,CHAR(160)," "),5) &amp; "|" &amp;
      TRIM(SUBSTITUTE($V$2:$V$38,CHAR(160)," ")),
      $W$2:$W$38
    )
  ),
"")</f>
        <v>130</v>
      </c>
      <c r="J461" s="161" cm="1">
        <f t="array" ref="J461">IFERROR(
  VALUE($H461) *
  VALUE(
    _xlfn.XLOOKUP(
      TRIM($F461) &amp; "|" &amp; LEFT(SUBSTITUTE($G461,CHAR(160)," "),5) &amp; "|Reduced Rate",
      TRIM(SUBSTITUTE($T$2:$T$38,CHAR(160)," ")) &amp; "|" &amp;
      LEFT(SUBSTITUTE($U$2:$U$38,CHAR(160)," "),5) &amp; "|" &amp;
      TRIM(SUBSTITUTE($V$2:$V$38,CHAR(160)," ")),
      $W$2:$W$38
    )
  ),
"")</f>
        <v>60</v>
      </c>
      <c r="K461" s="42" cm="1">
        <f t="array" ref="K461">IFERROR(
  VALUE($H461) *
  VALUE(
    _xlfn.XLOOKUP(
      TRIM($F461) &amp; "|" &amp; LEFT(SUBSTITUTE($G461,CHAR(160)," "),5) &amp; "|Ideas Rate",
      TRIM(SUBSTITUTE($T$2:$T$38,CHAR(160)," ")) &amp; "|" &amp;
      LEFT(SUBSTITUTE($U$2:$U$38,CHAR(160)," "),5) &amp; "|" &amp;
      TRIM(SUBSTITUTE($V$2:$V$38,CHAR(160)," ")),
      $W$2:$W$38
    )
  ),
"")</f>
        <v>45</v>
      </c>
    </row>
    <row r="462" spans="1:11" x14ac:dyDescent="0.2">
      <c r="A462" s="10">
        <v>46121</v>
      </c>
      <c r="B462" s="5" t="s">
        <v>787</v>
      </c>
      <c r="C462" s="20" t="s">
        <v>519</v>
      </c>
      <c r="D462" t="s">
        <v>182</v>
      </c>
      <c r="E462" t="s">
        <v>785</v>
      </c>
      <c r="F462" t="s">
        <v>155</v>
      </c>
      <c r="G462" t="s">
        <v>367</v>
      </c>
      <c r="H462" s="79">
        <v>6.5</v>
      </c>
      <c r="I462" s="160" cm="1">
        <f t="array" ref="I462">IFERROR(
  VALUE($H462) *
  VALUE(
    _xlfn.XLOOKUP(
      TRIM($F462) &amp; "|" &amp; LEFT(SUBSTITUTE($G462,CHAR(160)," "),5) &amp; "|Full Rate",
      TRIM(SUBSTITUTE($T$2:$T$38,CHAR(160)," ")) &amp; "|" &amp;
      LEFT(SUBSTITUTE($U$2:$U$38,CHAR(160)," "),5) &amp; "|" &amp;
      TRIM(SUBSTITUTE($V$2:$V$38,CHAR(160)," ")),
      $W$2:$W$38
    )
  ),
"")</f>
        <v>2600</v>
      </c>
      <c r="J462" s="161" cm="1">
        <f t="array" ref="J462">IFERROR(
  VALUE($H462) *
  VALUE(
    _xlfn.XLOOKUP(
      TRIM($F462) &amp; "|" &amp; LEFT(SUBSTITUTE($G462,CHAR(160)," "),5) &amp; "|Reduced Rate",
      TRIM(SUBSTITUTE($T$2:$T$38,CHAR(160)," ")) &amp; "|" &amp;
      LEFT(SUBSTITUTE($U$2:$U$38,CHAR(160)," "),5) &amp; "|" &amp;
      TRIM(SUBSTITUTE($V$2:$V$38,CHAR(160)," ")),
      $W$2:$W$38
    )
  ),
"")</f>
        <v>1300</v>
      </c>
      <c r="K462" s="42" cm="1">
        <f t="array" ref="K462">IFERROR(
  VALUE($H462) *
  VALUE(
    _xlfn.XLOOKUP(
      TRIM($F462) &amp; "|" &amp; LEFT(SUBSTITUTE($G462,CHAR(160)," "),5) &amp; "|Ideas Rate",
      TRIM(SUBSTITUTE($T$2:$T$38,CHAR(160)," ")) &amp; "|" &amp;
      LEFT(SUBSTITUTE($U$2:$U$38,CHAR(160)," "),5) &amp; "|" &amp;
      TRIM(SUBSTITUTE($V$2:$V$38,CHAR(160)," ")),
      $W$2:$W$38
    )
  ),
"")</f>
        <v>780</v>
      </c>
    </row>
    <row r="463" spans="1:11" x14ac:dyDescent="0.2">
      <c r="A463" s="10">
        <v>46122</v>
      </c>
      <c r="B463" s="5" t="s">
        <v>787</v>
      </c>
      <c r="C463" s="20" t="s">
        <v>519</v>
      </c>
      <c r="D463" t="s">
        <v>192</v>
      </c>
      <c r="E463" t="s">
        <v>509</v>
      </c>
      <c r="F463" t="s">
        <v>155</v>
      </c>
      <c r="G463" t="s">
        <v>380</v>
      </c>
      <c r="H463" s="79">
        <v>0.5</v>
      </c>
      <c r="I463" s="160" cm="1">
        <f t="array" ref="I463">IFERROR(
  VALUE($H463) *
  VALUE(
    _xlfn.XLOOKUP(
      TRIM($F463) &amp; "|" &amp; LEFT(SUBSTITUTE($G463,CHAR(160)," "),5) &amp; "|Full Rate",
      TRIM(SUBSTITUTE($T$2:$T$38,CHAR(160)," ")) &amp; "|" &amp;
      LEFT(SUBSTITUTE($U$2:$U$38,CHAR(160)," "),5) &amp; "|" &amp;
      TRIM(SUBSTITUTE($V$2:$V$38,CHAR(160)," ")),
      $W$2:$W$38
    )
  ),
"")</f>
        <v>130</v>
      </c>
      <c r="J463" s="161" cm="1">
        <f t="array" ref="J463">IFERROR(
  VALUE($H463) *
  VALUE(
    _xlfn.XLOOKUP(
      TRIM($F463) &amp; "|" &amp; LEFT(SUBSTITUTE($G463,CHAR(160)," "),5) &amp; "|Reduced Rate",
      TRIM(SUBSTITUTE($T$2:$T$38,CHAR(160)," ")) &amp; "|" &amp;
      LEFT(SUBSTITUTE($U$2:$U$38,CHAR(160)," "),5) &amp; "|" &amp;
      TRIM(SUBSTITUTE($V$2:$V$38,CHAR(160)," ")),
      $W$2:$W$38
    )
  ),
"")</f>
        <v>60</v>
      </c>
      <c r="K463" s="42" cm="1">
        <f t="array" ref="K463">IFERROR(
  VALUE($H463) *
  VALUE(
    _xlfn.XLOOKUP(
      TRIM($F463) &amp; "|" &amp; LEFT(SUBSTITUTE($G463,CHAR(160)," "),5) &amp; "|Ideas Rate",
      TRIM(SUBSTITUTE($T$2:$T$38,CHAR(160)," ")) &amp; "|" &amp;
      LEFT(SUBSTITUTE($U$2:$U$38,CHAR(160)," "),5) &amp; "|" &amp;
      TRIM(SUBSTITUTE($V$2:$V$38,CHAR(160)," ")),
      $W$2:$W$38
    )
  ),
"")</f>
        <v>45</v>
      </c>
    </row>
    <row r="464" spans="1:11" x14ac:dyDescent="0.2">
      <c r="A464" s="10">
        <v>46122</v>
      </c>
      <c r="B464" s="5" t="s">
        <v>787</v>
      </c>
      <c r="C464" s="20" t="s">
        <v>519</v>
      </c>
      <c r="D464" t="s">
        <v>182</v>
      </c>
      <c r="E464" t="s">
        <v>786</v>
      </c>
      <c r="F464" t="s">
        <v>155</v>
      </c>
      <c r="G464" t="s">
        <v>367</v>
      </c>
      <c r="H464" s="79">
        <v>6.5</v>
      </c>
      <c r="I464" s="160" cm="1">
        <f t="array" ref="I464">IFERROR(
  VALUE($H464) *
  VALUE(
    _xlfn.XLOOKUP(
      TRIM($F464) &amp; "|" &amp; LEFT(SUBSTITUTE($G464,CHAR(160)," "),5) &amp; "|Full Rate",
      TRIM(SUBSTITUTE($T$2:$T$38,CHAR(160)," ")) &amp; "|" &amp;
      LEFT(SUBSTITUTE($U$2:$U$38,CHAR(160)," "),5) &amp; "|" &amp;
      TRIM(SUBSTITUTE($V$2:$V$38,CHAR(160)," ")),
      $W$2:$W$38
    )
  ),
"")</f>
        <v>2600</v>
      </c>
      <c r="J464" s="161" cm="1">
        <f t="array" ref="J464">IFERROR(
  VALUE($H464) *
  VALUE(
    _xlfn.XLOOKUP(
      TRIM($F464) &amp; "|" &amp; LEFT(SUBSTITUTE($G464,CHAR(160)," "),5) &amp; "|Reduced Rate",
      TRIM(SUBSTITUTE($T$2:$T$38,CHAR(160)," ")) &amp; "|" &amp;
      LEFT(SUBSTITUTE($U$2:$U$38,CHAR(160)," "),5) &amp; "|" &amp;
      TRIM(SUBSTITUTE($V$2:$V$38,CHAR(160)," ")),
      $W$2:$W$38
    )
  ),
"")</f>
        <v>1300</v>
      </c>
      <c r="K464" s="42" cm="1">
        <f t="array" ref="K464">IFERROR(
  VALUE($H464) *
  VALUE(
    _xlfn.XLOOKUP(
      TRIM($F464) &amp; "|" &amp; LEFT(SUBSTITUTE($G464,CHAR(160)," "),5) &amp; "|Ideas Rate",
      TRIM(SUBSTITUTE($T$2:$T$38,CHAR(160)," ")) &amp; "|" &amp;
      LEFT(SUBSTITUTE($U$2:$U$38,CHAR(160)," "),5) &amp; "|" &amp;
      TRIM(SUBSTITUTE($V$2:$V$38,CHAR(160)," ")),
      $W$2:$W$38
    )
  ),
"")</f>
        <v>780</v>
      </c>
    </row>
    <row r="465" spans="1:11" x14ac:dyDescent="0.2">
      <c r="A465" s="10">
        <v>46125</v>
      </c>
      <c r="B465" s="5" t="s">
        <v>787</v>
      </c>
      <c r="C465" s="20" t="s">
        <v>519</v>
      </c>
      <c r="D465" t="s">
        <v>323</v>
      </c>
      <c r="E465" t="s">
        <v>839</v>
      </c>
      <c r="F465" t="s">
        <v>155</v>
      </c>
      <c r="G465" t="s">
        <v>368</v>
      </c>
      <c r="H465" s="79">
        <v>20</v>
      </c>
      <c r="I465" s="160" cm="1">
        <f t="array" ref="I465">IFERROR(
  VALUE($H465) *
  VALUE(
    _xlfn.XLOOKUP(
      TRIM($F465) &amp; "|" &amp; LEFT(SUBSTITUTE($G465,CHAR(160)," "),5) &amp; "|Full Rate",
      TRIM(SUBSTITUTE($T$2:$T$38,CHAR(160)," ")) &amp; "|" &amp;
      LEFT(SUBSTITUTE($U$2:$U$38,CHAR(160)," "),5) &amp; "|" &amp;
      TRIM(SUBSTITUTE($V$2:$V$38,CHAR(160)," ")),
      $W$2:$W$38
    )
  ),
"")</f>
        <v>2000</v>
      </c>
      <c r="J465" s="161" cm="1">
        <f t="array" ref="J465">IFERROR(
  VALUE($H465) *
  VALUE(
    _xlfn.XLOOKUP(
      TRIM($F465) &amp; "|" &amp; LEFT(SUBSTITUTE($G465,CHAR(160)," "),5) &amp; "|Reduced Rate",
      TRIM(SUBSTITUTE($T$2:$T$38,CHAR(160)," ")) &amp; "|" &amp;
      LEFT(SUBSTITUTE($U$2:$U$38,CHAR(160)," "),5) &amp; "|" &amp;
      TRIM(SUBSTITUTE($V$2:$V$38,CHAR(160)," ")),
      $W$2:$W$38
    )
  ),
"")</f>
        <v>1000</v>
      </c>
      <c r="K465" s="42" cm="1">
        <f t="array" ref="K465">IFERROR(
  VALUE($H465) *
  VALUE(
    _xlfn.XLOOKUP(
      TRIM($F465) &amp; "|" &amp; LEFT(SUBSTITUTE($G465,CHAR(160)," "),5) &amp; "|Ideas Rate",
      TRIM(SUBSTITUTE($T$2:$T$38,CHAR(160)," ")) &amp; "|" &amp;
      LEFT(SUBSTITUTE($U$2:$U$38,CHAR(160)," "),5) &amp; "|" &amp;
      TRIM(SUBSTITUTE($V$2:$V$38,CHAR(160)," ")),
      $W$2:$W$38
    )
  ),
"")</f>
        <v>600</v>
      </c>
    </row>
    <row r="466" spans="1:11" x14ac:dyDescent="0.2">
      <c r="A466" s="10">
        <v>46125</v>
      </c>
      <c r="B466" s="5" t="s">
        <v>787</v>
      </c>
      <c r="C466" s="20" t="s">
        <v>519</v>
      </c>
      <c r="D466" t="s">
        <v>178</v>
      </c>
      <c r="E466" t="s">
        <v>744</v>
      </c>
      <c r="F466" t="s">
        <v>10</v>
      </c>
      <c r="G466" t="s">
        <v>380</v>
      </c>
      <c r="H466" s="79">
        <v>0.5</v>
      </c>
      <c r="I466" s="160" cm="1">
        <f t="array" ref="I466">IFERROR(
  VALUE($H466) *
  VALUE(
    _xlfn.XLOOKUP(
      TRIM($F466) &amp; "|" &amp; LEFT(SUBSTITUTE($G466,CHAR(160)," "),5) &amp; "|Full Rate",
      TRIM(SUBSTITUTE($T$2:$T$38,CHAR(160)," ")) &amp; "|" &amp;
      LEFT(SUBSTITUTE($U$2:$U$38,CHAR(160)," "),5) &amp; "|" &amp;
      TRIM(SUBSTITUTE($V$2:$V$38,CHAR(160)," ")),
      $W$2:$W$38
    )
  ),
"")</f>
        <v>125</v>
      </c>
      <c r="J466" s="161" cm="1">
        <f t="array" ref="J466">IFERROR(
  VALUE($H466) *
  VALUE(
    _xlfn.XLOOKUP(
      TRIM($F466) &amp; "|" &amp; LEFT(SUBSTITUTE($G466,CHAR(160)," "),5) &amp; "|Reduced Rate",
      TRIM(SUBSTITUTE($T$2:$T$38,CHAR(160)," ")) &amp; "|" &amp;
      LEFT(SUBSTITUTE($U$2:$U$38,CHAR(160)," "),5) &amp; "|" &amp;
      TRIM(SUBSTITUTE($V$2:$V$38,CHAR(160)," ")),
      $W$2:$W$38
    )
  ),
"")</f>
        <v>75</v>
      </c>
      <c r="K466" s="42" cm="1">
        <f t="array" ref="K466">IFERROR(
  VALUE($H466) *
  VALUE(
    _xlfn.XLOOKUP(
      TRIM($F466) &amp; "|" &amp; LEFT(SUBSTITUTE($G466,CHAR(160)," "),5) &amp; "|Ideas Rate",
      TRIM(SUBSTITUTE($T$2:$T$38,CHAR(160)," ")) &amp; "|" &amp;
      LEFT(SUBSTITUTE($U$2:$U$38,CHAR(160)," "),5) &amp; "|" &amp;
      TRIM(SUBSTITUTE($V$2:$V$38,CHAR(160)," ")),
      $W$2:$W$38
    )
  ),
"")</f>
        <v>37.5</v>
      </c>
    </row>
    <row r="467" spans="1:11" x14ac:dyDescent="0.2">
      <c r="A467" s="10">
        <v>46125</v>
      </c>
      <c r="B467" s="5" t="s">
        <v>787</v>
      </c>
      <c r="C467" s="20" t="s">
        <v>519</v>
      </c>
      <c r="D467" t="s">
        <v>178</v>
      </c>
      <c r="E467" t="s">
        <v>678</v>
      </c>
      <c r="F467" t="s">
        <v>10</v>
      </c>
      <c r="G467" t="s">
        <v>380</v>
      </c>
      <c r="H467" s="79">
        <v>0.5</v>
      </c>
      <c r="I467" s="160" cm="1">
        <f t="array" ref="I467">IFERROR(
  VALUE($H467) *
  VALUE(
    _xlfn.XLOOKUP(
      TRIM($F467) &amp; "|" &amp; LEFT(SUBSTITUTE($G467,CHAR(160)," "),5) &amp; "|Full Rate",
      TRIM(SUBSTITUTE($T$2:$T$38,CHAR(160)," ")) &amp; "|" &amp;
      LEFT(SUBSTITUTE($U$2:$U$38,CHAR(160)," "),5) &amp; "|" &amp;
      TRIM(SUBSTITUTE($V$2:$V$38,CHAR(160)," ")),
      $W$2:$W$38
    )
  ),
"")</f>
        <v>125</v>
      </c>
      <c r="J467" s="161" cm="1">
        <f t="array" ref="J467">IFERROR(
  VALUE($H467) *
  VALUE(
    _xlfn.XLOOKUP(
      TRIM($F467) &amp; "|" &amp; LEFT(SUBSTITUTE($G467,CHAR(160)," "),5) &amp; "|Reduced Rate",
      TRIM(SUBSTITUTE($T$2:$T$38,CHAR(160)," ")) &amp; "|" &amp;
      LEFT(SUBSTITUTE($U$2:$U$38,CHAR(160)," "),5) &amp; "|" &amp;
      TRIM(SUBSTITUTE($V$2:$V$38,CHAR(160)," ")),
      $W$2:$W$38
    )
  ),
"")</f>
        <v>75</v>
      </c>
      <c r="K467" s="42" cm="1">
        <f t="array" ref="K467">IFERROR(
  VALUE($H467) *
  VALUE(
    _xlfn.XLOOKUP(
      TRIM($F467) &amp; "|" &amp; LEFT(SUBSTITUTE($G467,CHAR(160)," "),5) &amp; "|Ideas Rate",
      TRIM(SUBSTITUTE($T$2:$T$38,CHAR(160)," ")) &amp; "|" &amp;
      LEFT(SUBSTITUTE($U$2:$U$38,CHAR(160)," "),5) &amp; "|" &amp;
      TRIM(SUBSTITUTE($V$2:$V$38,CHAR(160)," ")),
      $W$2:$W$38
    )
  ),
"")</f>
        <v>37.5</v>
      </c>
    </row>
    <row r="468" spans="1:11" x14ac:dyDescent="0.2">
      <c r="A468" s="10">
        <v>46125</v>
      </c>
      <c r="B468" s="5" t="s">
        <v>787</v>
      </c>
      <c r="C468" s="20" t="s">
        <v>715</v>
      </c>
      <c r="D468" t="s">
        <v>178</v>
      </c>
      <c r="E468" t="s">
        <v>677</v>
      </c>
      <c r="F468" t="s">
        <v>9</v>
      </c>
      <c r="G468" t="s">
        <v>380</v>
      </c>
      <c r="H468" s="79">
        <v>0.5</v>
      </c>
      <c r="I468" s="160" cm="1">
        <f t="array" ref="I468">IFERROR(
  VALUE($H468) *
  VALUE(
    _xlfn.XLOOKUP(
      TRIM($F468) &amp; "|" &amp; LEFT(SUBSTITUTE($G468,CHAR(160)," "),5) &amp; "|Full Rate",
      TRIM(SUBSTITUTE($T$2:$T$38,CHAR(160)," ")) &amp; "|" &amp;
      LEFT(SUBSTITUTE($U$2:$U$38,CHAR(160)," "),5) &amp; "|" &amp;
      TRIM(SUBSTITUTE($V$2:$V$38,CHAR(160)," ")),
      $W$2:$W$38
    )
  ),
"")</f>
        <v>125</v>
      </c>
      <c r="J468" s="161" cm="1">
        <f t="array" ref="J468">IFERROR(
  VALUE($H468) *
  VALUE(
    _xlfn.XLOOKUP(
      TRIM($F468) &amp; "|" &amp; LEFT(SUBSTITUTE($G468,CHAR(160)," "),5) &amp; "|Reduced Rate",
      TRIM(SUBSTITUTE($T$2:$T$38,CHAR(160)," ")) &amp; "|" &amp;
      LEFT(SUBSTITUTE($U$2:$U$38,CHAR(160)," "),5) &amp; "|" &amp;
      TRIM(SUBSTITUTE($V$2:$V$38,CHAR(160)," ")),
      $W$2:$W$38
    )
  ),
"")</f>
        <v>75</v>
      </c>
      <c r="K468" s="42" cm="1">
        <f t="array" ref="K468">IFERROR(
  VALUE($H468) *
  VALUE(
    _xlfn.XLOOKUP(
      TRIM($F468) &amp; "|" &amp; LEFT(SUBSTITUTE($G468,CHAR(160)," "),5) &amp; "|Ideas Rate",
      TRIM(SUBSTITUTE($T$2:$T$38,CHAR(160)," ")) &amp; "|" &amp;
      LEFT(SUBSTITUTE($U$2:$U$38,CHAR(160)," "),5) &amp; "|" &amp;
      TRIM(SUBSTITUTE($V$2:$V$38,CHAR(160)," ")),
      $W$2:$W$38
    )
  ),
"")</f>
        <v>37.5</v>
      </c>
    </row>
    <row r="469" spans="1:11" x14ac:dyDescent="0.2">
      <c r="A469" s="10">
        <v>46125</v>
      </c>
      <c r="B469" s="5" t="s">
        <v>787</v>
      </c>
      <c r="C469" s="20" t="s">
        <v>715</v>
      </c>
      <c r="D469" t="s">
        <v>853</v>
      </c>
      <c r="E469" t="s">
        <v>833</v>
      </c>
      <c r="F469" t="s">
        <v>156</v>
      </c>
      <c r="G469" t="s">
        <v>367</v>
      </c>
      <c r="H469" s="79">
        <v>4</v>
      </c>
      <c r="I469" s="160" cm="1">
        <f t="array" ref="I469">IFERROR(
  VALUE($H469) *
  VALUE(
    _xlfn.XLOOKUP(
      TRIM($F469) &amp; "|" &amp; LEFT(SUBSTITUTE($G469,CHAR(160)," "),5) &amp; "|Full Rate",
      TRIM(SUBSTITUTE($T$2:$T$38,CHAR(160)," ")) &amp; "|" &amp;
      LEFT(SUBSTITUTE($U$2:$U$38,CHAR(160)," "),5) &amp; "|" &amp;
      TRIM(SUBSTITUTE($V$2:$V$38,CHAR(160)," ")),
      $W$2:$W$38
    )
  ),
"")</f>
        <v>1300</v>
      </c>
      <c r="J469" s="161" cm="1">
        <f t="array" ref="J469">IFERROR(
  VALUE($H469) *
  VALUE(
    _xlfn.XLOOKUP(
      TRIM($F469) &amp; "|" &amp; LEFT(SUBSTITUTE($G469,CHAR(160)," "),5) &amp; "|Reduced Rate",
      TRIM(SUBSTITUTE($T$2:$T$38,CHAR(160)," ")) &amp; "|" &amp;
      LEFT(SUBSTITUTE($U$2:$U$38,CHAR(160)," "),5) &amp; "|" &amp;
      TRIM(SUBSTITUTE($V$2:$V$38,CHAR(160)," ")),
      $W$2:$W$38
    )
  ),
"")</f>
        <v>700</v>
      </c>
      <c r="K469" s="42" cm="1">
        <f t="array" ref="K469">IFERROR(
  VALUE($H469) *
  VALUE(
    _xlfn.XLOOKUP(
      TRIM($F469) &amp; "|" &amp; LEFT(SUBSTITUTE($G469,CHAR(160)," "),5) &amp; "|Ideas Rate",
      TRIM(SUBSTITUTE($T$2:$T$38,CHAR(160)," ")) &amp; "|" &amp;
      LEFT(SUBSTITUTE($U$2:$U$38,CHAR(160)," "),5) &amp; "|" &amp;
      TRIM(SUBSTITUTE($V$2:$V$38,CHAR(160)," ")),
      $W$2:$W$38
    )
  ),
"")</f>
        <v>380</v>
      </c>
    </row>
    <row r="470" spans="1:11" x14ac:dyDescent="0.2">
      <c r="A470" s="10">
        <v>46126</v>
      </c>
      <c r="B470" s="5" t="s">
        <v>787</v>
      </c>
      <c r="C470" s="20" t="s">
        <v>519</v>
      </c>
      <c r="D470" t="s">
        <v>841</v>
      </c>
      <c r="E470" t="s">
        <v>840</v>
      </c>
      <c r="F470" t="s">
        <v>155</v>
      </c>
      <c r="G470" t="s">
        <v>368</v>
      </c>
      <c r="H470" s="79">
        <v>6</v>
      </c>
      <c r="I470" s="160" cm="1">
        <f t="array" ref="I470">IFERROR(
  VALUE($H470) *
  VALUE(
    _xlfn.XLOOKUP(
      TRIM($F470) &amp; "|" &amp; LEFT(SUBSTITUTE($G470,CHAR(160)," "),5) &amp; "|Full Rate",
      TRIM(SUBSTITUTE($T$2:$T$38,CHAR(160)," ")) &amp; "|" &amp;
      LEFT(SUBSTITUTE($U$2:$U$38,CHAR(160)," "),5) &amp; "|" &amp;
      TRIM(SUBSTITUTE($V$2:$V$38,CHAR(160)," ")),
      $W$2:$W$38
    )
  ),
"")</f>
        <v>600</v>
      </c>
      <c r="J470" s="161" cm="1">
        <f t="array" ref="J470">IFERROR(
  VALUE($H470) *
  VALUE(
    _xlfn.XLOOKUP(
      TRIM($F470) &amp; "|" &amp; LEFT(SUBSTITUTE($G470,CHAR(160)," "),5) &amp; "|Reduced Rate",
      TRIM(SUBSTITUTE($T$2:$T$38,CHAR(160)," ")) &amp; "|" &amp;
      LEFT(SUBSTITUTE($U$2:$U$38,CHAR(160)," "),5) &amp; "|" &amp;
      TRIM(SUBSTITUTE($V$2:$V$38,CHAR(160)," ")),
      $W$2:$W$38
    )
  ),
"")</f>
        <v>300</v>
      </c>
      <c r="K470" s="42" cm="1">
        <f t="array" ref="K470">IFERROR(
  VALUE($H470) *
  VALUE(
    _xlfn.XLOOKUP(
      TRIM($F470) &amp; "|" &amp; LEFT(SUBSTITUTE($G470,CHAR(160)," "),5) &amp; "|Ideas Rate",
      TRIM(SUBSTITUTE($T$2:$T$38,CHAR(160)," ")) &amp; "|" &amp;
      LEFT(SUBSTITUTE($U$2:$U$38,CHAR(160)," "),5) &amp; "|" &amp;
      TRIM(SUBSTITUTE($V$2:$V$38,CHAR(160)," ")),
      $W$2:$W$38
    )
  ),
"")</f>
        <v>180</v>
      </c>
    </row>
    <row r="471" spans="1:11" x14ac:dyDescent="0.2">
      <c r="A471" s="10">
        <v>46126</v>
      </c>
      <c r="B471" s="5" t="s">
        <v>787</v>
      </c>
      <c r="C471" s="20" t="s">
        <v>715</v>
      </c>
      <c r="D471" t="s">
        <v>190</v>
      </c>
      <c r="E471" t="s">
        <v>833</v>
      </c>
      <c r="F471" t="s">
        <v>156</v>
      </c>
      <c r="G471" t="s">
        <v>367</v>
      </c>
      <c r="H471" s="79">
        <v>4</v>
      </c>
      <c r="I471" s="160" cm="1">
        <f t="array" ref="I471">IFERROR(
  VALUE($H471) *
  VALUE(
    _xlfn.XLOOKUP(
      TRIM($F471) &amp; "|" &amp; LEFT(SUBSTITUTE($G471,CHAR(160)," "),5) &amp; "|Full Rate",
      TRIM(SUBSTITUTE($T$2:$T$38,CHAR(160)," ")) &amp; "|" &amp;
      LEFT(SUBSTITUTE($U$2:$U$38,CHAR(160)," "),5) &amp; "|" &amp;
      TRIM(SUBSTITUTE($V$2:$V$38,CHAR(160)," ")),
      $W$2:$W$38
    )
  ),
"")</f>
        <v>1300</v>
      </c>
      <c r="J471" s="161" cm="1">
        <f t="array" ref="J471">IFERROR(
  VALUE($H471) *
  VALUE(
    _xlfn.XLOOKUP(
      TRIM($F471) &amp; "|" &amp; LEFT(SUBSTITUTE($G471,CHAR(160)," "),5) &amp; "|Reduced Rate",
      TRIM(SUBSTITUTE($T$2:$T$38,CHAR(160)," ")) &amp; "|" &amp;
      LEFT(SUBSTITUTE($U$2:$U$38,CHAR(160)," "),5) &amp; "|" &amp;
      TRIM(SUBSTITUTE($V$2:$V$38,CHAR(160)," ")),
      $W$2:$W$38
    )
  ),
"")</f>
        <v>700</v>
      </c>
      <c r="K471" s="42" cm="1">
        <f t="array" ref="K471">IFERROR(
  VALUE($H471) *
  VALUE(
    _xlfn.XLOOKUP(
      TRIM($F471) &amp; "|" &amp; LEFT(SUBSTITUTE($G471,CHAR(160)," "),5) &amp; "|Ideas Rate",
      TRIM(SUBSTITUTE($T$2:$T$38,CHAR(160)," ")) &amp; "|" &amp;
      LEFT(SUBSTITUTE($U$2:$U$38,CHAR(160)," "),5) &amp; "|" &amp;
      TRIM(SUBSTITUTE($V$2:$V$38,CHAR(160)," ")),
      $W$2:$W$38
    )
  ),
"")</f>
        <v>380</v>
      </c>
    </row>
    <row r="472" spans="1:11" x14ac:dyDescent="0.2">
      <c r="A472" s="10">
        <v>46126</v>
      </c>
      <c r="B472" s="5" t="s">
        <v>787</v>
      </c>
      <c r="C472" s="20" t="s">
        <v>519</v>
      </c>
      <c r="D472" t="s">
        <v>853</v>
      </c>
      <c r="E472" t="s">
        <v>823</v>
      </c>
      <c r="F472" t="s">
        <v>10</v>
      </c>
      <c r="G472" t="s">
        <v>368</v>
      </c>
      <c r="H472" s="79">
        <v>3</v>
      </c>
      <c r="I472" s="160" cm="1">
        <f t="array" ref="I472">IFERROR(
  VALUE($H472) *
  VALUE(
    _xlfn.XLOOKUP(
      TRIM($F472) &amp; "|" &amp; LEFT(SUBSTITUTE($G472,CHAR(160)," "),5) &amp; "|Full Rate",
      TRIM(SUBSTITUTE($T$2:$T$38,CHAR(160)," ")) &amp; "|" &amp;
      LEFT(SUBSTITUTE($U$2:$U$38,CHAR(160)," "),5) &amp; "|" &amp;
      TRIM(SUBSTITUTE($V$2:$V$38,CHAR(160)," ")),
      $W$2:$W$38
    )
  ),
"")</f>
        <v>300</v>
      </c>
      <c r="J472" s="161" cm="1">
        <f t="array" ref="J472">IFERROR(
  VALUE($H472) *
  VALUE(
    _xlfn.XLOOKUP(
      TRIM($F472) &amp; "|" &amp; LEFT(SUBSTITUTE($G472,CHAR(160)," "),5) &amp; "|Reduced Rate",
      TRIM(SUBSTITUTE($T$2:$T$38,CHAR(160)," ")) &amp; "|" &amp;
      LEFT(SUBSTITUTE($U$2:$U$38,CHAR(160)," "),5) &amp; "|" &amp;
      TRIM(SUBSTITUTE($V$2:$V$38,CHAR(160)," ")),
      $W$2:$W$38
    )
  ),
"")</f>
        <v>150</v>
      </c>
      <c r="K472" s="42" cm="1">
        <f t="array" ref="K472">IFERROR(
  VALUE($H472) *
  VALUE(
    _xlfn.XLOOKUP(
      TRIM($F472) &amp; "|" &amp; LEFT(SUBSTITUTE($G472,CHAR(160)," "),5) &amp; "|Ideas Rate",
      TRIM(SUBSTITUTE($T$2:$T$38,CHAR(160)," ")) &amp; "|" &amp;
      LEFT(SUBSTITUTE($U$2:$U$38,CHAR(160)," "),5) &amp; "|" &amp;
      TRIM(SUBSTITUTE($V$2:$V$38,CHAR(160)," ")),
      $W$2:$W$38
    )
  ),
"")</f>
        <v>90</v>
      </c>
    </row>
    <row r="473" spans="1:11" x14ac:dyDescent="0.2">
      <c r="A473" s="10">
        <v>46127</v>
      </c>
      <c r="B473" s="5" t="s">
        <v>787</v>
      </c>
      <c r="C473" s="20" t="s">
        <v>715</v>
      </c>
      <c r="D473" t="s">
        <v>841</v>
      </c>
      <c r="E473" t="s">
        <v>842</v>
      </c>
      <c r="F473" t="s">
        <v>155</v>
      </c>
      <c r="G473" t="s">
        <v>368</v>
      </c>
      <c r="H473" s="79">
        <v>6</v>
      </c>
      <c r="I473" s="160" cm="1">
        <f t="array" ref="I473">IFERROR(
  VALUE($H473) *
  VALUE(
    _xlfn.XLOOKUP(
      TRIM($F473) &amp; "|" &amp; LEFT(SUBSTITUTE($G473,CHAR(160)," "),5) &amp; "|Full Rate",
      TRIM(SUBSTITUTE($T$2:$T$38,CHAR(160)," ")) &amp; "|" &amp;
      LEFT(SUBSTITUTE($U$2:$U$38,CHAR(160)," "),5) &amp; "|" &amp;
      TRIM(SUBSTITUTE($V$2:$V$38,CHAR(160)," ")),
      $W$2:$W$38
    )
  ),
"")</f>
        <v>600</v>
      </c>
      <c r="J473" s="161" cm="1">
        <f t="array" ref="J473">IFERROR(
  VALUE($H473) *
  VALUE(
    _xlfn.XLOOKUP(
      TRIM($F473) &amp; "|" &amp; LEFT(SUBSTITUTE($G473,CHAR(160)," "),5) &amp; "|Reduced Rate",
      TRIM(SUBSTITUTE($T$2:$T$38,CHAR(160)," ")) &amp; "|" &amp;
      LEFT(SUBSTITUTE($U$2:$U$38,CHAR(160)," "),5) &amp; "|" &amp;
      TRIM(SUBSTITUTE($V$2:$V$38,CHAR(160)," ")),
      $W$2:$W$38
    )
  ),
"")</f>
        <v>300</v>
      </c>
      <c r="K473" s="42" cm="1">
        <f t="array" ref="K473">IFERROR(
  VALUE($H473) *
  VALUE(
    _xlfn.XLOOKUP(
      TRIM($F473) &amp; "|" &amp; LEFT(SUBSTITUTE($G473,CHAR(160)," "),5) &amp; "|Ideas Rate",
      TRIM(SUBSTITUTE($T$2:$T$38,CHAR(160)," ")) &amp; "|" &amp;
      LEFT(SUBSTITUTE($U$2:$U$38,CHAR(160)," "),5) &amp; "|" &amp;
      TRIM(SUBSTITUTE($V$2:$V$38,CHAR(160)," ")),
      $W$2:$W$38
    )
  ),
"")</f>
        <v>180</v>
      </c>
    </row>
    <row r="474" spans="1:11" x14ac:dyDescent="0.2">
      <c r="A474" s="10">
        <v>46128</v>
      </c>
      <c r="B474" s="5" t="s">
        <v>787</v>
      </c>
      <c r="C474" s="20" t="s">
        <v>519</v>
      </c>
      <c r="D474" t="s">
        <v>323</v>
      </c>
      <c r="E474" t="s">
        <v>843</v>
      </c>
      <c r="F474" t="s">
        <v>155</v>
      </c>
      <c r="G474" t="s">
        <v>368</v>
      </c>
      <c r="H474" s="79">
        <v>20</v>
      </c>
      <c r="I474" s="160" cm="1">
        <f t="array" ref="I474">IFERROR(
  VALUE($H474) *
  VALUE(
    _xlfn.XLOOKUP(
      TRIM($F474) &amp; "|" &amp; LEFT(SUBSTITUTE($G474,CHAR(160)," "),5) &amp; "|Full Rate",
      TRIM(SUBSTITUTE($T$2:$T$38,CHAR(160)," ")) &amp; "|" &amp;
      LEFT(SUBSTITUTE($U$2:$U$38,CHAR(160)," "),5) &amp; "|" &amp;
      TRIM(SUBSTITUTE($V$2:$V$38,CHAR(160)," ")),
      $W$2:$W$38
    )
  ),
"")</f>
        <v>2000</v>
      </c>
      <c r="J474" s="161" cm="1">
        <f t="array" ref="J474">IFERROR(
  VALUE($H474) *
  VALUE(
    _xlfn.XLOOKUP(
      TRIM($F474) &amp; "|" &amp; LEFT(SUBSTITUTE($G474,CHAR(160)," "),5) &amp; "|Reduced Rate",
      TRIM(SUBSTITUTE($T$2:$T$38,CHAR(160)," ")) &amp; "|" &amp;
      LEFT(SUBSTITUTE($U$2:$U$38,CHAR(160)," "),5) &amp; "|" &amp;
      TRIM(SUBSTITUTE($V$2:$V$38,CHAR(160)," ")),
      $W$2:$W$38
    )
  ),
"")</f>
        <v>1000</v>
      </c>
      <c r="K474" s="42" cm="1">
        <f t="array" ref="K474">IFERROR(
  VALUE($H474) *
  VALUE(
    _xlfn.XLOOKUP(
      TRIM($F474) &amp; "|" &amp; LEFT(SUBSTITUTE($G474,CHAR(160)," "),5) &amp; "|Ideas Rate",
      TRIM(SUBSTITUTE($T$2:$T$38,CHAR(160)," ")) &amp; "|" &amp;
      LEFT(SUBSTITUTE($U$2:$U$38,CHAR(160)," "),5) &amp; "|" &amp;
      TRIM(SUBSTITUTE($V$2:$V$38,CHAR(160)," ")),
      $W$2:$W$38
    )
  ),
"")</f>
        <v>600</v>
      </c>
    </row>
    <row r="475" spans="1:11" x14ac:dyDescent="0.2">
      <c r="A475" s="10">
        <v>46128</v>
      </c>
      <c r="B475" s="5" t="s">
        <v>787</v>
      </c>
      <c r="C475" s="20" t="s">
        <v>715</v>
      </c>
      <c r="D475" t="s">
        <v>190</v>
      </c>
      <c r="E475" t="s">
        <v>833</v>
      </c>
      <c r="F475" t="s">
        <v>156</v>
      </c>
      <c r="G475" t="s">
        <v>368</v>
      </c>
      <c r="H475" s="79">
        <v>4</v>
      </c>
      <c r="I475" s="160" cm="1">
        <f t="array" ref="I475">IFERROR(
  VALUE($H475) *
  VALUE(
    _xlfn.XLOOKUP(
      TRIM($F475) &amp; "|" &amp; LEFT(SUBSTITUTE($G475,CHAR(160)," "),5) &amp; "|Full Rate",
      TRIM(SUBSTITUTE($T$2:$T$38,CHAR(160)," ")) &amp; "|" &amp;
      LEFT(SUBSTITUTE($U$2:$U$38,CHAR(160)," "),5) &amp; "|" &amp;
      TRIM(SUBSTITUTE($V$2:$V$38,CHAR(160)," ")),
      $W$2:$W$38
    )
  ),
"")</f>
        <v>400</v>
      </c>
      <c r="J475" s="161" cm="1">
        <f t="array" ref="J475">IFERROR(
  VALUE($H475) *
  VALUE(
    _xlfn.XLOOKUP(
      TRIM($F475) &amp; "|" &amp; LEFT(SUBSTITUTE($G475,CHAR(160)," "),5) &amp; "|Reduced Rate",
      TRIM(SUBSTITUTE($T$2:$T$38,CHAR(160)," ")) &amp; "|" &amp;
      LEFT(SUBSTITUTE($U$2:$U$38,CHAR(160)," "),5) &amp; "|" &amp;
      TRIM(SUBSTITUTE($V$2:$V$38,CHAR(160)," ")),
      $W$2:$W$38
    )
  ),
"")</f>
        <v>200</v>
      </c>
      <c r="K475" s="42" cm="1">
        <f t="array" ref="K475">IFERROR(
  VALUE($H475) *
  VALUE(
    _xlfn.XLOOKUP(
      TRIM($F475) &amp; "|" &amp; LEFT(SUBSTITUTE($G475,CHAR(160)," "),5) &amp; "|Ideas Rate",
      TRIM(SUBSTITUTE($T$2:$T$38,CHAR(160)," ")) &amp; "|" &amp;
      LEFT(SUBSTITUTE($U$2:$U$38,CHAR(160)," "),5) &amp; "|" &amp;
      TRIM(SUBSTITUTE($V$2:$V$38,CHAR(160)," ")),
      $W$2:$W$38
    )
  ),
"")</f>
        <v>120</v>
      </c>
    </row>
    <row r="476" spans="1:11" x14ac:dyDescent="0.2">
      <c r="A476" s="10">
        <v>46128</v>
      </c>
      <c r="B476" s="5" t="s">
        <v>787</v>
      </c>
      <c r="C476" s="20" t="s">
        <v>519</v>
      </c>
      <c r="D476" t="s">
        <v>190</v>
      </c>
      <c r="E476" t="s">
        <v>824</v>
      </c>
      <c r="F476" t="s">
        <v>10</v>
      </c>
      <c r="G476" t="s">
        <v>368</v>
      </c>
      <c r="H476" s="79">
        <v>3</v>
      </c>
      <c r="I476" s="160" cm="1">
        <f t="array" ref="I476">IFERROR(
  VALUE($H476) *
  VALUE(
    _xlfn.XLOOKUP(
      TRIM($F476) &amp; "|" &amp; LEFT(SUBSTITUTE($G476,CHAR(160)," "),5) &amp; "|Full Rate",
      TRIM(SUBSTITUTE($T$2:$T$38,CHAR(160)," ")) &amp; "|" &amp;
      LEFT(SUBSTITUTE($U$2:$U$38,CHAR(160)," "),5) &amp; "|" &amp;
      TRIM(SUBSTITUTE($V$2:$V$38,CHAR(160)," ")),
      $W$2:$W$38
    )
  ),
"")</f>
        <v>300</v>
      </c>
      <c r="J476" s="161" cm="1">
        <f t="array" ref="J476">IFERROR(
  VALUE($H476) *
  VALUE(
    _xlfn.XLOOKUP(
      TRIM($F476) &amp; "|" &amp; LEFT(SUBSTITUTE($G476,CHAR(160)," "),5) &amp; "|Reduced Rate",
      TRIM(SUBSTITUTE($T$2:$T$38,CHAR(160)," ")) &amp; "|" &amp;
      LEFT(SUBSTITUTE($U$2:$U$38,CHAR(160)," "),5) &amp; "|" &amp;
      TRIM(SUBSTITUTE($V$2:$V$38,CHAR(160)," ")),
      $W$2:$W$38
    )
  ),
"")</f>
        <v>150</v>
      </c>
      <c r="K476" s="42" cm="1">
        <f t="array" ref="K476">IFERROR(
  VALUE($H476) *
  VALUE(
    _xlfn.XLOOKUP(
      TRIM($F476) &amp; "|" &amp; LEFT(SUBSTITUTE($G476,CHAR(160)," "),5) &amp; "|Ideas Rate",
      TRIM(SUBSTITUTE($T$2:$T$38,CHAR(160)," ")) &amp; "|" &amp;
      LEFT(SUBSTITUTE($U$2:$U$38,CHAR(160)," "),5) &amp; "|" &amp;
      TRIM(SUBSTITUTE($V$2:$V$38,CHAR(160)," ")),
      $W$2:$W$38
    )
  ),
"")</f>
        <v>90</v>
      </c>
    </row>
    <row r="477" spans="1:11" x14ac:dyDescent="0.2">
      <c r="A477" s="10">
        <v>46129</v>
      </c>
      <c r="B477" s="5" t="s">
        <v>787</v>
      </c>
      <c r="C477" s="20" t="s">
        <v>519</v>
      </c>
      <c r="D477" t="s">
        <v>182</v>
      </c>
      <c r="E477" t="s">
        <v>785</v>
      </c>
      <c r="F477" t="s">
        <v>155</v>
      </c>
      <c r="G477" t="s">
        <v>367</v>
      </c>
      <c r="H477" s="79">
        <v>3</v>
      </c>
      <c r="I477" s="160" cm="1">
        <f t="array" ref="I477">IFERROR(
  VALUE($H477) *
  VALUE(
    _xlfn.XLOOKUP(
      TRIM($F477) &amp; "|" &amp; LEFT(SUBSTITUTE($G477,CHAR(160)," "),5) &amp; "|Full Rate",
      TRIM(SUBSTITUTE($T$2:$T$38,CHAR(160)," ")) &amp; "|" &amp;
      LEFT(SUBSTITUTE($U$2:$U$38,CHAR(160)," "),5) &amp; "|" &amp;
      TRIM(SUBSTITUTE($V$2:$V$38,CHAR(160)," ")),
      $W$2:$W$38
    )
  ),
"")</f>
        <v>1200</v>
      </c>
      <c r="J477" s="161" cm="1">
        <f t="array" ref="J477">IFERROR(
  VALUE($H477) *
  VALUE(
    _xlfn.XLOOKUP(
      TRIM($F477) &amp; "|" &amp; LEFT(SUBSTITUTE($G477,CHAR(160)," "),5) &amp; "|Reduced Rate",
      TRIM(SUBSTITUTE($T$2:$T$38,CHAR(160)," ")) &amp; "|" &amp;
      LEFT(SUBSTITUTE($U$2:$U$38,CHAR(160)," "),5) &amp; "|" &amp;
      TRIM(SUBSTITUTE($V$2:$V$38,CHAR(160)," ")),
      $W$2:$W$38
    )
  ),
"")</f>
        <v>600</v>
      </c>
      <c r="K477" s="42" cm="1">
        <f t="array" ref="K477">IFERROR(
  VALUE($H477) *
  VALUE(
    _xlfn.XLOOKUP(
      TRIM($F477) &amp; "|" &amp; LEFT(SUBSTITUTE($G477,CHAR(160)," "),5) &amp; "|Ideas Rate",
      TRIM(SUBSTITUTE($T$2:$T$38,CHAR(160)," ")) &amp; "|" &amp;
      LEFT(SUBSTITUTE($U$2:$U$38,CHAR(160)," "),5) &amp; "|" &amp;
      TRIM(SUBSTITUTE($V$2:$V$38,CHAR(160)," ")),
      $W$2:$W$38
    )
  ),
"")</f>
        <v>360</v>
      </c>
    </row>
    <row r="478" spans="1:11" x14ac:dyDescent="0.2">
      <c r="A478" s="10">
        <v>46132</v>
      </c>
      <c r="B478" s="5" t="s">
        <v>787</v>
      </c>
      <c r="C478" s="20" t="s">
        <v>519</v>
      </c>
      <c r="D478" t="s">
        <v>192</v>
      </c>
      <c r="E478" t="s">
        <v>509</v>
      </c>
      <c r="F478" t="s">
        <v>155</v>
      </c>
      <c r="G478" t="s">
        <v>380</v>
      </c>
      <c r="H478" s="79">
        <v>0.5</v>
      </c>
      <c r="I478" s="160" cm="1">
        <f t="array" ref="I478">IFERROR(
  VALUE($H478) *
  VALUE(
    _xlfn.XLOOKUP(
      TRIM($F478) &amp; "|" &amp; LEFT(SUBSTITUTE($G478,CHAR(160)," "),5) &amp; "|Full Rate",
      TRIM(SUBSTITUTE($T$2:$T$38,CHAR(160)," ")) &amp; "|" &amp;
      LEFT(SUBSTITUTE($U$2:$U$38,CHAR(160)," "),5) &amp; "|" &amp;
      TRIM(SUBSTITUTE($V$2:$V$38,CHAR(160)," ")),
      $W$2:$W$38
    )
  ),
"")</f>
        <v>130</v>
      </c>
      <c r="J478" s="161" cm="1">
        <f t="array" ref="J478">IFERROR(
  VALUE($H478) *
  VALUE(
    _xlfn.XLOOKUP(
      TRIM($F478) &amp; "|" &amp; LEFT(SUBSTITUTE($G478,CHAR(160)," "),5) &amp; "|Reduced Rate",
      TRIM(SUBSTITUTE($T$2:$T$38,CHAR(160)," ")) &amp; "|" &amp;
      LEFT(SUBSTITUTE($U$2:$U$38,CHAR(160)," "),5) &amp; "|" &amp;
      TRIM(SUBSTITUTE($V$2:$V$38,CHAR(160)," ")),
      $W$2:$W$38
    )
  ),
"")</f>
        <v>60</v>
      </c>
      <c r="K478" s="42" cm="1">
        <f t="array" ref="K478">IFERROR(
  VALUE($H478) *
  VALUE(
    _xlfn.XLOOKUP(
      TRIM($F478) &amp; "|" &amp; LEFT(SUBSTITUTE($G478,CHAR(160)," "),5) &amp; "|Ideas Rate",
      TRIM(SUBSTITUTE($T$2:$T$38,CHAR(160)," ")) &amp; "|" &amp;
      LEFT(SUBSTITUTE($U$2:$U$38,CHAR(160)," "),5) &amp; "|" &amp;
      TRIM(SUBSTITUTE($V$2:$V$38,CHAR(160)," ")),
      $W$2:$W$38
    )
  ),
"")</f>
        <v>45</v>
      </c>
    </row>
    <row r="479" spans="1:11" x14ac:dyDescent="0.2">
      <c r="A479" s="10">
        <v>46132</v>
      </c>
      <c r="B479" s="5" t="s">
        <v>787</v>
      </c>
      <c r="C479" s="20" t="s">
        <v>519</v>
      </c>
      <c r="D479" t="s">
        <v>182</v>
      </c>
      <c r="E479" t="s">
        <v>785</v>
      </c>
      <c r="F479" t="s">
        <v>155</v>
      </c>
      <c r="G479" t="s">
        <v>367</v>
      </c>
      <c r="H479" s="79">
        <v>6.5</v>
      </c>
      <c r="I479" s="160" cm="1">
        <f t="array" ref="I479">IFERROR(
  VALUE($H479) *
  VALUE(
    _xlfn.XLOOKUP(
      TRIM($F479) &amp; "|" &amp; LEFT(SUBSTITUTE($G479,CHAR(160)," "),5) &amp; "|Full Rate",
      TRIM(SUBSTITUTE($T$2:$T$38,CHAR(160)," ")) &amp; "|" &amp;
      LEFT(SUBSTITUTE($U$2:$U$38,CHAR(160)," "),5) &amp; "|" &amp;
      TRIM(SUBSTITUTE($V$2:$V$38,CHAR(160)," ")),
      $W$2:$W$38
    )
  ),
"")</f>
        <v>2600</v>
      </c>
      <c r="J479" s="161" cm="1">
        <f t="array" ref="J479">IFERROR(
  VALUE($H479) *
  VALUE(
    _xlfn.XLOOKUP(
      TRIM($F479) &amp; "|" &amp; LEFT(SUBSTITUTE($G479,CHAR(160)," "),5) &amp; "|Reduced Rate",
      TRIM(SUBSTITUTE($T$2:$T$38,CHAR(160)," ")) &amp; "|" &amp;
      LEFT(SUBSTITUTE($U$2:$U$38,CHAR(160)," "),5) &amp; "|" &amp;
      TRIM(SUBSTITUTE($V$2:$V$38,CHAR(160)," ")),
      $W$2:$W$38
    )
  ),
"")</f>
        <v>1300</v>
      </c>
      <c r="K479" s="42" cm="1">
        <f t="array" ref="K479">IFERROR(
  VALUE($H479) *
  VALUE(
    _xlfn.XLOOKUP(
      TRIM($F479) &amp; "|" &amp; LEFT(SUBSTITUTE($G479,CHAR(160)," "),5) &amp; "|Ideas Rate",
      TRIM(SUBSTITUTE($T$2:$T$38,CHAR(160)," ")) &amp; "|" &amp;
      LEFT(SUBSTITUTE($U$2:$U$38,CHAR(160)," "),5) &amp; "|" &amp;
      TRIM(SUBSTITUTE($V$2:$V$38,CHAR(160)," ")),
      $W$2:$W$38
    )
  ),
"")</f>
        <v>780</v>
      </c>
    </row>
    <row r="480" spans="1:11" x14ac:dyDescent="0.2">
      <c r="A480" s="10">
        <v>46132</v>
      </c>
      <c r="B480" s="5" t="s">
        <v>787</v>
      </c>
      <c r="C480" s="20" t="s">
        <v>519</v>
      </c>
      <c r="D480" t="s">
        <v>853</v>
      </c>
      <c r="E480" t="s">
        <v>824</v>
      </c>
      <c r="F480" t="s">
        <v>10</v>
      </c>
      <c r="G480" t="s">
        <v>368</v>
      </c>
      <c r="H480" s="79">
        <v>6</v>
      </c>
      <c r="I480" s="160" cm="1">
        <f t="array" ref="I480">IFERROR(
  VALUE($H480) *
  VALUE(
    _xlfn.XLOOKUP(
      TRIM($F480) &amp; "|" &amp; LEFT(SUBSTITUTE($G480,CHAR(160)," "),5) &amp; "|Full Rate",
      TRIM(SUBSTITUTE($T$2:$T$38,CHAR(160)," ")) &amp; "|" &amp;
      LEFT(SUBSTITUTE($U$2:$U$38,CHAR(160)," "),5) &amp; "|" &amp;
      TRIM(SUBSTITUTE($V$2:$V$38,CHAR(160)," ")),
      $W$2:$W$38
    )
  ),
"")</f>
        <v>600</v>
      </c>
      <c r="J480" s="161" cm="1">
        <f t="array" ref="J480">IFERROR(
  VALUE($H480) *
  VALUE(
    _xlfn.XLOOKUP(
      TRIM($F480) &amp; "|" &amp; LEFT(SUBSTITUTE($G480,CHAR(160)," "),5) &amp; "|Reduced Rate",
      TRIM(SUBSTITUTE($T$2:$T$38,CHAR(160)," ")) &amp; "|" &amp;
      LEFT(SUBSTITUTE($U$2:$U$38,CHAR(160)," "),5) &amp; "|" &amp;
      TRIM(SUBSTITUTE($V$2:$V$38,CHAR(160)," ")),
      $W$2:$W$38
    )
  ),
"")</f>
        <v>300</v>
      </c>
      <c r="K480" s="42" cm="1">
        <f t="array" ref="K480">IFERROR(
  VALUE($H480) *
  VALUE(
    _xlfn.XLOOKUP(
      TRIM($F480) &amp; "|" &amp; LEFT(SUBSTITUTE($G480,CHAR(160)," "),5) &amp; "|Ideas Rate",
      TRIM(SUBSTITUTE($T$2:$T$38,CHAR(160)," ")) &amp; "|" &amp;
      LEFT(SUBSTITUTE($U$2:$U$38,CHAR(160)," "),5) &amp; "|" &amp;
      TRIM(SUBSTITUTE($V$2:$V$38,CHAR(160)," ")),
      $W$2:$W$38
    )
  ),
"")</f>
        <v>180</v>
      </c>
    </row>
    <row r="481" spans="1:11" x14ac:dyDescent="0.2">
      <c r="A481" s="10">
        <v>46132</v>
      </c>
      <c r="B481" s="5" t="s">
        <v>787</v>
      </c>
      <c r="C481" s="20" t="s">
        <v>519</v>
      </c>
      <c r="D481" t="s">
        <v>853</v>
      </c>
      <c r="E481" t="s">
        <v>824</v>
      </c>
      <c r="F481" t="s">
        <v>9</v>
      </c>
      <c r="G481" t="s">
        <v>368</v>
      </c>
      <c r="H481" s="79">
        <v>6</v>
      </c>
      <c r="I481" s="160" cm="1">
        <f t="array" ref="I481">IFERROR(
  VALUE($H481) *
  VALUE(
    _xlfn.XLOOKUP(
      TRIM($F481) &amp; "|" &amp; LEFT(SUBSTITUTE($G481,CHAR(160)," "),5) &amp; "|Full Rate",
      TRIM(SUBSTITUTE($T$2:$T$38,CHAR(160)," ")) &amp; "|" &amp;
      LEFT(SUBSTITUTE($U$2:$U$38,CHAR(160)," "),5) &amp; "|" &amp;
      TRIM(SUBSTITUTE($V$2:$V$38,CHAR(160)," ")),
      $W$2:$W$38
    )
  ),
"")</f>
        <v>600</v>
      </c>
      <c r="J481" s="161" cm="1">
        <f t="array" ref="J481">IFERROR(
  VALUE($H481) *
  VALUE(
    _xlfn.XLOOKUP(
      TRIM($F481) &amp; "|" &amp; LEFT(SUBSTITUTE($G481,CHAR(160)," "),5) &amp; "|Reduced Rate",
      TRIM(SUBSTITUTE($T$2:$T$38,CHAR(160)," ")) &amp; "|" &amp;
      LEFT(SUBSTITUTE($U$2:$U$38,CHAR(160)," "),5) &amp; "|" &amp;
      TRIM(SUBSTITUTE($V$2:$V$38,CHAR(160)," ")),
      $W$2:$W$38
    )
  ),
"")</f>
        <v>300</v>
      </c>
      <c r="K481" s="42" cm="1">
        <f t="array" ref="K481">IFERROR(
  VALUE($H481) *
  VALUE(
    _xlfn.XLOOKUP(
      TRIM($F481) &amp; "|" &amp; LEFT(SUBSTITUTE($G481,CHAR(160)," "),5) &amp; "|Ideas Rate",
      TRIM(SUBSTITUTE($T$2:$T$38,CHAR(160)," ")) &amp; "|" &amp;
      LEFT(SUBSTITUTE($U$2:$U$38,CHAR(160)," "),5) &amp; "|" &amp;
      TRIM(SUBSTITUTE($V$2:$V$38,CHAR(160)," ")),
      $W$2:$W$38
    )
  ),
"")</f>
        <v>180</v>
      </c>
    </row>
    <row r="482" spans="1:11" x14ac:dyDescent="0.2">
      <c r="A482" s="10">
        <v>46132</v>
      </c>
      <c r="B482" s="5" t="s">
        <v>787</v>
      </c>
      <c r="C482" s="20" t="s">
        <v>519</v>
      </c>
      <c r="D482" t="s">
        <v>853</v>
      </c>
      <c r="E482" t="s">
        <v>824</v>
      </c>
      <c r="F482" t="s">
        <v>156</v>
      </c>
      <c r="G482" t="s">
        <v>368</v>
      </c>
      <c r="H482" s="79">
        <v>6</v>
      </c>
      <c r="I482" s="160" cm="1">
        <f t="array" ref="I482">IFERROR(
  VALUE($H482) *
  VALUE(
    _xlfn.XLOOKUP(
      TRIM($F482) &amp; "|" &amp; LEFT(SUBSTITUTE($G482,CHAR(160)," "),5) &amp; "|Full Rate",
      TRIM(SUBSTITUTE($T$2:$T$38,CHAR(160)," ")) &amp; "|" &amp;
      LEFT(SUBSTITUTE($U$2:$U$38,CHAR(160)," "),5) &amp; "|" &amp;
      TRIM(SUBSTITUTE($V$2:$V$38,CHAR(160)," ")),
      $W$2:$W$38
    )
  ),
"")</f>
        <v>600</v>
      </c>
      <c r="J482" s="161" cm="1">
        <f t="array" ref="J482">IFERROR(
  VALUE($H482) *
  VALUE(
    _xlfn.XLOOKUP(
      TRIM($F482) &amp; "|" &amp; LEFT(SUBSTITUTE($G482,CHAR(160)," "),5) &amp; "|Reduced Rate",
      TRIM(SUBSTITUTE($T$2:$T$38,CHAR(160)," ")) &amp; "|" &amp;
      LEFT(SUBSTITUTE($U$2:$U$38,CHAR(160)," "),5) &amp; "|" &amp;
      TRIM(SUBSTITUTE($V$2:$V$38,CHAR(160)," ")),
      $W$2:$W$38
    )
  ),
"")</f>
        <v>300</v>
      </c>
      <c r="K482" s="42" cm="1">
        <f t="array" ref="K482">IFERROR(
  VALUE($H482) *
  VALUE(
    _xlfn.XLOOKUP(
      TRIM($F482) &amp; "|" &amp; LEFT(SUBSTITUTE($G482,CHAR(160)," "),5) &amp; "|Ideas Rate",
      TRIM(SUBSTITUTE($T$2:$T$38,CHAR(160)," ")) &amp; "|" &amp;
      LEFT(SUBSTITUTE($U$2:$U$38,CHAR(160)," "),5) &amp; "|" &amp;
      TRIM(SUBSTITUTE($V$2:$V$38,CHAR(160)," ")),
      $W$2:$W$38
    )
  ),
"")</f>
        <v>180</v>
      </c>
    </row>
    <row r="483" spans="1:11" x14ac:dyDescent="0.2">
      <c r="A483" s="10">
        <v>46133</v>
      </c>
      <c r="B483" s="5" t="s">
        <v>787</v>
      </c>
      <c r="C483" s="20" t="s">
        <v>519</v>
      </c>
      <c r="D483" t="s">
        <v>853</v>
      </c>
      <c r="E483" t="s">
        <v>824</v>
      </c>
      <c r="F483" t="s">
        <v>156</v>
      </c>
      <c r="G483" t="s">
        <v>368</v>
      </c>
      <c r="H483" s="79">
        <v>6</v>
      </c>
      <c r="I483" s="160" cm="1">
        <f t="array" ref="I483">IFERROR(
  VALUE($H483) *
  VALUE(
    _xlfn.XLOOKUP(
      TRIM($F483) &amp; "|" &amp; LEFT(SUBSTITUTE($G483,CHAR(160)," "),5) &amp; "|Full Rate",
      TRIM(SUBSTITUTE($T$2:$T$38,CHAR(160)," ")) &amp; "|" &amp;
      LEFT(SUBSTITUTE($U$2:$U$38,CHAR(160)," "),5) &amp; "|" &amp;
      TRIM(SUBSTITUTE($V$2:$V$38,CHAR(160)," ")),
      $W$2:$W$38
    )
  ),
"")</f>
        <v>600</v>
      </c>
      <c r="J483" s="161" cm="1">
        <f t="array" ref="J483">IFERROR(
  VALUE($H483) *
  VALUE(
    _xlfn.XLOOKUP(
      TRIM($F483) &amp; "|" &amp; LEFT(SUBSTITUTE($G483,CHAR(160)," "),5) &amp; "|Reduced Rate",
      TRIM(SUBSTITUTE($T$2:$T$38,CHAR(160)," ")) &amp; "|" &amp;
      LEFT(SUBSTITUTE($U$2:$U$38,CHAR(160)," "),5) &amp; "|" &amp;
      TRIM(SUBSTITUTE($V$2:$V$38,CHAR(160)," ")),
      $W$2:$W$38
    )
  ),
"")</f>
        <v>300</v>
      </c>
      <c r="K483" s="42" cm="1">
        <f t="array" ref="K483">IFERROR(
  VALUE($H483) *
  VALUE(
    _xlfn.XLOOKUP(
      TRIM($F483) &amp; "|" &amp; LEFT(SUBSTITUTE($G483,CHAR(160)," "),5) &amp; "|Ideas Rate",
      TRIM(SUBSTITUTE($T$2:$T$38,CHAR(160)," ")) &amp; "|" &amp;
      LEFT(SUBSTITUTE($U$2:$U$38,CHAR(160)," "),5) &amp; "|" &amp;
      TRIM(SUBSTITUTE($V$2:$V$38,CHAR(160)," ")),
      $W$2:$W$38
    )
  ),
"")</f>
        <v>180</v>
      </c>
    </row>
    <row r="484" spans="1:11" x14ac:dyDescent="0.2">
      <c r="A484" s="10">
        <v>46133</v>
      </c>
      <c r="B484" s="5" t="s">
        <v>787</v>
      </c>
      <c r="C484" s="20" t="s">
        <v>519</v>
      </c>
      <c r="D484" t="s">
        <v>323</v>
      </c>
      <c r="E484" t="s">
        <v>844</v>
      </c>
      <c r="F484" t="s">
        <v>155</v>
      </c>
      <c r="G484" t="s">
        <v>368</v>
      </c>
      <c r="H484" s="79">
        <v>3</v>
      </c>
      <c r="I484" s="160" cm="1">
        <f t="array" ref="I484">IFERROR(
  VALUE($H484) *
  VALUE(
    _xlfn.XLOOKUP(
      TRIM($F484) &amp; "|" &amp; LEFT(SUBSTITUTE($G484,CHAR(160)," "),5) &amp; "|Full Rate",
      TRIM(SUBSTITUTE($T$2:$T$38,CHAR(160)," ")) &amp; "|" &amp;
      LEFT(SUBSTITUTE($U$2:$U$38,CHAR(160)," "),5) &amp; "|" &amp;
      TRIM(SUBSTITUTE($V$2:$V$38,CHAR(160)," ")),
      $W$2:$W$38
    )
  ),
"")</f>
        <v>300</v>
      </c>
      <c r="J484" s="161" cm="1">
        <f t="array" ref="J484">IFERROR(
  VALUE($H484) *
  VALUE(
    _xlfn.XLOOKUP(
      TRIM($F484) &amp; "|" &amp; LEFT(SUBSTITUTE($G484,CHAR(160)," "),5) &amp; "|Reduced Rate",
      TRIM(SUBSTITUTE($T$2:$T$38,CHAR(160)," ")) &amp; "|" &amp;
      LEFT(SUBSTITUTE($U$2:$U$38,CHAR(160)," "),5) &amp; "|" &amp;
      TRIM(SUBSTITUTE($V$2:$V$38,CHAR(160)," ")),
      $W$2:$W$38
    )
  ),
"")</f>
        <v>150</v>
      </c>
      <c r="K484" s="42" cm="1">
        <f t="array" ref="K484">IFERROR(
  VALUE($H484) *
  VALUE(
    _xlfn.XLOOKUP(
      TRIM($F484) &amp; "|" &amp; LEFT(SUBSTITUTE($G484,CHAR(160)," "),5) &amp; "|Ideas Rate",
      TRIM(SUBSTITUTE($T$2:$T$38,CHAR(160)," ")) &amp; "|" &amp;
      LEFT(SUBSTITUTE($U$2:$U$38,CHAR(160)," "),5) &amp; "|" &amp;
      TRIM(SUBSTITUTE($V$2:$V$38,CHAR(160)," ")),
      $W$2:$W$38
    )
  ),
"")</f>
        <v>90</v>
      </c>
    </row>
    <row r="485" spans="1:11" x14ac:dyDescent="0.2">
      <c r="A485" s="10">
        <v>46133</v>
      </c>
      <c r="B485" s="5" t="s">
        <v>787</v>
      </c>
      <c r="C485" s="20" t="s">
        <v>519</v>
      </c>
      <c r="D485" t="s">
        <v>178</v>
      </c>
      <c r="E485" t="s">
        <v>845</v>
      </c>
      <c r="F485" t="s">
        <v>155</v>
      </c>
      <c r="G485" t="s">
        <v>380</v>
      </c>
      <c r="H485" s="79">
        <v>3</v>
      </c>
      <c r="I485" s="160" cm="1">
        <f t="array" ref="I485">IFERROR(
  VALUE($H485) *
  VALUE(
    _xlfn.XLOOKUP(
      TRIM($F485) &amp; "|" &amp; LEFT(SUBSTITUTE($G485,CHAR(160)," "),5) &amp; "|Full Rate",
      TRIM(SUBSTITUTE($T$2:$T$38,CHAR(160)," ")) &amp; "|" &amp;
      LEFT(SUBSTITUTE($U$2:$U$38,CHAR(160)," "),5) &amp; "|" &amp;
      TRIM(SUBSTITUTE($V$2:$V$38,CHAR(160)," ")),
      $W$2:$W$38
    )
  ),
"")</f>
        <v>780</v>
      </c>
      <c r="J485" s="161" cm="1">
        <f t="array" ref="J485">IFERROR(
  VALUE($H485) *
  VALUE(
    _xlfn.XLOOKUP(
      TRIM($F485) &amp; "|" &amp; LEFT(SUBSTITUTE($G485,CHAR(160)," "),5) &amp; "|Reduced Rate",
      TRIM(SUBSTITUTE($T$2:$T$38,CHAR(160)," ")) &amp; "|" &amp;
      LEFT(SUBSTITUTE($U$2:$U$38,CHAR(160)," "),5) &amp; "|" &amp;
      TRIM(SUBSTITUTE($V$2:$V$38,CHAR(160)," ")),
      $W$2:$W$38
    )
  ),
"")</f>
        <v>360</v>
      </c>
      <c r="K485" s="42" cm="1">
        <f t="array" ref="K485">IFERROR(
  VALUE($H485) *
  VALUE(
    _xlfn.XLOOKUP(
      TRIM($F485) &amp; "|" &amp; LEFT(SUBSTITUTE($G485,CHAR(160)," "),5) &amp; "|Ideas Rate",
      TRIM(SUBSTITUTE($T$2:$T$38,CHAR(160)," ")) &amp; "|" &amp;
      LEFT(SUBSTITUTE($U$2:$U$38,CHAR(160)," "),5) &amp; "|" &amp;
      TRIM(SUBSTITUTE($V$2:$V$38,CHAR(160)," ")),
      $W$2:$W$38
    )
  ),
"")</f>
        <v>270</v>
      </c>
    </row>
    <row r="486" spans="1:11" x14ac:dyDescent="0.2">
      <c r="A486" s="10">
        <v>46133</v>
      </c>
      <c r="B486" s="5" t="s">
        <v>787</v>
      </c>
      <c r="C486" s="20" t="s">
        <v>519</v>
      </c>
      <c r="D486" t="s">
        <v>182</v>
      </c>
      <c r="E486" t="s">
        <v>786</v>
      </c>
      <c r="F486" t="s">
        <v>155</v>
      </c>
      <c r="G486" t="s">
        <v>367</v>
      </c>
      <c r="H486" s="79">
        <v>1</v>
      </c>
      <c r="I486" s="160" cm="1">
        <f t="array" ref="I486">IFERROR(
  VALUE($H486) *
  VALUE(
    _xlfn.XLOOKUP(
      TRIM($F486) &amp; "|" &amp; LEFT(SUBSTITUTE($G486,CHAR(160)," "),5) &amp; "|Full Rate",
      TRIM(SUBSTITUTE($T$2:$T$38,CHAR(160)," ")) &amp; "|" &amp;
      LEFT(SUBSTITUTE($U$2:$U$38,CHAR(160)," "),5) &amp; "|" &amp;
      TRIM(SUBSTITUTE($V$2:$V$38,CHAR(160)," ")),
      $W$2:$W$38
    )
  ),
"")</f>
        <v>400</v>
      </c>
      <c r="J486" s="161" cm="1">
        <f t="array" ref="J486">IFERROR(
  VALUE($H486) *
  VALUE(
    _xlfn.XLOOKUP(
      TRIM($F486) &amp; "|" &amp; LEFT(SUBSTITUTE($G486,CHAR(160)," "),5) &amp; "|Reduced Rate",
      TRIM(SUBSTITUTE($T$2:$T$38,CHAR(160)," ")) &amp; "|" &amp;
      LEFT(SUBSTITUTE($U$2:$U$38,CHAR(160)," "),5) &amp; "|" &amp;
      TRIM(SUBSTITUTE($V$2:$V$38,CHAR(160)," ")),
      $W$2:$W$38
    )
  ),
"")</f>
        <v>200</v>
      </c>
      <c r="K486" s="42" cm="1">
        <f t="array" ref="K486">IFERROR(
  VALUE($H486) *
  VALUE(
    _xlfn.XLOOKUP(
      TRIM($F486) &amp; "|" &amp; LEFT(SUBSTITUTE($G486,CHAR(160)," "),5) &amp; "|Ideas Rate",
      TRIM(SUBSTITUTE($T$2:$T$38,CHAR(160)," ")) &amp; "|" &amp;
      LEFT(SUBSTITUTE($U$2:$U$38,CHAR(160)," "),5) &amp; "|" &amp;
      TRIM(SUBSTITUTE($V$2:$V$38,CHAR(160)," ")),
      $W$2:$W$38
    )
  ),
"")</f>
        <v>120</v>
      </c>
    </row>
    <row r="487" spans="1:11" x14ac:dyDescent="0.2">
      <c r="A487" s="10">
        <v>46133</v>
      </c>
      <c r="B487" s="5" t="s">
        <v>787</v>
      </c>
      <c r="C487" s="20" t="s">
        <v>519</v>
      </c>
      <c r="D487" t="s">
        <v>192</v>
      </c>
      <c r="E487" t="s">
        <v>509</v>
      </c>
      <c r="F487" t="s">
        <v>155</v>
      </c>
      <c r="G487" t="s">
        <v>380</v>
      </c>
      <c r="H487" s="79">
        <v>2</v>
      </c>
      <c r="I487" s="160" cm="1">
        <f t="array" ref="I487">IFERROR(
  VALUE($H487) *
  VALUE(
    _xlfn.XLOOKUP(
      TRIM($F487) &amp; "|" &amp; LEFT(SUBSTITUTE($G487,CHAR(160)," "),5) &amp; "|Full Rate",
      TRIM(SUBSTITUTE($T$2:$T$38,CHAR(160)," ")) &amp; "|" &amp;
      LEFT(SUBSTITUTE($U$2:$U$38,CHAR(160)," "),5) &amp; "|" &amp;
      TRIM(SUBSTITUTE($V$2:$V$38,CHAR(160)," ")),
      $W$2:$W$38
    )
  ),
"")</f>
        <v>520</v>
      </c>
      <c r="J487" s="161" cm="1">
        <f t="array" ref="J487">IFERROR(
  VALUE($H487) *
  VALUE(
    _xlfn.XLOOKUP(
      TRIM($F487) &amp; "|" &amp; LEFT(SUBSTITUTE($G487,CHAR(160)," "),5) &amp; "|Reduced Rate",
      TRIM(SUBSTITUTE($T$2:$T$38,CHAR(160)," ")) &amp; "|" &amp;
      LEFT(SUBSTITUTE($U$2:$U$38,CHAR(160)," "),5) &amp; "|" &amp;
      TRIM(SUBSTITUTE($V$2:$V$38,CHAR(160)," ")),
      $W$2:$W$38
    )
  ),
"")</f>
        <v>240</v>
      </c>
      <c r="K487" s="42" cm="1">
        <f t="array" ref="K487">IFERROR(
  VALUE($H487) *
  VALUE(
    _xlfn.XLOOKUP(
      TRIM($F487) &amp; "|" &amp; LEFT(SUBSTITUTE($G487,CHAR(160)," "),5) &amp; "|Ideas Rate",
      TRIM(SUBSTITUTE($T$2:$T$38,CHAR(160)," ")) &amp; "|" &amp;
      LEFT(SUBSTITUTE($U$2:$U$38,CHAR(160)," "),5) &amp; "|" &amp;
      TRIM(SUBSTITUTE($V$2:$V$38,CHAR(160)," ")),
      $W$2:$W$38
    )
  ),
"")</f>
        <v>180</v>
      </c>
    </row>
    <row r="488" spans="1:11" x14ac:dyDescent="0.2">
      <c r="A488" s="10">
        <v>46134</v>
      </c>
      <c r="B488" s="5" t="s">
        <v>787</v>
      </c>
      <c r="C488" s="20" t="s">
        <v>519</v>
      </c>
      <c r="D488" t="s">
        <v>323</v>
      </c>
      <c r="E488" t="s">
        <v>846</v>
      </c>
      <c r="F488" t="s">
        <v>155</v>
      </c>
      <c r="G488" t="s">
        <v>368</v>
      </c>
      <c r="H488" s="79">
        <v>2</v>
      </c>
      <c r="I488" s="160" cm="1">
        <f t="array" ref="I488">IFERROR(
  VALUE($H488) *
  VALUE(
    _xlfn.XLOOKUP(
      TRIM($F488) &amp; "|" &amp; LEFT(SUBSTITUTE($G488,CHAR(160)," "),5) &amp; "|Full Rate",
      TRIM(SUBSTITUTE($T$2:$T$38,CHAR(160)," ")) &amp; "|" &amp;
      LEFT(SUBSTITUTE($U$2:$U$38,CHAR(160)," "),5) &amp; "|" &amp;
      TRIM(SUBSTITUTE($V$2:$V$38,CHAR(160)," ")),
      $W$2:$W$38
    )
  ),
"")</f>
        <v>200</v>
      </c>
      <c r="J488" s="161" cm="1">
        <f t="array" ref="J488">IFERROR(
  VALUE($H488) *
  VALUE(
    _xlfn.XLOOKUP(
      TRIM($F488) &amp; "|" &amp; LEFT(SUBSTITUTE($G488,CHAR(160)," "),5) &amp; "|Reduced Rate",
      TRIM(SUBSTITUTE($T$2:$T$38,CHAR(160)," ")) &amp; "|" &amp;
      LEFT(SUBSTITUTE($U$2:$U$38,CHAR(160)," "),5) &amp; "|" &amp;
      TRIM(SUBSTITUTE($V$2:$V$38,CHAR(160)," ")),
      $W$2:$W$38
    )
  ),
"")</f>
        <v>100</v>
      </c>
      <c r="K488" s="42" cm="1">
        <f t="array" ref="K488">IFERROR(
  VALUE($H488) *
  VALUE(
    _xlfn.XLOOKUP(
      TRIM($F488) &amp; "|" &amp; LEFT(SUBSTITUTE($G488,CHAR(160)," "),5) &amp; "|Ideas Rate",
      TRIM(SUBSTITUTE($T$2:$T$38,CHAR(160)," ")) &amp; "|" &amp;
      LEFT(SUBSTITUTE($U$2:$U$38,CHAR(160)," "),5) &amp; "|" &amp;
      TRIM(SUBSTITUTE($V$2:$V$38,CHAR(160)," ")),
      $W$2:$W$38
    )
  ),
"")</f>
        <v>60</v>
      </c>
    </row>
    <row r="489" spans="1:11" x14ac:dyDescent="0.2">
      <c r="A489" s="10">
        <v>46134</v>
      </c>
      <c r="B489" s="5" t="s">
        <v>787</v>
      </c>
      <c r="C489" s="20" t="s">
        <v>519</v>
      </c>
      <c r="D489" t="s">
        <v>192</v>
      </c>
      <c r="E489" t="s">
        <v>509</v>
      </c>
      <c r="F489" t="s">
        <v>155</v>
      </c>
      <c r="G489" t="s">
        <v>380</v>
      </c>
      <c r="H489" s="79">
        <v>2</v>
      </c>
      <c r="I489" s="160" cm="1">
        <f t="array" ref="I489">IFERROR(
  VALUE($H489) *
  VALUE(
    _xlfn.XLOOKUP(
      TRIM($F489) &amp; "|" &amp; LEFT(SUBSTITUTE($G489,CHAR(160)," "),5) &amp; "|Full Rate",
      TRIM(SUBSTITUTE($T$2:$T$38,CHAR(160)," ")) &amp; "|" &amp;
      LEFT(SUBSTITUTE($U$2:$U$38,CHAR(160)," "),5) &amp; "|" &amp;
      TRIM(SUBSTITUTE($V$2:$V$38,CHAR(160)," ")),
      $W$2:$W$38
    )
  ),
"")</f>
        <v>520</v>
      </c>
      <c r="J489" s="161" cm="1">
        <f t="array" ref="J489">IFERROR(
  VALUE($H489) *
  VALUE(
    _xlfn.XLOOKUP(
      TRIM($F489) &amp; "|" &amp; LEFT(SUBSTITUTE($G489,CHAR(160)," "),5) &amp; "|Reduced Rate",
      TRIM(SUBSTITUTE($T$2:$T$38,CHAR(160)," ")) &amp; "|" &amp;
      LEFT(SUBSTITUTE($U$2:$U$38,CHAR(160)," "),5) &amp; "|" &amp;
      TRIM(SUBSTITUTE($V$2:$V$38,CHAR(160)," ")),
      $W$2:$W$38
    )
  ),
"")</f>
        <v>240</v>
      </c>
      <c r="K489" s="42" cm="1">
        <f t="array" ref="K489">IFERROR(
  VALUE($H489) *
  VALUE(
    _xlfn.XLOOKUP(
      TRIM($F489) &amp; "|" &amp; LEFT(SUBSTITUTE($G489,CHAR(160)," "),5) &amp; "|Ideas Rate",
      TRIM(SUBSTITUTE($T$2:$T$38,CHAR(160)," ")) &amp; "|" &amp;
      LEFT(SUBSTITUTE($U$2:$U$38,CHAR(160)," "),5) &amp; "|" &amp;
      TRIM(SUBSTITUTE($V$2:$V$38,CHAR(160)," ")),
      $W$2:$W$38
    )
  ),
"")</f>
        <v>180</v>
      </c>
    </row>
    <row r="490" spans="1:11" x14ac:dyDescent="0.2">
      <c r="A490" s="10">
        <v>46134</v>
      </c>
      <c r="B490" s="5" t="s">
        <v>787</v>
      </c>
      <c r="C490" s="20" t="s">
        <v>519</v>
      </c>
      <c r="D490" t="s">
        <v>182</v>
      </c>
      <c r="E490" t="s">
        <v>786</v>
      </c>
      <c r="F490" t="s">
        <v>155</v>
      </c>
      <c r="G490" t="s">
        <v>367</v>
      </c>
      <c r="H490" s="79">
        <v>1</v>
      </c>
      <c r="I490" s="160" cm="1">
        <f t="array" ref="I490">IFERROR(
  VALUE($H490) *
  VALUE(
    _xlfn.XLOOKUP(
      TRIM($F490) &amp; "|" &amp; LEFT(SUBSTITUTE($G490,CHAR(160)," "),5) &amp; "|Full Rate",
      TRIM(SUBSTITUTE($T$2:$T$38,CHAR(160)," ")) &amp; "|" &amp;
      LEFT(SUBSTITUTE($U$2:$U$38,CHAR(160)," "),5) &amp; "|" &amp;
      TRIM(SUBSTITUTE($V$2:$V$38,CHAR(160)," ")),
      $W$2:$W$38
    )
  ),
"")</f>
        <v>400</v>
      </c>
      <c r="J490" s="161" cm="1">
        <f t="array" ref="J490">IFERROR(
  VALUE($H490) *
  VALUE(
    _xlfn.XLOOKUP(
      TRIM($F490) &amp; "|" &amp; LEFT(SUBSTITUTE($G490,CHAR(160)," "),5) &amp; "|Reduced Rate",
      TRIM(SUBSTITUTE($T$2:$T$38,CHAR(160)," ")) &amp; "|" &amp;
      LEFT(SUBSTITUTE($U$2:$U$38,CHAR(160)," "),5) &amp; "|" &amp;
      TRIM(SUBSTITUTE($V$2:$V$38,CHAR(160)," ")),
      $W$2:$W$38
    )
  ),
"")</f>
        <v>200</v>
      </c>
      <c r="K490" s="42" cm="1">
        <f t="array" ref="K490">IFERROR(
  VALUE($H490) *
  VALUE(
    _xlfn.XLOOKUP(
      TRIM($F490) &amp; "|" &amp; LEFT(SUBSTITUTE($G490,CHAR(160)," "),5) &amp; "|Ideas Rate",
      TRIM(SUBSTITUTE($T$2:$T$38,CHAR(160)," ")) &amp; "|" &amp;
      LEFT(SUBSTITUTE($U$2:$U$38,CHAR(160)," "),5) &amp; "|" &amp;
      TRIM(SUBSTITUTE($V$2:$V$38,CHAR(160)," ")),
      $W$2:$W$38
    )
  ),
"")</f>
        <v>120</v>
      </c>
    </row>
    <row r="491" spans="1:11" x14ac:dyDescent="0.2">
      <c r="A491" s="10">
        <v>46134</v>
      </c>
      <c r="B491" s="5" t="s">
        <v>787</v>
      </c>
      <c r="C491" s="20" t="s">
        <v>519</v>
      </c>
      <c r="D491" t="s">
        <v>178</v>
      </c>
      <c r="E491" t="s">
        <v>847</v>
      </c>
      <c r="F491" t="s">
        <v>155</v>
      </c>
      <c r="G491" t="s">
        <v>380</v>
      </c>
      <c r="H491" s="79">
        <v>3</v>
      </c>
      <c r="I491" s="160" cm="1">
        <f t="array" ref="I491">IFERROR(
  VALUE($H491) *
  VALUE(
    _xlfn.XLOOKUP(
      TRIM($F491) &amp; "|" &amp; LEFT(SUBSTITUTE($G491,CHAR(160)," "),5) &amp; "|Full Rate",
      TRIM(SUBSTITUTE($T$2:$T$38,CHAR(160)," ")) &amp; "|" &amp;
      LEFT(SUBSTITUTE($U$2:$U$38,CHAR(160)," "),5) &amp; "|" &amp;
      TRIM(SUBSTITUTE($V$2:$V$38,CHAR(160)," ")),
      $W$2:$W$38
    )
  ),
"")</f>
        <v>780</v>
      </c>
      <c r="J491" s="161" cm="1">
        <f t="array" ref="J491">IFERROR(
  VALUE($H491) *
  VALUE(
    _xlfn.XLOOKUP(
      TRIM($F491) &amp; "|" &amp; LEFT(SUBSTITUTE($G491,CHAR(160)," "),5) &amp; "|Reduced Rate",
      TRIM(SUBSTITUTE($T$2:$T$38,CHAR(160)," ")) &amp; "|" &amp;
      LEFT(SUBSTITUTE($U$2:$U$38,CHAR(160)," "),5) &amp; "|" &amp;
      TRIM(SUBSTITUTE($V$2:$V$38,CHAR(160)," ")),
      $W$2:$W$38
    )
  ),
"")</f>
        <v>360</v>
      </c>
      <c r="K491" s="42" cm="1">
        <f t="array" ref="K491">IFERROR(
  VALUE($H491) *
  VALUE(
    _xlfn.XLOOKUP(
      TRIM($F491) &amp; "|" &amp; LEFT(SUBSTITUTE($G491,CHAR(160)," "),5) &amp; "|Ideas Rate",
      TRIM(SUBSTITUTE($T$2:$T$38,CHAR(160)," ")) &amp; "|" &amp;
      LEFT(SUBSTITUTE($U$2:$U$38,CHAR(160)," "),5) &amp; "|" &amp;
      TRIM(SUBSTITUTE($V$2:$V$38,CHAR(160)," ")),
      $W$2:$W$38
    )
  ),
"")</f>
        <v>270</v>
      </c>
    </row>
    <row r="492" spans="1:11" x14ac:dyDescent="0.2">
      <c r="A492" s="10">
        <v>46134</v>
      </c>
      <c r="B492" s="5" t="s">
        <v>787</v>
      </c>
      <c r="C492" s="20" t="s">
        <v>519</v>
      </c>
      <c r="D492" t="s">
        <v>178</v>
      </c>
      <c r="E492" t="s">
        <v>848</v>
      </c>
      <c r="F492" t="s">
        <v>155</v>
      </c>
      <c r="G492" t="s">
        <v>367</v>
      </c>
      <c r="H492" s="79">
        <v>0.5</v>
      </c>
      <c r="I492" s="160" cm="1">
        <f t="array" ref="I492">IFERROR(
  VALUE($H492) *
  VALUE(
    _xlfn.XLOOKUP(
      TRIM($F492) &amp; "|" &amp; LEFT(SUBSTITUTE($G492,CHAR(160)," "),5) &amp; "|Full Rate",
      TRIM(SUBSTITUTE($T$2:$T$38,CHAR(160)," ")) &amp; "|" &amp;
      LEFT(SUBSTITUTE($U$2:$U$38,CHAR(160)," "),5) &amp; "|" &amp;
      TRIM(SUBSTITUTE($V$2:$V$38,CHAR(160)," ")),
      $W$2:$W$38
    )
  ),
"")</f>
        <v>200</v>
      </c>
      <c r="J492" s="161" cm="1">
        <f t="array" ref="J492">IFERROR(
  VALUE($H492) *
  VALUE(
    _xlfn.XLOOKUP(
      TRIM($F492) &amp; "|" &amp; LEFT(SUBSTITUTE($G492,CHAR(160)," "),5) &amp; "|Reduced Rate",
      TRIM(SUBSTITUTE($T$2:$T$38,CHAR(160)," ")) &amp; "|" &amp;
      LEFT(SUBSTITUTE($U$2:$U$38,CHAR(160)," "),5) &amp; "|" &amp;
      TRIM(SUBSTITUTE($V$2:$V$38,CHAR(160)," ")),
      $W$2:$W$38
    )
  ),
"")</f>
        <v>100</v>
      </c>
      <c r="K492" s="42" cm="1">
        <f t="array" ref="K492">IFERROR(
  VALUE($H492) *
  VALUE(
    _xlfn.XLOOKUP(
      TRIM($F492) &amp; "|" &amp; LEFT(SUBSTITUTE($G492,CHAR(160)," "),5) &amp; "|Ideas Rate",
      TRIM(SUBSTITUTE($T$2:$T$38,CHAR(160)," ")) &amp; "|" &amp;
      LEFT(SUBSTITUTE($U$2:$U$38,CHAR(160)," "),5) &amp; "|" &amp;
      TRIM(SUBSTITUTE($V$2:$V$38,CHAR(160)," ")),
      $W$2:$W$38
    )
  ),
"")</f>
        <v>60</v>
      </c>
    </row>
    <row r="493" spans="1:11" x14ac:dyDescent="0.2">
      <c r="A493" s="10">
        <v>46134</v>
      </c>
      <c r="B493" s="5" t="s">
        <v>787</v>
      </c>
      <c r="C493" s="20" t="s">
        <v>715</v>
      </c>
      <c r="D493" t="s">
        <v>178</v>
      </c>
      <c r="E493" t="s">
        <v>825</v>
      </c>
      <c r="F493" t="s">
        <v>9</v>
      </c>
      <c r="G493" t="s">
        <v>380</v>
      </c>
      <c r="H493" s="79">
        <v>1</v>
      </c>
      <c r="I493" s="160" cm="1">
        <f t="array" ref="I493">IFERROR(
  VALUE($H493) *
  VALUE(
    _xlfn.XLOOKUP(
      TRIM($F493) &amp; "|" &amp; LEFT(SUBSTITUTE($G493,CHAR(160)," "),5) &amp; "|Full Rate",
      TRIM(SUBSTITUTE($T$2:$T$38,CHAR(160)," ")) &amp; "|" &amp;
      LEFT(SUBSTITUTE($U$2:$U$38,CHAR(160)," "),5) &amp; "|" &amp;
      TRIM(SUBSTITUTE($V$2:$V$38,CHAR(160)," ")),
      $W$2:$W$38
    )
  ),
"")</f>
        <v>250</v>
      </c>
      <c r="J493" s="161" cm="1">
        <f t="array" ref="J493">IFERROR(
  VALUE($H493) *
  VALUE(
    _xlfn.XLOOKUP(
      TRIM($F493) &amp; "|" &amp; LEFT(SUBSTITUTE($G493,CHAR(160)," "),5) &amp; "|Reduced Rate",
      TRIM(SUBSTITUTE($T$2:$T$38,CHAR(160)," ")) &amp; "|" &amp;
      LEFT(SUBSTITUTE($U$2:$U$38,CHAR(160)," "),5) &amp; "|" &amp;
      TRIM(SUBSTITUTE($V$2:$V$38,CHAR(160)," ")),
      $W$2:$W$38
    )
  ),
"")</f>
        <v>150</v>
      </c>
      <c r="K493" s="42" cm="1">
        <f t="array" ref="K493">IFERROR(
  VALUE($H493) *
  VALUE(
    _xlfn.XLOOKUP(
      TRIM($F493) &amp; "|" &amp; LEFT(SUBSTITUTE($G493,CHAR(160)," "),5) &amp; "|Ideas Rate",
      TRIM(SUBSTITUTE($T$2:$T$38,CHAR(160)," ")) &amp; "|" &amp;
      LEFT(SUBSTITUTE($U$2:$U$38,CHAR(160)," "),5) &amp; "|" &amp;
      TRIM(SUBSTITUTE($V$2:$V$38,CHAR(160)," ")),
      $W$2:$W$38
    )
  ),
"")</f>
        <v>75</v>
      </c>
    </row>
    <row r="494" spans="1:11" x14ac:dyDescent="0.2">
      <c r="A494" s="10">
        <v>46134</v>
      </c>
      <c r="B494" s="5" t="s">
        <v>787</v>
      </c>
      <c r="C494" s="20" t="s">
        <v>715</v>
      </c>
      <c r="D494" t="s">
        <v>178</v>
      </c>
      <c r="E494" t="s">
        <v>825</v>
      </c>
      <c r="F494" t="s">
        <v>10</v>
      </c>
      <c r="G494" t="s">
        <v>380</v>
      </c>
      <c r="H494" s="79">
        <v>1</v>
      </c>
      <c r="I494" s="160" cm="1">
        <f t="array" ref="I494">IFERROR(
  VALUE($H494) *
  VALUE(
    _xlfn.XLOOKUP(
      TRIM($F494) &amp; "|" &amp; LEFT(SUBSTITUTE($G494,CHAR(160)," "),5) &amp; "|Full Rate",
      TRIM(SUBSTITUTE($T$2:$T$38,CHAR(160)," ")) &amp; "|" &amp;
      LEFT(SUBSTITUTE($U$2:$U$38,CHAR(160)," "),5) &amp; "|" &amp;
      TRIM(SUBSTITUTE($V$2:$V$38,CHAR(160)," ")),
      $W$2:$W$38
    )
  ),
"")</f>
        <v>250</v>
      </c>
      <c r="J494" s="161" cm="1">
        <f t="array" ref="J494">IFERROR(
  VALUE($H494) *
  VALUE(
    _xlfn.XLOOKUP(
      TRIM($F494) &amp; "|" &amp; LEFT(SUBSTITUTE($G494,CHAR(160)," "),5) &amp; "|Reduced Rate",
      TRIM(SUBSTITUTE($T$2:$T$38,CHAR(160)," ")) &amp; "|" &amp;
      LEFT(SUBSTITUTE($U$2:$U$38,CHAR(160)," "),5) &amp; "|" &amp;
      TRIM(SUBSTITUTE($V$2:$V$38,CHAR(160)," ")),
      $W$2:$W$38
    )
  ),
"")</f>
        <v>150</v>
      </c>
      <c r="K494" s="42" cm="1">
        <f t="array" ref="K494">IFERROR(
  VALUE($H494) *
  VALUE(
    _xlfn.XLOOKUP(
      TRIM($F494) &amp; "|" &amp; LEFT(SUBSTITUTE($G494,CHAR(160)," "),5) &amp; "|Ideas Rate",
      TRIM(SUBSTITUTE($T$2:$T$38,CHAR(160)," ")) &amp; "|" &amp;
      LEFT(SUBSTITUTE($U$2:$U$38,CHAR(160)," "),5) &amp; "|" &amp;
      TRIM(SUBSTITUTE($V$2:$V$38,CHAR(160)," ")),
      $W$2:$W$38
    )
  ),
"")</f>
        <v>75</v>
      </c>
    </row>
    <row r="495" spans="1:11" x14ac:dyDescent="0.2">
      <c r="A495" s="10">
        <v>46134</v>
      </c>
      <c r="B495" s="5" t="s">
        <v>787</v>
      </c>
      <c r="C495" s="20" t="s">
        <v>715</v>
      </c>
      <c r="D495" t="s">
        <v>178</v>
      </c>
      <c r="E495" t="s">
        <v>826</v>
      </c>
      <c r="F495" t="s">
        <v>155</v>
      </c>
      <c r="G495" t="s">
        <v>380</v>
      </c>
      <c r="H495" s="79">
        <v>1</v>
      </c>
      <c r="I495" s="160" cm="1">
        <f t="array" ref="I495">IFERROR(
  VALUE($H495) *
  VALUE(
    _xlfn.XLOOKUP(
      TRIM($F495) &amp; "|" &amp; LEFT(SUBSTITUTE($G495,CHAR(160)," "),5) &amp; "|Full Rate",
      TRIM(SUBSTITUTE($T$2:$T$38,CHAR(160)," ")) &amp; "|" &amp;
      LEFT(SUBSTITUTE($U$2:$U$38,CHAR(160)," "),5) &amp; "|" &amp;
      TRIM(SUBSTITUTE($V$2:$V$38,CHAR(160)," ")),
      $W$2:$W$38
    )
  ),
"")</f>
        <v>260</v>
      </c>
      <c r="J495" s="161" cm="1">
        <f t="array" ref="J495">IFERROR(
  VALUE($H495) *
  VALUE(
    _xlfn.XLOOKUP(
      TRIM($F495) &amp; "|" &amp; LEFT(SUBSTITUTE($G495,CHAR(160)," "),5) &amp; "|Reduced Rate",
      TRIM(SUBSTITUTE($T$2:$T$38,CHAR(160)," ")) &amp; "|" &amp;
      LEFT(SUBSTITUTE($U$2:$U$38,CHAR(160)," "),5) &amp; "|" &amp;
      TRIM(SUBSTITUTE($V$2:$V$38,CHAR(160)," ")),
      $W$2:$W$38
    )
  ),
"")</f>
        <v>120</v>
      </c>
      <c r="K495" s="42" cm="1">
        <f t="array" ref="K495">IFERROR(
  VALUE($H495) *
  VALUE(
    _xlfn.XLOOKUP(
      TRIM($F495) &amp; "|" &amp; LEFT(SUBSTITUTE($G495,CHAR(160)," "),5) &amp; "|Ideas Rate",
      TRIM(SUBSTITUTE($T$2:$T$38,CHAR(160)," ")) &amp; "|" &amp;
      LEFT(SUBSTITUTE($U$2:$U$38,CHAR(160)," "),5) &amp; "|" &amp;
      TRIM(SUBSTITUTE($V$2:$V$38,CHAR(160)," ")),
      $W$2:$W$38
    )
  ),
"")</f>
        <v>90</v>
      </c>
    </row>
    <row r="496" spans="1:11" x14ac:dyDescent="0.2">
      <c r="A496" s="10">
        <v>46134</v>
      </c>
      <c r="B496" s="5" t="s">
        <v>787</v>
      </c>
      <c r="C496" s="20" t="s">
        <v>715</v>
      </c>
      <c r="D496" t="s">
        <v>178</v>
      </c>
      <c r="E496" t="s">
        <v>826</v>
      </c>
      <c r="F496" t="s">
        <v>9</v>
      </c>
      <c r="G496" t="s">
        <v>380</v>
      </c>
      <c r="H496" s="79">
        <v>1</v>
      </c>
      <c r="I496" s="160" cm="1">
        <f t="array" ref="I496">IFERROR(
  VALUE($H496) *
  VALUE(
    _xlfn.XLOOKUP(
      TRIM($F496) &amp; "|" &amp; LEFT(SUBSTITUTE($G496,CHAR(160)," "),5) &amp; "|Full Rate",
      TRIM(SUBSTITUTE($T$2:$T$38,CHAR(160)," ")) &amp; "|" &amp;
      LEFT(SUBSTITUTE($U$2:$U$38,CHAR(160)," "),5) &amp; "|" &amp;
      TRIM(SUBSTITUTE($V$2:$V$38,CHAR(160)," ")),
      $W$2:$W$38
    )
  ),
"")</f>
        <v>250</v>
      </c>
      <c r="J496" s="161" cm="1">
        <f t="array" ref="J496">IFERROR(
  VALUE($H496) *
  VALUE(
    _xlfn.XLOOKUP(
      TRIM($F496) &amp; "|" &amp; LEFT(SUBSTITUTE($G496,CHAR(160)," "),5) &amp; "|Reduced Rate",
      TRIM(SUBSTITUTE($T$2:$T$38,CHAR(160)," ")) &amp; "|" &amp;
      LEFT(SUBSTITUTE($U$2:$U$38,CHAR(160)," "),5) &amp; "|" &amp;
      TRIM(SUBSTITUTE($V$2:$V$38,CHAR(160)," ")),
      $W$2:$W$38
    )
  ),
"")</f>
        <v>150</v>
      </c>
      <c r="K496" s="42" cm="1">
        <f t="array" ref="K496">IFERROR(
  VALUE($H496) *
  VALUE(
    _xlfn.XLOOKUP(
      TRIM($F496) &amp; "|" &amp; LEFT(SUBSTITUTE($G496,CHAR(160)," "),5) &amp; "|Ideas Rate",
      TRIM(SUBSTITUTE($T$2:$T$38,CHAR(160)," ")) &amp; "|" &amp;
      LEFT(SUBSTITUTE($U$2:$U$38,CHAR(160)," "),5) &amp; "|" &amp;
      TRIM(SUBSTITUTE($V$2:$V$38,CHAR(160)," ")),
      $W$2:$W$38
    )
  ),
"")</f>
        <v>75</v>
      </c>
    </row>
    <row r="497" spans="1:11" x14ac:dyDescent="0.2">
      <c r="A497" s="10">
        <v>46134</v>
      </c>
      <c r="B497" s="5" t="s">
        <v>787</v>
      </c>
      <c r="C497" s="20" t="s">
        <v>715</v>
      </c>
      <c r="D497" t="s">
        <v>190</v>
      </c>
      <c r="E497" t="s">
        <v>827</v>
      </c>
      <c r="F497" t="s">
        <v>9</v>
      </c>
      <c r="G497" t="s">
        <v>368</v>
      </c>
      <c r="H497" s="79">
        <v>2.5</v>
      </c>
      <c r="I497" s="160" cm="1">
        <f t="array" ref="I497">IFERROR(
  VALUE($H497) *
  VALUE(
    _xlfn.XLOOKUP(
      TRIM($F497) &amp; "|" &amp; LEFT(SUBSTITUTE($G497,CHAR(160)," "),5) &amp; "|Full Rate",
      TRIM(SUBSTITUTE($T$2:$T$38,CHAR(160)," ")) &amp; "|" &amp;
      LEFT(SUBSTITUTE($U$2:$U$38,CHAR(160)," "),5) &amp; "|" &amp;
      TRIM(SUBSTITUTE($V$2:$V$38,CHAR(160)," ")),
      $W$2:$W$38
    )
  ),
"")</f>
        <v>250</v>
      </c>
      <c r="J497" s="161" cm="1">
        <f t="array" ref="J497">IFERROR(
  VALUE($H497) *
  VALUE(
    _xlfn.XLOOKUP(
      TRIM($F497) &amp; "|" &amp; LEFT(SUBSTITUTE($G497,CHAR(160)," "),5) &amp; "|Reduced Rate",
      TRIM(SUBSTITUTE($T$2:$T$38,CHAR(160)," ")) &amp; "|" &amp;
      LEFT(SUBSTITUTE($U$2:$U$38,CHAR(160)," "),5) &amp; "|" &amp;
      TRIM(SUBSTITUTE($V$2:$V$38,CHAR(160)," ")),
      $W$2:$W$38
    )
  ),
"")</f>
        <v>125</v>
      </c>
      <c r="K497" s="42" cm="1">
        <f t="array" ref="K497">IFERROR(
  VALUE($H497) *
  VALUE(
    _xlfn.XLOOKUP(
      TRIM($F497) &amp; "|" &amp; LEFT(SUBSTITUTE($G497,CHAR(160)," "),5) &amp; "|Ideas Rate",
      TRIM(SUBSTITUTE($T$2:$T$38,CHAR(160)," ")) &amp; "|" &amp;
      LEFT(SUBSTITUTE($U$2:$U$38,CHAR(160)," "),5) &amp; "|" &amp;
      TRIM(SUBSTITUTE($V$2:$V$38,CHAR(160)," ")),
      $W$2:$W$38
    )
  ),
"")</f>
        <v>75</v>
      </c>
    </row>
    <row r="498" spans="1:11" x14ac:dyDescent="0.2">
      <c r="A498" s="10">
        <v>46134</v>
      </c>
      <c r="B498" s="5" t="s">
        <v>787</v>
      </c>
      <c r="C498" s="20" t="s">
        <v>715</v>
      </c>
      <c r="D498" t="s">
        <v>190</v>
      </c>
      <c r="E498" t="s">
        <v>827</v>
      </c>
      <c r="F498" t="s">
        <v>10</v>
      </c>
      <c r="G498" t="s">
        <v>368</v>
      </c>
      <c r="H498" s="79">
        <v>2.5</v>
      </c>
      <c r="I498" s="160" cm="1">
        <f t="array" ref="I498">IFERROR(
  VALUE($H498) *
  VALUE(
    _xlfn.XLOOKUP(
      TRIM($F498) &amp; "|" &amp; LEFT(SUBSTITUTE($G498,CHAR(160)," "),5) &amp; "|Full Rate",
      TRIM(SUBSTITUTE($T$2:$T$38,CHAR(160)," ")) &amp; "|" &amp;
      LEFT(SUBSTITUTE($U$2:$U$38,CHAR(160)," "),5) &amp; "|" &amp;
      TRIM(SUBSTITUTE($V$2:$V$38,CHAR(160)," ")),
      $W$2:$W$38
    )
  ),
"")</f>
        <v>250</v>
      </c>
      <c r="J498" s="161" cm="1">
        <f t="array" ref="J498">IFERROR(
  VALUE($H498) *
  VALUE(
    _xlfn.XLOOKUP(
      TRIM($F498) &amp; "|" &amp; LEFT(SUBSTITUTE($G498,CHAR(160)," "),5) &amp; "|Reduced Rate",
      TRIM(SUBSTITUTE($T$2:$T$38,CHAR(160)," ")) &amp; "|" &amp;
      LEFT(SUBSTITUTE($U$2:$U$38,CHAR(160)," "),5) &amp; "|" &amp;
      TRIM(SUBSTITUTE($V$2:$V$38,CHAR(160)," ")),
      $W$2:$W$38
    )
  ),
"")</f>
        <v>125</v>
      </c>
      <c r="K498" s="42" cm="1">
        <f t="array" ref="K498">IFERROR(
  VALUE($H498) *
  VALUE(
    _xlfn.XLOOKUP(
      TRIM($F498) &amp; "|" &amp; LEFT(SUBSTITUTE($G498,CHAR(160)," "),5) &amp; "|Ideas Rate",
      TRIM(SUBSTITUTE($T$2:$T$38,CHAR(160)," ")) &amp; "|" &amp;
      LEFT(SUBSTITUTE($U$2:$U$38,CHAR(160)," "),5) &amp; "|" &amp;
      TRIM(SUBSTITUTE($V$2:$V$38,CHAR(160)," ")),
      $W$2:$W$38
    )
  ),
"")</f>
        <v>75</v>
      </c>
    </row>
    <row r="499" spans="1:11" x14ac:dyDescent="0.2">
      <c r="A499" s="10">
        <v>46134</v>
      </c>
      <c r="B499" s="5" t="s">
        <v>787</v>
      </c>
      <c r="C499" s="20" t="s">
        <v>715</v>
      </c>
      <c r="D499" t="s">
        <v>190</v>
      </c>
      <c r="E499" t="s">
        <v>827</v>
      </c>
      <c r="F499" t="s">
        <v>155</v>
      </c>
      <c r="G499" t="s">
        <v>368</v>
      </c>
      <c r="H499" s="79">
        <v>2.5</v>
      </c>
      <c r="I499" s="160" cm="1">
        <f t="array" ref="I499">IFERROR(
  VALUE($H499) *
  VALUE(
    _xlfn.XLOOKUP(
      TRIM($F499) &amp; "|" &amp; LEFT(SUBSTITUTE($G499,CHAR(160)," "),5) &amp; "|Full Rate",
      TRIM(SUBSTITUTE($T$2:$T$38,CHAR(160)," ")) &amp; "|" &amp;
      LEFT(SUBSTITUTE($U$2:$U$38,CHAR(160)," "),5) &amp; "|" &amp;
      TRIM(SUBSTITUTE($V$2:$V$38,CHAR(160)," ")),
      $W$2:$W$38
    )
  ),
"")</f>
        <v>250</v>
      </c>
      <c r="J499" s="161" cm="1">
        <f t="array" ref="J499">IFERROR(
  VALUE($H499) *
  VALUE(
    _xlfn.XLOOKUP(
      TRIM($F499) &amp; "|" &amp; LEFT(SUBSTITUTE($G499,CHAR(160)," "),5) &amp; "|Reduced Rate",
      TRIM(SUBSTITUTE($T$2:$T$38,CHAR(160)," ")) &amp; "|" &amp;
      LEFT(SUBSTITUTE($U$2:$U$38,CHAR(160)," "),5) &amp; "|" &amp;
      TRIM(SUBSTITUTE($V$2:$V$38,CHAR(160)," ")),
      $W$2:$W$38
    )
  ),
"")</f>
        <v>125</v>
      </c>
      <c r="K499" s="42" cm="1">
        <f t="array" ref="K499">IFERROR(
  VALUE($H499) *
  VALUE(
    _xlfn.XLOOKUP(
      TRIM($F499) &amp; "|" &amp; LEFT(SUBSTITUTE($G499,CHAR(160)," "),5) &amp; "|Ideas Rate",
      TRIM(SUBSTITUTE($T$2:$T$38,CHAR(160)," ")) &amp; "|" &amp;
      LEFT(SUBSTITUTE($U$2:$U$38,CHAR(160)," "),5) &amp; "|" &amp;
      TRIM(SUBSTITUTE($V$2:$V$38,CHAR(160)," ")),
      $W$2:$W$38
    )
  ),
"")</f>
        <v>75</v>
      </c>
    </row>
    <row r="500" spans="1:11" x14ac:dyDescent="0.2">
      <c r="A500" s="10">
        <v>46134</v>
      </c>
      <c r="B500" s="5" t="s">
        <v>787</v>
      </c>
      <c r="C500" s="20" t="s">
        <v>715</v>
      </c>
      <c r="D500" t="s">
        <v>190</v>
      </c>
      <c r="E500" t="s">
        <v>509</v>
      </c>
      <c r="F500" t="s">
        <v>155</v>
      </c>
      <c r="G500" t="s">
        <v>380</v>
      </c>
      <c r="H500" s="79">
        <v>2</v>
      </c>
      <c r="I500" s="160" cm="1">
        <f t="array" ref="I500">IFERROR(
  VALUE($H500) *
  VALUE(
    _xlfn.XLOOKUP(
      TRIM($F500) &amp; "|" &amp; LEFT(SUBSTITUTE($G500,CHAR(160)," "),5) &amp; "|Full Rate",
      TRIM(SUBSTITUTE($T$2:$T$38,CHAR(160)," ")) &amp; "|" &amp;
      LEFT(SUBSTITUTE($U$2:$U$38,CHAR(160)," "),5) &amp; "|" &amp;
      TRIM(SUBSTITUTE($V$2:$V$38,CHAR(160)," ")),
      $W$2:$W$38
    )
  ),
"")</f>
        <v>520</v>
      </c>
      <c r="J500" s="161" cm="1">
        <f t="array" ref="J500">IFERROR(
  VALUE($H500) *
  VALUE(
    _xlfn.XLOOKUP(
      TRIM($F500) &amp; "|" &amp; LEFT(SUBSTITUTE($G500,CHAR(160)," "),5) &amp; "|Reduced Rate",
      TRIM(SUBSTITUTE($T$2:$T$38,CHAR(160)," ")) &amp; "|" &amp;
      LEFT(SUBSTITUTE($U$2:$U$38,CHAR(160)," "),5) &amp; "|" &amp;
      TRIM(SUBSTITUTE($V$2:$V$38,CHAR(160)," ")),
      $W$2:$W$38
    )
  ),
"")</f>
        <v>240</v>
      </c>
      <c r="K500" s="42" cm="1">
        <f t="array" ref="K500">IFERROR(
  VALUE($H500) *
  VALUE(
    _xlfn.XLOOKUP(
      TRIM($F500) &amp; "|" &amp; LEFT(SUBSTITUTE($G500,CHAR(160)," "),5) &amp; "|Ideas Rate",
      TRIM(SUBSTITUTE($T$2:$T$38,CHAR(160)," ")) &amp; "|" &amp;
      LEFT(SUBSTITUTE($U$2:$U$38,CHAR(160)," "),5) &amp; "|" &amp;
      TRIM(SUBSTITUTE($V$2:$V$38,CHAR(160)," ")),
      $W$2:$W$38
    )
  ),
"")</f>
        <v>180</v>
      </c>
    </row>
    <row r="501" spans="1:11" x14ac:dyDescent="0.2">
      <c r="A501" s="10">
        <v>46134</v>
      </c>
      <c r="B501" s="5" t="s">
        <v>787</v>
      </c>
      <c r="C501" s="20" t="s">
        <v>715</v>
      </c>
      <c r="D501" t="s">
        <v>190</v>
      </c>
      <c r="E501" t="s">
        <v>828</v>
      </c>
      <c r="F501" t="s">
        <v>9</v>
      </c>
      <c r="G501" t="s">
        <v>368</v>
      </c>
      <c r="H501" s="79">
        <v>2</v>
      </c>
      <c r="I501" s="160" cm="1">
        <f t="array" ref="I501">IFERROR(
  VALUE($H501) *
  VALUE(
    _xlfn.XLOOKUP(
      TRIM($F501) &amp; "|" &amp; LEFT(SUBSTITUTE($G501,CHAR(160)," "),5) &amp; "|Full Rate",
      TRIM(SUBSTITUTE($T$2:$T$38,CHAR(160)," ")) &amp; "|" &amp;
      LEFT(SUBSTITUTE($U$2:$U$38,CHAR(160)," "),5) &amp; "|" &amp;
      TRIM(SUBSTITUTE($V$2:$V$38,CHAR(160)," ")),
      $W$2:$W$38
    )
  ),
"")</f>
        <v>200</v>
      </c>
      <c r="J501" s="161" cm="1">
        <f t="array" ref="J501">IFERROR(
  VALUE($H501) *
  VALUE(
    _xlfn.XLOOKUP(
      TRIM($F501) &amp; "|" &amp; LEFT(SUBSTITUTE($G501,CHAR(160)," "),5) &amp; "|Reduced Rate",
      TRIM(SUBSTITUTE($T$2:$T$38,CHAR(160)," ")) &amp; "|" &amp;
      LEFT(SUBSTITUTE($U$2:$U$38,CHAR(160)," "),5) &amp; "|" &amp;
      TRIM(SUBSTITUTE($V$2:$V$38,CHAR(160)," ")),
      $W$2:$W$38
    )
  ),
"")</f>
        <v>100</v>
      </c>
      <c r="K501" s="42" cm="1">
        <f t="array" ref="K501">IFERROR(
  VALUE($H501) *
  VALUE(
    _xlfn.XLOOKUP(
      TRIM($F501) &amp; "|" &amp; LEFT(SUBSTITUTE($G501,CHAR(160)," "),5) &amp; "|Ideas Rate",
      TRIM(SUBSTITUTE($T$2:$T$38,CHAR(160)," ")) &amp; "|" &amp;
      LEFT(SUBSTITUTE($U$2:$U$38,CHAR(160)," "),5) &amp; "|" &amp;
      TRIM(SUBSTITUTE($V$2:$V$38,CHAR(160)," ")),
      $W$2:$W$38
    )
  ),
"")</f>
        <v>60</v>
      </c>
    </row>
    <row r="502" spans="1:11" x14ac:dyDescent="0.2">
      <c r="A502" s="10">
        <v>46135</v>
      </c>
      <c r="B502" s="5" t="s">
        <v>787</v>
      </c>
      <c r="C502" s="20" t="s">
        <v>715</v>
      </c>
      <c r="D502" t="s">
        <v>192</v>
      </c>
      <c r="E502" t="s">
        <v>509</v>
      </c>
      <c r="F502" t="s">
        <v>155</v>
      </c>
      <c r="G502" t="s">
        <v>380</v>
      </c>
      <c r="H502" s="79">
        <v>0.5</v>
      </c>
      <c r="I502" s="160" cm="1">
        <f t="array" ref="I502">IFERROR(
  VALUE($H502) *
  VALUE(
    _xlfn.XLOOKUP(
      TRIM($F502) &amp; "|" &amp; LEFT(SUBSTITUTE($G502,CHAR(160)," "),5) &amp; "|Full Rate",
      TRIM(SUBSTITUTE($T$2:$T$38,CHAR(160)," ")) &amp; "|" &amp;
      LEFT(SUBSTITUTE($U$2:$U$38,CHAR(160)," "),5) &amp; "|" &amp;
      TRIM(SUBSTITUTE($V$2:$V$38,CHAR(160)," ")),
      $W$2:$W$38
    )
  ),
"")</f>
        <v>130</v>
      </c>
      <c r="J502" s="161" cm="1">
        <f t="array" ref="J502">IFERROR(
  VALUE($H502) *
  VALUE(
    _xlfn.XLOOKUP(
      TRIM($F502) &amp; "|" &amp; LEFT(SUBSTITUTE($G502,CHAR(160)," "),5) &amp; "|Reduced Rate",
      TRIM(SUBSTITUTE($T$2:$T$38,CHAR(160)," ")) &amp; "|" &amp;
      LEFT(SUBSTITUTE($U$2:$U$38,CHAR(160)," "),5) &amp; "|" &amp;
      TRIM(SUBSTITUTE($V$2:$V$38,CHAR(160)," ")),
      $W$2:$W$38
    )
  ),
"")</f>
        <v>60</v>
      </c>
      <c r="K502" s="42" cm="1">
        <f t="array" ref="K502">IFERROR(
  VALUE($H502) *
  VALUE(
    _xlfn.XLOOKUP(
      TRIM($F502) &amp; "|" &amp; LEFT(SUBSTITUTE($G502,CHAR(160)," "),5) &amp; "|Ideas Rate",
      TRIM(SUBSTITUTE($T$2:$T$38,CHAR(160)," ")) &amp; "|" &amp;
      LEFT(SUBSTITUTE($U$2:$U$38,CHAR(160)," "),5) &amp; "|" &amp;
      TRIM(SUBSTITUTE($V$2:$V$38,CHAR(160)," ")),
      $W$2:$W$38
    )
  ),
"")</f>
        <v>45</v>
      </c>
    </row>
    <row r="503" spans="1:11" x14ac:dyDescent="0.2">
      <c r="A503" s="10">
        <v>46135</v>
      </c>
      <c r="B503" s="5" t="s">
        <v>787</v>
      </c>
      <c r="C503" s="20" t="s">
        <v>715</v>
      </c>
      <c r="D503" t="s">
        <v>182</v>
      </c>
      <c r="E503" t="s">
        <v>785</v>
      </c>
      <c r="F503" t="s">
        <v>155</v>
      </c>
      <c r="G503" t="s">
        <v>367</v>
      </c>
      <c r="H503" s="79">
        <v>3.5</v>
      </c>
      <c r="I503" s="160" cm="1">
        <f t="array" ref="I503">IFERROR(
  VALUE($H503) *
  VALUE(
    _xlfn.XLOOKUP(
      TRIM($F503) &amp; "|" &amp; LEFT(SUBSTITUTE($G503,CHAR(160)," "),5) &amp; "|Full Rate",
      TRIM(SUBSTITUTE($T$2:$T$38,CHAR(160)," ")) &amp; "|" &amp;
      LEFT(SUBSTITUTE($U$2:$U$38,CHAR(160)," "),5) &amp; "|" &amp;
      TRIM(SUBSTITUTE($V$2:$V$38,CHAR(160)," ")),
      $W$2:$W$38
    )
  ),
"")</f>
        <v>1400</v>
      </c>
      <c r="J503" s="161" cm="1">
        <f t="array" ref="J503">IFERROR(
  VALUE($H503) *
  VALUE(
    _xlfn.XLOOKUP(
      TRIM($F503) &amp; "|" &amp; LEFT(SUBSTITUTE($G503,CHAR(160)," "),5) &amp; "|Reduced Rate",
      TRIM(SUBSTITUTE($T$2:$T$38,CHAR(160)," ")) &amp; "|" &amp;
      LEFT(SUBSTITUTE($U$2:$U$38,CHAR(160)," "),5) &amp; "|" &amp;
      TRIM(SUBSTITUTE($V$2:$V$38,CHAR(160)," ")),
      $W$2:$W$38
    )
  ),
"")</f>
        <v>700</v>
      </c>
      <c r="K503" s="42" cm="1">
        <f t="array" ref="K503">IFERROR(
  VALUE($H503) *
  VALUE(
    _xlfn.XLOOKUP(
      TRIM($F503) &amp; "|" &amp; LEFT(SUBSTITUTE($G503,CHAR(160)," "),5) &amp; "|Ideas Rate",
      TRIM(SUBSTITUTE($T$2:$T$38,CHAR(160)," ")) &amp; "|" &amp;
      LEFT(SUBSTITUTE($U$2:$U$38,CHAR(160)," "),5) &amp; "|" &amp;
      TRIM(SUBSTITUTE($V$2:$V$38,CHAR(160)," ")),
      $W$2:$W$38
    )
  ),
"")</f>
        <v>420</v>
      </c>
    </row>
    <row r="504" spans="1:11" x14ac:dyDescent="0.2">
      <c r="A504" s="10">
        <v>46135</v>
      </c>
      <c r="B504" s="5" t="s">
        <v>787</v>
      </c>
      <c r="C504" s="20" t="s">
        <v>715</v>
      </c>
      <c r="D504" t="s">
        <v>187</v>
      </c>
      <c r="E504" t="s">
        <v>849</v>
      </c>
      <c r="F504" t="s">
        <v>155</v>
      </c>
      <c r="G504" t="s">
        <v>368</v>
      </c>
      <c r="H504" s="79">
        <v>3</v>
      </c>
      <c r="I504" s="160" cm="1">
        <f t="array" ref="I504">IFERROR(
  VALUE($H504) *
  VALUE(
    _xlfn.XLOOKUP(
      TRIM($F504) &amp; "|" &amp; LEFT(SUBSTITUTE($G504,CHAR(160)," "),5) &amp; "|Full Rate",
      TRIM(SUBSTITUTE($T$2:$T$38,CHAR(160)," ")) &amp; "|" &amp;
      LEFT(SUBSTITUTE($U$2:$U$38,CHAR(160)," "),5) &amp; "|" &amp;
      TRIM(SUBSTITUTE($V$2:$V$38,CHAR(160)," ")),
      $W$2:$W$38
    )
  ),
"")</f>
        <v>300</v>
      </c>
      <c r="J504" s="161" cm="1">
        <f t="array" ref="J504">IFERROR(
  VALUE($H504) *
  VALUE(
    _xlfn.XLOOKUP(
      TRIM($F504) &amp; "|" &amp; LEFT(SUBSTITUTE($G504,CHAR(160)," "),5) &amp; "|Reduced Rate",
      TRIM(SUBSTITUTE($T$2:$T$38,CHAR(160)," ")) &amp; "|" &amp;
      LEFT(SUBSTITUTE($U$2:$U$38,CHAR(160)," "),5) &amp; "|" &amp;
      TRIM(SUBSTITUTE($V$2:$V$38,CHAR(160)," ")),
      $W$2:$W$38
    )
  ),
"")</f>
        <v>150</v>
      </c>
      <c r="K504" s="42" cm="1">
        <f t="array" ref="K504">IFERROR(
  VALUE($H504) *
  VALUE(
    _xlfn.XLOOKUP(
      TRIM($F504) &amp; "|" &amp; LEFT(SUBSTITUTE($G504,CHAR(160)," "),5) &amp; "|Ideas Rate",
      TRIM(SUBSTITUTE($T$2:$T$38,CHAR(160)," ")) &amp; "|" &amp;
      LEFT(SUBSTITUTE($U$2:$U$38,CHAR(160)," "),5) &amp; "|" &amp;
      TRIM(SUBSTITUTE($V$2:$V$38,CHAR(160)," ")),
      $W$2:$W$38
    )
  ),
"")</f>
        <v>90</v>
      </c>
    </row>
    <row r="505" spans="1:11" x14ac:dyDescent="0.2">
      <c r="A505" s="10">
        <v>46135</v>
      </c>
      <c r="B505" s="5" t="s">
        <v>787</v>
      </c>
      <c r="C505" s="20" t="s">
        <v>715</v>
      </c>
      <c r="D505" t="s">
        <v>190</v>
      </c>
      <c r="E505" t="s">
        <v>829</v>
      </c>
      <c r="F505" t="s">
        <v>9</v>
      </c>
      <c r="G505" t="s">
        <v>368</v>
      </c>
      <c r="H505" s="79">
        <v>2</v>
      </c>
      <c r="I505" s="160" cm="1">
        <f t="array" ref="I505">IFERROR(
  VALUE($H505) *
  VALUE(
    _xlfn.XLOOKUP(
      TRIM($F505) &amp; "|" &amp; LEFT(SUBSTITUTE($G505,CHAR(160)," "),5) &amp; "|Full Rate",
      TRIM(SUBSTITUTE($T$2:$T$38,CHAR(160)," ")) &amp; "|" &amp;
      LEFT(SUBSTITUTE($U$2:$U$38,CHAR(160)," "),5) &amp; "|" &amp;
      TRIM(SUBSTITUTE($V$2:$V$38,CHAR(160)," ")),
      $W$2:$W$38
    )
  ),
"")</f>
        <v>200</v>
      </c>
      <c r="J505" s="161" cm="1">
        <f t="array" ref="J505">IFERROR(
  VALUE($H505) *
  VALUE(
    _xlfn.XLOOKUP(
      TRIM($F505) &amp; "|" &amp; LEFT(SUBSTITUTE($G505,CHAR(160)," "),5) &amp; "|Reduced Rate",
      TRIM(SUBSTITUTE($T$2:$T$38,CHAR(160)," ")) &amp; "|" &amp;
      LEFT(SUBSTITUTE($U$2:$U$38,CHAR(160)," "),5) &amp; "|" &amp;
      TRIM(SUBSTITUTE($V$2:$V$38,CHAR(160)," ")),
      $W$2:$W$38
    )
  ),
"")</f>
        <v>100</v>
      </c>
      <c r="K505" s="42" cm="1">
        <f t="array" ref="K505">IFERROR(
  VALUE($H505) *
  VALUE(
    _xlfn.XLOOKUP(
      TRIM($F505) &amp; "|" &amp; LEFT(SUBSTITUTE($G505,CHAR(160)," "),5) &amp; "|Ideas Rate",
      TRIM(SUBSTITUTE($T$2:$T$38,CHAR(160)," ")) &amp; "|" &amp;
      LEFT(SUBSTITUTE($U$2:$U$38,CHAR(160)," "),5) &amp; "|" &amp;
      TRIM(SUBSTITUTE($V$2:$V$38,CHAR(160)," ")),
      $W$2:$W$38
    )
  ),
"")</f>
        <v>60</v>
      </c>
    </row>
    <row r="506" spans="1:11" x14ac:dyDescent="0.2">
      <c r="A506" s="10">
        <v>46135</v>
      </c>
      <c r="B506" s="5" t="s">
        <v>787</v>
      </c>
      <c r="C506" s="20" t="s">
        <v>715</v>
      </c>
      <c r="D506" t="s">
        <v>853</v>
      </c>
      <c r="E506" t="s">
        <v>830</v>
      </c>
      <c r="F506" t="s">
        <v>9</v>
      </c>
      <c r="G506" t="s">
        <v>368</v>
      </c>
      <c r="H506" s="79">
        <v>3</v>
      </c>
      <c r="I506" s="160" cm="1">
        <f t="array" ref="I506">IFERROR(
  VALUE($H506) *
  VALUE(
    _xlfn.XLOOKUP(
      TRIM($F506) &amp; "|" &amp; LEFT(SUBSTITUTE($G506,CHAR(160)," "),5) &amp; "|Full Rate",
      TRIM(SUBSTITUTE($T$2:$T$38,CHAR(160)," ")) &amp; "|" &amp;
      LEFT(SUBSTITUTE($U$2:$U$38,CHAR(160)," "),5) &amp; "|" &amp;
      TRIM(SUBSTITUTE($V$2:$V$38,CHAR(160)," ")),
      $W$2:$W$38
    )
  ),
"")</f>
        <v>300</v>
      </c>
      <c r="J506" s="161" cm="1">
        <f t="array" ref="J506">IFERROR(
  VALUE($H506) *
  VALUE(
    _xlfn.XLOOKUP(
      TRIM($F506) &amp; "|" &amp; LEFT(SUBSTITUTE($G506,CHAR(160)," "),5) &amp; "|Reduced Rate",
      TRIM(SUBSTITUTE($T$2:$T$38,CHAR(160)," ")) &amp; "|" &amp;
      LEFT(SUBSTITUTE($U$2:$U$38,CHAR(160)," "),5) &amp; "|" &amp;
      TRIM(SUBSTITUTE($V$2:$V$38,CHAR(160)," ")),
      $W$2:$W$38
    )
  ),
"")</f>
        <v>150</v>
      </c>
      <c r="K506" s="42" cm="1">
        <f t="array" ref="K506">IFERROR(
  VALUE($H506) *
  VALUE(
    _xlfn.XLOOKUP(
      TRIM($F506) &amp; "|" &amp; LEFT(SUBSTITUTE($G506,CHAR(160)," "),5) &amp; "|Ideas Rate",
      TRIM(SUBSTITUTE($T$2:$T$38,CHAR(160)," ")) &amp; "|" &amp;
      LEFT(SUBSTITUTE($U$2:$U$38,CHAR(160)," "),5) &amp; "|" &amp;
      TRIM(SUBSTITUTE($V$2:$V$38,CHAR(160)," ")),
      $W$2:$W$38
    )
  ),
"")</f>
        <v>90</v>
      </c>
    </row>
    <row r="507" spans="1:11" x14ac:dyDescent="0.2">
      <c r="A507" s="10">
        <v>46135</v>
      </c>
      <c r="B507" s="5" t="s">
        <v>787</v>
      </c>
      <c r="C507" s="20" t="s">
        <v>715</v>
      </c>
      <c r="D507" t="s">
        <v>178</v>
      </c>
      <c r="E507" t="s">
        <v>722</v>
      </c>
      <c r="F507" t="s">
        <v>9</v>
      </c>
      <c r="G507" t="s">
        <v>380</v>
      </c>
      <c r="H507" s="79">
        <v>1</v>
      </c>
      <c r="I507" s="160" cm="1">
        <f t="array" ref="I507">IFERROR(
  VALUE($H507) *
  VALUE(
    _xlfn.XLOOKUP(
      TRIM($F507) &amp; "|" &amp; LEFT(SUBSTITUTE($G507,CHAR(160)," "),5) &amp; "|Full Rate",
      TRIM(SUBSTITUTE($T$2:$T$38,CHAR(160)," ")) &amp; "|" &amp;
      LEFT(SUBSTITUTE($U$2:$U$38,CHAR(160)," "),5) &amp; "|" &amp;
      TRIM(SUBSTITUTE($V$2:$V$38,CHAR(160)," ")),
      $W$2:$W$38
    )
  ),
"")</f>
        <v>250</v>
      </c>
      <c r="J507" s="161" cm="1">
        <f t="array" ref="J507">IFERROR(
  VALUE($H507) *
  VALUE(
    _xlfn.XLOOKUP(
      TRIM($F507) &amp; "|" &amp; LEFT(SUBSTITUTE($G507,CHAR(160)," "),5) &amp; "|Reduced Rate",
      TRIM(SUBSTITUTE($T$2:$T$38,CHAR(160)," ")) &amp; "|" &amp;
      LEFT(SUBSTITUTE($U$2:$U$38,CHAR(160)," "),5) &amp; "|" &amp;
      TRIM(SUBSTITUTE($V$2:$V$38,CHAR(160)," ")),
      $W$2:$W$38
    )
  ),
"")</f>
        <v>150</v>
      </c>
      <c r="K507" s="42" cm="1">
        <f t="array" ref="K507">IFERROR(
  VALUE($H507) *
  VALUE(
    _xlfn.XLOOKUP(
      TRIM($F507) &amp; "|" &amp; LEFT(SUBSTITUTE($G507,CHAR(160)," "),5) &amp; "|Ideas Rate",
      TRIM(SUBSTITUTE($T$2:$T$38,CHAR(160)," ")) &amp; "|" &amp;
      LEFT(SUBSTITUTE($U$2:$U$38,CHAR(160)," "),5) &amp; "|" &amp;
      TRIM(SUBSTITUTE($V$2:$V$38,CHAR(160)," ")),
      $W$2:$W$38
    )
  ),
"")</f>
        <v>75</v>
      </c>
    </row>
    <row r="508" spans="1:11" x14ac:dyDescent="0.2">
      <c r="A508" s="10">
        <v>46135</v>
      </c>
      <c r="B508" s="5" t="s">
        <v>787</v>
      </c>
      <c r="C508" s="20" t="s">
        <v>715</v>
      </c>
      <c r="D508" t="s">
        <v>178</v>
      </c>
      <c r="E508" t="s">
        <v>722</v>
      </c>
      <c r="F508" t="s">
        <v>10</v>
      </c>
      <c r="G508" t="s">
        <v>380</v>
      </c>
      <c r="H508" s="79">
        <v>1</v>
      </c>
      <c r="I508" s="160" cm="1">
        <f t="array" ref="I508">IFERROR(
  VALUE($H508) *
  VALUE(
    _xlfn.XLOOKUP(
      TRIM($F508) &amp; "|" &amp; LEFT(SUBSTITUTE($G508,CHAR(160)," "),5) &amp; "|Full Rate",
      TRIM(SUBSTITUTE($T$2:$T$38,CHAR(160)," ")) &amp; "|" &amp;
      LEFT(SUBSTITUTE($U$2:$U$38,CHAR(160)," "),5) &amp; "|" &amp;
      TRIM(SUBSTITUTE($V$2:$V$38,CHAR(160)," ")),
      $W$2:$W$38
    )
  ),
"")</f>
        <v>250</v>
      </c>
      <c r="J508" s="161" cm="1">
        <f t="array" ref="J508">IFERROR(
  VALUE($H508) *
  VALUE(
    _xlfn.XLOOKUP(
      TRIM($F508) &amp; "|" &amp; LEFT(SUBSTITUTE($G508,CHAR(160)," "),5) &amp; "|Reduced Rate",
      TRIM(SUBSTITUTE($T$2:$T$38,CHAR(160)," ")) &amp; "|" &amp;
      LEFT(SUBSTITUTE($U$2:$U$38,CHAR(160)," "),5) &amp; "|" &amp;
      TRIM(SUBSTITUTE($V$2:$V$38,CHAR(160)," ")),
      $W$2:$W$38
    )
  ),
"")</f>
        <v>150</v>
      </c>
      <c r="K508" s="42" cm="1">
        <f t="array" ref="K508">IFERROR(
  VALUE($H508) *
  VALUE(
    _xlfn.XLOOKUP(
      TRIM($F508) &amp; "|" &amp; LEFT(SUBSTITUTE($G508,CHAR(160)," "),5) &amp; "|Ideas Rate",
      TRIM(SUBSTITUTE($T$2:$T$38,CHAR(160)," ")) &amp; "|" &amp;
      LEFT(SUBSTITUTE($U$2:$U$38,CHAR(160)," "),5) &amp; "|" &amp;
      TRIM(SUBSTITUTE($V$2:$V$38,CHAR(160)," ")),
      $W$2:$W$38
    )
  ),
"")</f>
        <v>75</v>
      </c>
    </row>
    <row r="509" spans="1:11" x14ac:dyDescent="0.2">
      <c r="A509" s="10">
        <v>46135</v>
      </c>
      <c r="B509" s="5" t="s">
        <v>787</v>
      </c>
      <c r="C509" s="20" t="s">
        <v>715</v>
      </c>
      <c r="D509" t="s">
        <v>178</v>
      </c>
      <c r="E509" t="s">
        <v>722</v>
      </c>
      <c r="F509" t="s">
        <v>155</v>
      </c>
      <c r="G509" t="s">
        <v>380</v>
      </c>
      <c r="H509" s="79">
        <v>1</v>
      </c>
      <c r="I509" s="160" cm="1">
        <f t="array" ref="I509">IFERROR(
  VALUE($H509) *
  VALUE(
    _xlfn.XLOOKUP(
      TRIM($F509) &amp; "|" &amp; LEFT(SUBSTITUTE($G509,CHAR(160)," "),5) &amp; "|Full Rate",
      TRIM(SUBSTITUTE($T$2:$T$38,CHAR(160)," ")) &amp; "|" &amp;
      LEFT(SUBSTITUTE($U$2:$U$38,CHAR(160)," "),5) &amp; "|" &amp;
      TRIM(SUBSTITUTE($V$2:$V$38,CHAR(160)," ")),
      $W$2:$W$38
    )
  ),
"")</f>
        <v>260</v>
      </c>
      <c r="J509" s="161" cm="1">
        <f t="array" ref="J509">IFERROR(
  VALUE($H509) *
  VALUE(
    _xlfn.XLOOKUP(
      TRIM($F509) &amp; "|" &amp; LEFT(SUBSTITUTE($G509,CHAR(160)," "),5) &amp; "|Reduced Rate",
      TRIM(SUBSTITUTE($T$2:$T$38,CHAR(160)," ")) &amp; "|" &amp;
      LEFT(SUBSTITUTE($U$2:$U$38,CHAR(160)," "),5) &amp; "|" &amp;
      TRIM(SUBSTITUTE($V$2:$V$38,CHAR(160)," ")),
      $W$2:$W$38
    )
  ),
"")</f>
        <v>120</v>
      </c>
      <c r="K509" s="42" cm="1">
        <f t="array" ref="K509">IFERROR(
  VALUE($H509) *
  VALUE(
    _xlfn.XLOOKUP(
      TRIM($F509) &amp; "|" &amp; LEFT(SUBSTITUTE($G509,CHAR(160)," "),5) &amp; "|Ideas Rate",
      TRIM(SUBSTITUTE($T$2:$T$38,CHAR(160)," ")) &amp; "|" &amp;
      LEFT(SUBSTITUTE($U$2:$U$38,CHAR(160)," "),5) &amp; "|" &amp;
      TRIM(SUBSTITUTE($V$2:$V$38,CHAR(160)," ")),
      $W$2:$W$38
    )
  ),
"")</f>
        <v>90</v>
      </c>
    </row>
    <row r="510" spans="1:11" x14ac:dyDescent="0.2">
      <c r="A510" s="10">
        <v>46135</v>
      </c>
      <c r="B510" s="5" t="s">
        <v>787</v>
      </c>
      <c r="C510" s="20" t="s">
        <v>715</v>
      </c>
      <c r="D510" t="s">
        <v>178</v>
      </c>
      <c r="E510" t="s">
        <v>831</v>
      </c>
      <c r="F510" t="s">
        <v>9</v>
      </c>
      <c r="G510" t="s">
        <v>380</v>
      </c>
      <c r="H510" s="79">
        <v>0.5</v>
      </c>
      <c r="I510" s="160" cm="1">
        <f t="array" ref="I510">IFERROR(
  VALUE($H510) *
  VALUE(
    _xlfn.XLOOKUP(
      TRIM($F510) &amp; "|" &amp; LEFT(SUBSTITUTE($G510,CHAR(160)," "),5) &amp; "|Full Rate",
      TRIM(SUBSTITUTE($T$2:$T$38,CHAR(160)," ")) &amp; "|" &amp;
      LEFT(SUBSTITUTE($U$2:$U$38,CHAR(160)," "),5) &amp; "|" &amp;
      TRIM(SUBSTITUTE($V$2:$V$38,CHAR(160)," ")),
      $W$2:$W$38
    )
  ),
"")</f>
        <v>125</v>
      </c>
      <c r="J510" s="161" cm="1">
        <f t="array" ref="J510">IFERROR(
  VALUE($H510) *
  VALUE(
    _xlfn.XLOOKUP(
      TRIM($F510) &amp; "|" &amp; LEFT(SUBSTITUTE($G510,CHAR(160)," "),5) &amp; "|Reduced Rate",
      TRIM(SUBSTITUTE($T$2:$T$38,CHAR(160)," ")) &amp; "|" &amp;
      LEFT(SUBSTITUTE($U$2:$U$38,CHAR(160)," "),5) &amp; "|" &amp;
      TRIM(SUBSTITUTE($V$2:$V$38,CHAR(160)," ")),
      $W$2:$W$38
    )
  ),
"")</f>
        <v>75</v>
      </c>
      <c r="K510" s="42" cm="1">
        <f t="array" ref="K510">IFERROR(
  VALUE($H510) *
  VALUE(
    _xlfn.XLOOKUP(
      TRIM($F510) &amp; "|" &amp; LEFT(SUBSTITUTE($G510,CHAR(160)," "),5) &amp; "|Ideas Rate",
      TRIM(SUBSTITUTE($T$2:$T$38,CHAR(160)," ")) &amp; "|" &amp;
      LEFT(SUBSTITUTE($U$2:$U$38,CHAR(160)," "),5) &amp; "|" &amp;
      TRIM(SUBSTITUTE($V$2:$V$38,CHAR(160)," ")),
      $W$2:$W$38
    )
  ),
"")</f>
        <v>37.5</v>
      </c>
    </row>
    <row r="511" spans="1:11" x14ac:dyDescent="0.2">
      <c r="A511" s="10">
        <v>46135</v>
      </c>
      <c r="B511" s="5" t="s">
        <v>787</v>
      </c>
      <c r="C511" s="20" t="s">
        <v>715</v>
      </c>
      <c r="D511" t="s">
        <v>178</v>
      </c>
      <c r="E511" t="s">
        <v>831</v>
      </c>
      <c r="F511" t="s">
        <v>10</v>
      </c>
      <c r="G511" t="s">
        <v>380</v>
      </c>
      <c r="H511" s="79">
        <v>0.5</v>
      </c>
      <c r="I511" s="160" cm="1">
        <f t="array" ref="I511">IFERROR(
  VALUE($H511) *
  VALUE(
    _xlfn.XLOOKUP(
      TRIM($F511) &amp; "|" &amp; LEFT(SUBSTITUTE($G511,CHAR(160)," "),5) &amp; "|Full Rate",
      TRIM(SUBSTITUTE($T$2:$T$38,CHAR(160)," ")) &amp; "|" &amp;
      LEFT(SUBSTITUTE($U$2:$U$38,CHAR(160)," "),5) &amp; "|" &amp;
      TRIM(SUBSTITUTE($V$2:$V$38,CHAR(160)," ")),
      $W$2:$W$38
    )
  ),
"")</f>
        <v>125</v>
      </c>
      <c r="J511" s="161" cm="1">
        <f t="array" ref="J511">IFERROR(
  VALUE($H511) *
  VALUE(
    _xlfn.XLOOKUP(
      TRIM($F511) &amp; "|" &amp; LEFT(SUBSTITUTE($G511,CHAR(160)," "),5) &amp; "|Reduced Rate",
      TRIM(SUBSTITUTE($T$2:$T$38,CHAR(160)," ")) &amp; "|" &amp;
      LEFT(SUBSTITUTE($U$2:$U$38,CHAR(160)," "),5) &amp; "|" &amp;
      TRIM(SUBSTITUTE($V$2:$V$38,CHAR(160)," ")),
      $W$2:$W$38
    )
  ),
"")</f>
        <v>75</v>
      </c>
      <c r="K511" s="42" cm="1">
        <f t="array" ref="K511">IFERROR(
  VALUE($H511) *
  VALUE(
    _xlfn.XLOOKUP(
      TRIM($F511) &amp; "|" &amp; LEFT(SUBSTITUTE($G511,CHAR(160)," "),5) &amp; "|Ideas Rate",
      TRIM(SUBSTITUTE($T$2:$T$38,CHAR(160)," ")) &amp; "|" &amp;
      LEFT(SUBSTITUTE($U$2:$U$38,CHAR(160)," "),5) &amp; "|" &amp;
      TRIM(SUBSTITUTE($V$2:$V$38,CHAR(160)," ")),
      $W$2:$W$38
    )
  ),
"")</f>
        <v>37.5</v>
      </c>
    </row>
    <row r="512" spans="1:11" x14ac:dyDescent="0.2">
      <c r="A512" s="10">
        <v>46135</v>
      </c>
      <c r="B512" s="5" t="s">
        <v>787</v>
      </c>
      <c r="C512" s="20" t="s">
        <v>715</v>
      </c>
      <c r="D512" t="s">
        <v>178</v>
      </c>
      <c r="E512" t="s">
        <v>831</v>
      </c>
      <c r="F512" t="s">
        <v>155</v>
      </c>
      <c r="G512" t="s">
        <v>380</v>
      </c>
      <c r="H512" s="79">
        <v>0.5</v>
      </c>
      <c r="I512" s="160" cm="1">
        <f t="array" ref="I512">IFERROR(
  VALUE($H512) *
  VALUE(
    _xlfn.XLOOKUP(
      TRIM($F512) &amp; "|" &amp; LEFT(SUBSTITUTE($G512,CHAR(160)," "),5) &amp; "|Full Rate",
      TRIM(SUBSTITUTE($T$2:$T$38,CHAR(160)," ")) &amp; "|" &amp;
      LEFT(SUBSTITUTE($U$2:$U$38,CHAR(160)," "),5) &amp; "|" &amp;
      TRIM(SUBSTITUTE($V$2:$V$38,CHAR(160)," ")),
      $W$2:$W$38
    )
  ),
"")</f>
        <v>130</v>
      </c>
      <c r="J512" s="161" cm="1">
        <f t="array" ref="J512">IFERROR(
  VALUE($H512) *
  VALUE(
    _xlfn.XLOOKUP(
      TRIM($F512) &amp; "|" &amp; LEFT(SUBSTITUTE($G512,CHAR(160)," "),5) &amp; "|Reduced Rate",
      TRIM(SUBSTITUTE($T$2:$T$38,CHAR(160)," ")) &amp; "|" &amp;
      LEFT(SUBSTITUTE($U$2:$U$38,CHAR(160)," "),5) &amp; "|" &amp;
      TRIM(SUBSTITUTE($V$2:$V$38,CHAR(160)," ")),
      $W$2:$W$38
    )
  ),
"")</f>
        <v>60</v>
      </c>
      <c r="K512" s="42" cm="1">
        <f t="array" ref="K512">IFERROR(
  VALUE($H512) *
  VALUE(
    _xlfn.XLOOKUP(
      TRIM($F512) &amp; "|" &amp; LEFT(SUBSTITUTE($G512,CHAR(160)," "),5) &amp; "|Ideas Rate",
      TRIM(SUBSTITUTE($T$2:$T$38,CHAR(160)," ")) &amp; "|" &amp;
      LEFT(SUBSTITUTE($U$2:$U$38,CHAR(160)," "),5) &amp; "|" &amp;
      TRIM(SUBSTITUTE($V$2:$V$38,CHAR(160)," ")),
      $W$2:$W$38
    )
  ),
"")</f>
        <v>45</v>
      </c>
    </row>
    <row r="513" spans="1:11" x14ac:dyDescent="0.2">
      <c r="A513" s="10">
        <v>46136</v>
      </c>
      <c r="B513" s="5" t="s">
        <v>787</v>
      </c>
      <c r="C513" s="20" t="s">
        <v>715</v>
      </c>
      <c r="D513" t="s">
        <v>178</v>
      </c>
      <c r="E513" t="s">
        <v>835</v>
      </c>
      <c r="F513" t="s">
        <v>10</v>
      </c>
      <c r="G513" t="s">
        <v>367</v>
      </c>
      <c r="H513" s="79">
        <v>3</v>
      </c>
      <c r="I513" s="160" cm="1">
        <f t="array" ref="I513">IFERROR(
  VALUE($H513) *
  VALUE(
    _xlfn.XLOOKUP(
      TRIM($F513) &amp; "|" &amp; LEFT(SUBSTITUTE($G513,CHAR(160)," "),5) &amp; "|Full Rate",
      TRIM(SUBSTITUTE($T$2:$T$38,CHAR(160)," ")) &amp; "|" &amp;
      LEFT(SUBSTITUTE($U$2:$U$38,CHAR(160)," "),5) &amp; "|" &amp;
      TRIM(SUBSTITUTE($V$2:$V$38,CHAR(160)," ")),
      $W$2:$W$38
    )
  ),
"")</f>
        <v>1500</v>
      </c>
      <c r="J513" s="161" cm="1">
        <f t="array" ref="J513">IFERROR(
  VALUE($H513) *
  VALUE(
    _xlfn.XLOOKUP(
      TRIM($F513) &amp; "|" &amp; LEFT(SUBSTITUTE($G513,CHAR(160)," "),5) &amp; "|Reduced Rate",
      TRIM(SUBSTITUTE($T$2:$T$38,CHAR(160)," ")) &amp; "|" &amp;
      LEFT(SUBSTITUTE($U$2:$U$38,CHAR(160)," "),5) &amp; "|" &amp;
      TRIM(SUBSTITUTE($V$2:$V$38,CHAR(160)," ")),
      $W$2:$W$38
    )
  ),
"")</f>
        <v>900</v>
      </c>
      <c r="K513" s="42" cm="1">
        <f t="array" ref="K513">IFERROR(
  VALUE($H513) *
  VALUE(
    _xlfn.XLOOKUP(
      TRIM($F513) &amp; "|" &amp; LEFT(SUBSTITUTE($G513,CHAR(160)," "),5) &amp; "|Ideas Rate",
      TRIM(SUBSTITUTE($T$2:$T$38,CHAR(160)," ")) &amp; "|" &amp;
      LEFT(SUBSTITUTE($U$2:$U$38,CHAR(160)," "),5) &amp; "|" &amp;
      TRIM(SUBSTITUTE($V$2:$V$38,CHAR(160)," ")),
      $W$2:$W$38
    )
  ),
"")</f>
        <v>450</v>
      </c>
    </row>
    <row r="514" spans="1:11" x14ac:dyDescent="0.2">
      <c r="A514" s="10">
        <v>46136</v>
      </c>
      <c r="B514" s="5" t="s">
        <v>787</v>
      </c>
      <c r="C514" s="20" t="s">
        <v>519</v>
      </c>
      <c r="D514" t="s">
        <v>178</v>
      </c>
      <c r="E514" t="s">
        <v>835</v>
      </c>
      <c r="F514" t="s">
        <v>9</v>
      </c>
      <c r="G514" t="s">
        <v>367</v>
      </c>
      <c r="H514" s="79">
        <v>3</v>
      </c>
      <c r="I514" s="160" cm="1">
        <f t="array" ref="I514">IFERROR(
  VALUE($H514) *
  VALUE(
    _xlfn.XLOOKUP(
      TRIM($F514) &amp; "|" &amp; LEFT(SUBSTITUTE($G514,CHAR(160)," "),5) &amp; "|Full Rate",
      TRIM(SUBSTITUTE($T$2:$T$38,CHAR(160)," ")) &amp; "|" &amp;
      LEFT(SUBSTITUTE($U$2:$U$38,CHAR(160)," "),5) &amp; "|" &amp;
      TRIM(SUBSTITUTE($V$2:$V$38,CHAR(160)," ")),
      $W$2:$W$38
    )
  ),
"")</f>
        <v>1500</v>
      </c>
      <c r="J514" s="161" cm="1">
        <f t="array" ref="J514">IFERROR(
  VALUE($H514) *
  VALUE(
    _xlfn.XLOOKUP(
      TRIM($F514) &amp; "|" &amp; LEFT(SUBSTITUTE($G514,CHAR(160)," "),5) &amp; "|Reduced Rate",
      TRIM(SUBSTITUTE($T$2:$T$38,CHAR(160)," ")) &amp; "|" &amp;
      LEFT(SUBSTITUTE($U$2:$U$38,CHAR(160)," "),5) &amp; "|" &amp;
      TRIM(SUBSTITUTE($V$2:$V$38,CHAR(160)," ")),
      $W$2:$W$38
    )
  ),
"")</f>
        <v>900</v>
      </c>
      <c r="K514" s="42" cm="1">
        <f t="array" ref="K514">IFERROR(
  VALUE($H514) *
  VALUE(
    _xlfn.XLOOKUP(
      TRIM($F514) &amp; "|" &amp; LEFT(SUBSTITUTE($G514,CHAR(160)," "),5) &amp; "|Ideas Rate",
      TRIM(SUBSTITUTE($T$2:$T$38,CHAR(160)," ")) &amp; "|" &amp;
      LEFT(SUBSTITUTE($U$2:$U$38,CHAR(160)," "),5) &amp; "|" &amp;
      TRIM(SUBSTITUTE($V$2:$V$38,CHAR(160)," ")),
      $W$2:$W$38
    )
  ),
"")</f>
        <v>450</v>
      </c>
    </row>
    <row r="515" spans="1:11" x14ac:dyDescent="0.2">
      <c r="A515" s="10">
        <v>46136</v>
      </c>
      <c r="B515" s="5" t="s">
        <v>787</v>
      </c>
      <c r="C515" s="20" t="s">
        <v>519</v>
      </c>
      <c r="D515" t="s">
        <v>190</v>
      </c>
      <c r="E515" t="s">
        <v>836</v>
      </c>
      <c r="F515" t="s">
        <v>10</v>
      </c>
      <c r="G515" t="s">
        <v>368</v>
      </c>
      <c r="H515" s="79">
        <v>1.5</v>
      </c>
      <c r="I515" s="160" cm="1">
        <f t="array" ref="I515">IFERROR(
  VALUE($H515) *
  VALUE(
    _xlfn.XLOOKUP(
      TRIM($F515) &amp; "|" &amp; LEFT(SUBSTITUTE($G515,CHAR(160)," "),5) &amp; "|Full Rate",
      TRIM(SUBSTITUTE($T$2:$T$38,CHAR(160)," ")) &amp; "|" &amp;
      LEFT(SUBSTITUTE($U$2:$U$38,CHAR(160)," "),5) &amp; "|" &amp;
      TRIM(SUBSTITUTE($V$2:$V$38,CHAR(160)," ")),
      $W$2:$W$38
    )
  ),
"")</f>
        <v>150</v>
      </c>
      <c r="J515" s="161" cm="1">
        <f t="array" ref="J515">IFERROR(
  VALUE($H515) *
  VALUE(
    _xlfn.XLOOKUP(
      TRIM($F515) &amp; "|" &amp; LEFT(SUBSTITUTE($G515,CHAR(160)," "),5) &amp; "|Reduced Rate",
      TRIM(SUBSTITUTE($T$2:$T$38,CHAR(160)," ")) &amp; "|" &amp;
      LEFT(SUBSTITUTE($U$2:$U$38,CHAR(160)," "),5) &amp; "|" &amp;
      TRIM(SUBSTITUTE($V$2:$V$38,CHAR(160)," ")),
      $W$2:$W$38
    )
  ),
"")</f>
        <v>75</v>
      </c>
      <c r="K515" s="42" cm="1">
        <f t="array" ref="K515">IFERROR(
  VALUE($H515) *
  VALUE(
    _xlfn.XLOOKUP(
      TRIM($F515) &amp; "|" &amp; LEFT(SUBSTITUTE($G515,CHAR(160)," "),5) &amp; "|Ideas Rate",
      TRIM(SUBSTITUTE($T$2:$T$38,CHAR(160)," ")) &amp; "|" &amp;
      LEFT(SUBSTITUTE($U$2:$U$38,CHAR(160)," "),5) &amp; "|" &amp;
      TRIM(SUBSTITUTE($V$2:$V$38,CHAR(160)," ")),
      $W$2:$W$38
    )
  ),
"")</f>
        <v>45</v>
      </c>
    </row>
    <row r="516" spans="1:11" x14ac:dyDescent="0.2">
      <c r="A516" s="10">
        <v>46136</v>
      </c>
      <c r="B516" s="5" t="s">
        <v>787</v>
      </c>
      <c r="C516" s="20" t="s">
        <v>519</v>
      </c>
      <c r="D516" t="s">
        <v>178</v>
      </c>
      <c r="E516" t="s">
        <v>628</v>
      </c>
      <c r="F516" t="s">
        <v>10</v>
      </c>
      <c r="G516" t="s">
        <v>380</v>
      </c>
      <c r="H516" s="79">
        <v>1</v>
      </c>
      <c r="I516" s="160" cm="1">
        <f t="array" ref="I516">IFERROR(
  VALUE($H516) *
  VALUE(
    _xlfn.XLOOKUP(
      TRIM($F516) &amp; "|" &amp; LEFT(SUBSTITUTE($G516,CHAR(160)," "),5) &amp; "|Full Rate",
      TRIM(SUBSTITUTE($T$2:$T$38,CHAR(160)," ")) &amp; "|" &amp;
      LEFT(SUBSTITUTE($U$2:$U$38,CHAR(160)," "),5) &amp; "|" &amp;
      TRIM(SUBSTITUTE($V$2:$V$38,CHAR(160)," ")),
      $W$2:$W$38
    )
  ),
"")</f>
        <v>250</v>
      </c>
      <c r="J516" s="161" cm="1">
        <f t="array" ref="J516">IFERROR(
  VALUE($H516) *
  VALUE(
    _xlfn.XLOOKUP(
      TRIM($F516) &amp; "|" &amp; LEFT(SUBSTITUTE($G516,CHAR(160)," "),5) &amp; "|Reduced Rate",
      TRIM(SUBSTITUTE($T$2:$T$38,CHAR(160)," ")) &amp; "|" &amp;
      LEFT(SUBSTITUTE($U$2:$U$38,CHAR(160)," "),5) &amp; "|" &amp;
      TRIM(SUBSTITUTE($V$2:$V$38,CHAR(160)," ")),
      $W$2:$W$38
    )
  ),
"")</f>
        <v>150</v>
      </c>
      <c r="K516" s="42" cm="1">
        <f t="array" ref="K516">IFERROR(
  VALUE($H516) *
  VALUE(
    _xlfn.XLOOKUP(
      TRIM($F516) &amp; "|" &amp; LEFT(SUBSTITUTE($G516,CHAR(160)," "),5) &amp; "|Ideas Rate",
      TRIM(SUBSTITUTE($T$2:$T$38,CHAR(160)," ")) &amp; "|" &amp;
      LEFT(SUBSTITUTE($U$2:$U$38,CHAR(160)," "),5) &amp; "|" &amp;
      TRIM(SUBSTITUTE($V$2:$V$38,CHAR(160)," ")),
      $W$2:$W$38
    )
  ),
"")</f>
        <v>75</v>
      </c>
    </row>
    <row r="517" spans="1:11" x14ac:dyDescent="0.2">
      <c r="A517" s="10">
        <v>46139</v>
      </c>
      <c r="B517" s="5" t="s">
        <v>787</v>
      </c>
      <c r="C517" s="20" t="s">
        <v>715</v>
      </c>
      <c r="D517" t="s">
        <v>853</v>
      </c>
      <c r="E517" t="s">
        <v>834</v>
      </c>
      <c r="F517" t="s">
        <v>10</v>
      </c>
      <c r="G517" t="s">
        <v>368</v>
      </c>
      <c r="H517" s="79">
        <v>2</v>
      </c>
      <c r="I517" s="160" cm="1">
        <f t="array" ref="I517">IFERROR(
  VALUE($H517) *
  VALUE(
    _xlfn.XLOOKUP(
      TRIM($F517) &amp; "|" &amp; LEFT(SUBSTITUTE($G517,CHAR(160)," "),5) &amp; "|Full Rate",
      TRIM(SUBSTITUTE($T$2:$T$38,CHAR(160)," ")) &amp; "|" &amp;
      LEFT(SUBSTITUTE($U$2:$U$38,CHAR(160)," "),5) &amp; "|" &amp;
      TRIM(SUBSTITUTE($V$2:$V$38,CHAR(160)," ")),
      $W$2:$W$38
    )
  ),
"")</f>
        <v>200</v>
      </c>
      <c r="J517" s="161" cm="1">
        <f t="array" ref="J517">IFERROR(
  VALUE($H517) *
  VALUE(
    _xlfn.XLOOKUP(
      TRIM($F517) &amp; "|" &amp; LEFT(SUBSTITUTE($G517,CHAR(160)," "),5) &amp; "|Reduced Rate",
      TRIM(SUBSTITUTE($T$2:$T$38,CHAR(160)," ")) &amp; "|" &amp;
      LEFT(SUBSTITUTE($U$2:$U$38,CHAR(160)," "),5) &amp; "|" &amp;
      TRIM(SUBSTITUTE($V$2:$V$38,CHAR(160)," ")),
      $W$2:$W$38
    )
  ),
"")</f>
        <v>100</v>
      </c>
      <c r="K517" s="42" cm="1">
        <f t="array" ref="K517">IFERROR(
  VALUE($H517) *
  VALUE(
    _xlfn.XLOOKUP(
      TRIM($F517) &amp; "|" &amp; LEFT(SUBSTITUTE($G517,CHAR(160)," "),5) &amp; "|Ideas Rate",
      TRIM(SUBSTITUTE($T$2:$T$38,CHAR(160)," ")) &amp; "|" &amp;
      LEFT(SUBSTITUTE($U$2:$U$38,CHAR(160)," "),5) &amp; "|" &amp;
      TRIM(SUBSTITUTE($V$2:$V$38,CHAR(160)," ")),
      $W$2:$W$38
    )
  ),
"")</f>
        <v>60</v>
      </c>
    </row>
    <row r="518" spans="1:11" x14ac:dyDescent="0.2">
      <c r="A518" s="10">
        <v>46139</v>
      </c>
      <c r="B518" s="5" t="s">
        <v>787</v>
      </c>
      <c r="C518" s="20" t="s">
        <v>519</v>
      </c>
      <c r="D518" t="s">
        <v>853</v>
      </c>
      <c r="E518" t="s">
        <v>837</v>
      </c>
      <c r="F518" t="s">
        <v>156</v>
      </c>
      <c r="G518" t="s">
        <v>368</v>
      </c>
      <c r="H518" s="79">
        <v>6</v>
      </c>
      <c r="I518" s="160" cm="1">
        <f t="array" ref="I518">IFERROR(
  VALUE($H518) *
  VALUE(
    _xlfn.XLOOKUP(
      TRIM($F518) &amp; "|" &amp; LEFT(SUBSTITUTE($G518,CHAR(160)," "),5) &amp; "|Full Rate",
      TRIM(SUBSTITUTE($T$2:$T$38,CHAR(160)," ")) &amp; "|" &amp;
      LEFT(SUBSTITUTE($U$2:$U$38,CHAR(160)," "),5) &amp; "|" &amp;
      TRIM(SUBSTITUTE($V$2:$V$38,CHAR(160)," ")),
      $W$2:$W$38
    )
  ),
"")</f>
        <v>600</v>
      </c>
      <c r="J518" s="161" cm="1">
        <f t="array" ref="J518">IFERROR(
  VALUE($H518) *
  VALUE(
    _xlfn.XLOOKUP(
      TRIM($F518) &amp; "|" &amp; LEFT(SUBSTITUTE($G518,CHAR(160)," "),5) &amp; "|Reduced Rate",
      TRIM(SUBSTITUTE($T$2:$T$38,CHAR(160)," ")) &amp; "|" &amp;
      LEFT(SUBSTITUTE($U$2:$U$38,CHAR(160)," "),5) &amp; "|" &amp;
      TRIM(SUBSTITUTE($V$2:$V$38,CHAR(160)," ")),
      $W$2:$W$38
    )
  ),
"")</f>
        <v>300</v>
      </c>
      <c r="K518" s="42" cm="1">
        <f t="array" ref="K518">IFERROR(
  VALUE($H518) *
  VALUE(
    _xlfn.XLOOKUP(
      TRIM($F518) &amp; "|" &amp; LEFT(SUBSTITUTE($G518,CHAR(160)," "),5) &amp; "|Ideas Rate",
      TRIM(SUBSTITUTE($T$2:$T$38,CHAR(160)," ")) &amp; "|" &amp;
      LEFT(SUBSTITUTE($U$2:$U$38,CHAR(160)," "),5) &amp; "|" &amp;
      TRIM(SUBSTITUTE($V$2:$V$38,CHAR(160)," ")),
      $W$2:$W$38
    )
  ),
"")</f>
        <v>180</v>
      </c>
    </row>
    <row r="519" spans="1:11" x14ac:dyDescent="0.2">
      <c r="A519" s="10">
        <v>46140</v>
      </c>
      <c r="B519" s="5" t="s">
        <v>787</v>
      </c>
      <c r="C519" s="20" t="s">
        <v>715</v>
      </c>
      <c r="D519" t="s">
        <v>178</v>
      </c>
      <c r="E519" t="s">
        <v>838</v>
      </c>
      <c r="F519" t="s">
        <v>10</v>
      </c>
      <c r="G519" t="s">
        <v>380</v>
      </c>
      <c r="H519" s="79">
        <v>0.5</v>
      </c>
      <c r="I519" s="160" cm="1">
        <f t="array" ref="I519">IFERROR(
  VALUE($H519) *
  VALUE(
    _xlfn.XLOOKUP(
      TRIM($F519) &amp; "|" &amp; LEFT(SUBSTITUTE($G519,CHAR(160)," "),5) &amp; "|Full Rate",
      TRIM(SUBSTITUTE($T$2:$T$38,CHAR(160)," ")) &amp; "|" &amp;
      LEFT(SUBSTITUTE($U$2:$U$38,CHAR(160)," "),5) &amp; "|" &amp;
      TRIM(SUBSTITUTE($V$2:$V$38,CHAR(160)," ")),
      $W$2:$W$38
    )
  ),
"")</f>
        <v>125</v>
      </c>
      <c r="J519" s="161" cm="1">
        <f t="array" ref="J519">IFERROR(
  VALUE($H519) *
  VALUE(
    _xlfn.XLOOKUP(
      TRIM($F519) &amp; "|" &amp; LEFT(SUBSTITUTE($G519,CHAR(160)," "),5) &amp; "|Reduced Rate",
      TRIM(SUBSTITUTE($T$2:$T$38,CHAR(160)," ")) &amp; "|" &amp;
      LEFT(SUBSTITUTE($U$2:$U$38,CHAR(160)," "),5) &amp; "|" &amp;
      TRIM(SUBSTITUTE($V$2:$V$38,CHAR(160)," ")),
      $W$2:$W$38
    )
  ),
"")</f>
        <v>75</v>
      </c>
      <c r="K519" s="42" cm="1">
        <f t="array" ref="K519">IFERROR(
  VALUE($H519) *
  VALUE(
    _xlfn.XLOOKUP(
      TRIM($F519) &amp; "|" &amp; LEFT(SUBSTITUTE($G519,CHAR(160)," "),5) &amp; "|Ideas Rate",
      TRIM(SUBSTITUTE($T$2:$T$38,CHAR(160)," ")) &amp; "|" &amp;
      LEFT(SUBSTITUTE($U$2:$U$38,CHAR(160)," "),5) &amp; "|" &amp;
      TRIM(SUBSTITUTE($V$2:$V$38,CHAR(160)," ")),
      $W$2:$W$38
    )
  ),
"")</f>
        <v>37.5</v>
      </c>
    </row>
    <row r="520" spans="1:11" x14ac:dyDescent="0.2">
      <c r="A520" s="10">
        <v>46140</v>
      </c>
      <c r="B520" s="5" t="s">
        <v>787</v>
      </c>
      <c r="C520" s="20" t="s">
        <v>519</v>
      </c>
      <c r="D520" t="s">
        <v>853</v>
      </c>
      <c r="E520" t="s">
        <v>834</v>
      </c>
      <c r="F520" t="s">
        <v>10</v>
      </c>
      <c r="G520" t="s">
        <v>368</v>
      </c>
      <c r="H520" s="79">
        <v>1</v>
      </c>
      <c r="I520" s="160" cm="1">
        <f t="array" ref="I520">IFERROR(
  VALUE($H520) *
  VALUE(
    _xlfn.XLOOKUP(
      TRIM($F520) &amp; "|" &amp; LEFT(SUBSTITUTE($G520,CHAR(160)," "),5) &amp; "|Full Rate",
      TRIM(SUBSTITUTE($T$2:$T$38,CHAR(160)," ")) &amp; "|" &amp;
      LEFT(SUBSTITUTE($U$2:$U$38,CHAR(160)," "),5) &amp; "|" &amp;
      TRIM(SUBSTITUTE($V$2:$V$38,CHAR(160)," ")),
      $W$2:$W$38
    )
  ),
"")</f>
        <v>100</v>
      </c>
      <c r="J520" s="161" cm="1">
        <f t="array" ref="J520">IFERROR(
  VALUE($H520) *
  VALUE(
    _xlfn.XLOOKUP(
      TRIM($F520) &amp; "|" &amp; LEFT(SUBSTITUTE($G520,CHAR(160)," "),5) &amp; "|Reduced Rate",
      TRIM(SUBSTITUTE($T$2:$T$38,CHAR(160)," ")) &amp; "|" &amp;
      LEFT(SUBSTITUTE($U$2:$U$38,CHAR(160)," "),5) &amp; "|" &amp;
      TRIM(SUBSTITUTE($V$2:$V$38,CHAR(160)," ")),
      $W$2:$W$38
    )
  ),
"")</f>
        <v>50</v>
      </c>
      <c r="K520" s="42" cm="1">
        <f t="array" ref="K520">IFERROR(
  VALUE($H520) *
  VALUE(
    _xlfn.XLOOKUP(
      TRIM($F520) &amp; "|" &amp; LEFT(SUBSTITUTE($G520,CHAR(160)," "),5) &amp; "|Ideas Rate",
      TRIM(SUBSTITUTE($T$2:$T$38,CHAR(160)," ")) &amp; "|" &amp;
      LEFT(SUBSTITUTE($U$2:$U$38,CHAR(160)," "),5) &amp; "|" &amp;
      TRIM(SUBSTITUTE($V$2:$V$38,CHAR(160)," ")),
      $W$2:$W$38
    )
  ),
"")</f>
        <v>30</v>
      </c>
    </row>
    <row r="521" spans="1:11" x14ac:dyDescent="0.2">
      <c r="A521" s="10">
        <v>46140</v>
      </c>
      <c r="B521" s="5" t="s">
        <v>787</v>
      </c>
      <c r="C521" s="20" t="s">
        <v>519</v>
      </c>
      <c r="D521" t="s">
        <v>187</v>
      </c>
      <c r="E521" t="s">
        <v>850</v>
      </c>
      <c r="F521" t="s">
        <v>155</v>
      </c>
      <c r="G521" t="s">
        <v>368</v>
      </c>
      <c r="H521" s="79">
        <v>2</v>
      </c>
      <c r="I521" s="160" cm="1">
        <f t="array" ref="I521">IFERROR(
  VALUE($H521) *
  VALUE(
    _xlfn.XLOOKUP(
      TRIM($F521) &amp; "|" &amp; LEFT(SUBSTITUTE($G521,CHAR(160)," "),5) &amp; "|Full Rate",
      TRIM(SUBSTITUTE($T$2:$T$38,CHAR(160)," ")) &amp; "|" &amp;
      LEFT(SUBSTITUTE($U$2:$U$38,CHAR(160)," "),5) &amp; "|" &amp;
      TRIM(SUBSTITUTE($V$2:$V$38,CHAR(160)," ")),
      $W$2:$W$38
    )
  ),
"")</f>
        <v>200</v>
      </c>
      <c r="J521" s="161" cm="1">
        <f t="array" ref="J521">IFERROR(
  VALUE($H521) *
  VALUE(
    _xlfn.XLOOKUP(
      TRIM($F521) &amp; "|" &amp; LEFT(SUBSTITUTE($G521,CHAR(160)," "),5) &amp; "|Reduced Rate",
      TRIM(SUBSTITUTE($T$2:$T$38,CHAR(160)," ")) &amp; "|" &amp;
      LEFT(SUBSTITUTE($U$2:$U$38,CHAR(160)," "),5) &amp; "|" &amp;
      TRIM(SUBSTITUTE($V$2:$V$38,CHAR(160)," ")),
      $W$2:$W$38
    )
  ),
"")</f>
        <v>100</v>
      </c>
      <c r="K521" s="42" cm="1">
        <f t="array" ref="K521">IFERROR(
  VALUE($H521) *
  VALUE(
    _xlfn.XLOOKUP(
      TRIM($F521) &amp; "|" &amp; LEFT(SUBSTITUTE($G521,CHAR(160)," "),5) &amp; "|Ideas Rate",
      TRIM(SUBSTITUTE($T$2:$T$38,CHAR(160)," ")) &amp; "|" &amp;
      LEFT(SUBSTITUTE($U$2:$U$38,CHAR(160)," "),5) &amp; "|" &amp;
      TRIM(SUBSTITUTE($V$2:$V$38,CHAR(160)," ")),
      $W$2:$W$38
    )
  ),
"")</f>
        <v>60</v>
      </c>
    </row>
    <row r="522" spans="1:11" x14ac:dyDescent="0.2">
      <c r="A522" s="10">
        <v>46140</v>
      </c>
      <c r="B522" s="5" t="s">
        <v>787</v>
      </c>
      <c r="C522" s="20" t="s">
        <v>519</v>
      </c>
      <c r="D522" t="s">
        <v>178</v>
      </c>
      <c r="E522" t="s">
        <v>851</v>
      </c>
      <c r="F522" t="s">
        <v>155</v>
      </c>
      <c r="G522" t="s">
        <v>380</v>
      </c>
      <c r="H522" s="79">
        <v>0.5</v>
      </c>
      <c r="I522" s="160" cm="1">
        <f t="array" ref="I522">IFERROR(
  VALUE($H522) *
  VALUE(
    _xlfn.XLOOKUP(
      TRIM($F522) &amp; "|" &amp; LEFT(SUBSTITUTE($G522,CHAR(160)," "),5) &amp; "|Full Rate",
      TRIM(SUBSTITUTE($T$2:$T$38,CHAR(160)," ")) &amp; "|" &amp;
      LEFT(SUBSTITUTE($U$2:$U$38,CHAR(160)," "),5) &amp; "|" &amp;
      TRIM(SUBSTITUTE($V$2:$V$38,CHAR(160)," ")),
      $W$2:$W$38
    )
  ),
"")</f>
        <v>130</v>
      </c>
      <c r="J522" s="161" cm="1">
        <f t="array" ref="J522">IFERROR(
  VALUE($H522) *
  VALUE(
    _xlfn.XLOOKUP(
      TRIM($F522) &amp; "|" &amp; LEFT(SUBSTITUTE($G522,CHAR(160)," "),5) &amp; "|Reduced Rate",
      TRIM(SUBSTITUTE($T$2:$T$38,CHAR(160)," ")) &amp; "|" &amp;
      LEFT(SUBSTITUTE($U$2:$U$38,CHAR(160)," "),5) &amp; "|" &amp;
      TRIM(SUBSTITUTE($V$2:$V$38,CHAR(160)," ")),
      $W$2:$W$38
    )
  ),
"")</f>
        <v>60</v>
      </c>
      <c r="K522" s="42" cm="1">
        <f t="array" ref="K522">IFERROR(
  VALUE($H522) *
  VALUE(
    _xlfn.XLOOKUP(
      TRIM($F522) &amp; "|" &amp; LEFT(SUBSTITUTE($G522,CHAR(160)," "),5) &amp; "|Ideas Rate",
      TRIM(SUBSTITUTE($T$2:$T$38,CHAR(160)," ")) &amp; "|" &amp;
      LEFT(SUBSTITUTE($U$2:$U$38,CHAR(160)," "),5) &amp; "|" &amp;
      TRIM(SUBSTITUTE($V$2:$V$38,CHAR(160)," ")),
      $W$2:$W$38
    )
  ),
"")</f>
        <v>45</v>
      </c>
    </row>
    <row r="523" spans="1:11" x14ac:dyDescent="0.2">
      <c r="A523" s="10">
        <v>46140</v>
      </c>
      <c r="B523" s="5" t="s">
        <v>787</v>
      </c>
      <c r="C523" s="20" t="s">
        <v>519</v>
      </c>
      <c r="D523" t="s">
        <v>192</v>
      </c>
      <c r="E523" t="s">
        <v>852</v>
      </c>
      <c r="F523" t="s">
        <v>155</v>
      </c>
      <c r="G523" t="s">
        <v>368</v>
      </c>
      <c r="H523" s="79">
        <v>2</v>
      </c>
      <c r="I523" s="160" cm="1">
        <f t="array" ref="I523">IFERROR(
  VALUE($H523) *
  VALUE(
    _xlfn.XLOOKUP(
      TRIM($F523) &amp; "|" &amp; LEFT(SUBSTITUTE($G523,CHAR(160)," "),5) &amp; "|Full Rate",
      TRIM(SUBSTITUTE($T$2:$T$38,CHAR(160)," ")) &amp; "|" &amp;
      LEFT(SUBSTITUTE($U$2:$U$38,CHAR(160)," "),5) &amp; "|" &amp;
      TRIM(SUBSTITUTE($V$2:$V$38,CHAR(160)," ")),
      $W$2:$W$38
    )
  ),
"")</f>
        <v>200</v>
      </c>
      <c r="J523" s="161" cm="1">
        <f t="array" ref="J523">IFERROR(
  VALUE($H523) *
  VALUE(
    _xlfn.XLOOKUP(
      TRIM($F523) &amp; "|" &amp; LEFT(SUBSTITUTE($G523,CHAR(160)," "),5) &amp; "|Reduced Rate",
      TRIM(SUBSTITUTE($T$2:$T$38,CHAR(160)," ")) &amp; "|" &amp;
      LEFT(SUBSTITUTE($U$2:$U$38,CHAR(160)," "),5) &amp; "|" &amp;
      TRIM(SUBSTITUTE($V$2:$V$38,CHAR(160)," ")),
      $W$2:$W$38
    )
  ),
"")</f>
        <v>100</v>
      </c>
      <c r="K523" s="42" cm="1">
        <f t="array" ref="K523">IFERROR(
  VALUE($H523) *
  VALUE(
    _xlfn.XLOOKUP(
      TRIM($F523) &amp; "|" &amp; LEFT(SUBSTITUTE($G523,CHAR(160)," "),5) &amp; "|Ideas Rate",
      TRIM(SUBSTITUTE($T$2:$T$38,CHAR(160)," ")) &amp; "|" &amp;
      LEFT(SUBSTITUTE($U$2:$U$38,CHAR(160)," "),5) &amp; "|" &amp;
      TRIM(SUBSTITUTE($V$2:$V$38,CHAR(160)," ")),
      $W$2:$W$38
    )
  ),
"")</f>
        <v>60</v>
      </c>
    </row>
    <row r="524" spans="1:11" x14ac:dyDescent="0.2">
      <c r="A524" s="10">
        <v>46140</v>
      </c>
      <c r="B524" s="5" t="s">
        <v>787</v>
      </c>
      <c r="C524" s="20" t="s">
        <v>519</v>
      </c>
      <c r="D524" t="s">
        <v>192</v>
      </c>
      <c r="E524" t="s">
        <v>509</v>
      </c>
      <c r="F524" t="s">
        <v>155</v>
      </c>
      <c r="G524" t="s">
        <v>380</v>
      </c>
      <c r="H524" s="79">
        <v>1</v>
      </c>
      <c r="I524" s="160" cm="1">
        <f t="array" ref="I524">IFERROR(
  VALUE($H524) *
  VALUE(
    _xlfn.XLOOKUP(
      TRIM($F524) &amp; "|" &amp; LEFT(SUBSTITUTE($G524,CHAR(160)," "),5) &amp; "|Full Rate",
      TRIM(SUBSTITUTE($T$2:$T$38,CHAR(160)," ")) &amp; "|" &amp;
      LEFT(SUBSTITUTE($U$2:$U$38,CHAR(160)," "),5) &amp; "|" &amp;
      TRIM(SUBSTITUTE($V$2:$V$38,CHAR(160)," ")),
      $W$2:$W$38
    )
  ),
"")</f>
        <v>260</v>
      </c>
      <c r="J524" s="161" cm="1">
        <f t="array" ref="J524">IFERROR(
  VALUE($H524) *
  VALUE(
    _xlfn.XLOOKUP(
      TRIM($F524) &amp; "|" &amp; LEFT(SUBSTITUTE($G524,CHAR(160)," "),5) &amp; "|Reduced Rate",
      TRIM(SUBSTITUTE($T$2:$T$38,CHAR(160)," ")) &amp; "|" &amp;
      LEFT(SUBSTITUTE($U$2:$U$38,CHAR(160)," "),5) &amp; "|" &amp;
      TRIM(SUBSTITUTE($V$2:$V$38,CHAR(160)," ")),
      $W$2:$W$38
    )
  ),
"")</f>
        <v>120</v>
      </c>
      <c r="K524" s="42" cm="1">
        <f t="array" ref="K524">IFERROR(
  VALUE($H524) *
  VALUE(
    _xlfn.XLOOKUP(
      TRIM($F524) &amp; "|" &amp; LEFT(SUBSTITUTE($G524,CHAR(160)," "),5) &amp; "|Ideas Rate",
      TRIM(SUBSTITUTE($T$2:$T$38,CHAR(160)," ")) &amp; "|" &amp;
      LEFT(SUBSTITUTE($U$2:$U$38,CHAR(160)," "),5) &amp; "|" &amp;
      TRIM(SUBSTITUTE($V$2:$V$38,CHAR(160)," ")),
      $W$2:$W$38
    )
  ),
"")</f>
        <v>90</v>
      </c>
    </row>
    <row r="525" spans="1:11" x14ac:dyDescent="0.2">
      <c r="A525" s="10">
        <v>46140</v>
      </c>
      <c r="B525" s="5" t="s">
        <v>787</v>
      </c>
      <c r="C525" s="20" t="s">
        <v>519</v>
      </c>
      <c r="D525" t="s">
        <v>182</v>
      </c>
      <c r="E525" t="s">
        <v>785</v>
      </c>
      <c r="F525" t="s">
        <v>155</v>
      </c>
      <c r="G525" t="s">
        <v>367</v>
      </c>
      <c r="H525" s="79">
        <v>0.5</v>
      </c>
      <c r="I525" s="160" cm="1">
        <f t="array" ref="I525">IFERROR(
  VALUE($H525) *
  VALUE(
    _xlfn.XLOOKUP(
      TRIM($F525) &amp; "|" &amp; LEFT(SUBSTITUTE($G525,CHAR(160)," "),5) &amp; "|Full Rate",
      TRIM(SUBSTITUTE($T$2:$T$38,CHAR(160)," ")) &amp; "|" &amp;
      LEFT(SUBSTITUTE($U$2:$U$38,CHAR(160)," "),5) &amp; "|" &amp;
      TRIM(SUBSTITUTE($V$2:$V$38,CHAR(160)," ")),
      $W$2:$W$38
    )
  ),
"")</f>
        <v>200</v>
      </c>
      <c r="J525" s="161" cm="1">
        <f t="array" ref="J525">IFERROR(
  VALUE($H525) *
  VALUE(
    _xlfn.XLOOKUP(
      TRIM($F525) &amp; "|" &amp; LEFT(SUBSTITUTE($G525,CHAR(160)," "),5) &amp; "|Reduced Rate",
      TRIM(SUBSTITUTE($T$2:$T$38,CHAR(160)," ")) &amp; "|" &amp;
      LEFT(SUBSTITUTE($U$2:$U$38,CHAR(160)," "),5) &amp; "|" &amp;
      TRIM(SUBSTITUTE($V$2:$V$38,CHAR(160)," ")),
      $W$2:$W$38
    )
  ),
"")</f>
        <v>100</v>
      </c>
      <c r="K525" s="42" cm="1">
        <f t="array" ref="K525">IFERROR(
  VALUE($H525) *
  VALUE(
    _xlfn.XLOOKUP(
      TRIM($F525) &amp; "|" &amp; LEFT(SUBSTITUTE($G525,CHAR(160)," "),5) &amp; "|Ideas Rate",
      TRIM(SUBSTITUTE($T$2:$T$38,CHAR(160)," ")) &amp; "|" &amp;
      LEFT(SUBSTITUTE($U$2:$U$38,CHAR(160)," "),5) &amp; "|" &amp;
      TRIM(SUBSTITUTE($V$2:$V$38,CHAR(160)," ")),
      $W$2:$W$38
    )
  ),
"")</f>
        <v>60</v>
      </c>
    </row>
  </sheetData>
  <autoFilter ref="A1:K401" xr:uid="{A9C65DFB-4FAB-CC4B-BF55-637BA81520E5}"/>
  <phoneticPr fontId="4" type="noConversion"/>
  <hyperlinks>
    <hyperlink ref="E157" r:id="rId1" display="https://ticktick.com/features" xr:uid="{39316099-D65E-D745-AB55-4D0ED31A54A3}"/>
  </hyperlinks>
  <pageMargins left="0.7" right="0.7" top="0.75" bottom="0.75" header="0.3" footer="0.3"/>
  <pageSetup paperSize="9" orientation="portrait" horizontalDpi="0" verticalDpi="0"/>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BE064CAD-E96E-B944-8FA3-DD883D80F1A9}">
          <x14:formula1>
            <xm:f>Lookup!$A$10:$A$18</xm:f>
          </x14:formula1>
          <xm:sqref>C1 C57:C59 C67:C200</xm:sqref>
        </x14:dataValidation>
        <x14:dataValidation type="list" allowBlank="1" showInputMessage="1" showErrorMessage="1" xr:uid="{CB08B56C-FC76-8040-917B-C44B493A1F7D}">
          <x14:formula1>
            <xm:f>Lookup!$M$3:$M$8</xm:f>
          </x14:formula1>
          <xm:sqref>F1:F200 F251:F1048576</xm:sqref>
        </x14:dataValidation>
        <x14:dataValidation type="list" allowBlank="1" showInputMessage="1" showErrorMessage="1" xr:uid="{11C9546F-AC93-4A1D-A1A8-02F1FA468F23}">
          <x14:formula1>
            <xm:f>Lookup!$A$11:$A$18</xm:f>
          </x14:formula1>
          <xm:sqref>C60:C66 C127:C132</xm:sqref>
        </x14:dataValidation>
        <x14:dataValidation type="list" allowBlank="1" showInputMessage="1" showErrorMessage="1" xr:uid="{D1DFE13D-5300-7544-9244-B966512A4C23}">
          <x14:formula1>
            <xm:f>Lookup!$A$20:$A$33</xm:f>
          </x14:formula1>
          <xm:sqref>E451:E452</xm:sqref>
        </x14:dataValidation>
        <x14:dataValidation type="list" allowBlank="1" showInputMessage="1" showErrorMessage="1" xr:uid="{B9894ABE-C942-E24A-AACF-6B0D8C0D616F}">
          <x14:formula1>
            <xm:f>Lookup!$F$1:$F$4</xm:f>
          </x14:formula1>
          <xm:sqref>G1:G428 G430:G1048576</xm:sqref>
        </x14:dataValidation>
        <x14:dataValidation type="list" allowBlank="1" showInputMessage="1" showErrorMessage="1" xr:uid="{A6881399-7912-414A-8D1B-FBB098855258}">
          <x14:formula1>
            <xm:f>Lookup!$A$20:$A$35</xm:f>
          </x14:formula1>
          <xm:sqref>D1:D1048576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DD11-4381-2B42-9EE2-37FA7DC39047}">
  <dimension ref="A1:AD38"/>
  <sheetViews>
    <sheetView workbookViewId="0">
      <selection activeCell="G7" sqref="G7"/>
    </sheetView>
  </sheetViews>
  <sheetFormatPr baseColWidth="10" defaultRowHeight="15" x14ac:dyDescent="0.2"/>
  <cols>
    <col min="2" max="2" width="20.5" customWidth="1"/>
    <col min="5" max="5" width="25.1640625" customWidth="1"/>
    <col min="6" max="6" width="17.6640625" customWidth="1"/>
    <col min="7" max="7" width="26.83203125" customWidth="1"/>
    <col min="9" max="9" width="16.33203125" customWidth="1"/>
    <col min="10" max="10" width="17.1640625" customWidth="1"/>
    <col min="11" max="11" width="17.33203125" customWidth="1"/>
  </cols>
  <sheetData>
    <row r="1" spans="1:30" ht="16" x14ac:dyDescent="0.2">
      <c r="A1" s="24" t="s">
        <v>0</v>
      </c>
      <c r="B1" s="27" t="s">
        <v>1</v>
      </c>
      <c r="C1" s="29" t="s">
        <v>2</v>
      </c>
      <c r="D1" s="25" t="s">
        <v>165</v>
      </c>
      <c r="E1" s="25" t="s">
        <v>4</v>
      </c>
      <c r="F1" s="25" t="s">
        <v>5</v>
      </c>
      <c r="G1" s="39" t="s">
        <v>261</v>
      </c>
      <c r="H1" s="43" t="s">
        <v>6</v>
      </c>
      <c r="I1" s="61" t="s">
        <v>377</v>
      </c>
      <c r="J1" s="51" t="s">
        <v>378</v>
      </c>
      <c r="K1" s="46" t="s">
        <v>379</v>
      </c>
      <c r="N1" s="129" t="s">
        <v>540</v>
      </c>
      <c r="O1" s="130">
        <f>SUM(I:I)</f>
        <v>0</v>
      </c>
      <c r="T1" s="135" t="s">
        <v>381</v>
      </c>
      <c r="U1" s="8"/>
      <c r="V1" s="8"/>
      <c r="W1" s="8"/>
      <c r="Z1" s="77" t="s">
        <v>427</v>
      </c>
      <c r="AA1" s="77" t="s">
        <v>424</v>
      </c>
      <c r="AB1" s="77" t="s">
        <v>428</v>
      </c>
      <c r="AC1" s="77" t="s">
        <v>429</v>
      </c>
      <c r="AD1" s="77" t="s">
        <v>430</v>
      </c>
    </row>
    <row r="2" spans="1:30" x14ac:dyDescent="0.2">
      <c r="A2" s="10">
        <v>46077</v>
      </c>
      <c r="B2" s="48">
        <v>46054</v>
      </c>
      <c r="C2" t="s">
        <v>690</v>
      </c>
      <c r="D2" t="s">
        <v>190</v>
      </c>
      <c r="E2" t="s">
        <v>691</v>
      </c>
      <c r="F2" t="s">
        <v>155</v>
      </c>
      <c r="G2" t="s">
        <v>380</v>
      </c>
      <c r="H2" s="79">
        <v>0.5</v>
      </c>
      <c r="T2" s="58" t="s">
        <v>154</v>
      </c>
      <c r="U2" s="58" t="s">
        <v>371</v>
      </c>
      <c r="V2" s="58" t="s">
        <v>372</v>
      </c>
      <c r="W2" s="59" t="s">
        <v>373</v>
      </c>
    </row>
    <row r="3" spans="1:30" x14ac:dyDescent="0.2">
      <c r="A3" s="10">
        <v>46077</v>
      </c>
      <c r="B3" s="48">
        <v>46054</v>
      </c>
      <c r="C3" t="s">
        <v>690</v>
      </c>
      <c r="D3" t="s">
        <v>192</v>
      </c>
      <c r="E3" t="s">
        <v>692</v>
      </c>
      <c r="F3" t="s">
        <v>155</v>
      </c>
      <c r="G3" t="s">
        <v>368</v>
      </c>
      <c r="H3" s="79">
        <v>2</v>
      </c>
      <c r="T3" t="s">
        <v>10</v>
      </c>
      <c r="U3" t="s">
        <v>375</v>
      </c>
      <c r="V3" t="s">
        <v>382</v>
      </c>
      <c r="W3" s="32">
        <v>500</v>
      </c>
    </row>
    <row r="4" spans="1:30" x14ac:dyDescent="0.2">
      <c r="A4" s="10">
        <v>46077</v>
      </c>
      <c r="B4" s="48">
        <v>46054</v>
      </c>
      <c r="C4" t="s">
        <v>690</v>
      </c>
      <c r="D4" t="s">
        <v>178</v>
      </c>
      <c r="E4" t="s">
        <v>693</v>
      </c>
      <c r="F4" t="s">
        <v>155</v>
      </c>
      <c r="G4" t="s">
        <v>380</v>
      </c>
      <c r="H4" s="79">
        <v>0.25</v>
      </c>
      <c r="T4" t="s">
        <v>10</v>
      </c>
      <c r="U4" t="s">
        <v>375</v>
      </c>
      <c r="V4" t="s">
        <v>383</v>
      </c>
      <c r="W4" s="32">
        <v>300</v>
      </c>
    </row>
    <row r="5" spans="1:30" x14ac:dyDescent="0.2">
      <c r="A5" s="10">
        <v>46077</v>
      </c>
      <c r="B5" s="48">
        <v>46054</v>
      </c>
      <c r="C5" t="s">
        <v>690</v>
      </c>
      <c r="D5" t="s">
        <v>178</v>
      </c>
      <c r="E5" t="s">
        <v>694</v>
      </c>
      <c r="F5" t="s">
        <v>155</v>
      </c>
      <c r="G5" t="s">
        <v>380</v>
      </c>
      <c r="H5" s="79">
        <v>0.25</v>
      </c>
      <c r="T5" t="s">
        <v>10</v>
      </c>
      <c r="U5" t="s">
        <v>375</v>
      </c>
      <c r="V5" t="s">
        <v>379</v>
      </c>
      <c r="W5" s="32">
        <v>150</v>
      </c>
    </row>
    <row r="6" spans="1:30" x14ac:dyDescent="0.2">
      <c r="A6" s="10">
        <v>46083</v>
      </c>
      <c r="B6" s="48">
        <v>46082</v>
      </c>
      <c r="C6" t="s">
        <v>690</v>
      </c>
      <c r="D6" t="s">
        <v>178</v>
      </c>
      <c r="E6" t="s">
        <v>719</v>
      </c>
      <c r="F6" t="s">
        <v>155</v>
      </c>
      <c r="G6" t="s">
        <v>380</v>
      </c>
      <c r="H6" s="79">
        <v>0.75</v>
      </c>
      <c r="T6" t="s">
        <v>10</v>
      </c>
      <c r="U6" t="s">
        <v>376</v>
      </c>
      <c r="V6" t="s">
        <v>382</v>
      </c>
      <c r="W6" s="32">
        <v>250</v>
      </c>
    </row>
    <row r="7" spans="1:30" x14ac:dyDescent="0.2">
      <c r="H7" s="79"/>
      <c r="T7" t="s">
        <v>10</v>
      </c>
      <c r="U7" t="s">
        <v>376</v>
      </c>
      <c r="V7" t="s">
        <v>378</v>
      </c>
      <c r="W7" s="32">
        <v>150</v>
      </c>
    </row>
    <row r="8" spans="1:30" x14ac:dyDescent="0.2">
      <c r="H8" s="79"/>
      <c r="T8" t="s">
        <v>10</v>
      </c>
      <c r="U8" t="s">
        <v>376</v>
      </c>
      <c r="V8" t="s">
        <v>384</v>
      </c>
      <c r="W8" s="32">
        <v>75</v>
      </c>
    </row>
    <row r="9" spans="1:30" x14ac:dyDescent="0.2">
      <c r="H9" s="79"/>
      <c r="T9" t="s">
        <v>10</v>
      </c>
      <c r="U9" t="s">
        <v>368</v>
      </c>
      <c r="V9" t="s">
        <v>382</v>
      </c>
      <c r="W9" s="32">
        <v>100</v>
      </c>
    </row>
    <row r="10" spans="1:30" x14ac:dyDescent="0.2">
      <c r="H10" s="79"/>
      <c r="T10" t="s">
        <v>10</v>
      </c>
      <c r="U10" t="s">
        <v>368</v>
      </c>
      <c r="V10" t="s">
        <v>378</v>
      </c>
      <c r="W10" s="32">
        <v>50</v>
      </c>
    </row>
    <row r="11" spans="1:30" x14ac:dyDescent="0.2">
      <c r="H11" s="79"/>
      <c r="T11" t="s">
        <v>10</v>
      </c>
      <c r="U11" t="s">
        <v>368</v>
      </c>
      <c r="V11" t="s">
        <v>384</v>
      </c>
      <c r="W11" s="32">
        <v>30</v>
      </c>
    </row>
    <row r="12" spans="1:30" x14ac:dyDescent="0.2">
      <c r="H12" s="79"/>
      <c r="T12" s="56" t="s">
        <v>9</v>
      </c>
      <c r="U12" s="56" t="s">
        <v>375</v>
      </c>
      <c r="V12" s="56" t="s">
        <v>382</v>
      </c>
      <c r="W12" s="57">
        <v>500</v>
      </c>
    </row>
    <row r="13" spans="1:30" x14ac:dyDescent="0.2">
      <c r="H13" s="79"/>
      <c r="T13" t="s">
        <v>9</v>
      </c>
      <c r="U13" t="s">
        <v>375</v>
      </c>
      <c r="V13" t="s">
        <v>383</v>
      </c>
      <c r="W13" s="32">
        <v>300</v>
      </c>
    </row>
    <row r="14" spans="1:30" x14ac:dyDescent="0.2">
      <c r="H14" s="79"/>
      <c r="T14" t="s">
        <v>9</v>
      </c>
      <c r="U14" t="s">
        <v>375</v>
      </c>
      <c r="V14" t="s">
        <v>384</v>
      </c>
      <c r="W14" s="32">
        <v>150</v>
      </c>
    </row>
    <row r="15" spans="1:30" x14ac:dyDescent="0.2">
      <c r="H15" s="79"/>
      <c r="T15" t="s">
        <v>9</v>
      </c>
      <c r="U15" t="s">
        <v>376</v>
      </c>
      <c r="V15" t="s">
        <v>382</v>
      </c>
      <c r="W15" s="32">
        <v>250</v>
      </c>
    </row>
    <row r="16" spans="1:30" x14ac:dyDescent="0.2">
      <c r="H16" s="79"/>
      <c r="T16" t="s">
        <v>9</v>
      </c>
      <c r="U16" t="s">
        <v>376</v>
      </c>
      <c r="V16" t="s">
        <v>383</v>
      </c>
      <c r="W16" s="32">
        <v>150</v>
      </c>
    </row>
    <row r="17" spans="8:23" x14ac:dyDescent="0.2">
      <c r="H17" s="79"/>
      <c r="T17" t="s">
        <v>9</v>
      </c>
      <c r="U17" t="s">
        <v>376</v>
      </c>
      <c r="V17" t="s">
        <v>384</v>
      </c>
      <c r="W17" s="32">
        <v>75</v>
      </c>
    </row>
    <row r="18" spans="8:23" x14ac:dyDescent="0.2">
      <c r="H18" s="79"/>
      <c r="T18" t="s">
        <v>9</v>
      </c>
      <c r="U18" t="s">
        <v>368</v>
      </c>
      <c r="V18" t="s">
        <v>382</v>
      </c>
      <c r="W18" s="32">
        <v>100</v>
      </c>
    </row>
    <row r="19" spans="8:23" x14ac:dyDescent="0.2">
      <c r="H19" s="79"/>
      <c r="T19" t="s">
        <v>9</v>
      </c>
      <c r="U19" t="s">
        <v>368</v>
      </c>
      <c r="V19" t="s">
        <v>378</v>
      </c>
      <c r="W19" s="32">
        <v>50</v>
      </c>
    </row>
    <row r="20" spans="8:23" x14ac:dyDescent="0.2">
      <c r="H20" s="79"/>
      <c r="T20" t="s">
        <v>9</v>
      </c>
      <c r="U20" t="s">
        <v>368</v>
      </c>
      <c r="V20" t="s">
        <v>384</v>
      </c>
      <c r="W20" s="32">
        <v>30</v>
      </c>
    </row>
    <row r="21" spans="8:23" x14ac:dyDescent="0.2">
      <c r="H21" s="79"/>
      <c r="T21" s="56" t="s">
        <v>155</v>
      </c>
      <c r="U21" s="56" t="s">
        <v>375</v>
      </c>
      <c r="V21" t="s">
        <v>382</v>
      </c>
      <c r="W21" s="57">
        <v>400</v>
      </c>
    </row>
    <row r="22" spans="8:23" x14ac:dyDescent="0.2">
      <c r="H22" s="79"/>
      <c r="T22" t="s">
        <v>155</v>
      </c>
      <c r="U22" t="s">
        <v>375</v>
      </c>
      <c r="V22" t="s">
        <v>383</v>
      </c>
      <c r="W22" s="32">
        <v>200</v>
      </c>
    </row>
    <row r="23" spans="8:23" x14ac:dyDescent="0.2">
      <c r="H23" s="79"/>
      <c r="T23" t="s">
        <v>155</v>
      </c>
      <c r="U23" t="s">
        <v>375</v>
      </c>
      <c r="V23" t="s">
        <v>384</v>
      </c>
      <c r="W23" s="32">
        <v>120</v>
      </c>
    </row>
    <row r="24" spans="8:23" x14ac:dyDescent="0.2">
      <c r="H24" s="79"/>
      <c r="T24" t="s">
        <v>155</v>
      </c>
      <c r="U24" t="s">
        <v>376</v>
      </c>
      <c r="V24" t="s">
        <v>382</v>
      </c>
      <c r="W24" s="32">
        <v>260</v>
      </c>
    </row>
    <row r="25" spans="8:23" x14ac:dyDescent="0.2">
      <c r="H25" s="79"/>
      <c r="T25" t="s">
        <v>155</v>
      </c>
      <c r="U25" t="s">
        <v>376</v>
      </c>
      <c r="V25" t="s">
        <v>383</v>
      </c>
      <c r="W25" s="32">
        <v>120</v>
      </c>
    </row>
    <row r="26" spans="8:23" x14ac:dyDescent="0.2">
      <c r="H26" s="79"/>
      <c r="T26" t="s">
        <v>155</v>
      </c>
      <c r="U26" t="s">
        <v>376</v>
      </c>
      <c r="V26" t="s">
        <v>384</v>
      </c>
      <c r="W26" s="32">
        <v>90</v>
      </c>
    </row>
    <row r="27" spans="8:23" x14ac:dyDescent="0.2">
      <c r="T27" t="s">
        <v>155</v>
      </c>
      <c r="U27" t="s">
        <v>368</v>
      </c>
      <c r="V27" t="s">
        <v>382</v>
      </c>
      <c r="W27" s="32">
        <v>100</v>
      </c>
    </row>
    <row r="28" spans="8:23" x14ac:dyDescent="0.2">
      <c r="T28" t="s">
        <v>155</v>
      </c>
      <c r="U28" t="s">
        <v>368</v>
      </c>
      <c r="V28" t="s">
        <v>383</v>
      </c>
      <c r="W28" s="32">
        <v>50</v>
      </c>
    </row>
    <row r="29" spans="8:23" x14ac:dyDescent="0.2">
      <c r="T29" t="s">
        <v>155</v>
      </c>
      <c r="U29" t="s">
        <v>368</v>
      </c>
      <c r="V29" t="s">
        <v>384</v>
      </c>
      <c r="W29" s="32">
        <v>30</v>
      </c>
    </row>
    <row r="30" spans="8:23" x14ac:dyDescent="0.2">
      <c r="T30" s="56" t="s">
        <v>156</v>
      </c>
      <c r="U30" s="56" t="s">
        <v>375</v>
      </c>
      <c r="V30" t="s">
        <v>382</v>
      </c>
      <c r="W30" s="57">
        <v>325</v>
      </c>
    </row>
    <row r="31" spans="8:23" x14ac:dyDescent="0.2">
      <c r="T31" t="s">
        <v>156</v>
      </c>
      <c r="U31" t="s">
        <v>375</v>
      </c>
      <c r="V31" t="s">
        <v>383</v>
      </c>
      <c r="W31" s="32">
        <v>175</v>
      </c>
    </row>
    <row r="32" spans="8:23" x14ac:dyDescent="0.2">
      <c r="T32" s="198" t="s">
        <v>156</v>
      </c>
      <c r="U32" s="198" t="s">
        <v>375</v>
      </c>
      <c r="V32" s="198" t="s">
        <v>384</v>
      </c>
      <c r="W32" s="204">
        <v>95</v>
      </c>
    </row>
    <row r="33" spans="20:23" x14ac:dyDescent="0.2">
      <c r="T33" s="198" t="s">
        <v>156</v>
      </c>
      <c r="U33" s="198" t="s">
        <v>376</v>
      </c>
      <c r="V33" s="198" t="s">
        <v>382</v>
      </c>
      <c r="W33" s="204">
        <v>195</v>
      </c>
    </row>
    <row r="34" spans="20:23" x14ac:dyDescent="0.2">
      <c r="T34" s="198" t="s">
        <v>156</v>
      </c>
      <c r="U34" s="198" t="s">
        <v>376</v>
      </c>
      <c r="V34" s="198" t="s">
        <v>383</v>
      </c>
      <c r="W34" s="204">
        <v>90</v>
      </c>
    </row>
    <row r="35" spans="20:23" x14ac:dyDescent="0.2">
      <c r="T35" s="198" t="s">
        <v>156</v>
      </c>
      <c r="U35" s="198" t="s">
        <v>376</v>
      </c>
      <c r="V35" s="198" t="s">
        <v>384</v>
      </c>
      <c r="W35" s="204">
        <v>45</v>
      </c>
    </row>
    <row r="36" spans="20:23" x14ac:dyDescent="0.2">
      <c r="T36" s="198" t="s">
        <v>156</v>
      </c>
      <c r="U36" s="198" t="s">
        <v>368</v>
      </c>
      <c r="V36" s="198" t="s">
        <v>382</v>
      </c>
      <c r="W36" s="204">
        <v>100</v>
      </c>
    </row>
    <row r="37" spans="20:23" x14ac:dyDescent="0.2">
      <c r="T37" s="198" t="s">
        <v>156</v>
      </c>
      <c r="U37" s="198" t="s">
        <v>368</v>
      </c>
      <c r="V37" s="198" t="s">
        <v>383</v>
      </c>
      <c r="W37" s="204">
        <v>50</v>
      </c>
    </row>
    <row r="38" spans="20:23" x14ac:dyDescent="0.2">
      <c r="T38" s="198" t="s">
        <v>156</v>
      </c>
      <c r="U38" s="198" t="s">
        <v>368</v>
      </c>
      <c r="V38" s="198" t="s">
        <v>384</v>
      </c>
      <c r="W38" s="204">
        <v>30</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5C5F4432-049C-3B48-9126-702324CF0B67}">
          <x14:formula1>
            <xm:f>Lookup!$A$20:$A$33</xm:f>
          </x14:formula1>
          <xm:sqref>D1:D1048576</xm:sqref>
        </x14:dataValidation>
        <x14:dataValidation type="list" allowBlank="1" showInputMessage="1" showErrorMessage="1" xr:uid="{A6A2FE69-155C-964C-B054-B564729EFA1C}">
          <x14:formula1>
            <xm:f>Lookup!$F$1:$F$4</xm:f>
          </x14:formula1>
          <xm:sqref>G1:G1048576</xm:sqref>
        </x14:dataValidation>
        <x14:dataValidation type="list" allowBlank="1" showInputMessage="1" showErrorMessage="1" xr:uid="{B0BF8F3A-A8A5-B641-B920-295E8D523984}">
          <x14:formula1>
            <xm:f>Lookup!$M$3:$M$8</xm:f>
          </x14:formula1>
          <xm:sqref>F1:F1048576</xm:sqref>
        </x14:dataValidation>
        <x14:dataValidation type="list" allowBlank="1" showInputMessage="1" showErrorMessage="1" xr:uid="{B8F052E5-E107-C949-BA23-CBACB09BA010}">
          <x14:formula1>
            <xm:f>Lookup!$A$10:$A$18</xm:f>
          </x14:formula1>
          <xm:sqref>C1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2CE4D-1EB1-964D-8B83-6A4F986495E4}">
  <dimension ref="A1:W53"/>
  <sheetViews>
    <sheetView zoomScale="85" zoomScaleNormal="85" workbookViewId="0">
      <pane ySplit="1" topLeftCell="A2" activePane="bottomLeft" state="frozen"/>
      <selection pane="bottomLeft" activeCell="E27" sqref="E27"/>
    </sheetView>
  </sheetViews>
  <sheetFormatPr baseColWidth="10" defaultColWidth="10.83203125" defaultRowHeight="15" x14ac:dyDescent="0.2"/>
  <cols>
    <col min="1" max="1" width="13.1640625" style="17" customWidth="1"/>
    <col min="2" max="2" width="12.6640625" style="18" customWidth="1"/>
    <col min="3" max="3" width="13.5" style="18" customWidth="1"/>
    <col min="4" max="4" width="11.5" style="18" customWidth="1"/>
    <col min="5" max="5" width="33.5" style="18" customWidth="1"/>
    <col min="6" max="6" width="10.83203125" style="18" customWidth="1"/>
    <col min="7" max="7" width="11.83203125" style="18" customWidth="1"/>
    <col min="8" max="8" width="12.5" style="36" customWidth="1"/>
    <col min="9" max="9" width="13.1640625" style="84" customWidth="1"/>
    <col min="10" max="10" width="15" style="84" customWidth="1"/>
    <col min="11" max="11" width="15.6640625" style="68" customWidth="1"/>
    <col min="12" max="12" width="58.1640625" customWidth="1"/>
    <col min="18" max="18" width="21" customWidth="1"/>
    <col min="19" max="19" width="16.33203125" bestFit="1" customWidth="1"/>
    <col min="20" max="20" width="12.6640625" bestFit="1" customWidth="1"/>
  </cols>
  <sheetData>
    <row r="1" spans="1:23" x14ac:dyDescent="0.2">
      <c r="A1" s="24" t="s">
        <v>0</v>
      </c>
      <c r="B1" s="80" t="s">
        <v>1</v>
      </c>
      <c r="C1" s="25" t="s">
        <v>2</v>
      </c>
      <c r="D1" s="25" t="s">
        <v>165</v>
      </c>
      <c r="E1" s="25" t="s">
        <v>4</v>
      </c>
      <c r="F1" s="25" t="s">
        <v>5</v>
      </c>
      <c r="G1" s="25" t="s">
        <v>332</v>
      </c>
      <c r="H1" s="82" t="s">
        <v>6</v>
      </c>
      <c r="I1" s="83" t="s">
        <v>392</v>
      </c>
      <c r="J1" s="85" t="s">
        <v>378</v>
      </c>
      <c r="K1" s="46" t="s">
        <v>379</v>
      </c>
      <c r="L1" s="72" t="s">
        <v>393</v>
      </c>
      <c r="M1" s="20" t="s">
        <v>381</v>
      </c>
      <c r="S1" s="77" t="s">
        <v>426</v>
      </c>
      <c r="T1" s="77" t="s">
        <v>425</v>
      </c>
      <c r="U1" s="77" t="s">
        <v>428</v>
      </c>
      <c r="V1" s="77" t="s">
        <v>429</v>
      </c>
      <c r="W1" s="77" t="s">
        <v>430</v>
      </c>
    </row>
    <row r="2" spans="1:23" ht="16" thickBot="1" x14ac:dyDescent="0.25">
      <c r="A2" s="292"/>
      <c r="B2" s="293"/>
      <c r="C2" s="19"/>
      <c r="I2" s="84" t="str" cm="1">
        <f t="array" ref="I2">IFERROR(
  VALUE($H2) *
  VALUE(
    _xlfn.XLOOKUP(
      TRIM($F2) &amp; "|" &amp; LEFT(SUBSTITUTE($G2,CHAR(160)," "),5) &amp; "|Full Rate",
      TRIM(SUBSTITUTE($M$2:$M$38,CHAR(160)," ")) &amp; "|" &amp;
      LEFT(SUBSTITUTE($N$2:$N$38,CHAR(160)," "),5) &amp; "|" &amp;
      TRIM(SUBSTITUTE($O$2:$O$38,CHAR(160)," ")),
      $P$2:$P$38
    )
  ),
"")</f>
        <v/>
      </c>
      <c r="J2" s="84" t="str" cm="1">
        <f t="array" ref="J2">IFERROR(
  VALUE($H2) *
  VALUE(
    _xlfn.XLOOKUP(
      TRIM($F2) &amp; "|" &amp; LEFT(SUBSTITUTE($G2,CHAR(160)," "),5) &amp; "|Reduced Rate",
      TRIM(SUBSTITUTE($M$2:$M$38,CHAR(160)," ")) &amp; "|" &amp;
      LEFT(SUBSTITUTE($N$2:$N$38,CHAR(160)," "),5) &amp; "|" &amp;
      TRIM(SUBSTITUTE($O$2:$O$38,CHAR(160)," ")),
      $P$2:$P$38
    )
  ),
"")</f>
        <v/>
      </c>
      <c r="K2" s="32" t="str" cm="1">
        <f t="array" ref="K2">IFERROR(
  VALUE($H2) *
  VALUE(
    _xlfn.XLOOKUP(
      TRIM($F2) &amp; "|" &amp; LEFT(SUBSTITUTE($G2,CHAR(160)," "),5) &amp; "|Ideas Rate",
      TRIM(SUBSTITUTE($M$2:$M$38,CHAR(160)," ")) &amp; "|" &amp;
      LEFT(SUBSTITUTE($N$2:$N$38,CHAR(160)," "),5) &amp; "|" &amp;
      TRIM(SUBSTITUTE($O$2:$O$38,CHAR(160)," ")),
      $P$2:$P$38
    )
  ),
"")</f>
        <v/>
      </c>
      <c r="L2" s="73">
        <f>SUM(I:I)</f>
        <v>8335</v>
      </c>
      <c r="M2" s="58" t="s">
        <v>154</v>
      </c>
      <c r="N2" s="58" t="s">
        <v>371</v>
      </c>
      <c r="O2" s="58" t="s">
        <v>372</v>
      </c>
      <c r="P2" s="59" t="s">
        <v>373</v>
      </c>
      <c r="R2" s="54" t="s">
        <v>10</v>
      </c>
      <c r="S2" s="79">
        <f>SUMIF(F:F,R2,H:H)</f>
        <v>5</v>
      </c>
      <c r="T2" s="22">
        <f>COUNTIF($F:$F, R2)</f>
        <v>1</v>
      </c>
      <c r="U2" s="32">
        <f>SUMIF($F:$F, $R2, $I:$I)</f>
        <v>2500</v>
      </c>
      <c r="V2" s="32">
        <f>SUMIF($F:$F, $R2, $J:$J)</f>
        <v>1500</v>
      </c>
      <c r="W2" s="32">
        <f>SUMIF($F:$F, $R2, $K:$K)</f>
        <v>750</v>
      </c>
    </row>
    <row r="3" spans="1:23" x14ac:dyDescent="0.2">
      <c r="A3" s="21">
        <v>45866</v>
      </c>
      <c r="B3" s="81" t="s">
        <v>24</v>
      </c>
      <c r="C3" s="19" t="s">
        <v>11</v>
      </c>
      <c r="D3" s="18" t="s">
        <v>184</v>
      </c>
      <c r="E3" s="18" t="s">
        <v>120</v>
      </c>
      <c r="F3" s="18" t="s">
        <v>10</v>
      </c>
      <c r="G3" s="18" t="s">
        <v>367</v>
      </c>
      <c r="H3" s="36">
        <v>5</v>
      </c>
      <c r="I3" s="84" cm="1">
        <f t="array" ref="I3">IFERROR(
  VALUE($H3) *
  VALUE(
    _xlfn.XLOOKUP(
      TRIM($F3) &amp; "|" &amp; LEFT(SUBSTITUTE($G3,CHAR(160)," "),5) &amp; "|Full Rate",
      TRIM(SUBSTITUTE($M$2:$M$38,CHAR(160)," ")) &amp; "|" &amp;
      LEFT(SUBSTITUTE($N$2:$N$38,CHAR(160)," "),5) &amp; "|" &amp;
      TRIM(SUBSTITUTE($O$2:$O$38,CHAR(160)," ")),
      $P$2:$P$38
    )
  ),
"")</f>
        <v>2500</v>
      </c>
      <c r="J3" s="84" cm="1">
        <f t="array" ref="J3">IFERROR(
  VALUE($H3) *
  VALUE(
    _xlfn.XLOOKUP(
      TRIM($F3) &amp; "|" &amp; LEFT(SUBSTITUTE($G3,CHAR(160)," "),5) &amp; "|Reduced Rate",
      TRIM(SUBSTITUTE($M$2:$M$38,CHAR(160)," ")) &amp; "|" &amp;
      LEFT(SUBSTITUTE($N$2:$N$38,CHAR(160)," "),5) &amp; "|" &amp;
      TRIM(SUBSTITUTE($O$2:$O$38,CHAR(160)," ")),
      $P$2:$P$38
    )
  ),
"")</f>
        <v>1500</v>
      </c>
      <c r="K3" s="68" cm="1">
        <f t="array" ref="K3">IFERROR(
  VALUE($H3) *
  VALUE(
    _xlfn.XLOOKUP(
      TRIM($F3) &amp; "|" &amp; LEFT(SUBSTITUTE($G3,CHAR(160)," "),5) &amp; "|Ideas Rate",
      TRIM(SUBSTITUTE($M$2:$M$38,CHAR(160)," ")) &amp; "|" &amp;
      LEFT(SUBSTITUTE($N$2:$N$38,CHAR(160)," "),5) &amp; "|" &amp;
      TRIM(SUBSTITUTE($O$2:$O$38,CHAR(160)," ")),
      $P$2:$P$38
    )
  ),
"")</f>
        <v>750</v>
      </c>
      <c r="L3" s="64" t="s">
        <v>394</v>
      </c>
      <c r="M3" t="s">
        <v>10</v>
      </c>
      <c r="N3" t="s">
        <v>375</v>
      </c>
      <c r="O3" t="s">
        <v>382</v>
      </c>
      <c r="P3" s="32">
        <v>500</v>
      </c>
      <c r="R3" t="s">
        <v>9</v>
      </c>
      <c r="S3" s="79">
        <f t="shared" ref="S3:S5" si="0">SUMIF(F:F,R3,H:H)</f>
        <v>0</v>
      </c>
      <c r="T3" s="22">
        <f t="shared" ref="T3:T5" si="1">COUNTIF($F:$F, R3)</f>
        <v>0</v>
      </c>
      <c r="U3" s="32">
        <f t="shared" ref="U3:U5" si="2">SUMIF($F:$F, $R3, $I:$I)</f>
        <v>0</v>
      </c>
      <c r="V3" s="32">
        <f t="shared" ref="V3:V5" si="3">SUMIF($F:$F, $R3, $J:$J)</f>
        <v>0</v>
      </c>
      <c r="W3" s="32">
        <f t="shared" ref="W3:W5" si="4">SUMIF($F:$F, $R3, $K:$K)</f>
        <v>0</v>
      </c>
    </row>
    <row r="4" spans="1:23" ht="16" thickBot="1" x14ac:dyDescent="0.25">
      <c r="A4" s="21">
        <v>45866</v>
      </c>
      <c r="B4" s="81" t="s">
        <v>24</v>
      </c>
      <c r="C4" s="19" t="s">
        <v>11</v>
      </c>
      <c r="D4" s="18" t="s">
        <v>184</v>
      </c>
      <c r="E4" s="18" t="s">
        <v>120</v>
      </c>
      <c r="F4" s="18" t="s">
        <v>156</v>
      </c>
      <c r="G4" s="18" t="s">
        <v>367</v>
      </c>
      <c r="H4" s="36">
        <v>5</v>
      </c>
      <c r="I4" s="84" cm="1">
        <f t="array" ref="I4">IFERROR(
  VALUE($H4) *
  VALUE(
    _xlfn.XLOOKUP(
      TRIM($F4) &amp; "|" &amp; LEFT(SUBSTITUTE($G4,CHAR(160)," "),5) &amp; "|Full Rate",
      TRIM(SUBSTITUTE($M$2:$M$38,CHAR(160)," ")) &amp; "|" &amp;
      LEFT(SUBSTITUTE($N$2:$N$38,CHAR(160)," "),5) &amp; "|" &amp;
      TRIM(SUBSTITUTE($O$2:$O$38,CHAR(160)," ")),
      $P$2:$P$38
    )
  ),
"")</f>
        <v>1625</v>
      </c>
      <c r="J4" s="84" cm="1">
        <f t="array" ref="J4">IFERROR(
  VALUE($H4) *
  VALUE(
    _xlfn.XLOOKUP(
      TRIM($F4) &amp; "|" &amp; LEFT(SUBSTITUTE($G4,CHAR(160)," "),5) &amp; "|Reduced Rate",
      TRIM(SUBSTITUTE($M$2:$M$38,CHAR(160)," ")) &amp; "|" &amp;
      LEFT(SUBSTITUTE($N$2:$N$38,CHAR(160)," "),5) &amp; "|" &amp;
      TRIM(SUBSTITUTE($O$2:$O$38,CHAR(160)," ")),
      $P$2:$P$38
    )
  ),
"")</f>
        <v>875</v>
      </c>
      <c r="K4" s="68" cm="1">
        <f t="array" ref="K4">IFERROR(
  VALUE($H4) *
  VALUE(
    _xlfn.XLOOKUP(
      TRIM($F4) &amp; "|" &amp; LEFT(SUBSTITUTE($G4,CHAR(160)," "),5) &amp; "|Ideas Rate",
      TRIM(SUBSTITUTE($M$2:$M$38,CHAR(160)," ")) &amp; "|" &amp;
      LEFT(SUBSTITUTE($N$2:$N$38,CHAR(160)," "),5) &amp; "|" &amp;
      TRIM(SUBSTITUTE($O$2:$O$38,CHAR(160)," ")),
      $P$2:$P$38
    )
  ),
"")</f>
        <v>475</v>
      </c>
      <c r="L4" s="42">
        <f>SUM(J:J)</f>
        <v>4557.5</v>
      </c>
      <c r="M4" t="s">
        <v>10</v>
      </c>
      <c r="N4" t="s">
        <v>375</v>
      </c>
      <c r="O4" t="s">
        <v>383</v>
      </c>
      <c r="P4" s="32">
        <v>300</v>
      </c>
      <c r="R4" t="s">
        <v>155</v>
      </c>
      <c r="S4" s="79">
        <f t="shared" si="0"/>
        <v>5</v>
      </c>
      <c r="T4" s="22">
        <f t="shared" si="1"/>
        <v>1</v>
      </c>
      <c r="U4" s="32">
        <f t="shared" si="2"/>
        <v>2000</v>
      </c>
      <c r="V4" s="32">
        <f t="shared" si="3"/>
        <v>1000</v>
      </c>
      <c r="W4" s="32">
        <f t="shared" si="4"/>
        <v>600</v>
      </c>
    </row>
    <row r="5" spans="1:23" x14ac:dyDescent="0.2">
      <c r="A5" s="21">
        <v>45866</v>
      </c>
      <c r="B5" s="81" t="s">
        <v>24</v>
      </c>
      <c r="C5" s="19" t="s">
        <v>11</v>
      </c>
      <c r="D5" s="18" t="s">
        <v>184</v>
      </c>
      <c r="E5" s="18" t="s">
        <v>120</v>
      </c>
      <c r="F5" s="18" t="s">
        <v>155</v>
      </c>
      <c r="G5" s="18" t="s">
        <v>367</v>
      </c>
      <c r="H5" s="36">
        <v>5</v>
      </c>
      <c r="I5" s="84" cm="1">
        <f t="array" ref="I5">IFERROR(
  VALUE($H5) *
  VALUE(
    _xlfn.XLOOKUP(
      TRIM($F5) &amp; "|" &amp; LEFT(SUBSTITUTE($G5,CHAR(160)," "),5) &amp; "|Full Rate",
      TRIM(SUBSTITUTE($M$2:$M$38,CHAR(160)," ")) &amp; "|" &amp;
      LEFT(SUBSTITUTE($N$2:$N$38,CHAR(160)," "),5) &amp; "|" &amp;
      TRIM(SUBSTITUTE($O$2:$O$38,CHAR(160)," ")),
      $P$2:$P$38
    )
  ),
"")</f>
        <v>2000</v>
      </c>
      <c r="J5" s="84" cm="1">
        <f t="array" ref="J5">IFERROR(
  VALUE($H5) *
  VALUE(
    _xlfn.XLOOKUP(
      TRIM($F5) &amp; "|" &amp; LEFT(SUBSTITUTE($G5,CHAR(160)," "),5) &amp; "|Reduced Rate",
      TRIM(SUBSTITUTE($M$2:$M$38,CHAR(160)," ")) &amp; "|" &amp;
      LEFT(SUBSTITUTE($N$2:$N$38,CHAR(160)," "),5) &amp; "|" &amp;
      TRIM(SUBSTITUTE($O$2:$O$38,CHAR(160)," ")),
      $P$2:$P$38
    )
  ),
"")</f>
        <v>1000</v>
      </c>
      <c r="K5" s="32" cm="1">
        <f t="array" ref="K5">IFERROR(
  VALUE($H5) *
  VALUE(
    _xlfn.XLOOKUP(
      TRIM($F5) &amp; "|" &amp; LEFT(SUBSTITUTE($G5,CHAR(160)," "),5) &amp; "|Ideas Rate",
      TRIM(SUBSTITUTE($M$2:$M$38,CHAR(160)," ")) &amp; "|" &amp;
      LEFT(SUBSTITUTE($N$2:$N$38,CHAR(160)," "),5) &amp; "|" &amp;
      TRIM(SUBSTITUTE($O$2:$O$38,CHAR(160)," ")),
      $P$2:$P$38
    )
  ),
"")</f>
        <v>600</v>
      </c>
      <c r="L5" s="74" t="s">
        <v>395</v>
      </c>
      <c r="M5" t="s">
        <v>10</v>
      </c>
      <c r="N5" t="s">
        <v>375</v>
      </c>
      <c r="O5" t="s">
        <v>379</v>
      </c>
      <c r="P5" s="32">
        <v>150</v>
      </c>
      <c r="R5" t="s">
        <v>156</v>
      </c>
      <c r="S5" s="79">
        <f t="shared" si="0"/>
        <v>12</v>
      </c>
      <c r="T5" s="22">
        <f t="shared" si="1"/>
        <v>5</v>
      </c>
      <c r="U5" s="32">
        <f t="shared" si="2"/>
        <v>3835</v>
      </c>
      <c r="V5" s="32">
        <f t="shared" si="3"/>
        <v>2057.5</v>
      </c>
      <c r="W5" s="32">
        <f t="shared" si="4"/>
        <v>1115</v>
      </c>
    </row>
    <row r="6" spans="1:23" ht="16" thickBot="1" x14ac:dyDescent="0.25">
      <c r="A6" s="21">
        <v>45867</v>
      </c>
      <c r="B6" s="81" t="s">
        <v>24</v>
      </c>
      <c r="C6" s="19" t="s">
        <v>11</v>
      </c>
      <c r="D6" s="18" t="s">
        <v>187</v>
      </c>
      <c r="E6" s="18" t="s">
        <v>121</v>
      </c>
      <c r="F6" s="18" t="s">
        <v>156</v>
      </c>
      <c r="G6" s="18" t="s">
        <v>380</v>
      </c>
      <c r="H6" s="36">
        <v>0.5</v>
      </c>
      <c r="I6" s="84" cm="1">
        <f t="array" ref="I6">IFERROR(
  VALUE($H6) *
  VALUE(
    _xlfn.XLOOKUP(
      TRIM($F6) &amp; "|" &amp; LEFT(SUBSTITUTE($G6,CHAR(160)," "),5) &amp; "|Full Rate",
      TRIM(SUBSTITUTE($M$2:$M$38,CHAR(160)," ")) &amp; "|" &amp;
      LEFT(SUBSTITUTE($N$2:$N$38,CHAR(160)," "),5) &amp; "|" &amp;
      TRIM(SUBSTITUTE($O$2:$O$38,CHAR(160)," ")),
      $P$2:$P$38
    )
  ),
"")</f>
        <v>97.5</v>
      </c>
      <c r="J6" s="84" cm="1">
        <f t="array" ref="J6">IFERROR(
  VALUE($H6) *
  VALUE(
    _xlfn.XLOOKUP(
      TRIM($F6) &amp; "|" &amp; LEFT(SUBSTITUTE($G6,CHAR(160)," "),5) &amp; "|Reduced Rate",
      TRIM(SUBSTITUTE($M$2:$M$38,CHAR(160)," ")) &amp; "|" &amp;
      LEFT(SUBSTITUTE($N$2:$N$38,CHAR(160)," "),5) &amp; "|" &amp;
      TRIM(SUBSTITUTE($O$2:$O$38,CHAR(160)," ")),
      $P$2:$P$38
    )
  ),
"")</f>
        <v>45</v>
      </c>
      <c r="K6" s="32" cm="1">
        <f t="array" ref="K6">IFERROR(
  VALUE($H6) *
  VALUE(
    _xlfn.XLOOKUP(
      TRIM($F6) &amp; "|" &amp; LEFT(SUBSTITUTE($G6,CHAR(160)," "),5) &amp; "|Ideas Rate",
      TRIM(SUBSTITUTE($M$2:$M$38,CHAR(160)," ")) &amp; "|" &amp;
      LEFT(SUBSTITUTE($N$2:$N$38,CHAR(160)," "),5) &amp; "|" &amp;
      TRIM(SUBSTITUTE($O$2:$O$38,CHAR(160)," ")),
      $P$2:$P$38
    )
  ),
"")</f>
        <v>22.5</v>
      </c>
      <c r="L6" s="63">
        <f>SUM(K:K)</f>
        <v>2465</v>
      </c>
      <c r="M6" t="s">
        <v>10</v>
      </c>
      <c r="N6" t="s">
        <v>376</v>
      </c>
      <c r="O6" t="s">
        <v>382</v>
      </c>
      <c r="P6" s="32">
        <v>250</v>
      </c>
    </row>
    <row r="7" spans="1:23" x14ac:dyDescent="0.2">
      <c r="A7" s="21">
        <v>45755</v>
      </c>
      <c r="B7" s="81" t="s">
        <v>52</v>
      </c>
      <c r="C7" s="19" t="s">
        <v>11</v>
      </c>
      <c r="D7" s="18" t="s">
        <v>187</v>
      </c>
      <c r="E7" s="18" t="s">
        <v>122</v>
      </c>
      <c r="F7" s="18" t="s">
        <v>156</v>
      </c>
      <c r="G7" s="18" t="s">
        <v>367</v>
      </c>
      <c r="H7" s="36">
        <v>2.5</v>
      </c>
      <c r="I7" s="84" cm="1">
        <f t="array" ref="I7">IFERROR(
  VALUE($H7) *
  VALUE(
    _xlfn.XLOOKUP(
      TRIM($F7) &amp; "|" &amp; LEFT(SUBSTITUTE($G7,CHAR(160)," "),5) &amp; "|Full Rate",
      TRIM(SUBSTITUTE($M$2:$M$38,CHAR(160)," ")) &amp; "|" &amp;
      LEFT(SUBSTITUTE($N$2:$N$38,CHAR(160)," "),5) &amp; "|" &amp;
      TRIM(SUBSTITUTE($O$2:$O$38,CHAR(160)," ")),
      $P$2:$P$38
    )
  ),
"")</f>
        <v>812.5</v>
      </c>
      <c r="J7" s="84" cm="1">
        <f t="array" ref="J7">IFERROR(
  VALUE($H7) *
  VALUE(
    _xlfn.XLOOKUP(
      TRIM($F7) &amp; "|" &amp; LEFT(SUBSTITUTE($G7,CHAR(160)," "),5) &amp; "|Reduced Rate",
      TRIM(SUBSTITUTE($M$2:$M$38,CHAR(160)," ")) &amp; "|" &amp;
      LEFT(SUBSTITUTE($N$2:$N$38,CHAR(160)," "),5) &amp; "|" &amp;
      TRIM(SUBSTITUTE($O$2:$O$38,CHAR(160)," ")),
      $P$2:$P$38
    )
  ),
"")</f>
        <v>437.5</v>
      </c>
      <c r="K7" s="68" cm="1">
        <f t="array" ref="K7">IFERROR(
  VALUE($H7) *
  VALUE(
    _xlfn.XLOOKUP(
      TRIM($F7) &amp; "|" &amp; LEFT(SUBSTITUTE($G7,CHAR(160)," "),5) &amp; "|Ideas Rate",
      TRIM(SUBSTITUTE($M$2:$M$38,CHAR(160)," ")) &amp; "|" &amp;
      LEFT(SUBSTITUTE($N$2:$N$38,CHAR(160)," "),5) &amp; "|" &amp;
      TRIM(SUBSTITUTE($O$2:$O$38,CHAR(160)," ")),
      $P$2:$P$38
    )
  ),
"")</f>
        <v>237.5</v>
      </c>
      <c r="M7" t="s">
        <v>10</v>
      </c>
      <c r="N7" t="s">
        <v>376</v>
      </c>
      <c r="O7" t="s">
        <v>378</v>
      </c>
      <c r="P7" s="32">
        <v>150</v>
      </c>
    </row>
    <row r="8" spans="1:23" x14ac:dyDescent="0.2">
      <c r="A8" s="21">
        <v>45897</v>
      </c>
      <c r="B8" s="81" t="s">
        <v>52</v>
      </c>
      <c r="C8" s="19" t="s">
        <v>11</v>
      </c>
      <c r="D8" s="18" t="s">
        <v>187</v>
      </c>
      <c r="E8" s="18" t="s">
        <v>161</v>
      </c>
      <c r="F8" s="18" t="s">
        <v>156</v>
      </c>
      <c r="G8" s="18" t="s">
        <v>367</v>
      </c>
      <c r="H8" s="36">
        <v>2</v>
      </c>
      <c r="I8" s="84" cm="1">
        <f t="array" ref="I8">IFERROR(
  VALUE($H8) *
  VALUE(
    _xlfn.XLOOKUP(
      TRIM($F8) &amp; "|" &amp; LEFT(SUBSTITUTE($G8,CHAR(160)," "),5) &amp; "|Full Rate",
      TRIM(SUBSTITUTE($M$2:$M$38,CHAR(160)," ")) &amp; "|" &amp;
      LEFT(SUBSTITUTE($N$2:$N$38,CHAR(160)," "),5) &amp; "|" &amp;
      TRIM(SUBSTITUTE($O$2:$O$38,CHAR(160)," ")),
      $P$2:$P$38
    )
  ),
"")</f>
        <v>650</v>
      </c>
      <c r="J8" s="84" cm="1">
        <f t="array" ref="J8">IFERROR(
  VALUE($H8) *
  VALUE(
    _xlfn.XLOOKUP(
      TRIM($F8) &amp; "|" &amp; LEFT(SUBSTITUTE($G8,CHAR(160)," "),5) &amp; "|Reduced Rate",
      TRIM(SUBSTITUTE($M$2:$M$38,CHAR(160)," ")) &amp; "|" &amp;
      LEFT(SUBSTITUTE($N$2:$N$38,CHAR(160)," "),5) &amp; "|" &amp;
      TRIM(SUBSTITUTE($O$2:$O$38,CHAR(160)," ")),
      $P$2:$P$38
    )
  ),
"")</f>
        <v>350</v>
      </c>
      <c r="K8" s="68" cm="1">
        <f t="array" ref="K8">IFERROR(
  VALUE($H8) *
  VALUE(
    _xlfn.XLOOKUP(
      TRIM($F8) &amp; "|" &amp; LEFT(SUBSTITUTE($G8,CHAR(160)," "),5) &amp; "|Ideas Rate",
      TRIM(SUBSTITUTE($M$2:$M$38,CHAR(160)," ")) &amp; "|" &amp;
      LEFT(SUBSTITUTE($N$2:$N$38,CHAR(160)," "),5) &amp; "|" &amp;
      TRIM(SUBSTITUTE($O$2:$O$38,CHAR(160)," ")),
      $P$2:$P$38
    )
  ),
"")</f>
        <v>190</v>
      </c>
      <c r="M8" t="s">
        <v>10</v>
      </c>
      <c r="N8" t="s">
        <v>376</v>
      </c>
      <c r="O8" t="s">
        <v>384</v>
      </c>
      <c r="P8" s="32">
        <v>75</v>
      </c>
    </row>
    <row r="9" spans="1:23" x14ac:dyDescent="0.2">
      <c r="A9" s="21">
        <v>45898</v>
      </c>
      <c r="B9" s="81" t="s">
        <v>52</v>
      </c>
      <c r="C9" s="19" t="s">
        <v>11</v>
      </c>
      <c r="D9" s="18" t="s">
        <v>187</v>
      </c>
      <c r="E9" s="18" t="s">
        <v>162</v>
      </c>
      <c r="F9" s="18" t="s">
        <v>156</v>
      </c>
      <c r="G9" s="18" t="s">
        <v>367</v>
      </c>
      <c r="H9" s="36">
        <v>2</v>
      </c>
      <c r="I9" s="84" cm="1">
        <f t="array" ref="I9">IFERROR(
  VALUE($H9) *
  VALUE(
    _xlfn.XLOOKUP(
      TRIM($F9) &amp; "|" &amp; LEFT(SUBSTITUTE($G9,CHAR(160)," "),5) &amp; "|Full Rate",
      TRIM(SUBSTITUTE($M$2:$M$38,CHAR(160)," ")) &amp; "|" &amp;
      LEFT(SUBSTITUTE($N$2:$N$38,CHAR(160)," "),5) &amp; "|" &amp;
      TRIM(SUBSTITUTE($O$2:$O$38,CHAR(160)," ")),
      $P$2:$P$38
    )
  ),
"")</f>
        <v>650</v>
      </c>
      <c r="J9" s="84" cm="1">
        <f t="array" ref="J9">IFERROR(
  VALUE($H9) *
  VALUE(
    _xlfn.XLOOKUP(
      TRIM($F9) &amp; "|" &amp; LEFT(SUBSTITUTE($G9,CHAR(160)," "),5) &amp; "|Reduced Rate",
      TRIM(SUBSTITUTE($M$2:$M$38,CHAR(160)," ")) &amp; "|" &amp;
      LEFT(SUBSTITUTE($N$2:$N$38,CHAR(160)," "),5) &amp; "|" &amp;
      TRIM(SUBSTITUTE($O$2:$O$38,CHAR(160)," ")),
      $P$2:$P$38
    )
  ),
"")</f>
        <v>350</v>
      </c>
      <c r="K9" s="68" cm="1">
        <f t="array" ref="K9">IFERROR(
  VALUE($H9) *
  VALUE(
    _xlfn.XLOOKUP(
      TRIM($F9) &amp; "|" &amp; LEFT(SUBSTITUTE($G9,CHAR(160)," "),5) &amp; "|Ideas Rate",
      TRIM(SUBSTITUTE($M$2:$M$38,CHAR(160)," ")) &amp; "|" &amp;
      LEFT(SUBSTITUTE($N$2:$N$38,CHAR(160)," "),5) &amp; "|" &amp;
      TRIM(SUBSTITUTE($O$2:$O$38,CHAR(160)," ")),
      $P$2:$P$38
    )
  ),
"")</f>
        <v>190</v>
      </c>
      <c r="M9" t="s">
        <v>10</v>
      </c>
      <c r="N9" t="s">
        <v>368</v>
      </c>
      <c r="O9" t="s">
        <v>382</v>
      </c>
      <c r="P9" s="32">
        <v>100</v>
      </c>
    </row>
    <row r="10" spans="1:23" x14ac:dyDescent="0.2">
      <c r="B10" s="81"/>
      <c r="C10" s="19"/>
      <c r="I10" s="84" t="str" cm="1">
        <f t="array" ref="I10">IFERROR(
  VALUE($H10) *
  VALUE(
    _xlfn.XLOOKUP(
      TRIM($F10) &amp; "|" &amp; LEFT(SUBSTITUTE($G10,CHAR(160)," "),5) &amp; "|Full Rate",
      TRIM(SUBSTITUTE($M$2:$M$38,CHAR(160)," ")) &amp; "|" &amp;
      LEFT(SUBSTITUTE($N$2:$N$38,CHAR(160)," "),5) &amp; "|" &amp;
      TRIM(SUBSTITUTE($O$2:$O$38,CHAR(160)," ")),
      $P$2:$P$38
    )
  ),
"")</f>
        <v/>
      </c>
      <c r="J10" s="84" t="str" cm="1">
        <f t="array" ref="J10">IFERROR(
  VALUE($H10) *
  VALUE(
    _xlfn.XLOOKUP(
      TRIM($F10) &amp; "|" &amp; LEFT(SUBSTITUTE($G10,CHAR(160)," "),5) &amp; "|Reduced Rate",
      TRIM(SUBSTITUTE($M$2:$M$38,CHAR(160)," ")) &amp; "|" &amp;
      LEFT(SUBSTITUTE($N$2:$N$38,CHAR(160)," "),5) &amp; "|" &amp;
      TRIM(SUBSTITUTE($O$2:$O$38,CHAR(160)," ")),
      $P$2:$P$38
    )
  ),
"")</f>
        <v/>
      </c>
      <c r="K10" s="68" t="str" cm="1">
        <f t="array" ref="K10">IFERROR(
  VALUE($H10) *
  VALUE(
    _xlfn.XLOOKUP(
      TRIM($F10) &amp; "|" &amp; LEFT(SUBSTITUTE($G10,CHAR(160)," "),5) &amp; "|Ideas Rate",
      TRIM(SUBSTITUTE($M$2:$M$38,CHAR(160)," ")) &amp; "|" &amp;
      LEFT(SUBSTITUTE($N$2:$N$38,CHAR(160)," "),5) &amp; "|" &amp;
      TRIM(SUBSTITUTE($O$2:$O$38,CHAR(160)," ")),
      $P$2:$P$38
    )
  ),
"")</f>
        <v/>
      </c>
      <c r="M10" t="s">
        <v>10</v>
      </c>
      <c r="N10" t="s">
        <v>368</v>
      </c>
      <c r="O10" t="s">
        <v>378</v>
      </c>
      <c r="P10" s="32">
        <v>50</v>
      </c>
      <c r="R10" s="95" t="s">
        <v>165</v>
      </c>
      <c r="S10" s="96" t="s">
        <v>433</v>
      </c>
      <c r="T10" s="96" t="s">
        <v>491</v>
      </c>
      <c r="U10" s="96" t="s">
        <v>435</v>
      </c>
    </row>
    <row r="11" spans="1:23" x14ac:dyDescent="0.2">
      <c r="C11" s="19"/>
      <c r="I11" s="84" t="str" cm="1">
        <f t="array" ref="I11">IFERROR(
  VALUE($H11) *
  VALUE(
    _xlfn.XLOOKUP(
      TRIM($F11) &amp; "|" &amp; LEFT(SUBSTITUTE($G11,CHAR(160)," "),5) &amp; "|Full Rate",
      TRIM(SUBSTITUTE($M$2:$M$38,CHAR(160)," ")) &amp; "|" &amp;
      LEFT(SUBSTITUTE($N$2:$N$38,CHAR(160)," "),5) &amp; "|" &amp;
      TRIM(SUBSTITUTE($O$2:$O$38,CHAR(160)," ")),
      $P$2:$P$38
    )
  ),
"")</f>
        <v/>
      </c>
      <c r="J11" s="84" t="str" cm="1">
        <f t="array" ref="J11">IFERROR(
  VALUE($H11) *
  VALUE(
    _xlfn.XLOOKUP(
      TRIM($F11) &amp; "|" &amp; LEFT(SUBSTITUTE($G11,CHAR(160)," "),5) &amp; "|Reduced Rate",
      TRIM(SUBSTITUTE($M$2:$M$38,CHAR(160)," ")) &amp; "|" &amp;
      LEFT(SUBSTITUTE($N$2:$N$38,CHAR(160)," "),5) &amp; "|" &amp;
      TRIM(SUBSTITUTE($O$2:$O$38,CHAR(160)," ")),
      $P$2:$P$38
    )
  ),
"")</f>
        <v/>
      </c>
      <c r="K11" s="68" t="str" cm="1">
        <f t="array" ref="K11">IFERROR(
  VALUE($H11) *
  VALUE(
    _xlfn.XLOOKUP(
      TRIM($F11) &amp; "|" &amp; LEFT(SUBSTITUTE($G11,CHAR(160)," "),5) &amp; "|Ideas Rate",
      TRIM(SUBSTITUTE($M$2:$M$38,CHAR(160)," ")) &amp; "|" &amp;
      LEFT(SUBSTITUTE($N$2:$N$38,CHAR(160)," "),5) &amp; "|" &amp;
      TRIM(SUBSTITUTE($O$2:$O$38,CHAR(160)," ")),
      $P$2:$P$38
    )
  ),
"")</f>
        <v/>
      </c>
      <c r="M11" t="s">
        <v>10</v>
      </c>
      <c r="N11" t="s">
        <v>368</v>
      </c>
      <c r="O11" t="s">
        <v>384</v>
      </c>
      <c r="P11" s="32">
        <v>30</v>
      </c>
      <c r="R11" s="97" t="s">
        <v>182</v>
      </c>
      <c r="S11" s="98">
        <f>SUMIF($D:$D,$R11,$H:$H)</f>
        <v>0</v>
      </c>
      <c r="T11" s="101">
        <f>SUMIF($D:$D,R11,$I:$I)</f>
        <v>0</v>
      </c>
      <c r="U11" s="99"/>
    </row>
    <row r="12" spans="1:23" x14ac:dyDescent="0.2">
      <c r="C12" s="19"/>
      <c r="I12" s="84" t="str" cm="1">
        <f t="array" ref="I12">IFERROR(
  VALUE($H12) *
  VALUE(
    _xlfn.XLOOKUP(
      TRIM($F12) &amp; "|" &amp; LEFT(SUBSTITUTE($G12,CHAR(160)," "),5) &amp; "|Full Rate",
      TRIM(SUBSTITUTE($M$2:$M$38,CHAR(160)," ")) &amp; "|" &amp;
      LEFT(SUBSTITUTE($N$2:$N$38,CHAR(160)," "),5) &amp; "|" &amp;
      TRIM(SUBSTITUTE($O$2:$O$38,CHAR(160)," ")),
      $P$2:$P$38
    )
  ),
"")</f>
        <v/>
      </c>
      <c r="J12" s="84" t="str" cm="1">
        <f t="array" ref="J12">IFERROR(
  VALUE($H12) *
  VALUE(
    _xlfn.XLOOKUP(
      TRIM($F12) &amp; "|" &amp; LEFT(SUBSTITUTE($G12,CHAR(160)," "),5) &amp; "|Reduced Rate",
      TRIM(SUBSTITUTE($M$2:$M$38,CHAR(160)," ")) &amp; "|" &amp;
      LEFT(SUBSTITUTE($N$2:$N$38,CHAR(160)," "),5) &amp; "|" &amp;
      TRIM(SUBSTITUTE($O$2:$O$38,CHAR(160)," ")),
      $P$2:$P$38
    )
  ),
"")</f>
        <v/>
      </c>
      <c r="K12" s="68" t="str" cm="1">
        <f t="array" ref="K12">IFERROR(
  VALUE($H12) *
  VALUE(
    _xlfn.XLOOKUP(
      TRIM($F12) &amp; "|" &amp; LEFT(SUBSTITUTE($G12,CHAR(160)," "),5) &amp; "|Ideas Rate",
      TRIM(SUBSTITUTE($M$2:$M$38,CHAR(160)," ")) &amp; "|" &amp;
      LEFT(SUBSTITUTE($N$2:$N$38,CHAR(160)," "),5) &amp; "|" &amp;
      TRIM(SUBSTITUTE($O$2:$O$38,CHAR(160)," ")),
      $P$2:$P$38
    )
  ),
"")</f>
        <v/>
      </c>
      <c r="M12" s="56" t="s">
        <v>9</v>
      </c>
      <c r="N12" s="56" t="s">
        <v>375</v>
      </c>
      <c r="O12" s="56" t="s">
        <v>382</v>
      </c>
      <c r="P12" s="57">
        <v>500</v>
      </c>
      <c r="R12" s="97" t="s">
        <v>190</v>
      </c>
      <c r="S12" s="98">
        <f t="shared" ref="S12:S22" si="5">SUMIF($D:$D,$R12,$H:$H)</f>
        <v>0</v>
      </c>
      <c r="T12" s="101">
        <f t="shared" ref="T12:T22" si="6">SUMIF($D:$D,R12,$I:$I)</f>
        <v>0</v>
      </c>
      <c r="U12" s="99"/>
    </row>
    <row r="13" spans="1:23" x14ac:dyDescent="0.2">
      <c r="C13" s="19"/>
      <c r="I13" s="84" t="str" cm="1">
        <f t="array" ref="I13">IFERROR(
  VALUE($H13) *
  VALUE(
    _xlfn.XLOOKUP(
      TRIM($F13) &amp; "|" &amp; LEFT(SUBSTITUTE($G13,CHAR(160)," "),5) &amp; "|Full Rate",
      TRIM(SUBSTITUTE($M$2:$M$38,CHAR(160)," ")) &amp; "|" &amp;
      LEFT(SUBSTITUTE($N$2:$N$38,CHAR(160)," "),5) &amp; "|" &amp;
      TRIM(SUBSTITUTE($O$2:$O$38,CHAR(160)," ")),
      $P$2:$P$38
    )
  ),
"")</f>
        <v/>
      </c>
      <c r="J13" s="84" t="str" cm="1">
        <f t="array" ref="J13">IFERROR(
  VALUE($H13) *
  VALUE(
    _xlfn.XLOOKUP(
      TRIM($F13) &amp; "|" &amp; LEFT(SUBSTITUTE($G13,CHAR(160)," "),5) &amp; "|Reduced Rate",
      TRIM(SUBSTITUTE($M$2:$M$38,CHAR(160)," ")) &amp; "|" &amp;
      LEFT(SUBSTITUTE($N$2:$N$38,CHAR(160)," "),5) &amp; "|" &amp;
      TRIM(SUBSTITUTE($O$2:$O$38,CHAR(160)," ")),
      $P$2:$P$38
    )
  ),
"")</f>
        <v/>
      </c>
      <c r="K13" s="68" t="str" cm="1">
        <f t="array" ref="K13">IFERROR(
  VALUE($H13) *
  VALUE(
    _xlfn.XLOOKUP(
      TRIM($F13) &amp; "|" &amp; LEFT(SUBSTITUTE($G13,CHAR(160)," "),5) &amp; "|Ideas Rate",
      TRIM(SUBSTITUTE($M$2:$M$38,CHAR(160)," ")) &amp; "|" &amp;
      LEFT(SUBSTITUTE($N$2:$N$38,CHAR(160)," "),5) &amp; "|" &amp;
      TRIM(SUBSTITUTE($O$2:$O$38,CHAR(160)," ")),
      $P$2:$P$38
    )
  ),
"")</f>
        <v/>
      </c>
      <c r="M13" t="s">
        <v>9</v>
      </c>
      <c r="N13" t="s">
        <v>375</v>
      </c>
      <c r="O13" t="s">
        <v>383</v>
      </c>
      <c r="P13" s="32">
        <v>300</v>
      </c>
      <c r="R13" s="97" t="s">
        <v>188</v>
      </c>
      <c r="S13" s="98">
        <f t="shared" si="5"/>
        <v>0</v>
      </c>
      <c r="T13" s="101">
        <f t="shared" si="6"/>
        <v>0</v>
      </c>
      <c r="U13" s="99"/>
    </row>
    <row r="14" spans="1:23" x14ac:dyDescent="0.2">
      <c r="C14" s="19"/>
      <c r="I14" s="84" t="str" cm="1">
        <f t="array" ref="I14">IFERROR(
  VALUE($H14) *
  VALUE(
    _xlfn.XLOOKUP(
      TRIM($F14) &amp; "|" &amp; LEFT(SUBSTITUTE($G14,CHAR(160)," "),5) &amp; "|Full Rate",
      TRIM(SUBSTITUTE($M$2:$M$38,CHAR(160)," ")) &amp; "|" &amp;
      LEFT(SUBSTITUTE($N$2:$N$38,CHAR(160)," "),5) &amp; "|" &amp;
      TRIM(SUBSTITUTE($O$2:$O$38,CHAR(160)," ")),
      $P$2:$P$38
    )
  ),
"")</f>
        <v/>
      </c>
      <c r="J14" s="84" t="str" cm="1">
        <f t="array" ref="J14">IFERROR(
  VALUE($H14) *
  VALUE(
    _xlfn.XLOOKUP(
      TRIM($F14) &amp; "|" &amp; LEFT(SUBSTITUTE($G14,CHAR(160)," "),5) &amp; "|Reduced Rate",
      TRIM(SUBSTITUTE($M$2:$M$38,CHAR(160)," ")) &amp; "|" &amp;
      LEFT(SUBSTITUTE($N$2:$N$38,CHAR(160)," "),5) &amp; "|" &amp;
      TRIM(SUBSTITUTE($O$2:$O$38,CHAR(160)," ")),
      $P$2:$P$38
    )
  ),
"")</f>
        <v/>
      </c>
      <c r="K14" s="68" t="str" cm="1">
        <f t="array" ref="K14">IFERROR(
  VALUE($H14) *
  VALUE(
    _xlfn.XLOOKUP(
      TRIM($F14) &amp; "|" &amp; LEFT(SUBSTITUTE($G14,CHAR(160)," "),5) &amp; "|Ideas Rate",
      TRIM(SUBSTITUTE($M$2:$M$38,CHAR(160)," ")) &amp; "|" &amp;
      LEFT(SUBSTITUTE($N$2:$N$38,CHAR(160)," "),5) &amp; "|" &amp;
      TRIM(SUBSTITUTE($O$2:$O$38,CHAR(160)," ")),
      $P$2:$P$38
    )
  ),
"")</f>
        <v/>
      </c>
      <c r="M14" t="s">
        <v>9</v>
      </c>
      <c r="N14" t="s">
        <v>375</v>
      </c>
      <c r="O14" t="s">
        <v>384</v>
      </c>
      <c r="P14" s="32">
        <v>150</v>
      </c>
      <c r="R14" s="97" t="s">
        <v>191</v>
      </c>
      <c r="S14" s="98">
        <f t="shared" si="5"/>
        <v>0</v>
      </c>
      <c r="T14" s="101">
        <f t="shared" si="6"/>
        <v>0</v>
      </c>
      <c r="U14" s="99"/>
    </row>
    <row r="15" spans="1:23" x14ac:dyDescent="0.2">
      <c r="C15" s="19"/>
      <c r="I15" s="84" t="str" cm="1">
        <f t="array" ref="I15">IFERROR(
  VALUE($H15) *
  VALUE(
    _xlfn.XLOOKUP(
      TRIM($F15) &amp; "|" &amp; LEFT(SUBSTITUTE($G15,CHAR(160)," "),5) &amp; "|Full Rate",
      TRIM(SUBSTITUTE($M$2:$M$38,CHAR(160)," ")) &amp; "|" &amp;
      LEFT(SUBSTITUTE($N$2:$N$38,CHAR(160)," "),5) &amp; "|" &amp;
      TRIM(SUBSTITUTE($O$2:$O$38,CHAR(160)," ")),
      $P$2:$P$38
    )
  ),
"")</f>
        <v/>
      </c>
      <c r="J15" s="84" t="str" cm="1">
        <f t="array" ref="J15">IFERROR(
  VALUE($H15) *
  VALUE(
    _xlfn.XLOOKUP(
      TRIM($F15) &amp; "|" &amp; LEFT(SUBSTITUTE($G15,CHAR(160)," "),5) &amp; "|Reduced Rate",
      TRIM(SUBSTITUTE($M$2:$M$38,CHAR(160)," ")) &amp; "|" &amp;
      LEFT(SUBSTITUTE($N$2:$N$38,CHAR(160)," "),5) &amp; "|" &amp;
      TRIM(SUBSTITUTE($O$2:$O$38,CHAR(160)," ")),
      $P$2:$P$38
    )
  ),
"")</f>
        <v/>
      </c>
      <c r="K15" s="68" t="str" cm="1">
        <f t="array" ref="K15">IFERROR(
  VALUE($H15) *
  VALUE(
    _xlfn.XLOOKUP(
      TRIM($F15) &amp; "|" &amp; LEFT(SUBSTITUTE($G15,CHAR(160)," "),5) &amp; "|Ideas Rate",
      TRIM(SUBSTITUTE($M$2:$M$38,CHAR(160)," ")) &amp; "|" &amp;
      LEFT(SUBSTITUTE($N$2:$N$38,CHAR(160)," "),5) &amp; "|" &amp;
      TRIM(SUBSTITUTE($O$2:$O$38,CHAR(160)," ")),
      $P$2:$P$38
    )
  ),
"")</f>
        <v/>
      </c>
      <c r="M15" t="s">
        <v>9</v>
      </c>
      <c r="N15" t="s">
        <v>376</v>
      </c>
      <c r="O15" t="s">
        <v>382</v>
      </c>
      <c r="P15" s="32">
        <v>250</v>
      </c>
      <c r="R15" s="97" t="s">
        <v>178</v>
      </c>
      <c r="S15" s="98">
        <f t="shared" si="5"/>
        <v>0</v>
      </c>
      <c r="T15" s="101">
        <f t="shared" si="6"/>
        <v>0</v>
      </c>
      <c r="U15" s="99"/>
    </row>
    <row r="16" spans="1:23" x14ac:dyDescent="0.2">
      <c r="C16" s="19"/>
      <c r="I16" s="84" t="str" cm="1">
        <f t="array" ref="I16">IFERROR(
  VALUE($H16) *
  VALUE(
    _xlfn.XLOOKUP(
      TRIM($F16) &amp; "|" &amp; LEFT(SUBSTITUTE($G16,CHAR(160)," "),5) &amp; "|Full Rate",
      TRIM(SUBSTITUTE($M$2:$M$38,CHAR(160)," ")) &amp; "|" &amp;
      LEFT(SUBSTITUTE($N$2:$N$38,CHAR(160)," "),5) &amp; "|" &amp;
      TRIM(SUBSTITUTE($O$2:$O$38,CHAR(160)," ")),
      $P$2:$P$38
    )
  ),
"")</f>
        <v/>
      </c>
      <c r="J16" s="84" t="str" cm="1">
        <f t="array" ref="J16">IFERROR(
  VALUE($H16) *
  VALUE(
    _xlfn.XLOOKUP(
      TRIM($F16) &amp; "|" &amp; LEFT(SUBSTITUTE($G16,CHAR(160)," "),5) &amp; "|Reduced Rate",
      TRIM(SUBSTITUTE($M$2:$M$38,CHAR(160)," ")) &amp; "|" &amp;
      LEFT(SUBSTITUTE($N$2:$N$38,CHAR(160)," "),5) &amp; "|" &amp;
      TRIM(SUBSTITUTE($O$2:$O$38,CHAR(160)," ")),
      $P$2:$P$38
    )
  ),
"")</f>
        <v/>
      </c>
      <c r="K16" s="68" t="str" cm="1">
        <f t="array" ref="K16">IFERROR(
  VALUE($H16) *
  VALUE(
    _xlfn.XLOOKUP(
      TRIM($F16) &amp; "|" &amp; LEFT(SUBSTITUTE($G16,CHAR(160)," "),5) &amp; "|Ideas Rate",
      TRIM(SUBSTITUTE($M$2:$M$38,CHAR(160)," ")) &amp; "|" &amp;
      LEFT(SUBSTITUTE($N$2:$N$38,CHAR(160)," "),5) &amp; "|" &amp;
      TRIM(SUBSTITUTE($O$2:$O$38,CHAR(160)," ")),
      $P$2:$P$38
    )
  ),
"")</f>
        <v/>
      </c>
      <c r="M16" t="s">
        <v>9</v>
      </c>
      <c r="N16" t="s">
        <v>376</v>
      </c>
      <c r="O16" t="s">
        <v>383</v>
      </c>
      <c r="P16" s="32">
        <v>150</v>
      </c>
      <c r="R16" s="97" t="s">
        <v>81</v>
      </c>
      <c r="S16" s="98">
        <f t="shared" si="5"/>
        <v>0</v>
      </c>
      <c r="T16" s="101">
        <f t="shared" si="6"/>
        <v>0</v>
      </c>
      <c r="U16" s="99"/>
    </row>
    <row r="17" spans="9:21" x14ac:dyDescent="0.2">
      <c r="I17" s="84" t="str" cm="1">
        <f t="array" ref="I17">IFERROR(
  VALUE($H17) *
  VALUE(
    _xlfn.XLOOKUP(
      TRIM($F17) &amp; "|" &amp; LEFT(SUBSTITUTE($G17,CHAR(160)," "),5) &amp; "|Full Rate",
      TRIM(SUBSTITUTE($M$2:$M$38,CHAR(160)," ")) &amp; "|" &amp;
      LEFT(SUBSTITUTE($N$2:$N$38,CHAR(160)," "),5) &amp; "|" &amp;
      TRIM(SUBSTITUTE($O$2:$O$38,CHAR(160)," ")),
      $P$2:$P$38
    )
  ),
"")</f>
        <v/>
      </c>
      <c r="J17" s="84" t="str" cm="1">
        <f t="array" ref="J17">IFERROR(
  VALUE($H17) *
  VALUE(
    _xlfn.XLOOKUP(
      TRIM($F17) &amp; "|" &amp; LEFT(SUBSTITUTE($G17,CHAR(160)," "),5) &amp; "|Reduced Rate",
      TRIM(SUBSTITUTE($M$2:$M$38,CHAR(160)," ")) &amp; "|" &amp;
      LEFT(SUBSTITUTE($N$2:$N$38,CHAR(160)," "),5) &amp; "|" &amp;
      TRIM(SUBSTITUTE($O$2:$O$38,CHAR(160)," ")),
      $P$2:$P$38
    )
  ),
"")</f>
        <v/>
      </c>
      <c r="K17" s="68" t="str" cm="1">
        <f t="array" ref="K17">IFERROR(
  VALUE($H17) *
  VALUE(
    _xlfn.XLOOKUP(
      TRIM($F17) &amp; "|" &amp; LEFT(SUBSTITUTE($G17,CHAR(160)," "),5) &amp; "|Ideas Rate",
      TRIM(SUBSTITUTE($M$2:$M$38,CHAR(160)," ")) &amp; "|" &amp;
      LEFT(SUBSTITUTE($N$2:$N$38,CHAR(160)," "),5) &amp; "|" &amp;
      TRIM(SUBSTITUTE($O$2:$O$38,CHAR(160)," ")),
      $P$2:$P$38
    )
  ),
"")</f>
        <v/>
      </c>
      <c r="M17" t="s">
        <v>9</v>
      </c>
      <c r="N17" t="s">
        <v>376</v>
      </c>
      <c r="O17" t="s">
        <v>384</v>
      </c>
      <c r="P17" s="32">
        <v>75</v>
      </c>
      <c r="R17" s="97" t="s">
        <v>29</v>
      </c>
      <c r="S17" s="98">
        <f t="shared" si="5"/>
        <v>0</v>
      </c>
      <c r="T17" s="101">
        <f t="shared" si="6"/>
        <v>0</v>
      </c>
      <c r="U17" s="99"/>
    </row>
    <row r="18" spans="9:21" x14ac:dyDescent="0.2">
      <c r="I18" s="84" t="str" cm="1">
        <f t="array" ref="I18">IFERROR(
  VALUE($H18) *
  VALUE(
    _xlfn.XLOOKUP(
      TRIM($F18) &amp; "|" &amp; LEFT(SUBSTITUTE($G18,CHAR(160)," "),5) &amp; "|Full Rate",
      TRIM(SUBSTITUTE($M$2:$M$38,CHAR(160)," ")) &amp; "|" &amp;
      LEFT(SUBSTITUTE($N$2:$N$38,CHAR(160)," "),5) &amp; "|" &amp;
      TRIM(SUBSTITUTE($O$2:$O$38,CHAR(160)," ")),
      $P$2:$P$38
    )
  ),
"")</f>
        <v/>
      </c>
      <c r="J18" s="84" t="str" cm="1">
        <f t="array" ref="J18">IFERROR(
  VALUE($H18) *
  VALUE(
    _xlfn.XLOOKUP(
      TRIM($F18) &amp; "|" &amp; LEFT(SUBSTITUTE($G18,CHAR(160)," "),5) &amp; "|Reduced Rate",
      TRIM(SUBSTITUTE($M$2:$M$38,CHAR(160)," ")) &amp; "|" &amp;
      LEFT(SUBSTITUTE($N$2:$N$38,CHAR(160)," "),5) &amp; "|" &amp;
      TRIM(SUBSTITUTE($O$2:$O$38,CHAR(160)," ")),
      $P$2:$P$38
    )
  ),
"")</f>
        <v/>
      </c>
      <c r="K18" s="68" t="str" cm="1">
        <f t="array" ref="K18">IFERROR(
  VALUE($H18) *
  VALUE(
    _xlfn.XLOOKUP(
      TRIM($F18) &amp; "|" &amp; LEFT(SUBSTITUTE($G18,CHAR(160)," "),5) &amp; "|Ideas Rate",
      TRIM(SUBSTITUTE($M$2:$M$38,CHAR(160)," ")) &amp; "|" &amp;
      LEFT(SUBSTITUTE($N$2:$N$38,CHAR(160)," "),5) &amp; "|" &amp;
      TRIM(SUBSTITUTE($O$2:$O$38,CHAR(160)," ")),
      $P$2:$P$38
    )
  ),
"")</f>
        <v/>
      </c>
      <c r="M18" t="s">
        <v>9</v>
      </c>
      <c r="N18" t="s">
        <v>368</v>
      </c>
      <c r="O18" t="s">
        <v>382</v>
      </c>
      <c r="P18" s="32">
        <v>100</v>
      </c>
      <c r="R18" s="97" t="s">
        <v>192</v>
      </c>
      <c r="S18" s="98">
        <f t="shared" si="5"/>
        <v>0</v>
      </c>
      <c r="T18" s="101">
        <f t="shared" si="6"/>
        <v>0</v>
      </c>
      <c r="U18" s="99"/>
    </row>
    <row r="19" spans="9:21" x14ac:dyDescent="0.2">
      <c r="I19" s="84" t="str" cm="1">
        <f t="array" ref="I19">IFERROR(
  VALUE($H19) *
  VALUE(
    _xlfn.XLOOKUP(
      TRIM($F19) &amp; "|" &amp; LEFT(SUBSTITUTE($G19,CHAR(160)," "),5) &amp; "|Full Rate",
      TRIM(SUBSTITUTE($M$2:$M$38,CHAR(160)," ")) &amp; "|" &amp;
      LEFT(SUBSTITUTE($N$2:$N$38,CHAR(160)," "),5) &amp; "|" &amp;
      TRIM(SUBSTITUTE($O$2:$O$38,CHAR(160)," ")),
      $P$2:$P$38
    )
  ),
"")</f>
        <v/>
      </c>
      <c r="J19" s="84" t="str" cm="1">
        <f t="array" ref="J19">IFERROR(
  VALUE($H19) *
  VALUE(
    _xlfn.XLOOKUP(
      TRIM($F19) &amp; "|" &amp; LEFT(SUBSTITUTE($G19,CHAR(160)," "),5) &amp; "|Reduced Rate",
      TRIM(SUBSTITUTE($M$2:$M$38,CHAR(160)," ")) &amp; "|" &amp;
      LEFT(SUBSTITUTE($N$2:$N$38,CHAR(160)," "),5) &amp; "|" &amp;
      TRIM(SUBSTITUTE($O$2:$O$38,CHAR(160)," ")),
      $P$2:$P$38
    )
  ),
"")</f>
        <v/>
      </c>
      <c r="K19" s="68" t="str" cm="1">
        <f t="array" ref="K19">IFERROR(
  VALUE($H19) *
  VALUE(
    _xlfn.XLOOKUP(
      TRIM($F19) &amp; "|" &amp; LEFT(SUBSTITUTE($G19,CHAR(160)," "),5) &amp; "|Ideas Rate",
      TRIM(SUBSTITUTE($M$2:$M$38,CHAR(160)," ")) &amp; "|" &amp;
      LEFT(SUBSTITUTE($N$2:$N$38,CHAR(160)," "),5) &amp; "|" &amp;
      TRIM(SUBSTITUTE($O$2:$O$38,CHAR(160)," ")),
      $P$2:$P$38
    )
  ),
"")</f>
        <v/>
      </c>
      <c r="M19" t="s">
        <v>9</v>
      </c>
      <c r="N19" t="s">
        <v>368</v>
      </c>
      <c r="O19" t="s">
        <v>378</v>
      </c>
      <c r="P19" s="32">
        <v>50</v>
      </c>
      <c r="R19" s="97" t="s">
        <v>184</v>
      </c>
      <c r="S19" s="98">
        <f t="shared" si="5"/>
        <v>15</v>
      </c>
      <c r="T19" s="101">
        <f t="shared" si="6"/>
        <v>6125</v>
      </c>
      <c r="U19" s="99"/>
    </row>
    <row r="20" spans="9:21" x14ac:dyDescent="0.2">
      <c r="I20" s="84" t="str" cm="1">
        <f t="array" ref="I20">IFERROR(
  VALUE($H20) *
  VALUE(
    _xlfn.XLOOKUP(
      TRIM($F20) &amp; "|" &amp; LEFT(SUBSTITUTE($G20,CHAR(160)," "),5) &amp; "|Full Rate",
      TRIM(SUBSTITUTE($M$2:$M$38,CHAR(160)," ")) &amp; "|" &amp;
      LEFT(SUBSTITUTE($N$2:$N$38,CHAR(160)," "),5) &amp; "|" &amp;
      TRIM(SUBSTITUTE($O$2:$O$38,CHAR(160)," ")),
      $P$2:$P$38
    )
  ),
"")</f>
        <v/>
      </c>
      <c r="J20" s="84" t="str" cm="1">
        <f t="array" ref="J20">IFERROR(
  VALUE($H20) *
  VALUE(
    _xlfn.XLOOKUP(
      TRIM($F20) &amp; "|" &amp; LEFT(SUBSTITUTE($G20,CHAR(160)," "),5) &amp; "|Reduced Rate",
      TRIM(SUBSTITUTE($M$2:$M$38,CHAR(160)," ")) &amp; "|" &amp;
      LEFT(SUBSTITUTE($N$2:$N$38,CHAR(160)," "),5) &amp; "|" &amp;
      TRIM(SUBSTITUTE($O$2:$O$38,CHAR(160)," ")),
      $P$2:$P$38
    )
  ),
"")</f>
        <v/>
      </c>
      <c r="K20" s="68" t="str" cm="1">
        <f t="array" ref="K20">IFERROR(
  VALUE($H20) *
  VALUE(
    _xlfn.XLOOKUP(
      TRIM($F20) &amp; "|" &amp; LEFT(SUBSTITUTE($G20,CHAR(160)," "),5) &amp; "|Ideas Rate",
      TRIM(SUBSTITUTE($M$2:$M$38,CHAR(160)," ")) &amp; "|" &amp;
      LEFT(SUBSTITUTE($N$2:$N$38,CHAR(160)," "),5) &amp; "|" &amp;
      TRIM(SUBSTITUTE($O$2:$O$38,CHAR(160)," ")),
      $P$2:$P$38
    )
  ),
"")</f>
        <v/>
      </c>
      <c r="M20" t="s">
        <v>9</v>
      </c>
      <c r="N20" t="s">
        <v>368</v>
      </c>
      <c r="O20" s="66" t="s">
        <v>384</v>
      </c>
      <c r="P20" s="32">
        <v>30</v>
      </c>
      <c r="R20" s="97" t="s">
        <v>187</v>
      </c>
      <c r="S20" s="98">
        <f t="shared" si="5"/>
        <v>7</v>
      </c>
      <c r="T20" s="101">
        <f t="shared" si="6"/>
        <v>2210</v>
      </c>
      <c r="U20" s="99"/>
    </row>
    <row r="21" spans="9:21" x14ac:dyDescent="0.2">
      <c r="I21" s="84" t="str" cm="1">
        <f t="array" ref="I21">IFERROR(
  VALUE($H21) *
  VALUE(
    _xlfn.XLOOKUP(
      TRIM($F21) &amp; "|" &amp; LEFT(SUBSTITUTE($G21,CHAR(160)," "),5) &amp; "|Full Rate",
      TRIM(SUBSTITUTE($M$2:$M$38,CHAR(160)," ")) &amp; "|" &amp;
      LEFT(SUBSTITUTE($N$2:$N$38,CHAR(160)," "),5) &amp; "|" &amp;
      TRIM(SUBSTITUTE($O$2:$O$38,CHAR(160)," ")),
      $P$2:$P$38
    )
  ),
"")</f>
        <v/>
      </c>
      <c r="J21" s="84" t="str" cm="1">
        <f t="array" ref="J21">IFERROR(
  VALUE($H21) *
  VALUE(
    _xlfn.XLOOKUP(
      TRIM($F21) &amp; "|" &amp; LEFT(SUBSTITUTE($G21,CHAR(160)," "),5) &amp; "|Reduced Rate",
      TRIM(SUBSTITUTE($M$2:$M$38,CHAR(160)," ")) &amp; "|" &amp;
      LEFT(SUBSTITUTE($N$2:$N$38,CHAR(160)," "),5) &amp; "|" &amp;
      TRIM(SUBSTITUTE($O$2:$O$38,CHAR(160)," ")),
      $P$2:$P$38
    )
  ),
"")</f>
        <v/>
      </c>
      <c r="K21" s="68" t="str" cm="1">
        <f t="array" ref="K21">IFERROR(
  VALUE($H21) *
  VALUE(
    _xlfn.XLOOKUP(
      TRIM($F21) &amp; "|" &amp; LEFT(SUBSTITUTE($G21,CHAR(160)," "),5) &amp; "|Ideas Rate",
      TRIM(SUBSTITUTE($M$2:$M$38,CHAR(160)," ")) &amp; "|" &amp;
      LEFT(SUBSTITUTE($N$2:$N$38,CHAR(160)," "),5) &amp; "|" &amp;
      TRIM(SUBSTITUTE($O$2:$O$38,CHAR(160)," ")),
      $P$2:$P$38
    )
  ),
"")</f>
        <v/>
      </c>
      <c r="M21" s="56" t="s">
        <v>155</v>
      </c>
      <c r="N21" s="56" t="s">
        <v>375</v>
      </c>
      <c r="O21" t="s">
        <v>382</v>
      </c>
      <c r="P21" s="57">
        <v>400</v>
      </c>
      <c r="R21" s="97" t="s">
        <v>323</v>
      </c>
      <c r="S21" s="98">
        <f t="shared" si="5"/>
        <v>0</v>
      </c>
      <c r="T21" s="101">
        <f t="shared" si="6"/>
        <v>0</v>
      </c>
      <c r="U21" s="99"/>
    </row>
    <row r="22" spans="9:21" x14ac:dyDescent="0.2">
      <c r="I22" s="84" t="str" cm="1">
        <f t="array" ref="I22">IFERROR(
  VALUE($H22) *
  VALUE(
    _xlfn.XLOOKUP(
      TRIM($F22) &amp; "|" &amp; LEFT(SUBSTITUTE($G22,CHAR(160)," "),5) &amp; "|Full Rate",
      TRIM(SUBSTITUTE($M$2:$M$38,CHAR(160)," ")) &amp; "|" &amp;
      LEFT(SUBSTITUTE($N$2:$N$38,CHAR(160)," "),5) &amp; "|" &amp;
      TRIM(SUBSTITUTE($O$2:$O$38,CHAR(160)," ")),
      $P$2:$P$38
    )
  ),
"")</f>
        <v/>
      </c>
      <c r="K22" s="68" t="str" cm="1">
        <f t="array" ref="K22">IFERROR(
  VALUE($H22) *
  VALUE(
    _xlfn.XLOOKUP(
      TRIM($F22) &amp; "|" &amp; LEFT(SUBSTITUTE($G22,CHAR(160)," "),5) &amp; "|Ideas Rate",
      TRIM(SUBSTITUTE($M$2:$M$38,CHAR(160)," ")) &amp; "|" &amp;
      LEFT(SUBSTITUTE($N$2:$N$38,CHAR(160)," "),5) &amp; "|" &amp;
      TRIM(SUBSTITUTE($O$2:$O$38,CHAR(160)," ")),
      $P$2:$P$38
    )
  ),
"")</f>
        <v/>
      </c>
      <c r="M22" t="s">
        <v>155</v>
      </c>
      <c r="N22" t="s">
        <v>375</v>
      </c>
      <c r="O22" t="s">
        <v>383</v>
      </c>
      <c r="P22" s="32">
        <v>200</v>
      </c>
      <c r="R22" s="97" t="s">
        <v>324</v>
      </c>
      <c r="S22" s="98">
        <f t="shared" si="5"/>
        <v>0</v>
      </c>
      <c r="T22" s="101">
        <f t="shared" si="6"/>
        <v>0</v>
      </c>
      <c r="U22" s="99"/>
    </row>
    <row r="23" spans="9:21" x14ac:dyDescent="0.2">
      <c r="I23" s="84" t="str" cm="1">
        <f t="array" ref="I23">IFERROR(
  VALUE($H23) *
  VALUE(
    _xlfn.XLOOKUP(
      TRIM($F23) &amp; "|" &amp; LEFT(SUBSTITUTE($G23,CHAR(160)," "),5) &amp; "|Full Rate",
      TRIM(SUBSTITUTE($M$2:$M$38,CHAR(160)," ")) &amp; "|" &amp;
      LEFT(SUBSTITUTE($N$2:$N$38,CHAR(160)," "),5) &amp; "|" &amp;
      TRIM(SUBSTITUTE($O$2:$O$38,CHAR(160)," ")),
      $P$2:$P$38
    )
  ),
"")</f>
        <v/>
      </c>
      <c r="K23" s="68" t="str" cm="1">
        <f t="array" ref="K23">IFERROR(
  VALUE($H23) *
  VALUE(
    _xlfn.XLOOKUP(
      TRIM($F23) &amp; "|" &amp; LEFT(SUBSTITUTE($G23,CHAR(160)," "),5) &amp; "|Ideas Rate",
      TRIM(SUBSTITUTE($M$2:$M$38,CHAR(160)," ")) &amp; "|" &amp;
      LEFT(SUBSTITUTE($N$2:$N$38,CHAR(160)," "),5) &amp; "|" &amp;
      TRIM(SUBSTITUTE($O$2:$O$38,CHAR(160)," ")),
      $P$2:$P$38
    )
  ),
"")</f>
        <v/>
      </c>
      <c r="M23" t="s">
        <v>155</v>
      </c>
      <c r="N23" t="s">
        <v>375</v>
      </c>
      <c r="O23" t="s">
        <v>384</v>
      </c>
      <c r="P23" s="32">
        <v>120</v>
      </c>
    </row>
    <row r="24" spans="9:21" x14ac:dyDescent="0.2">
      <c r="I24" s="84" t="str" cm="1">
        <f t="array" ref="I24">IFERROR(
  VALUE($H24) *
  VALUE(
    _xlfn.XLOOKUP(
      TRIM($F24) &amp; "|" &amp; LEFT(SUBSTITUTE($G24,CHAR(160)," "),5) &amp; "|Full Rate",
      TRIM(SUBSTITUTE($M$2:$M$38,CHAR(160)," ")) &amp; "|" &amp;
      LEFT(SUBSTITUTE($N$2:$N$38,CHAR(160)," "),5) &amp; "|" &amp;
      TRIM(SUBSTITUTE($O$2:$O$38,CHAR(160)," ")),
      $P$2:$P$38
    )
  ),
"")</f>
        <v/>
      </c>
      <c r="K24" s="68" t="str" cm="1">
        <f t="array" ref="K24">IFERROR(
  VALUE($H24) *
  VALUE(
    _xlfn.XLOOKUP(
      TRIM($F24) &amp; "|" &amp; LEFT(SUBSTITUTE($G24,CHAR(160)," "),5) &amp; "|Ideas Rate",
      TRIM(SUBSTITUTE($M$2:$M$38,CHAR(160)," ")) &amp; "|" &amp;
      LEFT(SUBSTITUTE($N$2:$N$38,CHAR(160)," "),5) &amp; "|" &amp;
      TRIM(SUBSTITUTE($O$2:$O$38,CHAR(160)," ")),
      $P$2:$P$38
    )
  ),
"")</f>
        <v/>
      </c>
      <c r="M24" t="s">
        <v>155</v>
      </c>
      <c r="N24" t="s">
        <v>376</v>
      </c>
      <c r="O24" t="s">
        <v>382</v>
      </c>
      <c r="P24" s="32">
        <v>260</v>
      </c>
    </row>
    <row r="25" spans="9:21" x14ac:dyDescent="0.2">
      <c r="I25" s="84" t="str" cm="1">
        <f t="array" ref="I25">IFERROR(
  VALUE($H25) *
  VALUE(
    _xlfn.XLOOKUP(
      TRIM($F25) &amp; "|" &amp; LEFT(SUBSTITUTE($G25,CHAR(160)," "),5) &amp; "|Full Rate",
      TRIM(SUBSTITUTE($M$2:$M$38,CHAR(160)," ")) &amp; "|" &amp;
      LEFT(SUBSTITUTE($N$2:$N$38,CHAR(160)," "),5) &amp; "|" &amp;
      TRIM(SUBSTITUTE($O$2:$O$38,CHAR(160)," ")),
      $P$2:$P$38
    )
  ),
"")</f>
        <v/>
      </c>
      <c r="K25" s="68" t="str" cm="1">
        <f t="array" ref="K25">IFERROR(
  VALUE($H25) *
  VALUE(
    _xlfn.XLOOKUP(
      TRIM($F25) &amp; "|" &amp; LEFT(SUBSTITUTE($G25,CHAR(160)," "),5) &amp; "|Ideas Rate",
      TRIM(SUBSTITUTE($M$2:$M$38,CHAR(160)," ")) &amp; "|" &amp;
      LEFT(SUBSTITUTE($N$2:$N$38,CHAR(160)," "),5) &amp; "|" &amp;
      TRIM(SUBSTITUTE($O$2:$O$38,CHAR(160)," ")),
      $P$2:$P$38
    )
  ),
"")</f>
        <v/>
      </c>
      <c r="M25" t="s">
        <v>155</v>
      </c>
      <c r="N25" t="s">
        <v>376</v>
      </c>
      <c r="O25" t="s">
        <v>383</v>
      </c>
      <c r="P25" s="32">
        <v>120</v>
      </c>
    </row>
    <row r="26" spans="9:21" x14ac:dyDescent="0.2">
      <c r="I26" s="84" t="str" cm="1">
        <f t="array" ref="I26">IFERROR(
  VALUE($H26) *
  VALUE(
    _xlfn.XLOOKUP(
      TRIM($F26) &amp; "|" &amp; LEFT(SUBSTITUTE($G26,CHAR(160)," "),5) &amp; "|Full Rate",
      TRIM(SUBSTITUTE($M$2:$M$38,CHAR(160)," ")) &amp; "|" &amp;
      LEFT(SUBSTITUTE($N$2:$N$38,CHAR(160)," "),5) &amp; "|" &amp;
      TRIM(SUBSTITUTE($O$2:$O$38,CHAR(160)," ")),
      $P$2:$P$38
    )
  ),
"")</f>
        <v/>
      </c>
      <c r="K26" s="68" t="str" cm="1">
        <f t="array" ref="K26">IFERROR(
  VALUE($H26) *
  VALUE(
    _xlfn.XLOOKUP(
      TRIM($F26) &amp; "|" &amp; LEFT(SUBSTITUTE($G26,CHAR(160)," "),5) &amp; "|Ideas Rate",
      TRIM(SUBSTITUTE($M$2:$M$38,CHAR(160)," ")) &amp; "|" &amp;
      LEFT(SUBSTITUTE($N$2:$N$38,CHAR(160)," "),5) &amp; "|" &amp;
      TRIM(SUBSTITUTE($O$2:$O$38,CHAR(160)," ")),
      $P$2:$P$38
    )
  ),
"")</f>
        <v/>
      </c>
      <c r="M26" t="s">
        <v>155</v>
      </c>
      <c r="N26" t="s">
        <v>376</v>
      </c>
      <c r="O26" t="s">
        <v>384</v>
      </c>
      <c r="P26" s="32">
        <v>90</v>
      </c>
    </row>
    <row r="27" spans="9:21" x14ac:dyDescent="0.2">
      <c r="I27" s="84" t="str" cm="1">
        <f t="array" ref="I27">IFERROR(
  VALUE($H27) *
  VALUE(
    _xlfn.XLOOKUP(
      TRIM($F27) &amp; "|" &amp; LEFT(SUBSTITUTE($G27,CHAR(160)," "),5) &amp; "|Full Rate",
      TRIM(SUBSTITUTE($M$2:$M$38,CHAR(160)," ")) &amp; "|" &amp;
      LEFT(SUBSTITUTE($N$2:$N$38,CHAR(160)," "),5) &amp; "|" &amp;
      TRIM(SUBSTITUTE($O$2:$O$38,CHAR(160)," ")),
      $P$2:$P$38
    )
  ),
"")</f>
        <v/>
      </c>
      <c r="K27" s="68" t="str" cm="1">
        <f t="array" ref="K27">IFERROR(
  VALUE($H27) *
  VALUE(
    _xlfn.XLOOKUP(
      TRIM($F27) &amp; "|" &amp; LEFT(SUBSTITUTE($G27,CHAR(160)," "),5) &amp; "|Ideas Rate",
      TRIM(SUBSTITUTE($M$2:$M$38,CHAR(160)," ")) &amp; "|" &amp;
      LEFT(SUBSTITUTE($N$2:$N$38,CHAR(160)," "),5) &amp; "|" &amp;
      TRIM(SUBSTITUTE($O$2:$O$38,CHAR(160)," ")),
      $P$2:$P$38
    )
  ),
"")</f>
        <v/>
      </c>
      <c r="M27" t="s">
        <v>155</v>
      </c>
      <c r="N27" t="s">
        <v>368</v>
      </c>
      <c r="O27" t="s">
        <v>382</v>
      </c>
      <c r="P27" s="32">
        <v>100</v>
      </c>
    </row>
    <row r="28" spans="9:21" x14ac:dyDescent="0.2">
      <c r="I28" s="84" t="str" cm="1">
        <f t="array" ref="I28">IFERROR(
  VALUE($H28) *
  VALUE(
    _xlfn.XLOOKUP(
      TRIM($F28) &amp; "|" &amp; LEFT(SUBSTITUTE($G28,CHAR(160)," "),5) &amp; "|Full Rate",
      TRIM(SUBSTITUTE($M$2:$M$38,CHAR(160)," ")) &amp; "|" &amp;
      LEFT(SUBSTITUTE($N$2:$N$38,CHAR(160)," "),5) &amp; "|" &amp;
      TRIM(SUBSTITUTE($O$2:$O$38,CHAR(160)," ")),
      $P$2:$P$38
    )
  ),
"")</f>
        <v/>
      </c>
      <c r="K28" s="68" t="str" cm="1">
        <f t="array" ref="K28">IFERROR(
  VALUE($H28) *
  VALUE(
    _xlfn.XLOOKUP(
      TRIM($F28) &amp; "|" &amp; LEFT(SUBSTITUTE($G28,CHAR(160)," "),5) &amp; "|Ideas Rate",
      TRIM(SUBSTITUTE($M$2:$M$38,CHAR(160)," ")) &amp; "|" &amp;
      LEFT(SUBSTITUTE($N$2:$N$38,CHAR(160)," "),5) &amp; "|" &amp;
      TRIM(SUBSTITUTE($O$2:$O$38,CHAR(160)," ")),
      $P$2:$P$38
    )
  ),
"")</f>
        <v/>
      </c>
      <c r="M28" t="s">
        <v>155</v>
      </c>
      <c r="N28" t="s">
        <v>368</v>
      </c>
      <c r="O28" t="s">
        <v>383</v>
      </c>
      <c r="P28" s="32">
        <v>50</v>
      </c>
    </row>
    <row r="29" spans="9:21" x14ac:dyDescent="0.2">
      <c r="I29" s="84" t="str" cm="1">
        <f t="array" ref="I29">IFERROR(
  VALUE($H29) *
  VALUE(
    _xlfn.XLOOKUP(
      TRIM($F29) &amp; "|" &amp; LEFT(SUBSTITUTE($G29,CHAR(160)," "),5) &amp; "|Full Rate",
      TRIM(SUBSTITUTE($M$2:$M$38,CHAR(160)," ")) &amp; "|" &amp;
      LEFT(SUBSTITUTE($N$2:$N$38,CHAR(160)," "),5) &amp; "|" &amp;
      TRIM(SUBSTITUTE($O$2:$O$38,CHAR(160)," ")),
      $P$2:$P$38
    )
  ),
"")</f>
        <v/>
      </c>
      <c r="K29" s="68" t="str" cm="1">
        <f t="array" ref="K29">IFERROR(
  VALUE($H29) *
  VALUE(
    _xlfn.XLOOKUP(
      TRIM($F29) &amp; "|" &amp; LEFT(SUBSTITUTE($G29,CHAR(160)," "),5) &amp; "|Ideas Rate",
      TRIM(SUBSTITUTE($M$2:$M$38,CHAR(160)," ")) &amp; "|" &amp;
      LEFT(SUBSTITUTE($N$2:$N$38,CHAR(160)," "),5) &amp; "|" &amp;
      TRIM(SUBSTITUTE($O$2:$O$38,CHAR(160)," ")),
      $P$2:$P$38
    )
  ),
"")</f>
        <v/>
      </c>
      <c r="M29" t="s">
        <v>155</v>
      </c>
      <c r="N29" t="s">
        <v>368</v>
      </c>
      <c r="O29" s="66" t="s">
        <v>384</v>
      </c>
      <c r="P29" s="32">
        <v>30</v>
      </c>
    </row>
    <row r="30" spans="9:21" x14ac:dyDescent="0.2">
      <c r="I30" s="84" t="str" cm="1">
        <f t="array" ref="I30">IFERROR(
  VALUE($H30) *
  VALUE(
    _xlfn.XLOOKUP(
      TRIM($F30) &amp; "|" &amp; LEFT(SUBSTITUTE($G30,CHAR(160)," "),5) &amp; "|Full Rate",
      TRIM(SUBSTITUTE($M$2:$M$38,CHAR(160)," ")) &amp; "|" &amp;
      LEFT(SUBSTITUTE($N$2:$N$38,CHAR(160)," "),5) &amp; "|" &amp;
      TRIM(SUBSTITUTE($O$2:$O$38,CHAR(160)," ")),
      $P$2:$P$38
    )
  ),
"")</f>
        <v/>
      </c>
      <c r="K30" s="68" t="str" cm="1">
        <f t="array" ref="K30">IFERROR(
  VALUE($H30) *
  VALUE(
    _xlfn.XLOOKUP(
      TRIM($F30) &amp; "|" &amp; LEFT(SUBSTITUTE($G30,CHAR(160)," "),5) &amp; "|Ideas Rate",
      TRIM(SUBSTITUTE($M$2:$M$38,CHAR(160)," ")) &amp; "|" &amp;
      LEFT(SUBSTITUTE($N$2:$N$38,CHAR(160)," "),5) &amp; "|" &amp;
      TRIM(SUBSTITUTE($O$2:$O$38,CHAR(160)," ")),
      $P$2:$P$38
    )
  ),
"")</f>
        <v/>
      </c>
      <c r="M30" s="56" t="s">
        <v>156</v>
      </c>
      <c r="N30" s="56" t="s">
        <v>375</v>
      </c>
      <c r="O30" t="s">
        <v>382</v>
      </c>
      <c r="P30" s="57">
        <v>325</v>
      </c>
    </row>
    <row r="31" spans="9:21" x14ac:dyDescent="0.2">
      <c r="I31" s="84" t="str" cm="1">
        <f t="array" ref="I31">IFERROR(
  VALUE($H31) *
  VALUE(
    _xlfn.XLOOKUP(
      TRIM($F31) &amp; "|" &amp; LEFT(SUBSTITUTE($G31,CHAR(160)," "),5) &amp; "|Full Rate",
      TRIM(SUBSTITUTE($M$2:$M$38,CHAR(160)," ")) &amp; "|" &amp;
      LEFT(SUBSTITUTE($N$2:$N$38,CHAR(160)," "),5) &amp; "|" &amp;
      TRIM(SUBSTITUTE($O$2:$O$38,CHAR(160)," ")),
      $P$2:$P$38
    )
  ),
"")</f>
        <v/>
      </c>
      <c r="K31" s="68" t="str" cm="1">
        <f t="array" ref="K31">IFERROR(
  VALUE($H31) *
  VALUE(
    _xlfn.XLOOKUP(
      TRIM($F31) &amp; "|" &amp; LEFT(SUBSTITUTE($G31,CHAR(160)," "),5) &amp; "|Ideas Rate",
      TRIM(SUBSTITUTE($M$2:$M$38,CHAR(160)," ")) &amp; "|" &amp;
      LEFT(SUBSTITUTE($N$2:$N$38,CHAR(160)," "),5) &amp; "|" &amp;
      TRIM(SUBSTITUTE($O$2:$O$38,CHAR(160)," ")),
      $P$2:$P$38
    )
  ),
"")</f>
        <v/>
      </c>
      <c r="M31" t="s">
        <v>156</v>
      </c>
      <c r="N31" t="s">
        <v>375</v>
      </c>
      <c r="O31" t="s">
        <v>383</v>
      </c>
      <c r="P31" s="32">
        <v>175</v>
      </c>
    </row>
    <row r="32" spans="9:21" x14ac:dyDescent="0.2">
      <c r="I32" s="84" t="str" cm="1">
        <f t="array" ref="I32">IFERROR(
  VALUE($H32) *
  VALUE(
    _xlfn.XLOOKUP(
      TRIM($F32) &amp; "|" &amp; LEFT(SUBSTITUTE($G32,CHAR(160)," "),5) &amp; "|Full Rate",
      TRIM(SUBSTITUTE($M$2:$M$38,CHAR(160)," ")) &amp; "|" &amp;
      LEFT(SUBSTITUTE($N$2:$N$38,CHAR(160)," "),5) &amp; "|" &amp;
      TRIM(SUBSTITUTE($O$2:$O$38,CHAR(160)," ")),
      $P$2:$P$38
    )
  ),
"")</f>
        <v/>
      </c>
      <c r="K32" s="68" t="str" cm="1">
        <f t="array" ref="K32">IFERROR(
  VALUE($H32) *
  VALUE(
    _xlfn.XLOOKUP(
      TRIM($F32) &amp; "|" &amp; LEFT(SUBSTITUTE($G32,CHAR(160)," "),5) &amp; "|Ideas Rate",
      TRIM(SUBSTITUTE($M$2:$M$38,CHAR(160)," ")) &amp; "|" &amp;
      LEFT(SUBSTITUTE($N$2:$N$38,CHAR(160)," "),5) &amp; "|" &amp;
      TRIM(SUBSTITUTE($O$2:$O$38,CHAR(160)," ")),
      $P$2:$P$38
    )
  ),
"")</f>
        <v/>
      </c>
      <c r="M32" t="s">
        <v>156</v>
      </c>
      <c r="N32" t="s">
        <v>375</v>
      </c>
      <c r="O32" t="s">
        <v>384</v>
      </c>
      <c r="P32" s="32">
        <v>95</v>
      </c>
    </row>
    <row r="33" spans="9:16" x14ac:dyDescent="0.2">
      <c r="I33" s="84" t="str" cm="1">
        <f t="array" ref="I33">IFERROR(
  VALUE($H33) *
  VALUE(
    _xlfn.XLOOKUP(
      TRIM($F33) &amp; "|" &amp; LEFT(SUBSTITUTE($G33,CHAR(160)," "),5) &amp; "|Full Rate",
      TRIM(SUBSTITUTE($M$2:$M$38,CHAR(160)," ")) &amp; "|" &amp;
      LEFT(SUBSTITUTE($N$2:$N$38,CHAR(160)," "),5) &amp; "|" &amp;
      TRIM(SUBSTITUTE($O$2:$O$38,CHAR(160)," ")),
      $P$2:$P$38
    )
  ),
"")</f>
        <v/>
      </c>
      <c r="K33" s="68" t="str" cm="1">
        <f t="array" ref="K33">IFERROR(
  VALUE($H33) *
  VALUE(
    _xlfn.XLOOKUP(
      TRIM($F33) &amp; "|" &amp; LEFT(SUBSTITUTE($G33,CHAR(160)," "),5) &amp; "|Ideas Rate",
      TRIM(SUBSTITUTE($M$2:$M$38,CHAR(160)," ")) &amp; "|" &amp;
      LEFT(SUBSTITUTE($N$2:$N$38,CHAR(160)," "),5) &amp; "|" &amp;
      TRIM(SUBSTITUTE($O$2:$O$38,CHAR(160)," ")),
      $P$2:$P$38
    )
  ),
"")</f>
        <v/>
      </c>
      <c r="M33" t="s">
        <v>156</v>
      </c>
      <c r="N33" t="s">
        <v>376</v>
      </c>
      <c r="O33" t="s">
        <v>382</v>
      </c>
      <c r="P33" s="32">
        <v>195</v>
      </c>
    </row>
    <row r="34" spans="9:16" x14ac:dyDescent="0.2">
      <c r="I34" s="84" t="str" cm="1">
        <f t="array" ref="I34">IFERROR(
  VALUE($H34) *
  VALUE(
    _xlfn.XLOOKUP(
      TRIM($F34) &amp; "|" &amp; LEFT(SUBSTITUTE($G34,CHAR(160)," "),5) &amp; "|Full Rate",
      TRIM(SUBSTITUTE($M$2:$M$38,CHAR(160)," ")) &amp; "|" &amp;
      LEFT(SUBSTITUTE($N$2:$N$38,CHAR(160)," "),5) &amp; "|" &amp;
      TRIM(SUBSTITUTE($O$2:$O$38,CHAR(160)," ")),
      $P$2:$P$38
    )
  ),
"")</f>
        <v/>
      </c>
      <c r="K34" s="68" t="str" cm="1">
        <f t="array" ref="K34">IFERROR(
  VALUE($H34) *
  VALUE(
    _xlfn.XLOOKUP(
      TRIM($F34) &amp; "|" &amp; LEFT(SUBSTITUTE($G34,CHAR(160)," "),5) &amp; "|Ideas Rate",
      TRIM(SUBSTITUTE($M$2:$M$38,CHAR(160)," ")) &amp; "|" &amp;
      LEFT(SUBSTITUTE($N$2:$N$38,CHAR(160)," "),5) &amp; "|" &amp;
      TRIM(SUBSTITUTE($O$2:$O$38,CHAR(160)," ")),
      $P$2:$P$38
    )
  ),
"")</f>
        <v/>
      </c>
      <c r="M34" t="s">
        <v>156</v>
      </c>
      <c r="N34" t="s">
        <v>376</v>
      </c>
      <c r="O34" t="s">
        <v>383</v>
      </c>
      <c r="P34" s="32">
        <v>90</v>
      </c>
    </row>
    <row r="35" spans="9:16" x14ac:dyDescent="0.2">
      <c r="I35" s="84" t="str" cm="1">
        <f t="array" ref="I35">IFERROR(
  VALUE($H35) *
  VALUE(
    _xlfn.XLOOKUP(
      TRIM($F35) &amp; "|" &amp; LEFT(SUBSTITUTE($G35,CHAR(160)," "),5) &amp; "|Full Rate",
      TRIM(SUBSTITUTE($M$2:$M$38,CHAR(160)," ")) &amp; "|" &amp;
      LEFT(SUBSTITUTE($N$2:$N$38,CHAR(160)," "),5) &amp; "|" &amp;
      TRIM(SUBSTITUTE($O$2:$O$38,CHAR(160)," ")),
      $P$2:$P$38
    )
  ),
"")</f>
        <v/>
      </c>
      <c r="K35" s="68" t="str" cm="1">
        <f t="array" ref="K35">IFERROR(
  VALUE($H35) *
  VALUE(
    _xlfn.XLOOKUP(
      TRIM($F35) &amp; "|" &amp; LEFT(SUBSTITUTE($G35,CHAR(160)," "),5) &amp; "|Ideas Rate",
      TRIM(SUBSTITUTE($M$2:$M$38,CHAR(160)," ")) &amp; "|" &amp;
      LEFT(SUBSTITUTE($N$2:$N$38,CHAR(160)," "),5) &amp; "|" &amp;
      TRIM(SUBSTITUTE($O$2:$O$38,CHAR(160)," ")),
      $P$2:$P$38
    )
  ),
"")</f>
        <v/>
      </c>
      <c r="M35" t="s">
        <v>156</v>
      </c>
      <c r="N35" t="s">
        <v>376</v>
      </c>
      <c r="O35" t="s">
        <v>384</v>
      </c>
      <c r="P35" s="32">
        <v>45</v>
      </c>
    </row>
    <row r="36" spans="9:16" x14ac:dyDescent="0.2">
      <c r="I36" s="84" t="str" cm="1">
        <f t="array" ref="I36">IFERROR(
  VALUE($H36) *
  VALUE(
    _xlfn.XLOOKUP(
      TRIM($F36) &amp; "|" &amp; LEFT(SUBSTITUTE($G36,CHAR(160)," "),5) &amp; "|Full Rate",
      TRIM(SUBSTITUTE($M$2:$M$38,CHAR(160)," ")) &amp; "|" &amp;
      LEFT(SUBSTITUTE($N$2:$N$38,CHAR(160)," "),5) &amp; "|" &amp;
      TRIM(SUBSTITUTE($O$2:$O$38,CHAR(160)," ")),
      $P$2:$P$38
    )
  ),
"")</f>
        <v/>
      </c>
      <c r="K36" s="68" t="str" cm="1">
        <f t="array" ref="K36">IFERROR(
  VALUE($H36) *
  VALUE(
    _xlfn.XLOOKUP(
      TRIM($F36) &amp; "|" &amp; LEFT(SUBSTITUTE($G36,CHAR(160)," "),5) &amp; "|Ideas Rate",
      TRIM(SUBSTITUTE($M$2:$M$38,CHAR(160)," ")) &amp; "|" &amp;
      LEFT(SUBSTITUTE($N$2:$N$38,CHAR(160)," "),5) &amp; "|" &amp;
      TRIM(SUBSTITUTE($O$2:$O$38,CHAR(160)," ")),
      $P$2:$P$38
    )
  ),
"")</f>
        <v/>
      </c>
      <c r="M36" t="s">
        <v>156</v>
      </c>
      <c r="N36" t="s">
        <v>368</v>
      </c>
      <c r="O36" t="s">
        <v>382</v>
      </c>
      <c r="P36" s="32">
        <v>100</v>
      </c>
    </row>
    <row r="37" spans="9:16" x14ac:dyDescent="0.2">
      <c r="I37" s="84" t="str" cm="1">
        <f t="array" ref="I37">IFERROR(
  VALUE($H37) *
  VALUE(
    _xlfn.XLOOKUP(
      TRIM($F37) &amp; "|" &amp; LEFT(SUBSTITUTE($G37,CHAR(160)," "),5) &amp; "|Full Rate",
      TRIM(SUBSTITUTE($M$2:$M$38,CHAR(160)," ")) &amp; "|" &amp;
      LEFT(SUBSTITUTE($N$2:$N$38,CHAR(160)," "),5) &amp; "|" &amp;
      TRIM(SUBSTITUTE($O$2:$O$38,CHAR(160)," ")),
      $P$2:$P$38
    )
  ),
"")</f>
        <v/>
      </c>
      <c r="K37" s="68" t="str" cm="1">
        <f t="array" ref="K37">IFERROR(
  VALUE($H37) *
  VALUE(
    _xlfn.XLOOKUP(
      TRIM($F37) &amp; "|" &amp; LEFT(SUBSTITUTE($G37,CHAR(160)," "),5) &amp; "|Ideas Rate",
      TRIM(SUBSTITUTE($M$2:$M$38,CHAR(160)," ")) &amp; "|" &amp;
      LEFT(SUBSTITUTE($N$2:$N$38,CHAR(160)," "),5) &amp; "|" &amp;
      TRIM(SUBSTITUTE($O$2:$O$38,CHAR(160)," ")),
      $P$2:$P$38
    )
  ),
"")</f>
        <v/>
      </c>
      <c r="M37" t="s">
        <v>156</v>
      </c>
      <c r="N37" t="s">
        <v>368</v>
      </c>
      <c r="O37" t="s">
        <v>383</v>
      </c>
      <c r="P37" s="32">
        <v>50</v>
      </c>
    </row>
    <row r="38" spans="9:16" x14ac:dyDescent="0.2">
      <c r="I38" s="84" t="str" cm="1">
        <f t="array" ref="I38">IFERROR(
  VALUE($H38) *
  VALUE(
    _xlfn.XLOOKUP(
      TRIM($F38) &amp; "|" &amp; LEFT(SUBSTITUTE($G38,CHAR(160)," "),5) &amp; "|Full Rate",
      TRIM(SUBSTITUTE($M$2:$M$38,CHAR(160)," ")) &amp; "|" &amp;
      LEFT(SUBSTITUTE($N$2:$N$38,CHAR(160)," "),5) &amp; "|" &amp;
      TRIM(SUBSTITUTE($O$2:$O$38,CHAR(160)," ")),
      $P$2:$P$38
    )
  ),
"")</f>
        <v/>
      </c>
      <c r="K38" s="68" t="str" cm="1">
        <f t="array" ref="K38">IFERROR(
  VALUE($H38) *
  VALUE(
    _xlfn.XLOOKUP(
      TRIM($F38) &amp; "|" &amp; LEFT(SUBSTITUTE($G38,CHAR(160)," "),5) &amp; "|Ideas Rate",
      TRIM(SUBSTITUTE($M$2:$M$38,CHAR(160)," ")) &amp; "|" &amp;
      LEFT(SUBSTITUTE($N$2:$N$38,CHAR(160)," "),5) &amp; "|" &amp;
      TRIM(SUBSTITUTE($O$2:$O$38,CHAR(160)," ")),
      $P$2:$P$38
    )
  ),
"")</f>
        <v/>
      </c>
      <c r="M38" t="s">
        <v>156</v>
      </c>
      <c r="N38" t="s">
        <v>368</v>
      </c>
      <c r="O38" t="s">
        <v>384</v>
      </c>
      <c r="P38" s="32">
        <v>30</v>
      </c>
    </row>
    <row r="39" spans="9:16" x14ac:dyDescent="0.2">
      <c r="I39" s="84" t="str" cm="1">
        <f t="array" ref="I39">IFERROR(
  VALUE($H39) *
  VALUE(
    _xlfn.XLOOKUP(
      TRIM($F39) &amp; "|" &amp; LEFT(SUBSTITUTE($G39,CHAR(160)," "),5) &amp; "|Full Rate",
      TRIM(SUBSTITUTE($M$2:$M$38,CHAR(160)," ")) &amp; "|" &amp;
      LEFT(SUBSTITUTE($N$2:$N$38,CHAR(160)," "),5) &amp; "|" &amp;
      TRIM(SUBSTITUTE($O$2:$O$38,CHAR(160)," ")),
      $P$2:$P$38
    )
  ),
"")</f>
        <v/>
      </c>
      <c r="K39" s="68" t="str" cm="1">
        <f t="array" ref="K39">IFERROR(
  VALUE($H39) *
  VALUE(
    _xlfn.XLOOKUP(
      TRIM($F39) &amp; "|" &amp; LEFT(SUBSTITUTE($G39,CHAR(160)," "),5) &amp; "|Ideas Rate",
      TRIM(SUBSTITUTE($M$2:$M$38,CHAR(160)," ")) &amp; "|" &amp;
      LEFT(SUBSTITUTE($N$2:$N$38,CHAR(160)," "),5) &amp; "|" &amp;
      TRIM(SUBSTITUTE($O$2:$O$38,CHAR(160)," ")),
      $P$2:$P$38
    )
  ),
"")</f>
        <v/>
      </c>
    </row>
    <row r="40" spans="9:16" x14ac:dyDescent="0.2">
      <c r="I40" s="84" t="str" cm="1">
        <f t="array" ref="I40">IFERROR(
  VALUE($H40) *
  VALUE(
    _xlfn.XLOOKUP(
      TRIM($F40) &amp; "|" &amp; LEFT(SUBSTITUTE($G40,CHAR(160)," "),5) &amp; "|Full Rate",
      TRIM(SUBSTITUTE($M$2:$M$38,CHAR(160)," ")) &amp; "|" &amp;
      LEFT(SUBSTITUTE($N$2:$N$38,CHAR(160)," "),5) &amp; "|" &amp;
      TRIM(SUBSTITUTE($O$2:$O$38,CHAR(160)," ")),
      $P$2:$P$38
    )
  ),
"")</f>
        <v/>
      </c>
      <c r="K40" s="68" t="str" cm="1">
        <f t="array" ref="K40">IFERROR(
  VALUE($H40) *
  VALUE(
    _xlfn.XLOOKUP(
      TRIM($F40) &amp; "|" &amp; LEFT(SUBSTITUTE($G40,CHAR(160)," "),5) &amp; "|Ideas Rate",
      TRIM(SUBSTITUTE($M$2:$M$38,CHAR(160)," ")) &amp; "|" &amp;
      LEFT(SUBSTITUTE($N$2:$N$38,CHAR(160)," "),5) &amp; "|" &amp;
      TRIM(SUBSTITUTE($O$2:$O$38,CHAR(160)," ")),
      $P$2:$P$38
    )
  ),
"")</f>
        <v/>
      </c>
    </row>
    <row r="41" spans="9:16" x14ac:dyDescent="0.2">
      <c r="I41" s="84" t="str" cm="1">
        <f t="array" ref="I41">IFERROR(
  VALUE($H41) *
  VALUE(
    _xlfn.XLOOKUP(
      TRIM($F41) &amp; "|" &amp; LEFT(SUBSTITUTE($G41,CHAR(160)," "),5) &amp; "|Full Rate",
      TRIM(SUBSTITUTE($M$2:$M$38,CHAR(160)," ")) &amp; "|" &amp;
      LEFT(SUBSTITUTE($N$2:$N$38,CHAR(160)," "),5) &amp; "|" &amp;
      TRIM(SUBSTITUTE($O$2:$O$38,CHAR(160)," ")),
      $P$2:$P$38
    )
  ),
"")</f>
        <v/>
      </c>
      <c r="K41" s="68" t="str" cm="1">
        <f t="array" ref="K41">IFERROR(
  VALUE($H41) *
  VALUE(
    _xlfn.XLOOKUP(
      TRIM($F41) &amp; "|" &amp; LEFT(SUBSTITUTE($G41,CHAR(160)," "),5) &amp; "|Ideas Rate",
      TRIM(SUBSTITUTE($M$2:$M$38,CHAR(160)," ")) &amp; "|" &amp;
      LEFT(SUBSTITUTE($N$2:$N$38,CHAR(160)," "),5) &amp; "|" &amp;
      TRIM(SUBSTITUTE($O$2:$O$38,CHAR(160)," ")),
      $P$2:$P$38
    )
  ),
"")</f>
        <v/>
      </c>
    </row>
    <row r="42" spans="9:16" x14ac:dyDescent="0.2">
      <c r="I42" s="84" t="str" cm="1">
        <f t="array" ref="I42">IFERROR(
  VALUE($H42) *
  VALUE(
    _xlfn.XLOOKUP(
      TRIM($F42) &amp; "|" &amp; LEFT(SUBSTITUTE($G42,CHAR(160)," "),5) &amp; "|Full Rate",
      TRIM(SUBSTITUTE($M$2:$M$38,CHAR(160)," ")) &amp; "|" &amp;
      LEFT(SUBSTITUTE($N$2:$N$38,CHAR(160)," "),5) &amp; "|" &amp;
      TRIM(SUBSTITUTE($O$2:$O$38,CHAR(160)," ")),
      $P$2:$P$38
    )
  ),
"")</f>
        <v/>
      </c>
      <c r="K42" s="68" t="str" cm="1">
        <f t="array" ref="K42">IFERROR(
  VALUE($H42) *
  VALUE(
    _xlfn.XLOOKUP(
      TRIM($F42) &amp; "|" &amp; LEFT(SUBSTITUTE($G42,CHAR(160)," "),5) &amp; "|Ideas Rate",
      TRIM(SUBSTITUTE($M$2:$M$38,CHAR(160)," ")) &amp; "|" &amp;
      LEFT(SUBSTITUTE($N$2:$N$38,CHAR(160)," "),5) &amp; "|" &amp;
      TRIM(SUBSTITUTE($O$2:$O$38,CHAR(160)," ")),
      $P$2:$P$38
    )
  ),
"")</f>
        <v/>
      </c>
    </row>
    <row r="43" spans="9:16" x14ac:dyDescent="0.2">
      <c r="I43" s="84" t="str" cm="1">
        <f t="array" ref="I43">IFERROR(
  VALUE($H43) *
  VALUE(
    _xlfn.XLOOKUP(
      TRIM($F43) &amp; "|" &amp; LEFT(SUBSTITUTE($G43,CHAR(160)," "),5) &amp; "|Full Rate",
      TRIM(SUBSTITUTE($M$2:$M$38,CHAR(160)," ")) &amp; "|" &amp;
      LEFT(SUBSTITUTE($N$2:$N$38,CHAR(160)," "),5) &amp; "|" &amp;
      TRIM(SUBSTITUTE($O$2:$O$38,CHAR(160)," ")),
      $P$2:$P$38
    )
  ),
"")</f>
        <v/>
      </c>
    </row>
    <row r="44" spans="9:16" x14ac:dyDescent="0.2">
      <c r="I44" s="84" t="str" cm="1">
        <f t="array" ref="I44">IFERROR(
  VALUE($H44) *
  VALUE(
    _xlfn.XLOOKUP(
      TRIM($F44) &amp; "|" &amp; LEFT(SUBSTITUTE($G44,CHAR(160)," "),5) &amp; "|Full Rate",
      TRIM(SUBSTITUTE($M$2:$M$38,CHAR(160)," ")) &amp; "|" &amp;
      LEFT(SUBSTITUTE($N$2:$N$38,CHAR(160)," "),5) &amp; "|" &amp;
      TRIM(SUBSTITUTE($O$2:$O$38,CHAR(160)," ")),
      $P$2:$P$38
    )
  ),
"")</f>
        <v/>
      </c>
    </row>
    <row r="45" spans="9:16" x14ac:dyDescent="0.2">
      <c r="I45" s="84" t="str" cm="1">
        <f t="array" ref="I45">IFERROR(
  VALUE($H45) *
  VALUE(
    _xlfn.XLOOKUP(
      TRIM($F45) &amp; "|" &amp; LEFT(SUBSTITUTE($G45,CHAR(160)," "),5) &amp; "|Full Rate",
      TRIM(SUBSTITUTE($M$2:$M$38,CHAR(160)," ")) &amp; "|" &amp;
      LEFT(SUBSTITUTE($N$2:$N$38,CHAR(160)," "),5) &amp; "|" &amp;
      TRIM(SUBSTITUTE($O$2:$O$38,CHAR(160)," ")),
      $P$2:$P$38
    )
  ),
"")</f>
        <v/>
      </c>
    </row>
    <row r="46" spans="9:16" x14ac:dyDescent="0.2">
      <c r="I46" s="84" t="str" cm="1">
        <f t="array" ref="I46">IFERROR(
  VALUE($H46) *
  VALUE(
    _xlfn.XLOOKUP(
      TRIM($F46) &amp; "|" &amp; LEFT(SUBSTITUTE($G46,CHAR(160)," "),5) &amp; "|Full Rate",
      TRIM(SUBSTITUTE($M$2:$M$38,CHAR(160)," ")) &amp; "|" &amp;
      LEFT(SUBSTITUTE($N$2:$N$38,CHAR(160)," "),5) &amp; "|" &amp;
      TRIM(SUBSTITUTE($O$2:$O$38,CHAR(160)," ")),
      $P$2:$P$38
    )
  ),
"")</f>
        <v/>
      </c>
    </row>
    <row r="47" spans="9:16" x14ac:dyDescent="0.2">
      <c r="I47" s="84" t="str" cm="1">
        <f t="array" ref="I47">IFERROR(
  VALUE($H47) *
  VALUE(
    _xlfn.XLOOKUP(
      TRIM($F47) &amp; "|" &amp; LEFT(SUBSTITUTE($G47,CHAR(160)," "),5) &amp; "|Full Rate",
      TRIM(SUBSTITUTE($M$2:$M$38,CHAR(160)," ")) &amp; "|" &amp;
      LEFT(SUBSTITUTE($N$2:$N$38,CHAR(160)," "),5) &amp; "|" &amp;
      TRIM(SUBSTITUTE($O$2:$O$38,CHAR(160)," ")),
      $P$2:$P$38
    )
  ),
"")</f>
        <v/>
      </c>
    </row>
    <row r="48" spans="9:16" x14ac:dyDescent="0.2">
      <c r="I48" s="84" t="str" cm="1">
        <f t="array" ref="I48">IFERROR(
  VALUE($H48) *
  VALUE(
    _xlfn.XLOOKUP(
      TRIM($F48) &amp; "|" &amp; LEFT(SUBSTITUTE($G48,CHAR(160)," "),5) &amp; "|Full Rate",
      TRIM(SUBSTITUTE($M$2:$M$38,CHAR(160)," ")) &amp; "|" &amp;
      LEFT(SUBSTITUTE($N$2:$N$38,CHAR(160)," "),5) &amp; "|" &amp;
      TRIM(SUBSTITUTE($O$2:$O$38,CHAR(160)," ")),
      $P$2:$P$38
    )
  ),
"")</f>
        <v/>
      </c>
    </row>
    <row r="49" spans="9:9" x14ac:dyDescent="0.2">
      <c r="I49" s="84" t="str" cm="1">
        <f t="array" ref="I49">IFERROR(
  VALUE($H49) *
  VALUE(
    _xlfn.XLOOKUP(
      TRIM($F49) &amp; "|" &amp; LEFT(SUBSTITUTE($G49,CHAR(160)," "),5) &amp; "|Full Rate",
      TRIM(SUBSTITUTE($M$2:$M$38,CHAR(160)," ")) &amp; "|" &amp;
      LEFT(SUBSTITUTE($N$2:$N$38,CHAR(160)," "),5) &amp; "|" &amp;
      TRIM(SUBSTITUTE($O$2:$O$38,CHAR(160)," ")),
      $P$2:$P$38
    )
  ),
"")</f>
        <v/>
      </c>
    </row>
    <row r="50" spans="9:9" x14ac:dyDescent="0.2">
      <c r="I50" s="84" t="str" cm="1">
        <f t="array" ref="I50">IFERROR(
  VALUE($H50) *
  VALUE(
    _xlfn.XLOOKUP(
      TRIM($F50) &amp; "|" &amp; LEFT(SUBSTITUTE($G50,CHAR(160)," "),5) &amp; "|Full Rate",
      TRIM(SUBSTITUTE($M$2:$M$38,CHAR(160)," ")) &amp; "|" &amp;
      LEFT(SUBSTITUTE($N$2:$N$38,CHAR(160)," "),5) &amp; "|" &amp;
      TRIM(SUBSTITUTE($O$2:$O$38,CHAR(160)," ")),
      $P$2:$P$38
    )
  ),
"")</f>
        <v/>
      </c>
    </row>
    <row r="51" spans="9:9" x14ac:dyDescent="0.2">
      <c r="I51" s="84" t="str" cm="1">
        <f t="array" ref="I51">IFERROR(
  VALUE($H51) *
  VALUE(
    _xlfn.XLOOKUP(
      TRIM($F51) &amp; "|" &amp; LEFT(SUBSTITUTE($G51,CHAR(160)," "),5) &amp; "|Full Rate",
      TRIM(SUBSTITUTE($M$2:$M$38,CHAR(160)," ")) &amp; "|" &amp;
      LEFT(SUBSTITUTE($N$2:$N$38,CHAR(160)," "),5) &amp; "|" &amp;
      TRIM(SUBSTITUTE($O$2:$O$38,CHAR(160)," ")),
      $P$2:$P$38
    )
  ),
"")</f>
        <v/>
      </c>
    </row>
    <row r="52" spans="9:9" x14ac:dyDescent="0.2">
      <c r="I52" s="84" t="str" cm="1">
        <f t="array" ref="I52">IFERROR(
  VALUE($H52) *
  VALUE(
    _xlfn.XLOOKUP(
      TRIM($F52) &amp; "|" &amp; LEFT(SUBSTITUTE($G52,CHAR(160)," "),5) &amp; "|Full Rate",
      TRIM(SUBSTITUTE($M$2:$M$38,CHAR(160)," ")) &amp; "|" &amp;
      LEFT(SUBSTITUTE($N$2:$N$38,CHAR(160)," "),5) &amp; "|" &amp;
      TRIM(SUBSTITUTE($O$2:$O$38,CHAR(160)," ")),
      $P$2:$P$38
    )
  ),
"")</f>
        <v/>
      </c>
    </row>
    <row r="53" spans="9:9" x14ac:dyDescent="0.2">
      <c r="I53" s="84" t="str" cm="1">
        <f t="array" ref="I53">IFERROR(
  VALUE($H53) *
  VALUE(
    _xlfn.XLOOKUP(
      TRIM($F53) &amp; "|" &amp; LEFT(SUBSTITUTE($G53,CHAR(160)," "),5) &amp; "|Full Rate",
      TRIM(SUBSTITUTE($M$2:$M$38,CHAR(160)," ")) &amp; "|" &amp;
      LEFT(SUBSTITUTE($N$2:$N$38,CHAR(160)," "),5) &amp; "|" &amp;
      TRIM(SUBSTITUTE($O$2:$O$38,CHAR(160)," ")),
      $P$2:$P$38
    )
  ),
"")</f>
        <v/>
      </c>
    </row>
  </sheetData>
  <autoFilter ref="A1:J1" xr:uid="{1E52CE4D-1EB1-964D-8B83-6A4F986495E4}"/>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6ED799E3-9275-6347-B97C-468B927A84C0}">
          <x14:formula1>
            <xm:f>Lookup!$A$11:$A$20</xm:f>
          </x14:formula1>
          <xm:sqref>C1:C1048576</xm:sqref>
        </x14:dataValidation>
        <x14:dataValidation type="list" allowBlank="1" showInputMessage="1" showErrorMessage="1" xr:uid="{5278D7F6-53B8-9F4B-A627-4F03DF7A964D}">
          <x14:formula1>
            <xm:f>Lookup!$A$20:$A$32</xm:f>
          </x14:formula1>
          <xm:sqref>D1:D1048576</xm:sqref>
        </x14:dataValidation>
        <x14:dataValidation type="list" allowBlank="1" showInputMessage="1" showErrorMessage="1" xr:uid="{AD0A36F7-24A4-C04B-9562-72C3605C30D0}">
          <x14:formula1>
            <xm:f>Lookup!$M$3:$M$8</xm:f>
          </x14:formula1>
          <xm:sqref>F1:F1048576</xm:sqref>
        </x14:dataValidation>
        <x14:dataValidation type="list" allowBlank="1" showInputMessage="1" showErrorMessage="1" xr:uid="{2AF2AB49-F3FF-2047-B262-6AFCC81C56A5}">
          <x14:formula1>
            <xm:f>Lookup!$F$2:$F$7</xm:f>
          </x14:formula1>
          <xm:sqref>G1:G1048576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8D544-673A-6849-8E2B-AE7DFB43F500}">
  <dimension ref="A1:X275"/>
  <sheetViews>
    <sheetView zoomScale="110" zoomScaleNormal="110" workbookViewId="0">
      <pane ySplit="1" topLeftCell="A65" activePane="bottomLeft" state="frozen"/>
      <selection pane="bottomLeft" activeCell="D82" sqref="D82"/>
    </sheetView>
  </sheetViews>
  <sheetFormatPr baseColWidth="10" defaultColWidth="10.83203125" defaultRowHeight="15" x14ac:dyDescent="0.2"/>
  <cols>
    <col min="1" max="1" width="14.33203125" customWidth="1"/>
    <col min="2" max="2" width="16" customWidth="1"/>
    <col min="3" max="3" width="15.33203125" customWidth="1"/>
    <col min="4" max="4" width="14.5" customWidth="1"/>
    <col min="5" max="5" width="12.83203125" customWidth="1"/>
    <col min="6" max="6" width="54" customWidth="1"/>
    <col min="7" max="7" width="16.5" customWidth="1"/>
    <col min="8" max="8" width="8.83203125" customWidth="1"/>
    <col min="9" max="9" width="12.5" style="22" customWidth="1"/>
    <col min="10" max="12" width="20" style="32" customWidth="1"/>
    <col min="13" max="13" width="48.83203125" customWidth="1"/>
    <col min="15" max="15" width="24.1640625" customWidth="1"/>
    <col min="16" max="16" width="17.83203125" customWidth="1"/>
    <col min="17" max="17" width="20" customWidth="1"/>
    <col min="19" max="19" width="22" customWidth="1"/>
    <col min="20" max="20" width="16.33203125" bestFit="1" customWidth="1"/>
    <col min="21" max="21" width="13.83203125" customWidth="1"/>
    <col min="22" max="22" width="11" customWidth="1"/>
    <col min="23" max="23" width="14.33203125" customWidth="1"/>
    <col min="24" max="24" width="12.5" customWidth="1"/>
  </cols>
  <sheetData>
    <row r="1" spans="1:24" x14ac:dyDescent="0.2">
      <c r="A1" s="3" t="s">
        <v>0</v>
      </c>
      <c r="B1" s="6" t="s">
        <v>1</v>
      </c>
      <c r="C1" s="3" t="s">
        <v>2</v>
      </c>
      <c r="D1" s="3" t="s">
        <v>3</v>
      </c>
      <c r="E1" s="3" t="s">
        <v>189</v>
      </c>
      <c r="F1" s="3" t="s">
        <v>4</v>
      </c>
      <c r="G1" s="3" t="s">
        <v>5</v>
      </c>
      <c r="H1" s="3" t="s">
        <v>261</v>
      </c>
      <c r="I1" s="33" t="s">
        <v>6</v>
      </c>
      <c r="J1" s="65" t="s">
        <v>377</v>
      </c>
      <c r="K1" s="51" t="s">
        <v>378</v>
      </c>
      <c r="L1" s="46" t="s">
        <v>379</v>
      </c>
      <c r="M1" s="20"/>
      <c r="N1" s="20" t="s">
        <v>381</v>
      </c>
      <c r="S1" s="89"/>
      <c r="T1" s="86" t="s">
        <v>423</v>
      </c>
      <c r="U1" s="86" t="s">
        <v>425</v>
      </c>
      <c r="V1" s="86" t="s">
        <v>428</v>
      </c>
      <c r="W1" s="86" t="s">
        <v>429</v>
      </c>
      <c r="X1" s="86" t="s">
        <v>430</v>
      </c>
    </row>
    <row r="2" spans="1:24" ht="18" customHeight="1" x14ac:dyDescent="0.2">
      <c r="A2" s="14" t="s">
        <v>123</v>
      </c>
      <c r="B2" s="13"/>
      <c r="C2" s="11"/>
      <c r="D2" s="11"/>
      <c r="E2" s="12"/>
      <c r="F2" s="9"/>
      <c r="G2" s="9"/>
      <c r="H2" s="9"/>
      <c r="I2" s="34"/>
      <c r="J2" s="52" t="str" cm="1">
        <f t="array" ref="J2">IFERROR(
  VALUE($I2) *
  VALUE(
    _xlfn.XLOOKUP(
      TRIM($G2) &amp; "|" &amp; LEFT(SUBSTITUTE($H2,CHAR(160)," "),5) &amp; "|Full Rate",
      TRIM(SUBSTITUTE($N$2:$N$206,CHAR(160)," ")) &amp; "|" &amp;
      LEFT(SUBSTITUTE($O$2:$O$206,CHAR(160)," "),5) &amp; "|" &amp;
      TRIM(SUBSTITUTE($P$2:$P$206,CHAR(160)," ")),
      $Q$2:$Q$206
    )
  ),
"")</f>
        <v/>
      </c>
      <c r="K2" s="52" t="str" cm="1">
        <f t="array" ref="K2">IFERROR(
  VALUE($I2) *
  VALUE(
    _xlfn.XLOOKUP(
      TRIM($G2) &amp; "|" &amp; LEFT(SUBSTITUTE($H2,CHAR(160)," "),5) &amp; "|Reduced Rate",
      TRIM(SUBSTITUTE($N$2:$N$206,CHAR(160)," ")) &amp; "|" &amp;
      LEFT(SUBSTITUTE($O$2:$O$206,CHAR(160)," "),5) &amp; "|" &amp;
      TRIM(SUBSTITUTE($P$2:$P$206,CHAR(160)," ")),
      $Q$2:$Q$206
    )
  ),
"")</f>
        <v/>
      </c>
      <c r="L2" s="32" t="str" cm="1">
        <f t="array" ref="L2">IFERROR(
  VALUE($I2) *
  VALUE(
    _xlfn.XLOOKUP(
      TRIM($G2) &amp; "|" &amp; LEFT(SUBSTITUTE($H2,CHAR(160)," "),5) &amp; "|Ideas Rate",
      TRIM(SUBSTITUTE($N$2:$N$206,CHAR(160)," ")) &amp; "|" &amp;
      LEFT(SUBSTITUTE($O$2:$O$206,CHAR(160)," "),5) &amp; "|" &amp;
      TRIM(SUBSTITUTE($P$2:$P$206,CHAR(160)," ")),
      $Q$2:$Q$206
    )
  ),
"")</f>
        <v/>
      </c>
      <c r="M2" s="32"/>
      <c r="N2" s="58" t="s">
        <v>154</v>
      </c>
      <c r="O2" s="58" t="s">
        <v>371</v>
      </c>
      <c r="P2" s="58" t="s">
        <v>372</v>
      </c>
      <c r="Q2" s="59" t="s">
        <v>373</v>
      </c>
      <c r="S2" s="90" t="s">
        <v>10</v>
      </c>
      <c r="T2" s="91">
        <f>SUMIF(G:G,S2,I:I)</f>
        <v>77.5</v>
      </c>
      <c r="U2" s="87">
        <f>COUNTIF($G:$G, S2)</f>
        <v>18</v>
      </c>
      <c r="V2" s="88">
        <f>SUMIF($G:$G, $S2, $J:$J)</f>
        <v>38750</v>
      </c>
      <c r="W2" s="88">
        <f>SUMIF($G:$G, $S2, $K:$K)</f>
        <v>23250</v>
      </c>
      <c r="X2" s="88">
        <f>SUMIF($G:$G, $S2, $L:$L)</f>
        <v>11625</v>
      </c>
    </row>
    <row r="3" spans="1:24" x14ac:dyDescent="0.2">
      <c r="A3" s="4">
        <v>45846</v>
      </c>
      <c r="B3" s="7" t="s">
        <v>52</v>
      </c>
      <c r="C3" s="1" t="s">
        <v>124</v>
      </c>
      <c r="D3" s="1"/>
      <c r="E3" t="s">
        <v>184</v>
      </c>
      <c r="F3" s="2" t="s">
        <v>125</v>
      </c>
      <c r="G3" s="2" t="s">
        <v>10</v>
      </c>
      <c r="H3" s="2" t="s">
        <v>367</v>
      </c>
      <c r="I3" s="35">
        <v>12</v>
      </c>
      <c r="J3" s="52" cm="1">
        <f t="array" ref="J3">IFERROR(
  VALUE($I3) *
  VALUE(
    _xlfn.XLOOKUP(
      TRIM($G3) &amp; "|" &amp; LEFT(SUBSTITUTE($H3,CHAR(160)," "),5) &amp; "|Full Rate",
      TRIM(SUBSTITUTE($N$2:$N$206,CHAR(160)," ")) &amp; "|" &amp;
      LEFT(SUBSTITUTE($O$2:$O$206,CHAR(160)," "),5) &amp; "|" &amp;
      TRIM(SUBSTITUTE($P$2:$P$206,CHAR(160)," ")),
      $Q$2:$Q$206
    )
  ),
"")</f>
        <v>6000</v>
      </c>
      <c r="K3" s="52" cm="1">
        <f t="array" ref="K3">IFERROR(
  VALUE($I3) *
  VALUE(
    _xlfn.XLOOKUP(
      TRIM($G3) &amp; "|" &amp; LEFT(SUBSTITUTE($H3,CHAR(160)," "),5) &amp; "|Reduced Rate",
      TRIM(SUBSTITUTE($N$2:$N$206,CHAR(160)," ")) &amp; "|" &amp;
      LEFT(SUBSTITUTE($O$2:$O$206,CHAR(160)," "),5) &amp; "|" &amp;
      TRIM(SUBSTITUTE($P$2:$P$206,CHAR(160)," ")),
      $Q$2:$Q$206
    )
  ),
"")</f>
        <v>3600</v>
      </c>
      <c r="L3" s="32" cm="1">
        <f t="array" ref="L3">IFERROR(
  VALUE($I3) *
  VALUE(
    _xlfn.XLOOKUP(
      TRIM($G3) &amp; "|" &amp; LEFT(SUBSTITUTE($H3,CHAR(160)," "),5) &amp; "|Ideas Rate",
      TRIM(SUBSTITUTE($N$2:$N$206,CHAR(160)," ")) &amp; "|" &amp;
      LEFT(SUBSTITUTE($O$2:$O$206,CHAR(160)," "),5) &amp; "|" &amp;
      TRIM(SUBSTITUTE($P$2:$P$206,CHAR(160)," ")),
      $Q$2:$Q$206
    )
  ),
"")</f>
        <v>1800</v>
      </c>
      <c r="N3" t="s">
        <v>10</v>
      </c>
      <c r="O3" t="s">
        <v>375</v>
      </c>
      <c r="P3" t="s">
        <v>382</v>
      </c>
      <c r="Q3" s="32">
        <v>500</v>
      </c>
      <c r="S3" s="89" t="s">
        <v>9</v>
      </c>
      <c r="T3" s="91">
        <f>SUMIF(G:G,S3,I:I)</f>
        <v>101</v>
      </c>
      <c r="U3" s="87">
        <f>COUNTIF($G:$G, S3)</f>
        <v>50</v>
      </c>
      <c r="V3" s="88">
        <f>SUMIF($G:$G, $S3, $J:$J)</f>
        <v>42125</v>
      </c>
      <c r="W3" s="88">
        <f>SUMIF($G:$G, $S3, $K:$K)</f>
        <v>25075</v>
      </c>
      <c r="X3" s="88">
        <f>SUMIF($G:$G, $S3, $L:$L)</f>
        <v>12637.5</v>
      </c>
    </row>
    <row r="4" spans="1:24" x14ac:dyDescent="0.2">
      <c r="A4" s="4">
        <v>45846</v>
      </c>
      <c r="B4" s="7" t="s">
        <v>52</v>
      </c>
      <c r="C4" s="1" t="s">
        <v>124</v>
      </c>
      <c r="D4" s="1"/>
      <c r="E4" t="s">
        <v>184</v>
      </c>
      <c r="F4" s="2" t="s">
        <v>125</v>
      </c>
      <c r="G4" s="2" t="s">
        <v>10</v>
      </c>
      <c r="H4" s="2" t="s">
        <v>367</v>
      </c>
      <c r="I4" s="35">
        <v>12</v>
      </c>
      <c r="J4" s="52" cm="1">
        <f t="array" ref="J4">IFERROR(
  VALUE($I4) *
  VALUE(
    _xlfn.XLOOKUP(
      TRIM($G4) &amp; "|" &amp; LEFT(SUBSTITUTE($H4,CHAR(160)," "),5) &amp; "|Full Rate",
      TRIM(SUBSTITUTE($N$2:$N$206,CHAR(160)," ")) &amp; "|" &amp;
      LEFT(SUBSTITUTE($O$2:$O$206,CHAR(160)," "),5) &amp; "|" &amp;
      TRIM(SUBSTITUTE($P$2:$P$206,CHAR(160)," ")),
      $Q$2:$Q$206
    )
  ),
"")</f>
        <v>6000</v>
      </c>
      <c r="K4" s="52" cm="1">
        <f t="array" ref="K4">IFERROR(
  VALUE($I4) *
  VALUE(
    _xlfn.XLOOKUP(
      TRIM($G4) &amp; "|" &amp; LEFT(SUBSTITUTE($H4,CHAR(160)," "),5) &amp; "|Reduced Rate",
      TRIM(SUBSTITUTE($N$2:$N$206,CHAR(160)," ")) &amp; "|" &amp;
      LEFT(SUBSTITUTE($O$2:$O$206,CHAR(160)," "),5) &amp; "|" &amp;
      TRIM(SUBSTITUTE($P$2:$P$206,CHAR(160)," ")),
      $Q$2:$Q$206
    )
  ),
"")</f>
        <v>3600</v>
      </c>
      <c r="L4" s="32" cm="1">
        <f t="array" ref="L4">IFERROR(
  VALUE($I4) *
  VALUE(
    _xlfn.XLOOKUP(
      TRIM($G4) &amp; "|" &amp; LEFT(SUBSTITUTE($H4,CHAR(160)," "),5) &amp; "|Ideas Rate",
      TRIM(SUBSTITUTE($N$2:$N$206,CHAR(160)," ")) &amp; "|" &amp;
      LEFT(SUBSTITUTE($O$2:$O$206,CHAR(160)," "),5) &amp; "|" &amp;
      TRIM(SUBSTITUTE($P$2:$P$206,CHAR(160)," ")),
      $Q$2:$Q$206
    )
  ),
"")</f>
        <v>1800</v>
      </c>
      <c r="M4" s="20"/>
      <c r="N4" t="s">
        <v>10</v>
      </c>
      <c r="O4" t="s">
        <v>375</v>
      </c>
      <c r="P4" t="s">
        <v>383</v>
      </c>
      <c r="Q4" s="32">
        <v>300</v>
      </c>
      <c r="S4" s="89" t="s">
        <v>155</v>
      </c>
      <c r="T4" s="91">
        <f>SUMIF(G:G,S4,I:I)</f>
        <v>5.5</v>
      </c>
      <c r="U4" s="87">
        <f>COUNTIF($G:$G, S4)</f>
        <v>5</v>
      </c>
      <c r="V4" s="88">
        <f>SUMIF($G:$G, $S4, $J:$J)</f>
        <v>2200</v>
      </c>
      <c r="W4" s="88">
        <f>SUMIF($G:$G, $S4, $K:$K)</f>
        <v>1100</v>
      </c>
      <c r="X4" s="88">
        <f>SUMIF($G:$G, $S4, $L:$L)</f>
        <v>660</v>
      </c>
    </row>
    <row r="5" spans="1:24" x14ac:dyDescent="0.2">
      <c r="A5" s="4">
        <v>45877</v>
      </c>
      <c r="B5" s="7" t="s">
        <v>52</v>
      </c>
      <c r="C5" s="1" t="s">
        <v>124</v>
      </c>
      <c r="D5" s="1"/>
      <c r="E5" t="s">
        <v>184</v>
      </c>
      <c r="F5" s="2" t="s">
        <v>125</v>
      </c>
      <c r="G5" s="2" t="s">
        <v>10</v>
      </c>
      <c r="H5" s="2" t="s">
        <v>367</v>
      </c>
      <c r="I5" s="35">
        <v>12</v>
      </c>
      <c r="J5" s="52" cm="1">
        <f t="array" ref="J5">IFERROR(
  VALUE($I5) *
  VALUE(
    _xlfn.XLOOKUP(
      TRIM($G5) &amp; "|" &amp; LEFT(SUBSTITUTE($H5,CHAR(160)," "),5) &amp; "|Full Rate",
      TRIM(SUBSTITUTE($N$2:$N$206,CHAR(160)," ")) &amp; "|" &amp;
      LEFT(SUBSTITUTE($O$2:$O$206,CHAR(160)," "),5) &amp; "|" &amp;
      TRIM(SUBSTITUTE($P$2:$P$206,CHAR(160)," ")),
      $Q$2:$Q$206
    )
  ),
"")</f>
        <v>6000</v>
      </c>
      <c r="K5" s="52" cm="1">
        <f t="array" ref="K5">IFERROR(
  VALUE($I5) *
  VALUE(
    _xlfn.XLOOKUP(
      TRIM($G5) &amp; "|" &amp; LEFT(SUBSTITUTE($H5,CHAR(160)," "),5) &amp; "|Reduced Rate",
      TRIM(SUBSTITUTE($N$2:$N$206,CHAR(160)," ")) &amp; "|" &amp;
      LEFT(SUBSTITUTE($O$2:$O$206,CHAR(160)," "),5) &amp; "|" &amp;
      TRIM(SUBSTITUTE($P$2:$P$206,CHAR(160)," ")),
      $Q$2:$Q$206
    )
  ),
"")</f>
        <v>3600</v>
      </c>
      <c r="L5" s="32" cm="1">
        <f t="array" ref="L5">IFERROR(
  VALUE($I5) *
  VALUE(
    _xlfn.XLOOKUP(
      TRIM($G5) &amp; "|" &amp; LEFT(SUBSTITUTE($H5,CHAR(160)," "),5) &amp; "|Ideas Rate",
      TRIM(SUBSTITUTE($N$2:$N$206,CHAR(160)," ")) &amp; "|" &amp;
      LEFT(SUBSTITUTE($O$2:$O$206,CHAR(160)," "),5) &amp; "|" &amp;
      TRIM(SUBSTITUTE($P$2:$P$206,CHAR(160)," ")),
      $Q$2:$Q$206
    )
  ),
"")</f>
        <v>1800</v>
      </c>
      <c r="M5" s="32"/>
      <c r="N5" t="s">
        <v>10</v>
      </c>
      <c r="O5" t="s">
        <v>375</v>
      </c>
      <c r="P5" t="s">
        <v>379</v>
      </c>
      <c r="Q5" s="32">
        <v>150</v>
      </c>
      <c r="S5" s="89" t="s">
        <v>156</v>
      </c>
      <c r="T5" s="91">
        <f>SUMIF(G:G,S5,I:I)</f>
        <v>3.5</v>
      </c>
      <c r="U5" s="87">
        <f>COUNTIF($G:$G, S5)</f>
        <v>1</v>
      </c>
      <c r="V5" s="88">
        <f>SUMIF($G:$G, $S5, $J:$J)</f>
        <v>1137.5</v>
      </c>
      <c r="W5" s="88">
        <f>SUMIF($G:$G, $S5, $K:$K)</f>
        <v>612.5</v>
      </c>
      <c r="X5" s="88">
        <f>SUMIF($G:$G, $S5, $L:$L)</f>
        <v>332.5</v>
      </c>
    </row>
    <row r="6" spans="1:24" x14ac:dyDescent="0.2">
      <c r="A6" s="4">
        <v>45877</v>
      </c>
      <c r="B6" s="7" t="s">
        <v>52</v>
      </c>
      <c r="C6" s="1" t="s">
        <v>124</v>
      </c>
      <c r="D6" s="1"/>
      <c r="E6" t="s">
        <v>184</v>
      </c>
      <c r="F6" s="2" t="s">
        <v>125</v>
      </c>
      <c r="G6" s="2" t="s">
        <v>9</v>
      </c>
      <c r="H6" s="2" t="s">
        <v>367</v>
      </c>
      <c r="I6" s="35">
        <v>12</v>
      </c>
      <c r="J6" s="52" cm="1">
        <f t="array" ref="J6">IFERROR(
  VALUE($I6) *
  VALUE(
    _xlfn.XLOOKUP(
      TRIM($G6) &amp; "|" &amp; LEFT(SUBSTITUTE($H6,CHAR(160)," "),5) &amp; "|Full Rate",
      TRIM(SUBSTITUTE($N$2:$N$206,CHAR(160)," ")) &amp; "|" &amp;
      LEFT(SUBSTITUTE($O$2:$O$206,CHAR(160)," "),5) &amp; "|" &amp;
      TRIM(SUBSTITUTE($P$2:$P$206,CHAR(160)," ")),
      $Q$2:$Q$206
    )
  ),
"")</f>
        <v>6000</v>
      </c>
      <c r="K6" s="52" cm="1">
        <f t="array" ref="K6">IFERROR(
  VALUE($I6) *
  VALUE(
    _xlfn.XLOOKUP(
      TRIM($G6) &amp; "|" &amp; LEFT(SUBSTITUTE($H6,CHAR(160)," "),5) &amp; "|Reduced Rate",
      TRIM(SUBSTITUTE($N$2:$N$206,CHAR(160)," ")) &amp; "|" &amp;
      LEFT(SUBSTITUTE($O$2:$O$206,CHAR(160)," "),5) &amp; "|" &amp;
      TRIM(SUBSTITUTE($P$2:$P$206,CHAR(160)," ")),
      $Q$2:$Q$206
    )
  ),
"")</f>
        <v>3600</v>
      </c>
      <c r="L6" s="32" cm="1">
        <f t="array" ref="L6">IFERROR(
  VALUE($I6) *
  VALUE(
    _xlfn.XLOOKUP(
      TRIM($G6) &amp; "|" &amp; LEFT(SUBSTITUTE($H6,CHAR(160)," "),5) &amp; "|Ideas Rate",
      TRIM(SUBSTITUTE($N$2:$N$206,CHAR(160)," ")) &amp; "|" &amp;
      LEFT(SUBSTITUTE($O$2:$O$206,CHAR(160)," "),5) &amp; "|" &amp;
      TRIM(SUBSTITUTE($P$2:$P$206,CHAR(160)," ")),
      $Q$2:$Q$206
    )
  ),
"")</f>
        <v>1800</v>
      </c>
      <c r="N6" t="s">
        <v>10</v>
      </c>
      <c r="O6" t="s">
        <v>376</v>
      </c>
      <c r="P6" t="s">
        <v>382</v>
      </c>
      <c r="Q6" s="32">
        <v>250</v>
      </c>
    </row>
    <row r="7" spans="1:24" x14ac:dyDescent="0.2">
      <c r="A7" s="10">
        <v>45887</v>
      </c>
      <c r="B7" s="7" t="s">
        <v>52</v>
      </c>
      <c r="C7" s="1" t="s">
        <v>124</v>
      </c>
      <c r="D7" s="1"/>
      <c r="E7" t="s">
        <v>29</v>
      </c>
      <c r="F7" s="2" t="s">
        <v>126</v>
      </c>
      <c r="G7" s="2" t="s">
        <v>9</v>
      </c>
      <c r="H7" s="2" t="s">
        <v>367</v>
      </c>
      <c r="I7" s="35">
        <v>2</v>
      </c>
      <c r="J7" s="52" cm="1">
        <f t="array" ref="J7">IFERROR(
  VALUE($I7) *
  VALUE(
    _xlfn.XLOOKUP(
      TRIM($G7) &amp; "|" &amp; LEFT(SUBSTITUTE($H7,CHAR(160)," "),5) &amp; "|Full Rate",
      TRIM(SUBSTITUTE($N$2:$N$206,CHAR(160)," ")) &amp; "|" &amp;
      LEFT(SUBSTITUTE($O$2:$O$206,CHAR(160)," "),5) &amp; "|" &amp;
      TRIM(SUBSTITUTE($P$2:$P$206,CHAR(160)," ")),
      $Q$2:$Q$206
    )
  ),
"")</f>
        <v>1000</v>
      </c>
      <c r="K7" s="52" cm="1">
        <f t="array" ref="K7">IFERROR(
  VALUE($I7) *
  VALUE(
    _xlfn.XLOOKUP(
      TRIM($G7) &amp; "|" &amp; LEFT(SUBSTITUTE($H7,CHAR(160)," "),5) &amp; "|Reduced Rate",
      TRIM(SUBSTITUTE($N$2:$N$206,CHAR(160)," ")) &amp; "|" &amp;
      LEFT(SUBSTITUTE($O$2:$O$206,CHAR(160)," "),5) &amp; "|" &amp;
      TRIM(SUBSTITUTE($P$2:$P$206,CHAR(160)," ")),
      $Q$2:$Q$206
    )
  ),
"")</f>
        <v>600</v>
      </c>
      <c r="L7" s="32" cm="1">
        <f t="array" ref="L7">IFERROR(
  VALUE($I7) *
  VALUE(
    _xlfn.XLOOKUP(
      TRIM($G7) &amp; "|" &amp; LEFT(SUBSTITUTE($H7,CHAR(160)," "),5) &amp; "|Ideas Rate",
      TRIM(SUBSTITUTE($N$2:$N$206,CHAR(160)," ")) &amp; "|" &amp;
      LEFT(SUBSTITUTE($O$2:$O$206,CHAR(160)," "),5) &amp; "|" &amp;
      TRIM(SUBSTITUTE($P$2:$P$206,CHAR(160)," ")),
      $Q$2:$Q$206
    )
  ),
"")</f>
        <v>300</v>
      </c>
      <c r="M7" s="20"/>
      <c r="N7" t="s">
        <v>10</v>
      </c>
      <c r="O7" t="s">
        <v>376</v>
      </c>
      <c r="P7" t="s">
        <v>378</v>
      </c>
      <c r="Q7" s="32">
        <v>150</v>
      </c>
    </row>
    <row r="8" spans="1:24" ht="16" thickBot="1" x14ac:dyDescent="0.25">
      <c r="A8" s="4">
        <v>45887</v>
      </c>
      <c r="B8" s="7" t="s">
        <v>52</v>
      </c>
      <c r="C8" s="1" t="s">
        <v>124</v>
      </c>
      <c r="D8" s="1"/>
      <c r="E8" t="s">
        <v>29</v>
      </c>
      <c r="F8" s="2" t="s">
        <v>127</v>
      </c>
      <c r="G8" s="2" t="s">
        <v>10</v>
      </c>
      <c r="H8" s="2" t="s">
        <v>367</v>
      </c>
      <c r="I8" s="35">
        <v>3.5</v>
      </c>
      <c r="J8" s="52" cm="1">
        <f t="array" ref="J8">IFERROR(
  VALUE($I8) *
  VALUE(
    _xlfn.XLOOKUP(
      TRIM($G8) &amp; "|" &amp; LEFT(SUBSTITUTE($H8,CHAR(160)," "),5) &amp; "|Full Rate",
      TRIM(SUBSTITUTE($N$2:$N$206,CHAR(160)," ")) &amp; "|" &amp;
      LEFT(SUBSTITUTE($O$2:$O$206,CHAR(160)," "),5) &amp; "|" &amp;
      TRIM(SUBSTITUTE($P$2:$P$206,CHAR(160)," ")),
      $Q$2:$Q$206
    )
  ),
"")</f>
        <v>1750</v>
      </c>
      <c r="K8" s="52" cm="1">
        <f t="array" ref="K8">IFERROR(
  VALUE($I8) *
  VALUE(
    _xlfn.XLOOKUP(
      TRIM($G8) &amp; "|" &amp; LEFT(SUBSTITUTE($H8,CHAR(160)," "),5) &amp; "|Reduced Rate",
      TRIM(SUBSTITUTE($N$2:$N$206,CHAR(160)," ")) &amp; "|" &amp;
      LEFT(SUBSTITUTE($O$2:$O$206,CHAR(160)," "),5) &amp; "|" &amp;
      TRIM(SUBSTITUTE($P$2:$P$206,CHAR(160)," ")),
      $Q$2:$Q$206
    )
  ),
"")</f>
        <v>1050</v>
      </c>
      <c r="L8" s="32" cm="1">
        <f t="array" ref="L8">IFERROR(
  VALUE($I8) *
  VALUE(
    _xlfn.XLOOKUP(
      TRIM($G8) &amp; "|" &amp; LEFT(SUBSTITUTE($H8,CHAR(160)," "),5) &amp; "|Ideas Rate",
      TRIM(SUBSTITUTE($N$2:$N$206,CHAR(160)," ")) &amp; "|" &amp;
      LEFT(SUBSTITUTE($O$2:$O$206,CHAR(160)," "),5) &amp; "|" &amp;
      TRIM(SUBSTITUTE($P$2:$P$206,CHAR(160)," ")),
      $Q$2:$Q$206
    )
  ),
"")</f>
        <v>525</v>
      </c>
      <c r="M8" s="32"/>
      <c r="N8" t="s">
        <v>10</v>
      </c>
      <c r="O8" t="s">
        <v>376</v>
      </c>
      <c r="P8" t="s">
        <v>384</v>
      </c>
      <c r="Q8" s="32">
        <v>75</v>
      </c>
    </row>
    <row r="9" spans="1:24" x14ac:dyDescent="0.2">
      <c r="A9" s="4">
        <v>45887</v>
      </c>
      <c r="B9" s="7" t="s">
        <v>52</v>
      </c>
      <c r="C9" s="1" t="s">
        <v>124</v>
      </c>
      <c r="D9" s="1"/>
      <c r="E9" t="s">
        <v>29</v>
      </c>
      <c r="F9" s="2" t="s">
        <v>128</v>
      </c>
      <c r="G9" s="2" t="s">
        <v>155</v>
      </c>
      <c r="H9" s="2" t="s">
        <v>367</v>
      </c>
      <c r="I9" s="35">
        <v>2</v>
      </c>
      <c r="J9" s="52" cm="1">
        <f t="array" ref="J9">IFERROR(
  VALUE($I9) *
  VALUE(
    _xlfn.XLOOKUP(
      TRIM($G9) &amp; "|" &amp; LEFT(SUBSTITUTE($H9,CHAR(160)," "),5) &amp; "|Full Rate",
      TRIM(SUBSTITUTE($N$2:$N$206,CHAR(160)," ")) &amp; "|" &amp;
      LEFT(SUBSTITUTE($O$2:$O$206,CHAR(160)," "),5) &amp; "|" &amp;
      TRIM(SUBSTITUTE($P$2:$P$206,CHAR(160)," ")),
      $Q$2:$Q$206
    )
  ),
"")</f>
        <v>800</v>
      </c>
      <c r="K9" s="52" cm="1">
        <f t="array" ref="K9">IFERROR(
  VALUE($I9) *
  VALUE(
    _xlfn.XLOOKUP(
      TRIM($G9) &amp; "|" &amp; LEFT(SUBSTITUTE($H9,CHAR(160)," "),5) &amp; "|Reduced Rate",
      TRIM(SUBSTITUTE($N$2:$N$206,CHAR(160)," ")) &amp; "|" &amp;
      LEFT(SUBSTITUTE($O$2:$O$206,CHAR(160)," "),5) &amp; "|" &amp;
      TRIM(SUBSTITUTE($P$2:$P$206,CHAR(160)," ")),
      $Q$2:$Q$206
    )
  ),
"")</f>
        <v>400</v>
      </c>
      <c r="L9" s="32" cm="1">
        <f t="array" ref="L9">IFERROR(
  VALUE($I9) *
  VALUE(
    _xlfn.XLOOKUP(
      TRIM($G9) &amp; "|" &amp; LEFT(SUBSTITUTE($H9,CHAR(160)," "),5) &amp; "|Ideas Rate",
      TRIM(SUBSTITUTE($N$2:$N$206,CHAR(160)," ")) &amp; "|" &amp;
      LEFT(SUBSTITUTE($O$2:$O$206,CHAR(160)," "),5) &amp; "|" &amp;
      TRIM(SUBSTITUTE($P$2:$P$206,CHAR(160)," ")),
      $Q$2:$Q$206
    )
  ),
"")</f>
        <v>240</v>
      </c>
      <c r="M9" s="62" t="s">
        <v>377</v>
      </c>
      <c r="N9" t="s">
        <v>10</v>
      </c>
      <c r="O9" t="s">
        <v>368</v>
      </c>
      <c r="P9" t="s">
        <v>382</v>
      </c>
      <c r="Q9" s="32">
        <v>100</v>
      </c>
    </row>
    <row r="10" spans="1:24" ht="16" thickBot="1" x14ac:dyDescent="0.25">
      <c r="A10" s="4">
        <v>45889</v>
      </c>
      <c r="B10" s="7" t="s">
        <v>52</v>
      </c>
      <c r="C10" s="1" t="s">
        <v>124</v>
      </c>
      <c r="D10" s="1"/>
      <c r="E10" t="s">
        <v>188</v>
      </c>
      <c r="F10" s="2" t="s">
        <v>129</v>
      </c>
      <c r="G10" s="2" t="s">
        <v>10</v>
      </c>
      <c r="H10" s="2" t="s">
        <v>367</v>
      </c>
      <c r="I10" s="35">
        <v>1.25</v>
      </c>
      <c r="J10" s="52" cm="1">
        <f t="array" ref="J10">IFERROR(
  VALUE($I10) *
  VALUE(
    _xlfn.XLOOKUP(
      TRIM($G10) &amp; "|" &amp; LEFT(SUBSTITUTE($H10,CHAR(160)," "),5) &amp; "|Full Rate",
      TRIM(SUBSTITUTE($N$2:$N$206,CHAR(160)," ")) &amp; "|" &amp;
      LEFT(SUBSTITUTE($O$2:$O$206,CHAR(160)," "),5) &amp; "|" &amp;
      TRIM(SUBSTITUTE($P$2:$P$206,CHAR(160)," ")),
      $Q$2:$Q$206
    )
  ),
"")</f>
        <v>625</v>
      </c>
      <c r="K10" s="52" cm="1">
        <f t="array" ref="K10">IFERROR(
  VALUE($I10) *
  VALUE(
    _xlfn.XLOOKUP(
      TRIM($G10) &amp; "|" &amp; LEFT(SUBSTITUTE($H10,CHAR(160)," "),5) &amp; "|Reduced Rate",
      TRIM(SUBSTITUTE($N$2:$N$206,CHAR(160)," ")) &amp; "|" &amp;
      LEFT(SUBSTITUTE($O$2:$O$206,CHAR(160)," "),5) &amp; "|" &amp;
      TRIM(SUBSTITUTE($P$2:$P$206,CHAR(160)," ")),
      $Q$2:$Q$206
    )
  ),
"")</f>
        <v>375</v>
      </c>
      <c r="L10" s="32" cm="1">
        <f t="array" ref="L10">IFERROR(
  VALUE($I10) *
  VALUE(
    _xlfn.XLOOKUP(
      TRIM($G10) &amp; "|" &amp; LEFT(SUBSTITUTE($H10,CHAR(160)," "),5) &amp; "|Ideas Rate",
      TRIM(SUBSTITUTE($N$2:$N$206,CHAR(160)," ")) &amp; "|" &amp;
      LEFT(SUBSTITUTE($O$2:$O$206,CHAR(160)," "),5) &amp; "|" &amp;
      TRIM(SUBSTITUTE($P$2:$P$206,CHAR(160)," ")),
      $Q$2:$Q$206
    )
  ),
"")</f>
        <v>187.5</v>
      </c>
      <c r="M10" s="92">
        <f>SUM(J:J)</f>
        <v>84346.32</v>
      </c>
      <c r="N10" t="s">
        <v>10</v>
      </c>
      <c r="O10" t="s">
        <v>368</v>
      </c>
      <c r="P10" t="s">
        <v>378</v>
      </c>
      <c r="Q10" s="32">
        <v>50</v>
      </c>
      <c r="S10" s="94" t="s">
        <v>165</v>
      </c>
      <c r="T10" s="94" t="s">
        <v>433</v>
      </c>
      <c r="U10" s="94" t="s">
        <v>491</v>
      </c>
      <c r="V10" s="94" t="s">
        <v>435</v>
      </c>
    </row>
    <row r="11" spans="1:24" x14ac:dyDescent="0.2">
      <c r="A11" s="4">
        <v>45889</v>
      </c>
      <c r="B11" s="7" t="s">
        <v>52</v>
      </c>
      <c r="C11" s="1" t="s">
        <v>124</v>
      </c>
      <c r="D11" s="1"/>
      <c r="E11" t="s">
        <v>188</v>
      </c>
      <c r="F11" s="2" t="s">
        <v>129</v>
      </c>
      <c r="G11" s="2" t="s">
        <v>155</v>
      </c>
      <c r="H11" s="2" t="s">
        <v>367</v>
      </c>
      <c r="I11" s="35">
        <v>1.25</v>
      </c>
      <c r="J11" s="52" cm="1">
        <f t="array" ref="J11">IFERROR(
  VALUE($I11) *
  VALUE(
    _xlfn.XLOOKUP(
      TRIM($G11) &amp; "|" &amp; LEFT(SUBSTITUTE($H11,CHAR(160)," "),5) &amp; "|Full Rate",
      TRIM(SUBSTITUTE($N$2:$N$206,CHAR(160)," ")) &amp; "|" &amp;
      LEFT(SUBSTITUTE($O$2:$O$206,CHAR(160)," "),5) &amp; "|" &amp;
      TRIM(SUBSTITUTE($P$2:$P$206,CHAR(160)," ")),
      $Q$2:$Q$206
    )
  ),
"")</f>
        <v>500</v>
      </c>
      <c r="K11" s="52" cm="1">
        <f t="array" ref="K11">IFERROR(
  VALUE($I11) *
  VALUE(
    _xlfn.XLOOKUP(
      TRIM($G11) &amp; "|" &amp; LEFT(SUBSTITUTE($H11,CHAR(160)," "),5) &amp; "|Reduced Rate",
      TRIM(SUBSTITUTE($N$2:$N$206,CHAR(160)," ")) &amp; "|" &amp;
      LEFT(SUBSTITUTE($O$2:$O$206,CHAR(160)," "),5) &amp; "|" &amp;
      TRIM(SUBSTITUTE($P$2:$P$206,CHAR(160)," ")),
      $Q$2:$Q$206
    )
  ),
"")</f>
        <v>250</v>
      </c>
      <c r="L11" s="32" cm="1">
        <f t="array" ref="L11">IFERROR(
  VALUE($I11) *
  VALUE(
    _xlfn.XLOOKUP(
      TRIM($G11) &amp; "|" &amp; LEFT(SUBSTITUTE($H11,CHAR(160)," "),5) &amp; "|Ideas Rate",
      TRIM(SUBSTITUTE($N$2:$N$206,CHAR(160)," ")) &amp; "|" &amp;
      LEFT(SUBSTITUTE($O$2:$O$206,CHAR(160)," "),5) &amp; "|" &amp;
      TRIM(SUBSTITUTE($P$2:$P$206,CHAR(160)," ")),
      $Q$2:$Q$206
    )
  ),
"")</f>
        <v>150</v>
      </c>
      <c r="M11" s="93" t="s">
        <v>391</v>
      </c>
      <c r="N11" t="s">
        <v>10</v>
      </c>
      <c r="O11" t="s">
        <v>368</v>
      </c>
      <c r="P11" t="s">
        <v>384</v>
      </c>
      <c r="Q11" s="32">
        <v>30</v>
      </c>
      <c r="S11" s="94" t="s">
        <v>182</v>
      </c>
      <c r="T11" s="87">
        <f>SUMIF($E:$E,$S11,$I:$I)</f>
        <v>0</v>
      </c>
      <c r="U11" s="88">
        <f t="shared" ref="U11:U22" si="0">SUMIF($E:$E,S11,$J:$J)</f>
        <v>0</v>
      </c>
      <c r="V11" s="89"/>
    </row>
    <row r="12" spans="1:24" ht="16" thickBot="1" x14ac:dyDescent="0.25">
      <c r="A12" s="4">
        <v>45889</v>
      </c>
      <c r="B12" s="7" t="s">
        <v>52</v>
      </c>
      <c r="C12" s="1" t="s">
        <v>124</v>
      </c>
      <c r="D12" s="1"/>
      <c r="E12" t="s">
        <v>188</v>
      </c>
      <c r="F12" s="2" t="s">
        <v>129</v>
      </c>
      <c r="G12" s="2" t="s">
        <v>155</v>
      </c>
      <c r="H12" s="2" t="s">
        <v>367</v>
      </c>
      <c r="I12" s="35">
        <v>1.25</v>
      </c>
      <c r="J12" s="52" cm="1">
        <f t="array" ref="J12">IFERROR(
  VALUE($I12) *
  VALUE(
    _xlfn.XLOOKUP(
      TRIM($G12) &amp; "|" &amp; LEFT(SUBSTITUTE($H12,CHAR(160)," "),5) &amp; "|Full Rate",
      TRIM(SUBSTITUTE($N$2:$N$206,CHAR(160)," ")) &amp; "|" &amp;
      LEFT(SUBSTITUTE($O$2:$O$206,CHAR(160)," "),5) &amp; "|" &amp;
      TRIM(SUBSTITUTE($P$2:$P$206,CHAR(160)," ")),
      $Q$2:$Q$206
    )
  ),
"")</f>
        <v>500</v>
      </c>
      <c r="K12" s="52" cm="1">
        <f t="array" ref="K12">IFERROR(
  VALUE($I12) *
  VALUE(
    _xlfn.XLOOKUP(
      TRIM($G12) &amp; "|" &amp; LEFT(SUBSTITUTE($H12,CHAR(160)," "),5) &amp; "|Reduced Rate",
      TRIM(SUBSTITUTE($N$2:$N$206,CHAR(160)," ")) &amp; "|" &amp;
      LEFT(SUBSTITUTE($O$2:$O$206,CHAR(160)," "),5) &amp; "|" &amp;
      TRIM(SUBSTITUTE($P$2:$P$206,CHAR(160)," ")),
      $Q$2:$Q$206
    )
  ),
"")</f>
        <v>250</v>
      </c>
      <c r="L12" s="32" cm="1">
        <f t="array" ref="L12">IFERROR(
  VALUE($I12) *
  VALUE(
    _xlfn.XLOOKUP(
      TRIM($G12) &amp; "|" &amp; LEFT(SUBSTITUTE($H12,CHAR(160)," "),5) &amp; "|Ideas Rate",
      TRIM(SUBSTITUTE($N$2:$N$206,CHAR(160)," ")) &amp; "|" &amp;
      LEFT(SUBSTITUTE($O$2:$O$206,CHAR(160)," "),5) &amp; "|" &amp;
      TRIM(SUBSTITUTE($P$2:$P$206,CHAR(160)," ")),
      $Q$2:$Q$206
    )
  ),
"")</f>
        <v>150</v>
      </c>
      <c r="M12" s="92">
        <f>SUM(K:K)</f>
        <v>50037.5</v>
      </c>
      <c r="N12" s="56" t="s">
        <v>9</v>
      </c>
      <c r="O12" s="56" t="s">
        <v>375</v>
      </c>
      <c r="P12" s="56" t="s">
        <v>382</v>
      </c>
      <c r="Q12" s="57">
        <v>500</v>
      </c>
      <c r="S12" s="94" t="s">
        <v>190</v>
      </c>
      <c r="T12" s="87">
        <f t="shared" ref="T12:T22" si="1">SUMIF(E:E,S12,I:I)</f>
        <v>17</v>
      </c>
      <c r="U12" s="88">
        <f t="shared" si="0"/>
        <v>8500</v>
      </c>
      <c r="V12" s="89"/>
    </row>
    <row r="13" spans="1:24" x14ac:dyDescent="0.2">
      <c r="A13" s="4">
        <v>45890</v>
      </c>
      <c r="B13" s="7" t="s">
        <v>52</v>
      </c>
      <c r="C13" s="1" t="s">
        <v>124</v>
      </c>
      <c r="D13" s="1"/>
      <c r="E13" t="s">
        <v>178</v>
      </c>
      <c r="F13" s="17" t="s">
        <v>130</v>
      </c>
      <c r="G13" s="17" t="s">
        <v>155</v>
      </c>
      <c r="H13" s="2" t="s">
        <v>367</v>
      </c>
      <c r="I13" s="36">
        <v>0.5</v>
      </c>
      <c r="J13" s="52" cm="1">
        <f t="array" ref="J13">IFERROR(
  VALUE($I13) *
  VALUE(
    _xlfn.XLOOKUP(
      TRIM($G13) &amp; "|" &amp; LEFT(SUBSTITUTE($H13,CHAR(160)," "),5) &amp; "|Full Rate",
      TRIM(SUBSTITUTE($N$2:$N$206,CHAR(160)," ")) &amp; "|" &amp;
      LEFT(SUBSTITUTE($O$2:$O$206,CHAR(160)," "),5) &amp; "|" &amp;
      TRIM(SUBSTITUTE($P$2:$P$206,CHAR(160)," ")),
      $Q$2:$Q$206
    )
  ),
"")</f>
        <v>200</v>
      </c>
      <c r="K13" s="52" cm="1">
        <f t="array" ref="K13">IFERROR(
  VALUE($I13) *
  VALUE(
    _xlfn.XLOOKUP(
      TRIM($G13) &amp; "|" &amp; LEFT(SUBSTITUTE($H13,CHAR(160)," "),5) &amp; "|Reduced Rate",
      TRIM(SUBSTITUTE($N$2:$N$206,CHAR(160)," ")) &amp; "|" &amp;
      LEFT(SUBSTITUTE($O$2:$O$206,CHAR(160)," "),5) &amp; "|" &amp;
      TRIM(SUBSTITUTE($P$2:$P$206,CHAR(160)," ")),
      $Q$2:$Q$206
    )
  ),
"")</f>
        <v>100</v>
      </c>
      <c r="L13" s="32" cm="1">
        <f t="array" ref="L13">IFERROR(
  VALUE($I13) *
  VALUE(
    _xlfn.XLOOKUP(
      TRIM($G13) &amp; "|" &amp; LEFT(SUBSTITUTE($H13,CHAR(160)," "),5) &amp; "|Ideas Rate",
      TRIM(SUBSTITUTE($N$2:$N$206,CHAR(160)," ")) &amp; "|" &amp;
      LEFT(SUBSTITUTE($O$2:$O$206,CHAR(160)," "),5) &amp; "|" &amp;
      TRIM(SUBSTITUTE($P$2:$P$206,CHAR(160)," ")),
      $Q$2:$Q$206
    )
  ),
"")</f>
        <v>60</v>
      </c>
      <c r="M13" s="93" t="s">
        <v>379</v>
      </c>
      <c r="N13" t="s">
        <v>9</v>
      </c>
      <c r="O13" t="s">
        <v>375</v>
      </c>
      <c r="P13" t="s">
        <v>383</v>
      </c>
      <c r="Q13" s="32">
        <v>300</v>
      </c>
      <c r="S13" s="94" t="s">
        <v>188</v>
      </c>
      <c r="T13" s="87">
        <f t="shared" si="1"/>
        <v>3.75</v>
      </c>
      <c r="U13" s="88">
        <f t="shared" si="0"/>
        <v>1625</v>
      </c>
      <c r="V13" s="89"/>
    </row>
    <row r="14" spans="1:24" ht="16" thickBot="1" x14ac:dyDescent="0.25">
      <c r="A14" s="4">
        <v>45890</v>
      </c>
      <c r="B14" s="7" t="s">
        <v>52</v>
      </c>
      <c r="C14" s="1" t="s">
        <v>124</v>
      </c>
      <c r="D14" s="1"/>
      <c r="E14" t="s">
        <v>178</v>
      </c>
      <c r="F14" s="17" t="s">
        <v>130</v>
      </c>
      <c r="G14" s="17" t="s">
        <v>155</v>
      </c>
      <c r="H14" s="2" t="s">
        <v>367</v>
      </c>
      <c r="I14" s="36">
        <v>0.5</v>
      </c>
      <c r="J14" s="52" cm="1">
        <f t="array" ref="J14">IFERROR(
  VALUE($I14) *
  VALUE(
    _xlfn.XLOOKUP(
      TRIM($G14) &amp; "|" &amp; LEFT(SUBSTITUTE($H14,CHAR(160)," "),5) &amp; "|Full Rate",
      TRIM(SUBSTITUTE($N$2:$N$206,CHAR(160)," ")) &amp; "|" &amp;
      LEFT(SUBSTITUTE($O$2:$O$206,CHAR(160)," "),5) &amp; "|" &amp;
      TRIM(SUBSTITUTE($P$2:$P$206,CHAR(160)," ")),
      $Q$2:$Q$206
    )
  ),
"")</f>
        <v>200</v>
      </c>
      <c r="K14" s="52" cm="1">
        <f t="array" ref="K14">IFERROR(
  VALUE($I14) *
  VALUE(
    _xlfn.XLOOKUP(
      TRIM($G14) &amp; "|" &amp; LEFT(SUBSTITUTE($H14,CHAR(160)," "),5) &amp; "|Reduced Rate",
      TRIM(SUBSTITUTE($N$2:$N$206,CHAR(160)," ")) &amp; "|" &amp;
      LEFT(SUBSTITUTE($O$2:$O$206,CHAR(160)," "),5) &amp; "|" &amp;
      TRIM(SUBSTITUTE($P$2:$P$206,CHAR(160)," ")),
      $Q$2:$Q$206
    )
  ),
"")</f>
        <v>100</v>
      </c>
      <c r="L14" s="32" cm="1">
        <f t="array" ref="L14">IFERROR(
  VALUE($I14) *
  VALUE(
    _xlfn.XLOOKUP(
      TRIM($G14) &amp; "|" &amp; LEFT(SUBSTITUTE($H14,CHAR(160)," "),5) &amp; "|Ideas Rate",
      TRIM(SUBSTITUTE($N$2:$N$206,CHAR(160)," ")) &amp; "|" &amp;
      LEFT(SUBSTITUTE($O$2:$O$206,CHAR(160)," "),5) &amp; "|" &amp;
      TRIM(SUBSTITUTE($P$2:$P$206,CHAR(160)," ")),
      $Q$2:$Q$206
    )
  ),
"")</f>
        <v>60</v>
      </c>
      <c r="M14" s="92">
        <f>SUM(L:L)</f>
        <v>25255</v>
      </c>
      <c r="N14" t="s">
        <v>9</v>
      </c>
      <c r="O14" t="s">
        <v>375</v>
      </c>
      <c r="P14" t="s">
        <v>384</v>
      </c>
      <c r="Q14" s="32">
        <v>150</v>
      </c>
      <c r="S14" s="94" t="s">
        <v>191</v>
      </c>
      <c r="T14" s="87">
        <f t="shared" si="1"/>
        <v>3.5</v>
      </c>
      <c r="U14" s="88">
        <f t="shared" si="0"/>
        <v>1750</v>
      </c>
      <c r="V14" s="89"/>
    </row>
    <row r="15" spans="1:24" x14ac:dyDescent="0.2">
      <c r="A15" s="10">
        <v>45890</v>
      </c>
      <c r="B15" s="5" t="s">
        <v>52</v>
      </c>
      <c r="C15" s="1" t="s">
        <v>124</v>
      </c>
      <c r="D15" s="1"/>
      <c r="E15" t="s">
        <v>29</v>
      </c>
      <c r="F15" s="17" t="s">
        <v>131</v>
      </c>
      <c r="G15" s="17" t="s">
        <v>10</v>
      </c>
      <c r="H15" s="2" t="s">
        <v>367</v>
      </c>
      <c r="I15" s="36">
        <v>0.5</v>
      </c>
      <c r="J15" s="52" cm="1">
        <f t="array" ref="J15">IFERROR(
  VALUE($I15) *
  VALUE(
    _xlfn.XLOOKUP(
      TRIM($G15) &amp; "|" &amp; LEFT(SUBSTITUTE($H15,CHAR(160)," "),5) &amp; "|Full Rate",
      TRIM(SUBSTITUTE($N$2:$N$206,CHAR(160)," ")) &amp; "|" &amp;
      LEFT(SUBSTITUTE($O$2:$O$206,CHAR(160)," "),5) &amp; "|" &amp;
      TRIM(SUBSTITUTE($P$2:$P$206,CHAR(160)," ")),
      $Q$2:$Q$206
    )
  ),
"")</f>
        <v>250</v>
      </c>
      <c r="K15" s="52" cm="1">
        <f t="array" ref="K15">IFERROR(
  VALUE($I15) *
  VALUE(
    _xlfn.XLOOKUP(
      TRIM($G15) &amp; "|" &amp; LEFT(SUBSTITUTE($H15,CHAR(160)," "),5) &amp; "|Reduced Rate",
      TRIM(SUBSTITUTE($N$2:$N$206,CHAR(160)," ")) &amp; "|" &amp;
      LEFT(SUBSTITUTE($O$2:$O$206,CHAR(160)," "),5) &amp; "|" &amp;
      TRIM(SUBSTITUTE($P$2:$P$206,CHAR(160)," ")),
      $Q$2:$Q$206
    )
  ),
"")</f>
        <v>150</v>
      </c>
      <c r="L15" s="32" cm="1">
        <f t="array" ref="L15">IFERROR(
  VALUE($I15) *
  VALUE(
    _xlfn.XLOOKUP(
      TRIM($G15) &amp; "|" &amp; LEFT(SUBSTITUTE($H15,CHAR(160)," "),5) &amp; "|Ideas Rate",
      TRIM(SUBSTITUTE($N$2:$N$206,CHAR(160)," ")) &amp; "|" &amp;
      LEFT(SUBSTITUTE($O$2:$O$206,CHAR(160)," "),5) &amp; "|" &amp;
      TRIM(SUBSTITUTE($P$2:$P$206,CHAR(160)," ")),
      $Q$2:$Q$206
    )
  ),
"")</f>
        <v>75</v>
      </c>
      <c r="M15" s="32"/>
      <c r="N15" t="s">
        <v>9</v>
      </c>
      <c r="O15" t="s">
        <v>376</v>
      </c>
      <c r="P15" t="s">
        <v>382</v>
      </c>
      <c r="Q15" s="32">
        <v>250</v>
      </c>
      <c r="S15" s="94" t="s">
        <v>178</v>
      </c>
      <c r="T15" s="87">
        <f t="shared" si="1"/>
        <v>50.5</v>
      </c>
      <c r="U15" s="88">
        <f t="shared" si="0"/>
        <v>24900</v>
      </c>
      <c r="V15" s="89"/>
    </row>
    <row r="16" spans="1:24" x14ac:dyDescent="0.2">
      <c r="A16" s="10">
        <v>45875</v>
      </c>
      <c r="B16" s="5" t="s">
        <v>52</v>
      </c>
      <c r="C16" s="1" t="s">
        <v>124</v>
      </c>
      <c r="D16" s="1"/>
      <c r="E16" t="s">
        <v>181</v>
      </c>
      <c r="F16" s="17" t="s">
        <v>132</v>
      </c>
      <c r="G16" s="17" t="s">
        <v>9</v>
      </c>
      <c r="H16" s="2" t="s">
        <v>367</v>
      </c>
      <c r="I16" s="36">
        <v>2.5</v>
      </c>
      <c r="J16" s="52" cm="1">
        <f t="array" ref="J16">IFERROR(
  VALUE($I16) *
  VALUE(
    _xlfn.XLOOKUP(
      TRIM($G16) &amp; "|" &amp; LEFT(SUBSTITUTE($H16,CHAR(160)," "),5) &amp; "|Full Rate",
      TRIM(SUBSTITUTE($N$2:$N$206,CHAR(160)," ")) &amp; "|" &amp;
      LEFT(SUBSTITUTE($O$2:$O$206,CHAR(160)," "),5) &amp; "|" &amp;
      TRIM(SUBSTITUTE($P$2:$P$206,CHAR(160)," ")),
      $Q$2:$Q$206
    )
  ),
"")</f>
        <v>1250</v>
      </c>
      <c r="K16" s="52" cm="1">
        <f t="array" ref="K16">IFERROR(
  VALUE($I16) *
  VALUE(
    _xlfn.XLOOKUP(
      TRIM($G16) &amp; "|" &amp; LEFT(SUBSTITUTE($H16,CHAR(160)," "),5) &amp; "|Reduced Rate",
      TRIM(SUBSTITUTE($N$2:$N$206,CHAR(160)," ")) &amp; "|" &amp;
      LEFT(SUBSTITUTE($O$2:$O$206,CHAR(160)," "),5) &amp; "|" &amp;
      TRIM(SUBSTITUTE($P$2:$P$206,CHAR(160)," ")),
      $Q$2:$Q$206
    )
  ),
"")</f>
        <v>750</v>
      </c>
      <c r="L16" s="32" cm="1">
        <f t="array" ref="L16">IFERROR(
  VALUE($I16) *
  VALUE(
    _xlfn.XLOOKUP(
      TRIM($G16) &amp; "|" &amp; LEFT(SUBSTITUTE($H16,CHAR(160)," "),5) &amp; "|Ideas Rate",
      TRIM(SUBSTITUTE($N$2:$N$206,CHAR(160)," ")) &amp; "|" &amp;
      LEFT(SUBSTITUTE($O$2:$O$206,CHAR(160)," "),5) &amp; "|" &amp;
      TRIM(SUBSTITUTE($P$2:$P$206,CHAR(160)," ")),
      $Q$2:$Q$206
    )
  ),
"")</f>
        <v>375</v>
      </c>
      <c r="M16" s="32"/>
      <c r="N16" t="s">
        <v>9</v>
      </c>
      <c r="O16" t="s">
        <v>376</v>
      </c>
      <c r="P16" t="s">
        <v>383</v>
      </c>
      <c r="Q16" s="32">
        <v>150</v>
      </c>
      <c r="S16" s="94" t="s">
        <v>81</v>
      </c>
      <c r="T16" s="87">
        <f t="shared" si="1"/>
        <v>0</v>
      </c>
      <c r="U16" s="88">
        <f t="shared" si="0"/>
        <v>0</v>
      </c>
      <c r="V16" s="89"/>
    </row>
    <row r="17" spans="1:22" x14ac:dyDescent="0.2">
      <c r="A17" s="10">
        <v>45881</v>
      </c>
      <c r="B17" s="5" t="s">
        <v>52</v>
      </c>
      <c r="C17" s="1" t="s">
        <v>124</v>
      </c>
      <c r="D17" s="1"/>
      <c r="E17" t="s">
        <v>178</v>
      </c>
      <c r="F17" s="17" t="s">
        <v>134</v>
      </c>
      <c r="G17" s="17" t="s">
        <v>9</v>
      </c>
      <c r="H17" s="2" t="s">
        <v>367</v>
      </c>
      <c r="I17" s="36">
        <v>1.5</v>
      </c>
      <c r="J17" s="52" cm="1">
        <f t="array" ref="J17">IFERROR(
  VALUE($I17) *
  VALUE(
    _xlfn.XLOOKUP(
      TRIM($G17) &amp; "|" &amp; LEFT(SUBSTITUTE($H17,CHAR(160)," "),5) &amp; "|Full Rate",
      TRIM(SUBSTITUTE($N$2:$N$206,CHAR(160)," ")) &amp; "|" &amp;
      LEFT(SUBSTITUTE($O$2:$O$206,CHAR(160)," "),5) &amp; "|" &amp;
      TRIM(SUBSTITUTE($P$2:$P$206,CHAR(160)," ")),
      $Q$2:$Q$206
    )
  ),
"")</f>
        <v>750</v>
      </c>
      <c r="K17" s="52" cm="1">
        <f t="array" ref="K17">IFERROR(
  VALUE($I17) *
  VALUE(
    _xlfn.XLOOKUP(
      TRIM($G17) &amp; "|" &amp; LEFT(SUBSTITUTE($H17,CHAR(160)," "),5) &amp; "|Reduced Rate",
      TRIM(SUBSTITUTE($N$2:$N$206,CHAR(160)," ")) &amp; "|" &amp;
      LEFT(SUBSTITUTE($O$2:$O$206,CHAR(160)," "),5) &amp; "|" &amp;
      TRIM(SUBSTITUTE($P$2:$P$206,CHAR(160)," ")),
      $Q$2:$Q$206
    )
  ),
"")</f>
        <v>450</v>
      </c>
      <c r="L17" s="32" cm="1">
        <f t="array" ref="L17">IFERROR(
  VALUE($I17) *
  VALUE(
    _xlfn.XLOOKUP(
      TRIM($G17) &amp; "|" &amp; LEFT(SUBSTITUTE($H17,CHAR(160)," "),5) &amp; "|Ideas Rate",
      TRIM(SUBSTITUTE($N$2:$N$206,CHAR(160)," ")) &amp; "|" &amp;
      LEFT(SUBSTITUTE($O$2:$O$206,CHAR(160)," "),5) &amp; "|" &amp;
      TRIM(SUBSTITUTE($P$2:$P$206,CHAR(160)," ")),
      $Q$2:$Q$206
    )
  ),
"")</f>
        <v>225</v>
      </c>
      <c r="M17" s="32"/>
      <c r="N17" t="s">
        <v>9</v>
      </c>
      <c r="O17" t="s">
        <v>376</v>
      </c>
      <c r="P17" t="s">
        <v>384</v>
      </c>
      <c r="Q17" s="32">
        <v>75</v>
      </c>
      <c r="S17" s="94" t="s">
        <v>29</v>
      </c>
      <c r="T17" s="87">
        <f t="shared" si="1"/>
        <v>25.75</v>
      </c>
      <c r="U17" s="88">
        <f t="shared" si="0"/>
        <v>12175</v>
      </c>
      <c r="V17" s="89"/>
    </row>
    <row r="18" spans="1:22" x14ac:dyDescent="0.2">
      <c r="A18" s="10">
        <v>45888</v>
      </c>
      <c r="B18" s="5" t="s">
        <v>52</v>
      </c>
      <c r="C18" s="1" t="s">
        <v>124</v>
      </c>
      <c r="D18" s="1"/>
      <c r="E18" t="s">
        <v>187</v>
      </c>
      <c r="F18" s="17" t="s">
        <v>135</v>
      </c>
      <c r="G18" s="17" t="s">
        <v>9</v>
      </c>
      <c r="H18" s="2" t="s">
        <v>367</v>
      </c>
      <c r="I18" s="36">
        <v>1.25</v>
      </c>
      <c r="J18" s="52" cm="1">
        <f t="array" ref="J18">IFERROR(
  VALUE($I18) *
  VALUE(
    _xlfn.XLOOKUP(
      TRIM($G18) &amp; "|" &amp; LEFT(SUBSTITUTE($H18,CHAR(160)," "),5) &amp; "|Full Rate",
      TRIM(SUBSTITUTE($N$2:$N$206,CHAR(160)," ")) &amp; "|" &amp;
      LEFT(SUBSTITUTE($O$2:$O$206,CHAR(160)," "),5) &amp; "|" &amp;
      TRIM(SUBSTITUTE($P$2:$P$206,CHAR(160)," ")),
      $Q$2:$Q$206
    )
  ),
"")</f>
        <v>625</v>
      </c>
      <c r="K18" s="52" cm="1">
        <f t="array" ref="K18">IFERROR(
  VALUE($I18) *
  VALUE(
    _xlfn.XLOOKUP(
      TRIM($G18) &amp; "|" &amp; LEFT(SUBSTITUTE($H18,CHAR(160)," "),5) &amp; "|Reduced Rate",
      TRIM(SUBSTITUTE($N$2:$N$206,CHAR(160)," ")) &amp; "|" &amp;
      LEFT(SUBSTITUTE($O$2:$O$206,CHAR(160)," "),5) &amp; "|" &amp;
      TRIM(SUBSTITUTE($P$2:$P$206,CHAR(160)," ")),
      $Q$2:$Q$206
    )
  ),
"")</f>
        <v>375</v>
      </c>
      <c r="L18" s="32" cm="1">
        <f t="array" ref="L18">IFERROR(
  VALUE($I18) *
  VALUE(
    _xlfn.XLOOKUP(
      TRIM($G18) &amp; "|" &amp; LEFT(SUBSTITUTE($H18,CHAR(160)," "),5) &amp; "|Ideas Rate",
      TRIM(SUBSTITUTE($N$2:$N$206,CHAR(160)," ")) &amp; "|" &amp;
      LEFT(SUBSTITUTE($O$2:$O$206,CHAR(160)," "),5) &amp; "|" &amp;
      TRIM(SUBSTITUTE($P$2:$P$206,CHAR(160)," ")),
      $Q$2:$Q$206
    )
  ),
"")</f>
        <v>187.5</v>
      </c>
      <c r="N18" t="s">
        <v>9</v>
      </c>
      <c r="O18" t="s">
        <v>368</v>
      </c>
      <c r="P18" t="s">
        <v>382</v>
      </c>
      <c r="Q18" s="32">
        <v>100</v>
      </c>
      <c r="S18" s="94" t="s">
        <v>192</v>
      </c>
      <c r="T18" s="87">
        <f t="shared" si="1"/>
        <v>3</v>
      </c>
      <c r="U18" s="88">
        <f t="shared" si="0"/>
        <v>1500</v>
      </c>
      <c r="V18" s="89"/>
    </row>
    <row r="19" spans="1:22" x14ac:dyDescent="0.2">
      <c r="A19" s="10">
        <v>45889</v>
      </c>
      <c r="B19" s="5" t="s">
        <v>52</v>
      </c>
      <c r="C19" s="1" t="s">
        <v>124</v>
      </c>
      <c r="D19" s="1"/>
      <c r="E19" t="s">
        <v>178</v>
      </c>
      <c r="F19" s="17" t="s">
        <v>136</v>
      </c>
      <c r="G19" s="17" t="s">
        <v>9</v>
      </c>
      <c r="H19" s="2" t="s">
        <v>367</v>
      </c>
      <c r="I19" s="36">
        <v>0.5</v>
      </c>
      <c r="J19" s="52" cm="1">
        <f t="array" ref="J19">IFERROR(
  VALUE($I19) *
  VALUE(
    _xlfn.XLOOKUP(
      TRIM($G19) &amp; "|" &amp; LEFT(SUBSTITUTE($H19,CHAR(160)," "),5) &amp; "|Full Rate",
      TRIM(SUBSTITUTE($N$2:$N$206,CHAR(160)," ")) &amp; "|" &amp;
      LEFT(SUBSTITUTE($O$2:$O$206,CHAR(160)," "),5) &amp; "|" &amp;
      TRIM(SUBSTITUTE($P$2:$P$206,CHAR(160)," ")),
      $Q$2:$Q$206
    )
  ),
"")</f>
        <v>250</v>
      </c>
      <c r="K19" s="52" cm="1">
        <f t="array" ref="K19">IFERROR(
  VALUE($I19) *
  VALUE(
    _xlfn.XLOOKUP(
      TRIM($G19) &amp; "|" &amp; LEFT(SUBSTITUTE($H19,CHAR(160)," "),5) &amp; "|Reduced Rate",
      TRIM(SUBSTITUTE($N$2:$N$206,CHAR(160)," ")) &amp; "|" &amp;
      LEFT(SUBSTITUTE($O$2:$O$206,CHAR(160)," "),5) &amp; "|" &amp;
      TRIM(SUBSTITUTE($P$2:$P$206,CHAR(160)," ")),
      $Q$2:$Q$206
    )
  ),
"")</f>
        <v>150</v>
      </c>
      <c r="L19" s="32" cm="1">
        <f t="array" ref="L19">IFERROR(
  VALUE($I19) *
  VALUE(
    _xlfn.XLOOKUP(
      TRIM($G19) &amp; "|" &amp; LEFT(SUBSTITUTE($H19,CHAR(160)," "),5) &amp; "|Ideas Rate",
      TRIM(SUBSTITUTE($N$2:$N$206,CHAR(160)," ")) &amp; "|" &amp;
      LEFT(SUBSTITUTE($O$2:$O$206,CHAR(160)," "),5) &amp; "|" &amp;
      TRIM(SUBSTITUTE($P$2:$P$206,CHAR(160)," ")),
      $Q$2:$Q$206
    )
  ),
"")</f>
        <v>75</v>
      </c>
      <c r="N19" t="s">
        <v>9</v>
      </c>
      <c r="O19" t="s">
        <v>368</v>
      </c>
      <c r="P19" t="s">
        <v>378</v>
      </c>
      <c r="Q19" s="32">
        <v>50</v>
      </c>
      <c r="S19" s="94" t="s">
        <v>184</v>
      </c>
      <c r="T19" s="87">
        <f t="shared" si="1"/>
        <v>53</v>
      </c>
      <c r="U19" s="88">
        <f t="shared" si="0"/>
        <v>26500</v>
      </c>
      <c r="V19" s="89"/>
    </row>
    <row r="20" spans="1:22" x14ac:dyDescent="0.2">
      <c r="A20" s="10">
        <v>45889</v>
      </c>
      <c r="B20" s="5" t="s">
        <v>52</v>
      </c>
      <c r="C20" s="1" t="s">
        <v>124</v>
      </c>
      <c r="D20" s="1"/>
      <c r="E20" t="s">
        <v>178</v>
      </c>
      <c r="F20" s="17" t="s">
        <v>104</v>
      </c>
      <c r="G20" s="17" t="s">
        <v>9</v>
      </c>
      <c r="H20" s="2" t="s">
        <v>367</v>
      </c>
      <c r="I20" s="36">
        <v>1</v>
      </c>
      <c r="J20" s="52" cm="1">
        <f t="array" ref="J20">IFERROR(
  VALUE($I20) *
  VALUE(
    _xlfn.XLOOKUP(
      TRIM($G20) &amp; "|" &amp; LEFT(SUBSTITUTE($H20,CHAR(160)," "),5) &amp; "|Full Rate",
      TRIM(SUBSTITUTE($N$2:$N$206,CHAR(160)," ")) &amp; "|" &amp;
      LEFT(SUBSTITUTE($O$2:$O$206,CHAR(160)," "),5) &amp; "|" &amp;
      TRIM(SUBSTITUTE($P$2:$P$206,CHAR(160)," ")),
      $Q$2:$Q$206
    )
  ),
"")</f>
        <v>500</v>
      </c>
      <c r="K20" s="52" cm="1">
        <f t="array" ref="K20">IFERROR(
  VALUE($I20) *
  VALUE(
    _xlfn.XLOOKUP(
      TRIM($G20) &amp; "|" &amp; LEFT(SUBSTITUTE($H20,CHAR(160)," "),5) &amp; "|Reduced Rate",
      TRIM(SUBSTITUTE($N$2:$N$206,CHAR(160)," ")) &amp; "|" &amp;
      LEFT(SUBSTITUTE($O$2:$O$206,CHAR(160)," "),5) &amp; "|" &amp;
      TRIM(SUBSTITUTE($P$2:$P$206,CHAR(160)," ")),
      $Q$2:$Q$206
    )
  ),
"")</f>
        <v>300</v>
      </c>
      <c r="L20" s="32" cm="1">
        <f t="array" ref="L20">IFERROR(
  VALUE($I20) *
  VALUE(
    _xlfn.XLOOKUP(
      TRIM($G20) &amp; "|" &amp; LEFT(SUBSTITUTE($H20,CHAR(160)," "),5) &amp; "|Ideas Rate",
      TRIM(SUBSTITUTE($N$2:$N$206,CHAR(160)," ")) &amp; "|" &amp;
      LEFT(SUBSTITUTE($O$2:$O$206,CHAR(160)," "),5) &amp; "|" &amp;
      TRIM(SUBSTITUTE($P$2:$P$206,CHAR(160)," ")),
      $Q$2:$Q$206
    )
  ),
"")</f>
        <v>150</v>
      </c>
      <c r="N20" t="s">
        <v>9</v>
      </c>
      <c r="O20" t="s">
        <v>368</v>
      </c>
      <c r="P20" t="s">
        <v>384</v>
      </c>
      <c r="Q20" s="32">
        <v>30</v>
      </c>
      <c r="S20" s="94" t="s">
        <v>187</v>
      </c>
      <c r="T20" s="87">
        <f t="shared" si="1"/>
        <v>4.75</v>
      </c>
      <c r="U20" s="88">
        <f t="shared" si="0"/>
        <v>1762.5</v>
      </c>
      <c r="V20" s="89"/>
    </row>
    <row r="21" spans="1:22" x14ac:dyDescent="0.2">
      <c r="A21" s="10">
        <v>45890</v>
      </c>
      <c r="B21" s="5" t="s">
        <v>52</v>
      </c>
      <c r="C21" s="1" t="s">
        <v>124</v>
      </c>
      <c r="D21" s="1"/>
      <c r="E21" t="s">
        <v>178</v>
      </c>
      <c r="F21" s="17" t="s">
        <v>137</v>
      </c>
      <c r="G21" s="17" t="s">
        <v>9</v>
      </c>
      <c r="H21" s="2" t="s">
        <v>367</v>
      </c>
      <c r="I21" s="36">
        <v>0.5</v>
      </c>
      <c r="J21" s="52" cm="1">
        <f t="array" ref="J21">IFERROR(
  VALUE($I21) *
  VALUE(
    _xlfn.XLOOKUP(
      TRIM($G21) &amp; "|" &amp; LEFT(SUBSTITUTE($H21,CHAR(160)," "),5) &amp; "|Full Rate",
      TRIM(SUBSTITUTE($N$2:$N$206,CHAR(160)," ")) &amp; "|" &amp;
      LEFT(SUBSTITUTE($O$2:$O$206,CHAR(160)," "),5) &amp; "|" &amp;
      TRIM(SUBSTITUTE($P$2:$P$206,CHAR(160)," ")),
      $Q$2:$Q$206
    )
  ),
"")</f>
        <v>250</v>
      </c>
      <c r="K21" s="52" cm="1">
        <f t="array" ref="K21">IFERROR(
  VALUE($I21) *
  VALUE(
    _xlfn.XLOOKUP(
      TRIM($G21) &amp; "|" &amp; LEFT(SUBSTITUTE($H21,CHAR(160)," "),5) &amp; "|Reduced Rate",
      TRIM(SUBSTITUTE($N$2:$N$206,CHAR(160)," ")) &amp; "|" &amp;
      LEFT(SUBSTITUTE($O$2:$O$206,CHAR(160)," "),5) &amp; "|" &amp;
      TRIM(SUBSTITUTE($P$2:$P$206,CHAR(160)," ")),
      $Q$2:$Q$206
    )
  ),
"")</f>
        <v>150</v>
      </c>
      <c r="L21" s="32" cm="1">
        <f t="array" ref="L21">IFERROR(
  VALUE($I21) *
  VALUE(
    _xlfn.XLOOKUP(
      TRIM($G21) &amp; "|" &amp; LEFT(SUBSTITUTE($H21,CHAR(160)," "),5) &amp; "|Ideas Rate",
      TRIM(SUBSTITUTE($N$2:$N$206,CHAR(160)," ")) &amp; "|" &amp;
      LEFT(SUBSTITUTE($O$2:$O$206,CHAR(160)," "),5) &amp; "|" &amp;
      TRIM(SUBSTITUTE($P$2:$P$206,CHAR(160)," ")),
      $Q$2:$Q$206
    )
  ),
"")</f>
        <v>75</v>
      </c>
      <c r="N21" s="56" t="s">
        <v>155</v>
      </c>
      <c r="O21" s="56" t="s">
        <v>375</v>
      </c>
      <c r="P21" t="s">
        <v>382</v>
      </c>
      <c r="Q21" s="57">
        <v>400</v>
      </c>
      <c r="S21" s="94" t="s">
        <v>323</v>
      </c>
      <c r="T21" s="87">
        <f t="shared" si="1"/>
        <v>20</v>
      </c>
      <c r="U21" s="88">
        <f t="shared" si="0"/>
        <v>2000</v>
      </c>
      <c r="V21" s="89"/>
    </row>
    <row r="22" spans="1:22" x14ac:dyDescent="0.2">
      <c r="A22" s="10">
        <v>45892</v>
      </c>
      <c r="B22" s="5" t="s">
        <v>52</v>
      </c>
      <c r="C22" s="1" t="s">
        <v>124</v>
      </c>
      <c r="D22" s="1"/>
      <c r="E22" t="s">
        <v>29</v>
      </c>
      <c r="F22" s="17" t="s">
        <v>138</v>
      </c>
      <c r="G22" s="17" t="s">
        <v>9</v>
      </c>
      <c r="H22" s="2" t="s">
        <v>367</v>
      </c>
      <c r="I22" s="36">
        <v>0.5</v>
      </c>
      <c r="J22" s="52" cm="1">
        <f t="array" ref="J22">IFERROR(
  VALUE($I22) *
  VALUE(
    _xlfn.XLOOKUP(
      TRIM($G22) &amp; "|" &amp; LEFT(SUBSTITUTE($H22,CHAR(160)," "),5) &amp; "|Full Rate",
      TRIM(SUBSTITUTE($N$2:$N$206,CHAR(160)," ")) &amp; "|" &amp;
      LEFT(SUBSTITUTE($O$2:$O$206,CHAR(160)," "),5) &amp; "|" &amp;
      TRIM(SUBSTITUTE($P$2:$P$206,CHAR(160)," ")),
      $Q$2:$Q$206
    )
  ),
"")</f>
        <v>250</v>
      </c>
      <c r="K22" s="52" cm="1">
        <f t="array" ref="K22">IFERROR(
  VALUE($I22) *
  VALUE(
    _xlfn.XLOOKUP(
      TRIM($G22) &amp; "|" &amp; LEFT(SUBSTITUTE($H22,CHAR(160)," "),5) &amp; "|Reduced Rate",
      TRIM(SUBSTITUTE($N$2:$N$206,CHAR(160)," ")) &amp; "|" &amp;
      LEFT(SUBSTITUTE($O$2:$O$206,CHAR(160)," "),5) &amp; "|" &amp;
      TRIM(SUBSTITUTE($P$2:$P$206,CHAR(160)," ")),
      $Q$2:$Q$206
    )
  ),
"")</f>
        <v>150</v>
      </c>
      <c r="L22" s="32" cm="1">
        <f t="array" ref="L22">IFERROR(
  VALUE($I22) *
  VALUE(
    _xlfn.XLOOKUP(
      TRIM($G22) &amp; "|" &amp; LEFT(SUBSTITUTE($H22,CHAR(160)," "),5) &amp; "|Ideas Rate",
      TRIM(SUBSTITUTE($N$2:$N$206,CHAR(160)," ")) &amp; "|" &amp;
      LEFT(SUBSTITUTE($O$2:$O$206,CHAR(160)," "),5) &amp; "|" &amp;
      TRIM(SUBSTITUTE($P$2:$P$206,CHAR(160)," ")),
      $Q$2:$Q$206
    )
  ),
"")</f>
        <v>75</v>
      </c>
      <c r="N22" t="s">
        <v>155</v>
      </c>
      <c r="O22" t="s">
        <v>375</v>
      </c>
      <c r="P22" t="s">
        <v>383</v>
      </c>
      <c r="Q22" s="32">
        <v>200</v>
      </c>
      <c r="S22" s="94" t="s">
        <v>324</v>
      </c>
      <c r="T22" s="87">
        <f t="shared" si="1"/>
        <v>2</v>
      </c>
      <c r="U22" s="88">
        <f t="shared" si="0"/>
        <v>1000</v>
      </c>
      <c r="V22" s="89"/>
    </row>
    <row r="23" spans="1:22" x14ac:dyDescent="0.2">
      <c r="A23" s="10">
        <v>45894</v>
      </c>
      <c r="B23" s="5" t="s">
        <v>52</v>
      </c>
      <c r="C23" s="1" t="s">
        <v>124</v>
      </c>
      <c r="D23" s="1"/>
      <c r="E23" t="s">
        <v>29</v>
      </c>
      <c r="F23" s="17" t="s">
        <v>138</v>
      </c>
      <c r="G23" s="17" t="s">
        <v>9</v>
      </c>
      <c r="H23" s="2" t="s">
        <v>367</v>
      </c>
      <c r="I23" s="36">
        <v>2.5</v>
      </c>
      <c r="J23" s="52" cm="1">
        <f t="array" ref="J23">IFERROR(
  VALUE($I23) *
  VALUE(
    _xlfn.XLOOKUP(
      TRIM($G23) &amp; "|" &amp; LEFT(SUBSTITUTE($H23,CHAR(160)," "),5) &amp; "|Full Rate",
      TRIM(SUBSTITUTE($N$2:$N$206,CHAR(160)," ")) &amp; "|" &amp;
      LEFT(SUBSTITUTE($O$2:$O$206,CHAR(160)," "),5) &amp; "|" &amp;
      TRIM(SUBSTITUTE($P$2:$P$206,CHAR(160)," ")),
      $Q$2:$Q$206
    )
  ),
"")</f>
        <v>1250</v>
      </c>
      <c r="K23" s="52" cm="1">
        <f t="array" ref="K23">IFERROR(
  VALUE($I23) *
  VALUE(
    _xlfn.XLOOKUP(
      TRIM($G23) &amp; "|" &amp; LEFT(SUBSTITUTE($H23,CHAR(160)," "),5) &amp; "|Reduced Rate",
      TRIM(SUBSTITUTE($N$2:$N$206,CHAR(160)," ")) &amp; "|" &amp;
      LEFT(SUBSTITUTE($O$2:$O$206,CHAR(160)," "),5) &amp; "|" &amp;
      TRIM(SUBSTITUTE($P$2:$P$206,CHAR(160)," ")),
      $Q$2:$Q$206
    )
  ),
"")</f>
        <v>750</v>
      </c>
      <c r="L23" s="32" cm="1">
        <f t="array" ref="L23">IFERROR(
  VALUE($I23) *
  VALUE(
    _xlfn.XLOOKUP(
      TRIM($G23) &amp; "|" &amp; LEFT(SUBSTITUTE($H23,CHAR(160)," "),5) &amp; "|Ideas Rate",
      TRIM(SUBSTITUTE($N$2:$N$206,CHAR(160)," ")) &amp; "|" &amp;
      LEFT(SUBSTITUTE($O$2:$O$206,CHAR(160)," "),5) &amp; "|" &amp;
      TRIM(SUBSTITUTE($P$2:$P$206,CHAR(160)," ")),
      $Q$2:$Q$206
    )
  ),
"")</f>
        <v>375</v>
      </c>
      <c r="N23" t="s">
        <v>155</v>
      </c>
      <c r="O23" t="s">
        <v>375</v>
      </c>
      <c r="P23" t="s">
        <v>384</v>
      </c>
      <c r="Q23" s="32">
        <v>120</v>
      </c>
    </row>
    <row r="24" spans="1:22" x14ac:dyDescent="0.2">
      <c r="A24" s="10">
        <v>45895</v>
      </c>
      <c r="B24" s="5" t="s">
        <v>52</v>
      </c>
      <c r="C24" s="1" t="s">
        <v>124</v>
      </c>
      <c r="D24" s="1"/>
      <c r="E24" t="s">
        <v>178</v>
      </c>
      <c r="F24" s="17" t="s">
        <v>139</v>
      </c>
      <c r="G24" s="17" t="s">
        <v>10</v>
      </c>
      <c r="H24" s="2" t="s">
        <v>367</v>
      </c>
      <c r="I24" s="36">
        <v>2.5</v>
      </c>
      <c r="J24" s="52" cm="1">
        <f t="array" ref="J24">IFERROR(
  VALUE($I24) *
  VALUE(
    _xlfn.XLOOKUP(
      TRIM($G24) &amp; "|" &amp; LEFT(SUBSTITUTE($H24,CHAR(160)," "),5) &amp; "|Full Rate",
      TRIM(SUBSTITUTE($N$2:$N$206,CHAR(160)," ")) &amp; "|" &amp;
      LEFT(SUBSTITUTE($O$2:$O$206,CHAR(160)," "),5) &amp; "|" &amp;
      TRIM(SUBSTITUTE($P$2:$P$206,CHAR(160)," ")),
      $Q$2:$Q$206
    )
  ),
"")</f>
        <v>1250</v>
      </c>
      <c r="K24" s="52" cm="1">
        <f t="array" ref="K24">IFERROR(
  VALUE($I24) *
  VALUE(
    _xlfn.XLOOKUP(
      TRIM($G24) &amp; "|" &amp; LEFT(SUBSTITUTE($H24,CHAR(160)," "),5) &amp; "|Reduced Rate",
      TRIM(SUBSTITUTE($N$2:$N$206,CHAR(160)," ")) &amp; "|" &amp;
      LEFT(SUBSTITUTE($O$2:$O$206,CHAR(160)," "),5) &amp; "|" &amp;
      TRIM(SUBSTITUTE($P$2:$P$206,CHAR(160)," ")),
      $Q$2:$Q$206
    )
  ),
"")</f>
        <v>750</v>
      </c>
      <c r="L24" s="32" cm="1">
        <f t="array" ref="L24">IFERROR(
  VALUE($I24) *
  VALUE(
    _xlfn.XLOOKUP(
      TRIM($G24) &amp; "|" &amp; LEFT(SUBSTITUTE($H24,CHAR(160)," "),5) &amp; "|Ideas Rate",
      TRIM(SUBSTITUTE($N$2:$N$206,CHAR(160)," ")) &amp; "|" &amp;
      LEFT(SUBSTITUTE($O$2:$O$206,CHAR(160)," "),5) &amp; "|" &amp;
      TRIM(SUBSTITUTE($P$2:$P$206,CHAR(160)," ")),
      $Q$2:$Q$206
    )
  ),
"")</f>
        <v>375</v>
      </c>
      <c r="N24" t="s">
        <v>155</v>
      </c>
      <c r="O24" t="s">
        <v>376</v>
      </c>
      <c r="P24" t="s">
        <v>382</v>
      </c>
      <c r="Q24" s="32">
        <v>260</v>
      </c>
    </row>
    <row r="25" spans="1:22" x14ac:dyDescent="0.2">
      <c r="A25" s="10">
        <v>45895</v>
      </c>
      <c r="B25" s="5" t="s">
        <v>52</v>
      </c>
      <c r="C25" s="1" t="s">
        <v>124</v>
      </c>
      <c r="D25" s="1"/>
      <c r="E25" t="s">
        <v>181</v>
      </c>
      <c r="F25" s="17" t="s">
        <v>140</v>
      </c>
      <c r="G25" s="17" t="s">
        <v>10</v>
      </c>
      <c r="H25" s="2" t="s">
        <v>367</v>
      </c>
      <c r="I25" s="36">
        <v>0.5</v>
      </c>
      <c r="J25" s="52" cm="1">
        <f t="array" ref="J25">IFERROR(
  VALUE($I25) *
  VALUE(
    _xlfn.XLOOKUP(
      TRIM($G25) &amp; "|" &amp; LEFT(SUBSTITUTE($H25,CHAR(160)," "),5) &amp; "|Full Rate",
      TRIM(SUBSTITUTE($N$2:$N$206,CHAR(160)," ")) &amp; "|" &amp;
      LEFT(SUBSTITUTE($O$2:$O$206,CHAR(160)," "),5) &amp; "|" &amp;
      TRIM(SUBSTITUTE($P$2:$P$206,CHAR(160)," ")),
      $Q$2:$Q$206
    )
  ),
"")</f>
        <v>250</v>
      </c>
      <c r="K25" s="52" cm="1">
        <f t="array" ref="K25">IFERROR(
  VALUE($I25) *
  VALUE(
    _xlfn.XLOOKUP(
      TRIM($G25) &amp; "|" &amp; LEFT(SUBSTITUTE($H25,CHAR(160)," "),5) &amp; "|Reduced Rate",
      TRIM(SUBSTITUTE($N$2:$N$206,CHAR(160)," ")) &amp; "|" &amp;
      LEFT(SUBSTITUTE($O$2:$O$206,CHAR(160)," "),5) &amp; "|" &amp;
      TRIM(SUBSTITUTE($P$2:$P$206,CHAR(160)," ")),
      $Q$2:$Q$206
    )
  ),
"")</f>
        <v>150</v>
      </c>
      <c r="L25" s="32" cm="1">
        <f t="array" ref="L25">IFERROR(
  VALUE($I25) *
  VALUE(
    _xlfn.XLOOKUP(
      TRIM($G25) &amp; "|" &amp; LEFT(SUBSTITUTE($H25,CHAR(160)," "),5) &amp; "|Ideas Rate",
      TRIM(SUBSTITUTE($N$2:$N$206,CHAR(160)," ")) &amp; "|" &amp;
      LEFT(SUBSTITUTE($O$2:$O$206,CHAR(160)," "),5) &amp; "|" &amp;
      TRIM(SUBSTITUTE($P$2:$P$206,CHAR(160)," ")),
      $Q$2:$Q$206
    )
  ),
"")</f>
        <v>75</v>
      </c>
      <c r="N25" t="s">
        <v>155</v>
      </c>
      <c r="O25" t="s">
        <v>376</v>
      </c>
      <c r="P25" t="s">
        <v>383</v>
      </c>
      <c r="Q25" s="32">
        <v>120</v>
      </c>
    </row>
    <row r="26" spans="1:22" x14ac:dyDescent="0.2">
      <c r="A26" s="10">
        <v>45895</v>
      </c>
      <c r="B26" s="5" t="s">
        <v>52</v>
      </c>
      <c r="C26" s="1" t="s">
        <v>124</v>
      </c>
      <c r="D26" s="1"/>
      <c r="E26" t="s">
        <v>178</v>
      </c>
      <c r="F26" s="17" t="s">
        <v>139</v>
      </c>
      <c r="G26" s="17" t="s">
        <v>10</v>
      </c>
      <c r="H26" s="2" t="s">
        <v>367</v>
      </c>
      <c r="I26" s="36">
        <v>3</v>
      </c>
      <c r="J26" s="52" cm="1">
        <f t="array" ref="J26">IFERROR(
  VALUE($I26) *
  VALUE(
    _xlfn.XLOOKUP(
      TRIM($G26) &amp; "|" &amp; LEFT(SUBSTITUTE($H26,CHAR(160)," "),5) &amp; "|Full Rate",
      TRIM(SUBSTITUTE($N$2:$N$206,CHAR(160)," ")) &amp; "|" &amp;
      LEFT(SUBSTITUTE($O$2:$O$206,CHAR(160)," "),5) &amp; "|" &amp;
      TRIM(SUBSTITUTE($P$2:$P$206,CHAR(160)," ")),
      $Q$2:$Q$206
    )
  ),
"")</f>
        <v>1500</v>
      </c>
      <c r="K26" s="52" cm="1">
        <f t="array" ref="K26">IFERROR(
  VALUE($I26) *
  VALUE(
    _xlfn.XLOOKUP(
      TRIM($G26) &amp; "|" &amp; LEFT(SUBSTITUTE($H26,CHAR(160)," "),5) &amp; "|Reduced Rate",
      TRIM(SUBSTITUTE($N$2:$N$206,CHAR(160)," ")) &amp; "|" &amp;
      LEFT(SUBSTITUTE($O$2:$O$206,CHAR(160)," "),5) &amp; "|" &amp;
      TRIM(SUBSTITUTE($P$2:$P$206,CHAR(160)," ")),
      $Q$2:$Q$206
    )
  ),
"")</f>
        <v>900</v>
      </c>
      <c r="L26" s="32" cm="1">
        <f t="array" ref="L26">IFERROR(
  VALUE($I26) *
  VALUE(
    _xlfn.XLOOKUP(
      TRIM($G26) &amp; "|" &amp; LEFT(SUBSTITUTE($H26,CHAR(160)," "),5) &amp; "|Ideas Rate",
      TRIM(SUBSTITUTE($N$2:$N$206,CHAR(160)," ")) &amp; "|" &amp;
      LEFT(SUBSTITUTE($O$2:$O$206,CHAR(160)," "),5) &amp; "|" &amp;
      TRIM(SUBSTITUTE($P$2:$P$206,CHAR(160)," ")),
      $Q$2:$Q$206
    )
  ),
"")</f>
        <v>450</v>
      </c>
      <c r="N26" t="s">
        <v>155</v>
      </c>
      <c r="O26" t="s">
        <v>376</v>
      </c>
      <c r="P26" t="s">
        <v>384</v>
      </c>
      <c r="Q26" s="32">
        <v>90</v>
      </c>
    </row>
    <row r="27" spans="1:22" x14ac:dyDescent="0.2">
      <c r="A27" s="10">
        <v>45895</v>
      </c>
      <c r="B27" s="5" t="s">
        <v>52</v>
      </c>
      <c r="C27" s="1" t="s">
        <v>124</v>
      </c>
      <c r="D27" s="1"/>
      <c r="E27" t="s">
        <v>181</v>
      </c>
      <c r="F27" s="17" t="s">
        <v>141</v>
      </c>
      <c r="G27" s="17" t="s">
        <v>10</v>
      </c>
      <c r="H27" s="2" t="s">
        <v>367</v>
      </c>
      <c r="I27" s="36">
        <v>0.5</v>
      </c>
      <c r="J27" s="52" cm="1">
        <f t="array" ref="J27">IFERROR(
  VALUE($I27) *
  VALUE(
    _xlfn.XLOOKUP(
      TRIM($G27) &amp; "|" &amp; LEFT(SUBSTITUTE($H27,CHAR(160)," "),5) &amp; "|Full Rate",
      TRIM(SUBSTITUTE($N$2:$N$206,CHAR(160)," ")) &amp; "|" &amp;
      LEFT(SUBSTITUTE($O$2:$O$206,CHAR(160)," "),5) &amp; "|" &amp;
      TRIM(SUBSTITUTE($P$2:$P$206,CHAR(160)," ")),
      $Q$2:$Q$206
    )
  ),
"")</f>
        <v>250</v>
      </c>
      <c r="K27" s="52" cm="1">
        <f t="array" ref="K27">IFERROR(
  VALUE($I27) *
  VALUE(
    _xlfn.XLOOKUP(
      TRIM($G27) &amp; "|" &amp; LEFT(SUBSTITUTE($H27,CHAR(160)," "),5) &amp; "|Reduced Rate",
      TRIM(SUBSTITUTE($N$2:$N$206,CHAR(160)," ")) &amp; "|" &amp;
      LEFT(SUBSTITUTE($O$2:$O$206,CHAR(160)," "),5) &amp; "|" &amp;
      TRIM(SUBSTITUTE($P$2:$P$206,CHAR(160)," ")),
      $Q$2:$Q$206
    )
  ),
"")</f>
        <v>150</v>
      </c>
      <c r="L27" s="32" cm="1">
        <f t="array" ref="L27">IFERROR(
  VALUE($I27) *
  VALUE(
    _xlfn.XLOOKUP(
      TRIM($G27) &amp; "|" &amp; LEFT(SUBSTITUTE($H27,CHAR(160)," "),5) &amp; "|Ideas Rate",
      TRIM(SUBSTITUTE($N$2:$N$206,CHAR(160)," ")) &amp; "|" &amp;
      LEFT(SUBSTITUTE($O$2:$O$206,CHAR(160)," "),5) &amp; "|" &amp;
      TRIM(SUBSTITUTE($P$2:$P$206,CHAR(160)," ")),
      $Q$2:$Q$206
    )
  ),
"")</f>
        <v>75</v>
      </c>
      <c r="N27" t="s">
        <v>155</v>
      </c>
      <c r="O27" t="s">
        <v>368</v>
      </c>
      <c r="P27" t="s">
        <v>382</v>
      </c>
      <c r="Q27" s="32">
        <v>100</v>
      </c>
    </row>
    <row r="28" spans="1:22" x14ac:dyDescent="0.2">
      <c r="A28" s="10">
        <v>45896</v>
      </c>
      <c r="B28" s="5" t="s">
        <v>52</v>
      </c>
      <c r="C28" s="1" t="s">
        <v>124</v>
      </c>
      <c r="D28" s="1"/>
      <c r="E28" t="s">
        <v>183</v>
      </c>
      <c r="F28" s="17" t="s">
        <v>145</v>
      </c>
      <c r="G28" s="17" t="s">
        <v>10</v>
      </c>
      <c r="H28" s="2" t="s">
        <v>367</v>
      </c>
      <c r="I28" s="36">
        <v>1.5</v>
      </c>
      <c r="J28" s="52" cm="1">
        <f t="array" ref="J28">IFERROR(
  VALUE($I28) *
  VALUE(
    _xlfn.XLOOKUP(
      TRIM($G28) &amp; "|" &amp; LEFT(SUBSTITUTE($H28,CHAR(160)," "),5) &amp; "|Full Rate",
      TRIM(SUBSTITUTE($N$2:$N$206,CHAR(160)," ")) &amp; "|" &amp;
      LEFT(SUBSTITUTE($O$2:$O$206,CHAR(160)," "),5) &amp; "|" &amp;
      TRIM(SUBSTITUTE($P$2:$P$206,CHAR(160)," ")),
      $Q$2:$Q$206
    )
  ),
"")</f>
        <v>750</v>
      </c>
      <c r="K28" s="52" cm="1">
        <f t="array" ref="K28">IFERROR(
  VALUE($I28) *
  VALUE(
    _xlfn.XLOOKUP(
      TRIM($G28) &amp; "|" &amp; LEFT(SUBSTITUTE($H28,CHAR(160)," "),5) &amp; "|Reduced Rate",
      TRIM(SUBSTITUTE($N$2:$N$206,CHAR(160)," ")) &amp; "|" &amp;
      LEFT(SUBSTITUTE($O$2:$O$206,CHAR(160)," "),5) &amp; "|" &amp;
      TRIM(SUBSTITUTE($P$2:$P$206,CHAR(160)," ")),
      $Q$2:$Q$206
    )
  ),
"")</f>
        <v>450</v>
      </c>
      <c r="L28" s="32" cm="1">
        <f t="array" ref="L28">IFERROR(
  VALUE($I28) *
  VALUE(
    _xlfn.XLOOKUP(
      TRIM($G28) &amp; "|" &amp; LEFT(SUBSTITUTE($H28,CHAR(160)," "),5) &amp; "|Ideas Rate",
      TRIM(SUBSTITUTE($N$2:$N$206,CHAR(160)," ")) &amp; "|" &amp;
      LEFT(SUBSTITUTE($O$2:$O$206,CHAR(160)," "),5) &amp; "|" &amp;
      TRIM(SUBSTITUTE($P$2:$P$206,CHAR(160)," ")),
      $Q$2:$Q$206
    )
  ),
"")</f>
        <v>225</v>
      </c>
      <c r="N28" t="s">
        <v>155</v>
      </c>
      <c r="O28" t="s">
        <v>368</v>
      </c>
      <c r="P28" t="s">
        <v>383</v>
      </c>
      <c r="Q28" s="32">
        <v>50</v>
      </c>
    </row>
    <row r="29" spans="1:22" x14ac:dyDescent="0.2">
      <c r="A29" s="10">
        <v>45895</v>
      </c>
      <c r="B29" s="5" t="s">
        <v>52</v>
      </c>
      <c r="C29" s="1" t="s">
        <v>124</v>
      </c>
      <c r="D29" s="1"/>
      <c r="E29" t="s">
        <v>178</v>
      </c>
      <c r="F29" s="17" t="s">
        <v>139</v>
      </c>
      <c r="G29" s="17" t="s">
        <v>9</v>
      </c>
      <c r="H29" s="2" t="s">
        <v>367</v>
      </c>
      <c r="I29" s="36">
        <v>3</v>
      </c>
      <c r="J29" s="52" cm="1">
        <f t="array" ref="J29">IFERROR(
  VALUE($I29) *
  VALUE(
    _xlfn.XLOOKUP(
      TRIM($G29) &amp; "|" &amp; LEFT(SUBSTITUTE($H29,CHAR(160)," "),5) &amp; "|Full Rate",
      TRIM(SUBSTITUTE($N$2:$N$206,CHAR(160)," ")) &amp; "|" &amp;
      LEFT(SUBSTITUTE($O$2:$O$206,CHAR(160)," "),5) &amp; "|" &amp;
      TRIM(SUBSTITUTE($P$2:$P$206,CHAR(160)," ")),
      $Q$2:$Q$206
    )
  ),
"")</f>
        <v>1500</v>
      </c>
      <c r="K29" s="52" cm="1">
        <f t="array" ref="K29">IFERROR(
  VALUE($I29) *
  VALUE(
    _xlfn.XLOOKUP(
      TRIM($G29) &amp; "|" &amp; LEFT(SUBSTITUTE($H29,CHAR(160)," "),5) &amp; "|Reduced Rate",
      TRIM(SUBSTITUTE($N$2:$N$206,CHAR(160)," ")) &amp; "|" &amp;
      LEFT(SUBSTITUTE($O$2:$O$206,CHAR(160)," "),5) &amp; "|" &amp;
      TRIM(SUBSTITUTE($P$2:$P$206,CHAR(160)," ")),
      $Q$2:$Q$206
    )
  ),
"")</f>
        <v>900</v>
      </c>
      <c r="L29" s="32" cm="1">
        <f t="array" ref="L29">IFERROR(
  VALUE($I29) *
  VALUE(
    _xlfn.XLOOKUP(
      TRIM($G29) &amp; "|" &amp; LEFT(SUBSTITUTE($H29,CHAR(160)," "),5) &amp; "|Ideas Rate",
      TRIM(SUBSTITUTE($N$2:$N$206,CHAR(160)," ")) &amp; "|" &amp;
      LEFT(SUBSTITUTE($O$2:$O$206,CHAR(160)," "),5) &amp; "|" &amp;
      TRIM(SUBSTITUTE($P$2:$P$206,CHAR(160)," ")),
      $Q$2:$Q$206
    )
  ),
"")</f>
        <v>450</v>
      </c>
      <c r="N29" t="s">
        <v>155</v>
      </c>
      <c r="O29" t="s">
        <v>376</v>
      </c>
      <c r="P29" t="s">
        <v>384</v>
      </c>
      <c r="Q29" s="32">
        <v>90</v>
      </c>
    </row>
    <row r="30" spans="1:22" x14ac:dyDescent="0.2">
      <c r="A30" s="10">
        <v>45895</v>
      </c>
      <c r="B30" s="5" t="s">
        <v>52</v>
      </c>
      <c r="C30" s="1" t="s">
        <v>124</v>
      </c>
      <c r="D30" s="1"/>
      <c r="E30" t="s">
        <v>178</v>
      </c>
      <c r="F30" s="17" t="s">
        <v>147</v>
      </c>
      <c r="G30" s="17" t="s">
        <v>9</v>
      </c>
      <c r="H30" s="2" t="s">
        <v>367</v>
      </c>
      <c r="I30" s="36">
        <v>2</v>
      </c>
      <c r="J30" s="52" cm="1">
        <f t="array" ref="J30">IFERROR(
  VALUE($I30) *
  VALUE(
    _xlfn.XLOOKUP(
      TRIM($G30) &amp; "|" &amp; LEFT(SUBSTITUTE($H30,CHAR(160)," "),5) &amp; "|Full Rate",
      TRIM(SUBSTITUTE($N$2:$N$206,CHAR(160)," ")) &amp; "|" &amp;
      LEFT(SUBSTITUTE($O$2:$O$206,CHAR(160)," "),5) &amp; "|" &amp;
      TRIM(SUBSTITUTE($P$2:$P$206,CHAR(160)," ")),
      $Q$2:$Q$206
    )
  ),
"")</f>
        <v>1000</v>
      </c>
      <c r="K30" s="52" cm="1">
        <f t="array" ref="K30">IFERROR(
  VALUE($I30) *
  VALUE(
    _xlfn.XLOOKUP(
      TRIM($G30) &amp; "|" &amp; LEFT(SUBSTITUTE($H30,CHAR(160)," "),5) &amp; "|Reduced Rate",
      TRIM(SUBSTITUTE($N$2:$N$206,CHAR(160)," ")) &amp; "|" &amp;
      LEFT(SUBSTITUTE($O$2:$O$206,CHAR(160)," "),5) &amp; "|" &amp;
      TRIM(SUBSTITUTE($P$2:$P$206,CHAR(160)," ")),
      $Q$2:$Q$206
    )
  ),
"")</f>
        <v>600</v>
      </c>
      <c r="L30" s="32" cm="1">
        <f t="array" ref="L30">IFERROR(
  VALUE($I30) *
  VALUE(
    _xlfn.XLOOKUP(
      TRIM($G30) &amp; "|" &amp; LEFT(SUBSTITUTE($H30,CHAR(160)," "),5) &amp; "|Ideas Rate",
      TRIM(SUBSTITUTE($N$2:$N$206,CHAR(160)," ")) &amp; "|" &amp;
      LEFT(SUBSTITUTE($O$2:$O$206,CHAR(160)," "),5) &amp; "|" &amp;
      TRIM(SUBSTITUTE($P$2:$P$206,CHAR(160)," ")),
      $Q$2:$Q$206
    )
  ),
"")</f>
        <v>300</v>
      </c>
      <c r="N30" t="s">
        <v>155</v>
      </c>
      <c r="O30" t="s">
        <v>368</v>
      </c>
      <c r="P30" t="s">
        <v>384</v>
      </c>
      <c r="Q30" s="32">
        <v>30</v>
      </c>
    </row>
    <row r="31" spans="1:22" x14ac:dyDescent="0.2">
      <c r="A31" s="10">
        <v>45895</v>
      </c>
      <c r="B31" s="5" t="s">
        <v>52</v>
      </c>
      <c r="C31" s="1" t="s">
        <v>124</v>
      </c>
      <c r="D31" s="1"/>
      <c r="E31" t="s">
        <v>178</v>
      </c>
      <c r="F31" s="17" t="s">
        <v>147</v>
      </c>
      <c r="G31" s="17" t="s">
        <v>10</v>
      </c>
      <c r="H31" s="2" t="s">
        <v>367</v>
      </c>
      <c r="I31" s="36">
        <v>2</v>
      </c>
      <c r="J31" s="52" cm="1">
        <f t="array" ref="J31">IFERROR(
  VALUE($I31) *
  VALUE(
    _xlfn.XLOOKUP(
      TRIM($G31) &amp; "|" &amp; LEFT(SUBSTITUTE($H31,CHAR(160)," "),5) &amp; "|Full Rate",
      TRIM(SUBSTITUTE($N$2:$N$206,CHAR(160)," ")) &amp; "|" &amp;
      LEFT(SUBSTITUTE($O$2:$O$206,CHAR(160)," "),5) &amp; "|" &amp;
      TRIM(SUBSTITUTE($P$2:$P$206,CHAR(160)," ")),
      $Q$2:$Q$206
    )
  ),
"")</f>
        <v>1000</v>
      </c>
      <c r="K31" s="52" cm="1">
        <f t="array" ref="K31">IFERROR(
  VALUE($I31) *
  VALUE(
    _xlfn.XLOOKUP(
      TRIM($G31) &amp; "|" &amp; LEFT(SUBSTITUTE($H31,CHAR(160)," "),5) &amp; "|Reduced Rate",
      TRIM(SUBSTITUTE($N$2:$N$206,CHAR(160)," ")) &amp; "|" &amp;
      LEFT(SUBSTITUTE($O$2:$O$206,CHAR(160)," "),5) &amp; "|" &amp;
      TRIM(SUBSTITUTE($P$2:$P$206,CHAR(160)," ")),
      $Q$2:$Q$206
    )
  ),
"")</f>
        <v>600</v>
      </c>
      <c r="L31" s="32" cm="1">
        <f t="array" ref="L31">IFERROR(
  VALUE($I31) *
  VALUE(
    _xlfn.XLOOKUP(
      TRIM($G31) &amp; "|" &amp; LEFT(SUBSTITUTE($H31,CHAR(160)," "),5) &amp; "|Ideas Rate",
      TRIM(SUBSTITUTE($N$2:$N$206,CHAR(160)," ")) &amp; "|" &amp;
      LEFT(SUBSTITUTE($O$2:$O$206,CHAR(160)," "),5) &amp; "|" &amp;
      TRIM(SUBSTITUTE($P$2:$P$206,CHAR(160)," ")),
      $Q$2:$Q$206
    )
  ),
"")</f>
        <v>300</v>
      </c>
      <c r="N31" t="s">
        <v>155</v>
      </c>
      <c r="O31" t="s">
        <v>368</v>
      </c>
      <c r="P31" t="s">
        <v>384</v>
      </c>
      <c r="Q31" s="32">
        <v>30</v>
      </c>
    </row>
    <row r="32" spans="1:22" x14ac:dyDescent="0.2">
      <c r="A32" s="10">
        <v>45902</v>
      </c>
      <c r="B32" s="5" t="s">
        <v>169</v>
      </c>
      <c r="C32" s="20" t="s">
        <v>124</v>
      </c>
      <c r="E32" t="s">
        <v>29</v>
      </c>
      <c r="F32" s="17" t="s">
        <v>180</v>
      </c>
      <c r="G32" s="17" t="s">
        <v>10</v>
      </c>
      <c r="H32" s="2" t="s">
        <v>367</v>
      </c>
      <c r="I32" s="36">
        <v>0.25</v>
      </c>
      <c r="J32" s="52" cm="1">
        <f t="array" ref="J32">IFERROR(
  VALUE($I32) *
  VALUE(
    _xlfn.XLOOKUP(
      TRIM($G32) &amp; "|" &amp; LEFT(SUBSTITUTE($H32,CHAR(160)," "),5) &amp; "|Full Rate",
      TRIM(SUBSTITUTE($N$2:$N$206,CHAR(160)," ")) &amp; "|" &amp;
      LEFT(SUBSTITUTE($O$2:$O$206,CHAR(160)," "),5) &amp; "|" &amp;
      TRIM(SUBSTITUTE($P$2:$P$206,CHAR(160)," ")),
      $Q$2:$Q$206
    )
  ),
"")</f>
        <v>125</v>
      </c>
      <c r="K32" s="52" cm="1">
        <f t="array" ref="K32">IFERROR(
  VALUE($I32) *
  VALUE(
    _xlfn.XLOOKUP(
      TRIM($G32) &amp; "|" &amp; LEFT(SUBSTITUTE($H32,CHAR(160)," "),5) &amp; "|Reduced Rate",
      TRIM(SUBSTITUTE($N$2:$N$206,CHAR(160)," ")) &amp; "|" &amp;
      LEFT(SUBSTITUTE($O$2:$O$206,CHAR(160)," "),5) &amp; "|" &amp;
      TRIM(SUBSTITUTE($P$2:$P$206,CHAR(160)," ")),
      $Q$2:$Q$206
    )
  ),
"")</f>
        <v>75</v>
      </c>
      <c r="L32" s="32" cm="1">
        <f t="array" ref="L32">IFERROR(
  VALUE($I32) *
  VALUE(
    _xlfn.XLOOKUP(
      TRIM($G32) &amp; "|" &amp; LEFT(SUBSTITUTE($H32,CHAR(160)," "),5) &amp; "|Ideas Rate",
      TRIM(SUBSTITUTE($N$2:$N$206,CHAR(160)," ")) &amp; "|" &amp;
      LEFT(SUBSTITUTE($O$2:$O$206,CHAR(160)," "),5) &amp; "|" &amp;
      TRIM(SUBSTITUTE($P$2:$P$206,CHAR(160)," ")),
      $Q$2:$Q$206
    )
  ),
"")</f>
        <v>37.5</v>
      </c>
      <c r="N32" s="56" t="s">
        <v>156</v>
      </c>
      <c r="O32" s="56" t="s">
        <v>375</v>
      </c>
      <c r="P32" t="s">
        <v>382</v>
      </c>
      <c r="Q32" s="57">
        <v>325</v>
      </c>
    </row>
    <row r="33" spans="1:17" x14ac:dyDescent="0.2">
      <c r="A33" s="10">
        <v>45902</v>
      </c>
      <c r="B33" s="5" t="s">
        <v>169</v>
      </c>
      <c r="C33" s="20" t="s">
        <v>124</v>
      </c>
      <c r="E33" t="s">
        <v>29</v>
      </c>
      <c r="F33" s="17" t="s">
        <v>196</v>
      </c>
      <c r="G33" s="17" t="s">
        <v>9</v>
      </c>
      <c r="H33" s="2" t="s">
        <v>367</v>
      </c>
      <c r="I33" s="36">
        <v>0.25</v>
      </c>
      <c r="J33" s="52" cm="1">
        <f t="array" ref="J33">IFERROR(
  VALUE($I33) *
  VALUE(
    _xlfn.XLOOKUP(
      TRIM($G33) &amp; "|" &amp; LEFT(SUBSTITUTE($H33,CHAR(160)," "),5) &amp; "|Full Rate",
      TRIM(SUBSTITUTE($N$2:$N$206,CHAR(160)," ")) &amp; "|" &amp;
      LEFT(SUBSTITUTE($O$2:$O$206,CHAR(160)," "),5) &amp; "|" &amp;
      TRIM(SUBSTITUTE($P$2:$P$206,CHAR(160)," ")),
      $Q$2:$Q$206
    )
  ),
"")</f>
        <v>125</v>
      </c>
      <c r="K33" s="52" cm="1">
        <f t="array" ref="K33">IFERROR(
  VALUE($I33) *
  VALUE(
    _xlfn.XLOOKUP(
      TRIM($G33) &amp; "|" &amp; LEFT(SUBSTITUTE($H33,CHAR(160)," "),5) &amp; "|Reduced Rate",
      TRIM(SUBSTITUTE($N$2:$N$206,CHAR(160)," ")) &amp; "|" &amp;
      LEFT(SUBSTITUTE($O$2:$O$206,CHAR(160)," "),5) &amp; "|" &amp;
      TRIM(SUBSTITUTE($P$2:$P$206,CHAR(160)," ")),
      $Q$2:$Q$206
    )
  ),
"")</f>
        <v>75</v>
      </c>
      <c r="L33" s="32" cm="1">
        <f t="array" ref="L33">IFERROR(
  VALUE($I33) *
  VALUE(
    _xlfn.XLOOKUP(
      TRIM($G33) &amp; "|" &amp; LEFT(SUBSTITUTE($H33,CHAR(160)," "),5) &amp; "|Ideas Rate",
      TRIM(SUBSTITUTE($N$2:$N$206,CHAR(160)," ")) &amp; "|" &amp;
      LEFT(SUBSTITUTE($O$2:$O$206,CHAR(160)," "),5) &amp; "|" &amp;
      TRIM(SUBSTITUTE($P$2:$P$206,CHAR(160)," ")),
      $Q$2:$Q$206
    )
  ),
"")</f>
        <v>37.5</v>
      </c>
      <c r="N33" t="s">
        <v>156</v>
      </c>
      <c r="O33" t="s">
        <v>375</v>
      </c>
      <c r="P33" t="s">
        <v>383</v>
      </c>
      <c r="Q33" s="32">
        <v>175</v>
      </c>
    </row>
    <row r="34" spans="1:17" x14ac:dyDescent="0.2">
      <c r="A34" s="10">
        <v>45903</v>
      </c>
      <c r="B34" s="5" t="s">
        <v>169</v>
      </c>
      <c r="C34" s="20" t="s">
        <v>124</v>
      </c>
      <c r="E34" t="s">
        <v>29</v>
      </c>
      <c r="F34" s="17" t="s">
        <v>202</v>
      </c>
      <c r="G34" s="17" t="s">
        <v>10</v>
      </c>
      <c r="H34" s="2" t="s">
        <v>367</v>
      </c>
      <c r="I34" s="36">
        <v>5</v>
      </c>
      <c r="J34" s="52" cm="1">
        <f t="array" ref="J34">IFERROR(
  VALUE($I34) *
  VALUE(
    _xlfn.XLOOKUP(
      TRIM($G34) &amp; "|" &amp; LEFT(SUBSTITUTE($H34,CHAR(160)," "),5) &amp; "|Full Rate",
      TRIM(SUBSTITUTE($N$2:$N$206,CHAR(160)," ")) &amp; "|" &amp;
      LEFT(SUBSTITUTE($O$2:$O$206,CHAR(160)," "),5) &amp; "|" &amp;
      TRIM(SUBSTITUTE($P$2:$P$206,CHAR(160)," ")),
      $Q$2:$Q$206
    )
  ),
"")</f>
        <v>2500</v>
      </c>
      <c r="K34" s="52" cm="1">
        <f t="array" ref="K34">IFERROR(
  VALUE($I34) *
  VALUE(
    _xlfn.XLOOKUP(
      TRIM($G34) &amp; "|" &amp; LEFT(SUBSTITUTE($H34,CHAR(160)," "),5) &amp; "|Reduced Rate",
      TRIM(SUBSTITUTE($N$2:$N$206,CHAR(160)," ")) &amp; "|" &amp;
      LEFT(SUBSTITUTE($O$2:$O$206,CHAR(160)," "),5) &amp; "|" &amp;
      TRIM(SUBSTITUTE($P$2:$P$206,CHAR(160)," ")),
      $Q$2:$Q$206
    )
  ),
"")</f>
        <v>1500</v>
      </c>
      <c r="L34" s="32" cm="1">
        <f t="array" ref="L34">IFERROR(
  VALUE($I34) *
  VALUE(
    _xlfn.XLOOKUP(
      TRIM($G34) &amp; "|" &amp; LEFT(SUBSTITUTE($H34,CHAR(160)," "),5) &amp; "|Ideas Rate",
      TRIM(SUBSTITUTE($N$2:$N$206,CHAR(160)," ")) &amp; "|" &amp;
      LEFT(SUBSTITUTE($O$2:$O$206,CHAR(160)," "),5) &amp; "|" &amp;
      TRIM(SUBSTITUTE($P$2:$P$206,CHAR(160)," ")),
      $Q$2:$Q$206
    )
  ),
"")</f>
        <v>750</v>
      </c>
      <c r="N34" t="s">
        <v>156</v>
      </c>
      <c r="O34" t="s">
        <v>375</v>
      </c>
      <c r="P34" t="s">
        <v>384</v>
      </c>
      <c r="Q34" s="32">
        <v>95</v>
      </c>
    </row>
    <row r="35" spans="1:17" x14ac:dyDescent="0.2">
      <c r="A35" s="10">
        <v>45904</v>
      </c>
      <c r="B35" s="5" t="s">
        <v>169</v>
      </c>
      <c r="C35" s="20" t="s">
        <v>124</v>
      </c>
      <c r="E35" t="s">
        <v>29</v>
      </c>
      <c r="F35" s="17" t="s">
        <v>208</v>
      </c>
      <c r="G35" s="17" t="s">
        <v>9</v>
      </c>
      <c r="H35" s="2" t="s">
        <v>367</v>
      </c>
      <c r="I35" s="36">
        <v>0.5</v>
      </c>
      <c r="J35" s="52" cm="1">
        <f t="array" ref="J35">IFERROR(
  VALUE($I35) *
  VALUE(
    _xlfn.XLOOKUP(
      TRIM($G35) &amp; "|" &amp; LEFT(SUBSTITUTE($H35,CHAR(160)," "),5) &amp; "|Full Rate",
      TRIM(SUBSTITUTE($N$2:$N$206,CHAR(160)," ")) &amp; "|" &amp;
      LEFT(SUBSTITUTE($O$2:$O$206,CHAR(160)," "),5) &amp; "|" &amp;
      TRIM(SUBSTITUTE($P$2:$P$206,CHAR(160)," ")),
      $Q$2:$Q$206
    )
  ),
"")</f>
        <v>250</v>
      </c>
      <c r="K35" s="52" cm="1">
        <f t="array" ref="K35">IFERROR(
  VALUE($I35) *
  VALUE(
    _xlfn.XLOOKUP(
      TRIM($G35) &amp; "|" &amp; LEFT(SUBSTITUTE($H35,CHAR(160)," "),5) &amp; "|Reduced Rate",
      TRIM(SUBSTITUTE($N$2:$N$206,CHAR(160)," ")) &amp; "|" &amp;
      LEFT(SUBSTITUTE($O$2:$O$206,CHAR(160)," "),5) &amp; "|" &amp;
      TRIM(SUBSTITUTE($P$2:$P$206,CHAR(160)," ")),
      $Q$2:$Q$206
    )
  ),
"")</f>
        <v>150</v>
      </c>
      <c r="L35" s="32" cm="1">
        <f t="array" ref="L35">IFERROR(
  VALUE($I35) *
  VALUE(
    _xlfn.XLOOKUP(
      TRIM($G35) &amp; "|" &amp; LEFT(SUBSTITUTE($H35,CHAR(160)," "),5) &amp; "|Ideas Rate",
      TRIM(SUBSTITUTE($N$2:$N$206,CHAR(160)," ")) &amp; "|" &amp;
      LEFT(SUBSTITUTE($O$2:$O$206,CHAR(160)," "),5) &amp; "|" &amp;
      TRIM(SUBSTITUTE($P$2:$P$206,CHAR(160)," ")),
      $Q$2:$Q$206
    )
  ),
"")</f>
        <v>75</v>
      </c>
      <c r="N35" t="s">
        <v>156</v>
      </c>
      <c r="O35" t="s">
        <v>376</v>
      </c>
      <c r="P35" t="s">
        <v>382</v>
      </c>
      <c r="Q35" s="32">
        <v>195</v>
      </c>
    </row>
    <row r="36" spans="1:17" x14ac:dyDescent="0.2">
      <c r="A36" s="10">
        <v>45904</v>
      </c>
      <c r="B36" s="5" t="s">
        <v>169</v>
      </c>
      <c r="C36" s="20" t="s">
        <v>124</v>
      </c>
      <c r="E36" t="s">
        <v>29</v>
      </c>
      <c r="F36" s="17" t="s">
        <v>209</v>
      </c>
      <c r="G36" s="17" t="s">
        <v>9</v>
      </c>
      <c r="H36" s="2" t="s">
        <v>367</v>
      </c>
      <c r="I36" s="36">
        <v>0.25</v>
      </c>
      <c r="J36" s="52" cm="1">
        <f t="array" ref="J36">IFERROR(
  VALUE($I36) *
  VALUE(
    _xlfn.XLOOKUP(
      TRIM($G36) &amp; "|" &amp; LEFT(SUBSTITUTE($H36,CHAR(160)," "),5) &amp; "|Full Rate",
      TRIM(SUBSTITUTE($N$2:$N$206,CHAR(160)," ")) &amp; "|" &amp;
      LEFT(SUBSTITUTE($O$2:$O$206,CHAR(160)," "),5) &amp; "|" &amp;
      TRIM(SUBSTITUTE($P$2:$P$206,CHAR(160)," ")),
      $Q$2:$Q$206
    )
  ),
"")</f>
        <v>125</v>
      </c>
      <c r="K36" s="52" cm="1">
        <f t="array" ref="K36">IFERROR(
  VALUE($I36) *
  VALUE(
    _xlfn.XLOOKUP(
      TRIM($G36) &amp; "|" &amp; LEFT(SUBSTITUTE($H36,CHAR(160)," "),5) &amp; "|Reduced Rate",
      TRIM(SUBSTITUTE($N$2:$N$206,CHAR(160)," ")) &amp; "|" &amp;
      LEFT(SUBSTITUTE($O$2:$O$206,CHAR(160)," "),5) &amp; "|" &amp;
      TRIM(SUBSTITUTE($P$2:$P$206,CHAR(160)," ")),
      $Q$2:$Q$206
    )
  ),
"")</f>
        <v>75</v>
      </c>
      <c r="L36" s="32" cm="1">
        <f t="array" ref="L36">IFERROR(
  VALUE($I36) *
  VALUE(
    _xlfn.XLOOKUP(
      TRIM($G36) &amp; "|" &amp; LEFT(SUBSTITUTE($H36,CHAR(160)," "),5) &amp; "|Ideas Rate",
      TRIM(SUBSTITUTE($N$2:$N$206,CHAR(160)," ")) &amp; "|" &amp;
      LEFT(SUBSTITUTE($O$2:$O$206,CHAR(160)," "),5) &amp; "|" &amp;
      TRIM(SUBSTITUTE($P$2:$P$206,CHAR(160)," ")),
      $Q$2:$Q$206
    )
  ),
"")</f>
        <v>37.5</v>
      </c>
      <c r="N36" t="s">
        <v>156</v>
      </c>
      <c r="O36" t="s">
        <v>376</v>
      </c>
      <c r="P36" t="s">
        <v>383</v>
      </c>
      <c r="Q36" s="32">
        <v>90</v>
      </c>
    </row>
    <row r="37" spans="1:17" x14ac:dyDescent="0.2">
      <c r="A37" s="10">
        <v>45904</v>
      </c>
      <c r="B37" s="5" t="s">
        <v>169</v>
      </c>
      <c r="C37" s="20" t="s">
        <v>124</v>
      </c>
      <c r="E37" t="s">
        <v>29</v>
      </c>
      <c r="F37" s="17" t="s">
        <v>211</v>
      </c>
      <c r="G37" s="17" t="s">
        <v>9</v>
      </c>
      <c r="H37" s="2" t="s">
        <v>367</v>
      </c>
      <c r="I37" s="36">
        <v>1</v>
      </c>
      <c r="J37" s="52" cm="1">
        <f t="array" ref="J37">IFERROR(
  VALUE($I37) *
  VALUE(
    _xlfn.XLOOKUP(
      TRIM($G37) &amp; "|" &amp; LEFT(SUBSTITUTE($H37,CHAR(160)," "),5) &amp; "|Full Rate",
      TRIM(SUBSTITUTE($N$2:$N$206,CHAR(160)," ")) &amp; "|" &amp;
      LEFT(SUBSTITUTE($O$2:$O$206,CHAR(160)," "),5) &amp; "|" &amp;
      TRIM(SUBSTITUTE($P$2:$P$206,CHAR(160)," ")),
      $Q$2:$Q$206
    )
  ),
"")</f>
        <v>500</v>
      </c>
      <c r="K37" s="52" cm="1">
        <f t="array" ref="K37">IFERROR(
  VALUE($I37) *
  VALUE(
    _xlfn.XLOOKUP(
      TRIM($G37) &amp; "|" &amp; LEFT(SUBSTITUTE($H37,CHAR(160)," "),5) &amp; "|Reduced Rate",
      TRIM(SUBSTITUTE($N$2:$N$206,CHAR(160)," ")) &amp; "|" &amp;
      LEFT(SUBSTITUTE($O$2:$O$206,CHAR(160)," "),5) &amp; "|" &amp;
      TRIM(SUBSTITUTE($P$2:$P$206,CHAR(160)," ")),
      $Q$2:$Q$206
    )
  ),
"")</f>
        <v>300</v>
      </c>
      <c r="L37" s="32" cm="1">
        <f t="array" ref="L37">IFERROR(
  VALUE($I37) *
  VALUE(
    _xlfn.XLOOKUP(
      TRIM($G37) &amp; "|" &amp; LEFT(SUBSTITUTE($H37,CHAR(160)," "),5) &amp; "|Ideas Rate",
      TRIM(SUBSTITUTE($N$2:$N$206,CHAR(160)," ")) &amp; "|" &amp;
      LEFT(SUBSTITUTE($O$2:$O$206,CHAR(160)," "),5) &amp; "|" &amp;
      TRIM(SUBSTITUTE($P$2:$P$206,CHAR(160)," ")),
      $Q$2:$Q$206
    )
  ),
"")</f>
        <v>150</v>
      </c>
      <c r="N37" t="s">
        <v>156</v>
      </c>
      <c r="O37" t="s">
        <v>376</v>
      </c>
      <c r="P37" t="s">
        <v>384</v>
      </c>
      <c r="Q37" s="32">
        <v>45</v>
      </c>
    </row>
    <row r="38" spans="1:17" x14ac:dyDescent="0.2">
      <c r="A38" s="10">
        <v>45904</v>
      </c>
      <c r="B38" s="5" t="s">
        <v>169</v>
      </c>
      <c r="C38" s="20" t="s">
        <v>124</v>
      </c>
      <c r="E38" t="s">
        <v>29</v>
      </c>
      <c r="F38" s="17" t="s">
        <v>210</v>
      </c>
      <c r="G38" s="17" t="s">
        <v>9</v>
      </c>
      <c r="H38" s="2" t="s">
        <v>367</v>
      </c>
      <c r="I38" s="36">
        <v>0.25</v>
      </c>
      <c r="J38" s="52" cm="1">
        <f t="array" ref="J38">IFERROR(
  VALUE($I38) *
  VALUE(
    _xlfn.XLOOKUP(
      TRIM($G38) &amp; "|" &amp; LEFT(SUBSTITUTE($H38,CHAR(160)," "),5) &amp; "|Full Rate",
      TRIM(SUBSTITUTE($N$2:$N$206,CHAR(160)," ")) &amp; "|" &amp;
      LEFT(SUBSTITUTE($O$2:$O$206,CHAR(160)," "),5) &amp; "|" &amp;
      TRIM(SUBSTITUTE($P$2:$P$206,CHAR(160)," ")),
      $Q$2:$Q$206
    )
  ),
"")</f>
        <v>125</v>
      </c>
      <c r="K38" s="52" cm="1">
        <f t="array" ref="K38">IFERROR(
  VALUE($I38) *
  VALUE(
    _xlfn.XLOOKUP(
      TRIM($G38) &amp; "|" &amp; LEFT(SUBSTITUTE($H38,CHAR(160)," "),5) &amp; "|Reduced Rate",
      TRIM(SUBSTITUTE($N$2:$N$206,CHAR(160)," ")) &amp; "|" &amp;
      LEFT(SUBSTITUTE($O$2:$O$206,CHAR(160)," "),5) &amp; "|" &amp;
      TRIM(SUBSTITUTE($P$2:$P$206,CHAR(160)," ")),
      $Q$2:$Q$206
    )
  ),
"")</f>
        <v>75</v>
      </c>
      <c r="L38" s="32" cm="1">
        <f t="array" ref="L38">IFERROR(
  VALUE($I38) *
  VALUE(
    _xlfn.XLOOKUP(
      TRIM($G38) &amp; "|" &amp; LEFT(SUBSTITUTE($H38,CHAR(160)," "),5) &amp; "|Ideas Rate",
      TRIM(SUBSTITUTE($N$2:$N$206,CHAR(160)," ")) &amp; "|" &amp;
      LEFT(SUBSTITUTE($O$2:$O$206,CHAR(160)," "),5) &amp; "|" &amp;
      TRIM(SUBSTITUTE($P$2:$P$206,CHAR(160)," ")),
      $Q$2:$Q$206
    )
  ),
"")</f>
        <v>37.5</v>
      </c>
      <c r="N38" t="s">
        <v>156</v>
      </c>
      <c r="O38" t="s">
        <v>368</v>
      </c>
      <c r="P38" t="s">
        <v>382</v>
      </c>
      <c r="Q38" s="32">
        <v>100</v>
      </c>
    </row>
    <row r="39" spans="1:17" x14ac:dyDescent="0.2">
      <c r="A39" s="10">
        <v>45904</v>
      </c>
      <c r="B39" s="5" t="s">
        <v>169</v>
      </c>
      <c r="C39" s="20" t="s">
        <v>124</v>
      </c>
      <c r="E39" t="s">
        <v>29</v>
      </c>
      <c r="F39" t="s">
        <v>221</v>
      </c>
      <c r="G39" s="17" t="s">
        <v>9</v>
      </c>
      <c r="H39" s="2" t="s">
        <v>367</v>
      </c>
      <c r="I39" s="36">
        <v>0.25</v>
      </c>
      <c r="J39" s="52" cm="1">
        <f t="array" ref="J39">IFERROR(
  VALUE($I39) *
  VALUE(
    _xlfn.XLOOKUP(
      TRIM($G39) &amp; "|" &amp; LEFT(SUBSTITUTE($H39,CHAR(160)," "),5) &amp; "|Full Rate",
      TRIM(SUBSTITUTE($N$2:$N$206,CHAR(160)," ")) &amp; "|" &amp;
      LEFT(SUBSTITUTE($O$2:$O$206,CHAR(160)," "),5) &amp; "|" &amp;
      TRIM(SUBSTITUTE($P$2:$P$206,CHAR(160)," ")),
      $Q$2:$Q$206
    )
  ),
"")</f>
        <v>125</v>
      </c>
      <c r="K39" s="52" cm="1">
        <f t="array" ref="K39">IFERROR(
  VALUE($I39) *
  VALUE(
    _xlfn.XLOOKUP(
      TRIM($G39) &amp; "|" &amp; LEFT(SUBSTITUTE($H39,CHAR(160)," "),5) &amp; "|Reduced Rate",
      TRIM(SUBSTITUTE($N$2:$N$206,CHAR(160)," ")) &amp; "|" &amp;
      LEFT(SUBSTITUTE($O$2:$O$206,CHAR(160)," "),5) &amp; "|" &amp;
      TRIM(SUBSTITUTE($P$2:$P$206,CHAR(160)," ")),
      $Q$2:$Q$206
    )
  ),
"")</f>
        <v>75</v>
      </c>
      <c r="L39" s="32" cm="1">
        <f t="array" ref="L39">IFERROR(
  VALUE($I39) *
  VALUE(
    _xlfn.XLOOKUP(
      TRIM($G39) &amp; "|" &amp; LEFT(SUBSTITUTE($H39,CHAR(160)," "),5) &amp; "|Ideas Rate",
      TRIM(SUBSTITUTE($N$2:$N$206,CHAR(160)," ")) &amp; "|" &amp;
      LEFT(SUBSTITUTE($O$2:$O$206,CHAR(160)," "),5) &amp; "|" &amp;
      TRIM(SUBSTITUTE($P$2:$P$206,CHAR(160)," ")),
      $Q$2:$Q$206
    )
  ),
"")</f>
        <v>37.5</v>
      </c>
      <c r="N39" t="s">
        <v>156</v>
      </c>
      <c r="O39" t="s">
        <v>368</v>
      </c>
      <c r="P39" t="s">
        <v>383</v>
      </c>
      <c r="Q39" s="32">
        <v>50</v>
      </c>
    </row>
    <row r="40" spans="1:17" x14ac:dyDescent="0.2">
      <c r="A40" s="10">
        <v>45933</v>
      </c>
      <c r="B40" s="5" t="s">
        <v>169</v>
      </c>
      <c r="C40" s="20" t="s">
        <v>124</v>
      </c>
      <c r="E40" t="s">
        <v>178</v>
      </c>
      <c r="F40" t="s">
        <v>326</v>
      </c>
      <c r="G40" s="17" t="s">
        <v>9</v>
      </c>
      <c r="H40" s="2" t="s">
        <v>367</v>
      </c>
      <c r="I40" s="36">
        <v>1.25</v>
      </c>
      <c r="J40" s="52" cm="1">
        <f t="array" ref="J40">IFERROR(
  VALUE($I40) *
  VALUE(
    _xlfn.XLOOKUP(
      TRIM($G40) &amp; "|" &amp; LEFT(SUBSTITUTE($H40,CHAR(160)," "),5) &amp; "|Full Rate",
      TRIM(SUBSTITUTE($N$2:$N$206,CHAR(160)," ")) &amp; "|" &amp;
      LEFT(SUBSTITUTE($O$2:$O$206,CHAR(160)," "),5) &amp; "|" &amp;
      TRIM(SUBSTITUTE($P$2:$P$206,CHAR(160)," ")),
      $Q$2:$Q$206
    )
  ),
"")</f>
        <v>625</v>
      </c>
      <c r="K40" s="52" cm="1">
        <f t="array" ref="K40">IFERROR(
  VALUE($I40) *
  VALUE(
    _xlfn.XLOOKUP(
      TRIM($G40) &amp; "|" &amp; LEFT(SUBSTITUTE($H40,CHAR(160)," "),5) &amp; "|Reduced Rate",
      TRIM(SUBSTITUTE($N$2:$N$206,CHAR(160)," ")) &amp; "|" &amp;
      LEFT(SUBSTITUTE($O$2:$O$206,CHAR(160)," "),5) &amp; "|" &amp;
      TRIM(SUBSTITUTE($P$2:$P$206,CHAR(160)," ")),
      $Q$2:$Q$206
    )
  ),
"")</f>
        <v>375</v>
      </c>
      <c r="L40" s="32" cm="1">
        <f t="array" ref="L40">IFERROR(
  VALUE($I40) *
  VALUE(
    _xlfn.XLOOKUP(
      TRIM($G40) &amp; "|" &amp; LEFT(SUBSTITUTE($H40,CHAR(160)," "),5) &amp; "|Ideas Rate",
      TRIM(SUBSTITUTE($N$2:$N$206,CHAR(160)," ")) &amp; "|" &amp;
      LEFT(SUBSTITUTE($O$2:$O$206,CHAR(160)," "),5) &amp; "|" &amp;
      TRIM(SUBSTITUTE($P$2:$P$206,CHAR(160)," ")),
      $Q$2:$Q$206
    )
  ),
"")</f>
        <v>187.5</v>
      </c>
      <c r="N40" t="s">
        <v>156</v>
      </c>
      <c r="O40" t="s">
        <v>368</v>
      </c>
      <c r="P40" t="s">
        <v>384</v>
      </c>
      <c r="Q40" s="32">
        <v>30</v>
      </c>
    </row>
    <row r="41" spans="1:17" x14ac:dyDescent="0.2">
      <c r="A41" s="10">
        <v>45937</v>
      </c>
      <c r="B41" s="5" t="s">
        <v>325</v>
      </c>
      <c r="C41" s="20" t="s">
        <v>124</v>
      </c>
      <c r="E41" t="s">
        <v>178</v>
      </c>
      <c r="F41" t="s">
        <v>330</v>
      </c>
      <c r="G41" s="17" t="s">
        <v>9</v>
      </c>
      <c r="H41" s="2" t="s">
        <v>367</v>
      </c>
      <c r="I41" s="36">
        <v>1.5</v>
      </c>
      <c r="J41" s="52" cm="1">
        <f t="array" ref="J41">IFERROR(
  VALUE($I41) *
  VALUE(
    _xlfn.XLOOKUP(
      TRIM($G41) &amp; "|" &amp; LEFT(SUBSTITUTE($H41,CHAR(160)," "),5) &amp; "|Full Rate",
      TRIM(SUBSTITUTE($N$2:$N$206,CHAR(160)," ")) &amp; "|" &amp;
      LEFT(SUBSTITUTE($O$2:$O$206,CHAR(160)," "),5) &amp; "|" &amp;
      TRIM(SUBSTITUTE($P$2:$P$206,CHAR(160)," ")),
      $Q$2:$Q$206
    )
  ),
"")</f>
        <v>750</v>
      </c>
      <c r="K41" s="52" cm="1">
        <f t="array" ref="K41">IFERROR(
  VALUE($I41) *
  VALUE(
    _xlfn.XLOOKUP(
      TRIM($G41) &amp; "|" &amp; LEFT(SUBSTITUTE($H41,CHAR(160)," "),5) &amp; "|Reduced Rate",
      TRIM(SUBSTITUTE($N$2:$N$206,CHAR(160)," ")) &amp; "|" &amp;
      LEFT(SUBSTITUTE($O$2:$O$206,CHAR(160)," "),5) &amp; "|" &amp;
      TRIM(SUBSTITUTE($P$2:$P$206,CHAR(160)," ")),
      $Q$2:$Q$206
    )
  ),
"")</f>
        <v>450</v>
      </c>
      <c r="L41" s="32" cm="1">
        <f t="array" ref="L41">IFERROR(
  VALUE($I41) *
  VALUE(
    _xlfn.XLOOKUP(
      TRIM($G41) &amp; "|" &amp; LEFT(SUBSTITUTE($H41,CHAR(160)," "),5) &amp; "|Ideas Rate",
      TRIM(SUBSTITUTE($N$2:$N$206,CHAR(160)," ")) &amp; "|" &amp;
      LEFT(SUBSTITUTE($O$2:$O$206,CHAR(160)," "),5) &amp; "|" &amp;
      TRIM(SUBSTITUTE($P$2:$P$206,CHAR(160)," ")),
      $Q$2:$Q$206
    )
  ),
"")</f>
        <v>225</v>
      </c>
    </row>
    <row r="42" spans="1:17" x14ac:dyDescent="0.2">
      <c r="A42" s="10">
        <v>42284</v>
      </c>
      <c r="B42" s="5" t="s">
        <v>325</v>
      </c>
      <c r="C42" s="20" t="s">
        <v>124</v>
      </c>
      <c r="E42" t="s">
        <v>324</v>
      </c>
      <c r="F42" t="s">
        <v>331</v>
      </c>
      <c r="G42" s="17" t="s">
        <v>9</v>
      </c>
      <c r="H42" s="2" t="s">
        <v>367</v>
      </c>
      <c r="I42" s="36">
        <v>0.75</v>
      </c>
      <c r="J42" s="52" cm="1">
        <f t="array" ref="J42">IFERROR(
  VALUE($I42) *
  VALUE(
    _xlfn.XLOOKUP(
      TRIM($G42) &amp; "|" &amp; LEFT(SUBSTITUTE($H42,CHAR(160)," "),5) &amp; "|Full Rate",
      TRIM(SUBSTITUTE($N$2:$N$206,CHAR(160)," ")) &amp; "|" &amp;
      LEFT(SUBSTITUTE($O$2:$O$206,CHAR(160)," "),5) &amp; "|" &amp;
      TRIM(SUBSTITUTE($P$2:$P$206,CHAR(160)," ")),
      $Q$2:$Q$206
    )
  ),
"")</f>
        <v>375</v>
      </c>
      <c r="K42" s="52" cm="1">
        <f t="array" ref="K42">IFERROR(
  VALUE($I42) *
  VALUE(
    _xlfn.XLOOKUP(
      TRIM($G42) &amp; "|" &amp; LEFT(SUBSTITUTE($H42,CHAR(160)," "),5) &amp; "|Reduced Rate",
      TRIM(SUBSTITUTE($N$2:$N$206,CHAR(160)," ")) &amp; "|" &amp;
      LEFT(SUBSTITUTE($O$2:$O$206,CHAR(160)," "),5) &amp; "|" &amp;
      TRIM(SUBSTITUTE($P$2:$P$206,CHAR(160)," ")),
      $Q$2:$Q$206
    )
  ),
"")</f>
        <v>225</v>
      </c>
      <c r="L42" s="32" cm="1">
        <f t="array" ref="L42">IFERROR(
  VALUE($I42) *
  VALUE(
    _xlfn.XLOOKUP(
      TRIM($G42) &amp; "|" &amp; LEFT(SUBSTITUTE($H42,CHAR(160)," "),5) &amp; "|Ideas Rate",
      TRIM(SUBSTITUTE($N$2:$N$206,CHAR(160)," ")) &amp; "|" &amp;
      LEFT(SUBSTITUTE($O$2:$O$206,CHAR(160)," "),5) &amp; "|" &amp;
      TRIM(SUBSTITUTE($P$2:$P$206,CHAR(160)," ")),
      $Q$2:$Q$206
    )
  ),
"")</f>
        <v>112.5</v>
      </c>
    </row>
    <row r="43" spans="1:17" x14ac:dyDescent="0.2">
      <c r="A43" s="10">
        <v>45938</v>
      </c>
      <c r="B43" s="5" t="s">
        <v>325</v>
      </c>
      <c r="C43" s="20" t="s">
        <v>124</v>
      </c>
      <c r="E43" t="s">
        <v>324</v>
      </c>
      <c r="F43" t="s">
        <v>334</v>
      </c>
      <c r="G43" s="17" t="s">
        <v>9</v>
      </c>
      <c r="H43" s="2" t="s">
        <v>367</v>
      </c>
      <c r="I43" s="36">
        <v>0.5</v>
      </c>
      <c r="J43" s="52" cm="1">
        <f t="array" ref="J43">IFERROR(
  VALUE($I43) *
  VALUE(
    _xlfn.XLOOKUP(
      TRIM($G43) &amp; "|" &amp; LEFT(SUBSTITUTE($H43,CHAR(160)," "),5) &amp; "|Full Rate",
      TRIM(SUBSTITUTE($N$2:$N$206,CHAR(160)," ")) &amp; "|" &amp;
      LEFT(SUBSTITUTE($O$2:$O$206,CHAR(160)," "),5) &amp; "|" &amp;
      TRIM(SUBSTITUTE($P$2:$P$206,CHAR(160)," ")),
      $Q$2:$Q$206
    )
  ),
"")</f>
        <v>250</v>
      </c>
      <c r="K43" s="52" cm="1">
        <f t="array" ref="K43">IFERROR(
  VALUE($I43) *
  VALUE(
    _xlfn.XLOOKUP(
      TRIM($G43) &amp; "|" &amp; LEFT(SUBSTITUTE($H43,CHAR(160)," "),5) &amp; "|Reduced Rate",
      TRIM(SUBSTITUTE($N$2:$N$206,CHAR(160)," ")) &amp; "|" &amp;
      LEFT(SUBSTITUTE($O$2:$O$206,CHAR(160)," "),5) &amp; "|" &amp;
      TRIM(SUBSTITUTE($P$2:$P$206,CHAR(160)," ")),
      $Q$2:$Q$206
    )
  ),
"")</f>
        <v>150</v>
      </c>
      <c r="L43" s="32" cm="1">
        <f t="array" ref="L43">IFERROR(
  VALUE($I43) *
  VALUE(
    _xlfn.XLOOKUP(
      TRIM($G43) &amp; "|" &amp; LEFT(SUBSTITUTE($H43,CHAR(160)," "),5) &amp; "|Ideas Rate",
      TRIM(SUBSTITUTE($N$2:$N$206,CHAR(160)," ")) &amp; "|" &amp;
      LEFT(SUBSTITUTE($O$2:$O$206,CHAR(160)," "),5) &amp; "|" &amp;
      TRIM(SUBSTITUTE($P$2:$P$206,CHAR(160)," ")),
      $Q$2:$Q$206
    )
  ),
"")</f>
        <v>75</v>
      </c>
    </row>
    <row r="44" spans="1:17" x14ac:dyDescent="0.2">
      <c r="A44" s="10">
        <v>45938</v>
      </c>
      <c r="B44" s="5" t="s">
        <v>325</v>
      </c>
      <c r="C44" s="20" t="s">
        <v>124</v>
      </c>
      <c r="E44" t="s">
        <v>178</v>
      </c>
      <c r="F44" t="s">
        <v>335</v>
      </c>
      <c r="G44" s="17" t="s">
        <v>9</v>
      </c>
      <c r="H44" s="2" t="s">
        <v>367</v>
      </c>
      <c r="I44" s="36">
        <v>0.25</v>
      </c>
      <c r="J44" s="52" cm="1">
        <f t="array" ref="J44">IFERROR(
  VALUE($I44) *
  VALUE(
    _xlfn.XLOOKUP(
      TRIM($G44) &amp; "|" &amp; LEFT(SUBSTITUTE($H44,CHAR(160)," "),5) &amp; "|Full Rate",
      TRIM(SUBSTITUTE($N$2:$N$206,CHAR(160)," ")) &amp; "|" &amp;
      LEFT(SUBSTITUTE($O$2:$O$206,CHAR(160)," "),5) &amp; "|" &amp;
      TRIM(SUBSTITUTE($P$2:$P$206,CHAR(160)," ")),
      $Q$2:$Q$206
    )
  ),
"")</f>
        <v>125</v>
      </c>
      <c r="K44" s="52" cm="1">
        <f t="array" ref="K44">IFERROR(
  VALUE($I44) *
  VALUE(
    _xlfn.XLOOKUP(
      TRIM($G44) &amp; "|" &amp; LEFT(SUBSTITUTE($H44,CHAR(160)," "),5) &amp; "|Reduced Rate",
      TRIM(SUBSTITUTE($N$2:$N$206,CHAR(160)," ")) &amp; "|" &amp;
      LEFT(SUBSTITUTE($O$2:$O$206,CHAR(160)," "),5) &amp; "|" &amp;
      TRIM(SUBSTITUTE($P$2:$P$206,CHAR(160)," ")),
      $Q$2:$Q$206
    )
  ),
"")</f>
        <v>75</v>
      </c>
      <c r="L44" s="32" cm="1">
        <f t="array" ref="L44">IFERROR(
  VALUE($I44) *
  VALUE(
    _xlfn.XLOOKUP(
      TRIM($G44) &amp; "|" &amp; LEFT(SUBSTITUTE($H44,CHAR(160)," "),5) &amp; "|Ideas Rate",
      TRIM(SUBSTITUTE($N$2:$N$206,CHAR(160)," ")) &amp; "|" &amp;
      LEFT(SUBSTITUTE($O$2:$O$206,CHAR(160)," "),5) &amp; "|" &amp;
      TRIM(SUBSTITUTE($P$2:$P$206,CHAR(160)," ")),
      $Q$2:$Q$206
    )
  ),
"")</f>
        <v>37.5</v>
      </c>
    </row>
    <row r="45" spans="1:17" x14ac:dyDescent="0.2">
      <c r="A45" s="10">
        <v>45939</v>
      </c>
      <c r="B45" s="5" t="s">
        <v>325</v>
      </c>
      <c r="C45" s="20" t="s">
        <v>124</v>
      </c>
      <c r="E45" t="s">
        <v>178</v>
      </c>
      <c r="F45" t="s">
        <v>339</v>
      </c>
      <c r="G45" s="17" t="s">
        <v>9</v>
      </c>
      <c r="H45" s="2" t="s">
        <v>367</v>
      </c>
      <c r="I45" s="36">
        <v>1</v>
      </c>
      <c r="J45" s="52" cm="1">
        <f t="array" ref="J45">IFERROR(
  VALUE($I45) *
  VALUE(
    _xlfn.XLOOKUP(
      TRIM($G45) &amp; "|" &amp; LEFT(SUBSTITUTE($H45,CHAR(160)," "),5) &amp; "|Full Rate",
      TRIM(SUBSTITUTE($N$2:$N$206,CHAR(160)," ")) &amp; "|" &amp;
      LEFT(SUBSTITUTE($O$2:$O$206,CHAR(160)," "),5) &amp; "|" &amp;
      TRIM(SUBSTITUTE($P$2:$P$206,CHAR(160)," ")),
      $Q$2:$Q$206
    )
  ),
"")</f>
        <v>500</v>
      </c>
      <c r="K45" s="52" cm="1">
        <f t="array" ref="K45">IFERROR(
  VALUE($I45) *
  VALUE(
    _xlfn.XLOOKUP(
      TRIM($G45) &amp; "|" &amp; LEFT(SUBSTITUTE($H45,CHAR(160)," "),5) &amp; "|Reduced Rate",
      TRIM(SUBSTITUTE($N$2:$N$206,CHAR(160)," ")) &amp; "|" &amp;
      LEFT(SUBSTITUTE($O$2:$O$206,CHAR(160)," "),5) &amp; "|" &amp;
      TRIM(SUBSTITUTE($P$2:$P$206,CHAR(160)," ")),
      $Q$2:$Q$206
    )
  ),
"")</f>
        <v>300</v>
      </c>
      <c r="L45" s="32" cm="1">
        <f t="array" ref="L45">IFERROR(
  VALUE($I45) *
  VALUE(
    _xlfn.XLOOKUP(
      TRIM($G45) &amp; "|" &amp; LEFT(SUBSTITUTE($H45,CHAR(160)," "),5) &amp; "|Ideas Rate",
      TRIM(SUBSTITUTE($N$2:$N$206,CHAR(160)," ")) &amp; "|" &amp;
      LEFT(SUBSTITUTE($O$2:$O$206,CHAR(160)," "),5) &amp; "|" &amp;
      TRIM(SUBSTITUTE($P$2:$P$206,CHAR(160)," ")),
      $Q$2:$Q$206
    )
  ),
"")</f>
        <v>150</v>
      </c>
    </row>
    <row r="46" spans="1:17" x14ac:dyDescent="0.2">
      <c r="A46" s="10">
        <v>45939</v>
      </c>
      <c r="B46" s="5" t="s">
        <v>325</v>
      </c>
      <c r="C46" s="20" t="s">
        <v>124</v>
      </c>
      <c r="E46" t="s">
        <v>178</v>
      </c>
      <c r="F46" t="s">
        <v>340</v>
      </c>
      <c r="G46" s="17" t="s">
        <v>9</v>
      </c>
      <c r="H46" s="2" t="s">
        <v>367</v>
      </c>
      <c r="I46" s="36">
        <v>0.75</v>
      </c>
      <c r="J46" s="52" cm="1">
        <f t="array" ref="J46">IFERROR(
  VALUE($I46) *
  VALUE(
    _xlfn.XLOOKUP(
      TRIM($G46) &amp; "|" &amp; LEFT(SUBSTITUTE($H46,CHAR(160)," "),5) &amp; "|Full Rate",
      TRIM(SUBSTITUTE($N$2:$N$206,CHAR(160)," ")) &amp; "|" &amp;
      LEFT(SUBSTITUTE($O$2:$O$206,CHAR(160)," "),5) &amp; "|" &amp;
      TRIM(SUBSTITUTE($P$2:$P$206,CHAR(160)," ")),
      $Q$2:$Q$206
    )
  ),
"")</f>
        <v>375</v>
      </c>
      <c r="K46" s="52" cm="1">
        <f t="array" ref="K46">IFERROR(
  VALUE($I46) *
  VALUE(
    _xlfn.XLOOKUP(
      TRIM($G46) &amp; "|" &amp; LEFT(SUBSTITUTE($H46,CHAR(160)," "),5) &amp; "|Reduced Rate",
      TRIM(SUBSTITUTE($N$2:$N$206,CHAR(160)," ")) &amp; "|" &amp;
      LEFT(SUBSTITUTE($O$2:$O$206,CHAR(160)," "),5) &amp; "|" &amp;
      TRIM(SUBSTITUTE($P$2:$P$206,CHAR(160)," ")),
      $Q$2:$Q$206
    )
  ),
"")</f>
        <v>225</v>
      </c>
      <c r="L46" s="32" cm="1">
        <f t="array" ref="L46">IFERROR(
  VALUE($I46) *
  VALUE(
    _xlfn.XLOOKUP(
      TRIM($G46) &amp; "|" &amp; LEFT(SUBSTITUTE($H46,CHAR(160)," "),5) &amp; "|Ideas Rate",
      TRIM(SUBSTITUTE($N$2:$N$206,CHAR(160)," ")) &amp; "|" &amp;
      LEFT(SUBSTITUTE($O$2:$O$206,CHAR(160)," "),5) &amp; "|" &amp;
      TRIM(SUBSTITUTE($P$2:$P$206,CHAR(160)," ")),
      $Q$2:$Q$206
    )
  ),
"")</f>
        <v>112.5</v>
      </c>
    </row>
    <row r="47" spans="1:17" x14ac:dyDescent="0.2">
      <c r="A47" s="10">
        <v>45939</v>
      </c>
      <c r="B47" s="5" t="s">
        <v>325</v>
      </c>
      <c r="C47" s="20" t="s">
        <v>124</v>
      </c>
      <c r="E47" t="s">
        <v>178</v>
      </c>
      <c r="F47" t="s">
        <v>342</v>
      </c>
      <c r="G47" s="17" t="s">
        <v>9</v>
      </c>
      <c r="H47" t="s">
        <v>367</v>
      </c>
      <c r="I47" s="36">
        <v>0.5</v>
      </c>
      <c r="J47" s="52" cm="1">
        <f t="array" ref="J47">IFERROR(
  VALUE($I47) *
  VALUE(
    _xlfn.XLOOKUP(
      TRIM($G47) &amp; "|" &amp; LEFT(SUBSTITUTE($H47,CHAR(160)," "),5) &amp; "|Full Rate",
      TRIM(SUBSTITUTE($N$2:$N$206,CHAR(160)," ")) &amp; "|" &amp;
      LEFT(SUBSTITUTE($O$2:$O$206,CHAR(160)," "),5) &amp; "|" &amp;
      TRIM(SUBSTITUTE($P$2:$P$206,CHAR(160)," ")),
      $Q$2:$Q$206
    )
  ),
"")</f>
        <v>250</v>
      </c>
      <c r="K47" s="52" cm="1">
        <f t="array" ref="K47">IFERROR(
  VALUE($I47) *
  VALUE(
    _xlfn.XLOOKUP(
      TRIM($G47) &amp; "|" &amp; LEFT(SUBSTITUTE($H47,CHAR(160)," "),5) &amp; "|Reduced Rate",
      TRIM(SUBSTITUTE($N$2:$N$206,CHAR(160)," ")) &amp; "|" &amp;
      LEFT(SUBSTITUTE($O$2:$O$206,CHAR(160)," "),5) &amp; "|" &amp;
      TRIM(SUBSTITUTE($P$2:$P$206,CHAR(160)," ")),
      $Q$2:$Q$206
    )
  ),
"")</f>
        <v>150</v>
      </c>
      <c r="L47" s="32" cm="1">
        <f t="array" ref="L47">IFERROR(
  VALUE($I47) *
  VALUE(
    _xlfn.XLOOKUP(
      TRIM($G47) &amp; "|" &amp; LEFT(SUBSTITUTE($H47,CHAR(160)," "),5) &amp; "|Ideas Rate",
      TRIM(SUBSTITUTE($N$2:$N$206,CHAR(160)," ")) &amp; "|" &amp;
      LEFT(SUBSTITUTE($O$2:$O$206,CHAR(160)," "),5) &amp; "|" &amp;
      TRIM(SUBSTITUTE($P$2:$P$206,CHAR(160)," ")),
      $Q$2:$Q$206
    )
  ),
"")</f>
        <v>75</v>
      </c>
    </row>
    <row r="48" spans="1:17" x14ac:dyDescent="0.2">
      <c r="A48" s="10">
        <v>45939</v>
      </c>
      <c r="B48" s="5" t="s">
        <v>325</v>
      </c>
      <c r="C48" t="s">
        <v>124</v>
      </c>
      <c r="E48" t="s">
        <v>178</v>
      </c>
      <c r="F48" t="s">
        <v>343</v>
      </c>
      <c r="G48" s="17" t="s">
        <v>9</v>
      </c>
      <c r="H48" t="s">
        <v>367</v>
      </c>
      <c r="I48" s="36">
        <v>0.25</v>
      </c>
      <c r="J48" s="52" cm="1">
        <f t="array" ref="J48">IFERROR(
  VALUE($I48) *
  VALUE(
    _xlfn.XLOOKUP(
      TRIM($G48) &amp; "|" &amp; LEFT(SUBSTITUTE($H48,CHAR(160)," "),5) &amp; "|Full Rate",
      TRIM(SUBSTITUTE($N$2:$N$206,CHAR(160)," ")) &amp; "|" &amp;
      LEFT(SUBSTITUTE($O$2:$O$206,CHAR(160)," "),5) &amp; "|" &amp;
      TRIM(SUBSTITUTE($P$2:$P$206,CHAR(160)," ")),
      $Q$2:$Q$206
    )
  ),
"")</f>
        <v>125</v>
      </c>
      <c r="K48" s="52" cm="1">
        <f t="array" ref="K48">IFERROR(
  VALUE($I48) *
  VALUE(
    _xlfn.XLOOKUP(
      TRIM($G48) &amp; "|" &amp; LEFT(SUBSTITUTE($H48,CHAR(160)," "),5) &amp; "|Reduced Rate",
      TRIM(SUBSTITUTE($N$2:$N$206,CHAR(160)," ")) &amp; "|" &amp;
      LEFT(SUBSTITUTE($O$2:$O$206,CHAR(160)," "),5) &amp; "|" &amp;
      TRIM(SUBSTITUTE($P$2:$P$206,CHAR(160)," ")),
      $Q$2:$Q$206
    )
  ),
"")</f>
        <v>75</v>
      </c>
      <c r="L48" s="32" cm="1">
        <f t="array" ref="L48">IFERROR(
  VALUE($I48) *
  VALUE(
    _xlfn.XLOOKUP(
      TRIM($G48) &amp; "|" &amp; LEFT(SUBSTITUTE($H48,CHAR(160)," "),5) &amp; "|Ideas Rate",
      TRIM(SUBSTITUTE($N$2:$N$206,CHAR(160)," ")) &amp; "|" &amp;
      LEFT(SUBSTITUTE($O$2:$O$206,CHAR(160)," "),5) &amp; "|" &amp;
      TRIM(SUBSTITUTE($P$2:$P$206,CHAR(160)," ")),
      $Q$2:$Q$206
    )
  ),
"")</f>
        <v>37.5</v>
      </c>
    </row>
    <row r="49" spans="1:12" x14ac:dyDescent="0.2">
      <c r="A49" s="10">
        <v>45939</v>
      </c>
      <c r="B49" s="5" t="s">
        <v>325</v>
      </c>
      <c r="C49" t="s">
        <v>124</v>
      </c>
      <c r="E49" t="s">
        <v>324</v>
      </c>
      <c r="F49" t="s">
        <v>344</v>
      </c>
      <c r="G49" s="17" t="s">
        <v>9</v>
      </c>
      <c r="H49" t="s">
        <v>367</v>
      </c>
      <c r="I49" s="36">
        <v>0.75</v>
      </c>
      <c r="J49" s="52" cm="1">
        <f t="array" ref="J49">IFERROR(
  VALUE($I49) *
  VALUE(
    _xlfn.XLOOKUP(
      TRIM($G49) &amp; "|" &amp; LEFT(SUBSTITUTE($H49,CHAR(160)," "),5) &amp; "|Full Rate",
      TRIM(SUBSTITUTE($N$2:$N$206,CHAR(160)," ")) &amp; "|" &amp;
      LEFT(SUBSTITUTE($O$2:$O$206,CHAR(160)," "),5) &amp; "|" &amp;
      TRIM(SUBSTITUTE($P$2:$P$206,CHAR(160)," ")),
      $Q$2:$Q$206
    )
  ),
"")</f>
        <v>375</v>
      </c>
      <c r="K49" s="52" cm="1">
        <f t="array" ref="K49">IFERROR(
  VALUE($I49) *
  VALUE(
    _xlfn.XLOOKUP(
      TRIM($G49) &amp; "|" &amp; LEFT(SUBSTITUTE($H49,CHAR(160)," "),5) &amp; "|Reduced Rate",
      TRIM(SUBSTITUTE($N$2:$N$206,CHAR(160)," ")) &amp; "|" &amp;
      LEFT(SUBSTITUTE($O$2:$O$206,CHAR(160)," "),5) &amp; "|" &amp;
      TRIM(SUBSTITUTE($P$2:$P$206,CHAR(160)," ")),
      $Q$2:$Q$206
    )
  ),
"")</f>
        <v>225</v>
      </c>
      <c r="L49" s="32" cm="1">
        <f t="array" ref="L49">IFERROR(
  VALUE($I49) *
  VALUE(
    _xlfn.XLOOKUP(
      TRIM($G49) &amp; "|" &amp; LEFT(SUBSTITUTE($H49,CHAR(160)," "),5) &amp; "|Ideas Rate",
      TRIM(SUBSTITUTE($N$2:$N$206,CHAR(160)," ")) &amp; "|" &amp;
      LEFT(SUBSTITUTE($O$2:$O$206,CHAR(160)," "),5) &amp; "|" &amp;
      TRIM(SUBSTITUTE($P$2:$P$206,CHAR(160)," ")),
      $Q$2:$Q$206
    )
  ),
"")</f>
        <v>112.5</v>
      </c>
    </row>
    <row r="50" spans="1:12" x14ac:dyDescent="0.2">
      <c r="A50" s="10">
        <v>45939</v>
      </c>
      <c r="B50" s="5" t="s">
        <v>325</v>
      </c>
      <c r="C50" t="s">
        <v>124</v>
      </c>
      <c r="E50" t="s">
        <v>191</v>
      </c>
      <c r="F50" t="s">
        <v>345</v>
      </c>
      <c r="G50" s="17" t="s">
        <v>9</v>
      </c>
      <c r="H50" t="s">
        <v>367</v>
      </c>
      <c r="I50" s="36">
        <v>0.5</v>
      </c>
      <c r="J50" s="52" cm="1">
        <f t="array" ref="J50">IFERROR(
  VALUE($I50) *
  VALUE(
    _xlfn.XLOOKUP(
      TRIM($G50) &amp; "|" &amp; LEFT(SUBSTITUTE($H50,CHAR(160)," "),5) &amp; "|Full Rate",
      TRIM(SUBSTITUTE($N$2:$N$206,CHAR(160)," ")) &amp; "|" &amp;
      LEFT(SUBSTITUTE($O$2:$O$206,CHAR(160)," "),5) &amp; "|" &amp;
      TRIM(SUBSTITUTE($P$2:$P$206,CHAR(160)," ")),
      $Q$2:$Q$206
    )
  ),
"")</f>
        <v>250</v>
      </c>
      <c r="K50" s="52" cm="1">
        <f t="array" ref="K50">IFERROR(
  VALUE($I50) *
  VALUE(
    _xlfn.XLOOKUP(
      TRIM($G50) &amp; "|" &amp; LEFT(SUBSTITUTE($H50,CHAR(160)," "),5) &amp; "|Reduced Rate",
      TRIM(SUBSTITUTE($N$2:$N$206,CHAR(160)," ")) &amp; "|" &amp;
      LEFT(SUBSTITUTE($O$2:$O$206,CHAR(160)," "),5) &amp; "|" &amp;
      TRIM(SUBSTITUTE($P$2:$P$206,CHAR(160)," ")),
      $Q$2:$Q$206
    )
  ),
"")</f>
        <v>150</v>
      </c>
      <c r="L50" s="32" cm="1">
        <f t="array" ref="L50">IFERROR(
  VALUE($I50) *
  VALUE(
    _xlfn.XLOOKUP(
      TRIM($G50) &amp; "|" &amp; LEFT(SUBSTITUTE($H50,CHAR(160)," "),5) &amp; "|Ideas Rate",
      TRIM(SUBSTITUTE($N$2:$N$206,CHAR(160)," ")) &amp; "|" &amp;
      LEFT(SUBSTITUTE($O$2:$O$206,CHAR(160)," "),5) &amp; "|" &amp;
      TRIM(SUBSTITUTE($P$2:$P$206,CHAR(160)," ")),
      $Q$2:$Q$206
    )
  ),
"")</f>
        <v>75</v>
      </c>
    </row>
    <row r="51" spans="1:12" x14ac:dyDescent="0.2">
      <c r="A51" s="10">
        <v>45939</v>
      </c>
      <c r="B51" s="5" t="s">
        <v>325</v>
      </c>
      <c r="C51" t="s">
        <v>124</v>
      </c>
      <c r="E51" t="s">
        <v>29</v>
      </c>
      <c r="F51" t="s">
        <v>346</v>
      </c>
      <c r="G51" s="17" t="s">
        <v>9</v>
      </c>
      <c r="H51" t="s">
        <v>367</v>
      </c>
      <c r="I51" s="36">
        <v>2.5</v>
      </c>
      <c r="J51" s="52" cm="1">
        <f t="array" ref="J51">IFERROR(
  VALUE($I51) *
  VALUE(
    _xlfn.XLOOKUP(
      TRIM($G51) &amp; "|" &amp; LEFT(SUBSTITUTE($H51,CHAR(160)," "),5) &amp; "|Full Rate",
      TRIM(SUBSTITUTE($N$2:$N$206,CHAR(160)," ")) &amp; "|" &amp;
      LEFT(SUBSTITUTE($O$2:$O$206,CHAR(160)," "),5) &amp; "|" &amp;
      TRIM(SUBSTITUTE($P$2:$P$206,CHAR(160)," ")),
      $Q$2:$Q$206
    )
  ),
"")</f>
        <v>1250</v>
      </c>
      <c r="K51" s="52" cm="1">
        <f t="array" ref="K51">IFERROR(
  VALUE($I51) *
  VALUE(
    _xlfn.XLOOKUP(
      TRIM($G51) &amp; "|" &amp; LEFT(SUBSTITUTE($H51,CHAR(160)," "),5) &amp; "|Reduced Rate",
      TRIM(SUBSTITUTE($N$2:$N$206,CHAR(160)," ")) &amp; "|" &amp;
      LEFT(SUBSTITUTE($O$2:$O$206,CHAR(160)," "),5) &amp; "|" &amp;
      TRIM(SUBSTITUTE($P$2:$P$206,CHAR(160)," ")),
      $Q$2:$Q$206
    )
  ),
"")</f>
        <v>750</v>
      </c>
      <c r="L51" s="32" cm="1">
        <f t="array" ref="L51">IFERROR(
  VALUE($I51) *
  VALUE(
    _xlfn.XLOOKUP(
      TRIM($G51) &amp; "|" &amp; LEFT(SUBSTITUTE($H51,CHAR(160)," "),5) &amp; "|Ideas Rate",
      TRIM(SUBSTITUTE($N$2:$N$206,CHAR(160)," ")) &amp; "|" &amp;
      LEFT(SUBSTITUTE($O$2:$O$206,CHAR(160)," "),5) &amp; "|" &amp;
      TRIM(SUBSTITUTE($P$2:$P$206,CHAR(160)," ")),
      $Q$2:$Q$206
    )
  ),
"")</f>
        <v>375</v>
      </c>
    </row>
    <row r="52" spans="1:12" x14ac:dyDescent="0.2">
      <c r="A52" s="10">
        <v>45940</v>
      </c>
      <c r="B52" s="5" t="s">
        <v>325</v>
      </c>
      <c r="C52" t="s">
        <v>124</v>
      </c>
      <c r="E52" t="s">
        <v>29</v>
      </c>
      <c r="F52" t="s">
        <v>347</v>
      </c>
      <c r="G52" s="17" t="s">
        <v>9</v>
      </c>
      <c r="H52" t="s">
        <v>367</v>
      </c>
      <c r="I52" s="36">
        <v>0.25</v>
      </c>
      <c r="J52" s="52" cm="1">
        <f t="array" ref="J52">IFERROR(
  VALUE($I52) *
  VALUE(
    _xlfn.XLOOKUP(
      TRIM($G52) &amp; "|" &amp; LEFT(SUBSTITUTE($H52,CHAR(160)," "),5) &amp; "|Full Rate",
      TRIM(SUBSTITUTE($N$2:$N$206,CHAR(160)," ")) &amp; "|" &amp;
      LEFT(SUBSTITUTE($O$2:$O$206,CHAR(160)," "),5) &amp; "|" &amp;
      TRIM(SUBSTITUTE($P$2:$P$206,CHAR(160)," ")),
      $Q$2:$Q$206
    )
  ),
"")</f>
        <v>125</v>
      </c>
      <c r="K52" s="52" cm="1">
        <f t="array" ref="K52">IFERROR(
  VALUE($I52) *
  VALUE(
    _xlfn.XLOOKUP(
      TRIM($G52) &amp; "|" &amp; LEFT(SUBSTITUTE($H52,CHAR(160)," "),5) &amp; "|Reduced Rate",
      TRIM(SUBSTITUTE($N$2:$N$206,CHAR(160)," ")) &amp; "|" &amp;
      LEFT(SUBSTITUTE($O$2:$O$206,CHAR(160)," "),5) &amp; "|" &amp;
      TRIM(SUBSTITUTE($P$2:$P$206,CHAR(160)," ")),
      $Q$2:$Q$206
    )
  ),
"")</f>
        <v>75</v>
      </c>
      <c r="L52" s="32" cm="1">
        <f t="array" ref="L52">IFERROR(
  VALUE($I52) *
  VALUE(
    _xlfn.XLOOKUP(
      TRIM($G52) &amp; "|" &amp; LEFT(SUBSTITUTE($H52,CHAR(160)," "),5) &amp; "|Ideas Rate",
      TRIM(SUBSTITUTE($N$2:$N$206,CHAR(160)," ")) &amp; "|" &amp;
      LEFT(SUBSTITUTE($O$2:$O$206,CHAR(160)," "),5) &amp; "|" &amp;
      TRIM(SUBSTITUTE($P$2:$P$206,CHAR(160)," ")),
      $Q$2:$Q$206
    )
  ),
"")</f>
        <v>37.5</v>
      </c>
    </row>
    <row r="53" spans="1:12" x14ac:dyDescent="0.2">
      <c r="A53" s="10">
        <v>45940</v>
      </c>
      <c r="B53" s="5" t="s">
        <v>325</v>
      </c>
      <c r="C53" t="s">
        <v>124</v>
      </c>
      <c r="E53" t="s">
        <v>29</v>
      </c>
      <c r="F53" t="s">
        <v>348</v>
      </c>
      <c r="G53" s="17" t="s">
        <v>9</v>
      </c>
      <c r="H53" t="s">
        <v>380</v>
      </c>
      <c r="I53" s="36">
        <v>0.5</v>
      </c>
      <c r="J53" s="52" cm="1">
        <f t="array" ref="J53">IFERROR(
  VALUE($I53) *
  VALUE(
    _xlfn.XLOOKUP(
      TRIM($G53) &amp; "|" &amp; LEFT(SUBSTITUTE($H53,CHAR(160)," "),5) &amp; "|Full Rate",
      TRIM(SUBSTITUTE($N$2:$N$206,CHAR(160)," ")) &amp; "|" &amp;
      LEFT(SUBSTITUTE($O$2:$O$206,CHAR(160)," "),5) &amp; "|" &amp;
      TRIM(SUBSTITUTE($P$2:$P$206,CHAR(160)," ")),
      $Q$2:$Q$206
    )
  ),
"")</f>
        <v>125</v>
      </c>
      <c r="K53" s="52" cm="1">
        <f t="array" ref="K53">IFERROR(
  VALUE($I53) *
  VALUE(
    _xlfn.XLOOKUP(
      TRIM($G53) &amp; "|" &amp; LEFT(SUBSTITUTE($H53,CHAR(160)," "),5) &amp; "|Reduced Rate",
      TRIM(SUBSTITUTE($N$2:$N$206,CHAR(160)," ")) &amp; "|" &amp;
      LEFT(SUBSTITUTE($O$2:$O$206,CHAR(160)," "),5) &amp; "|" &amp;
      TRIM(SUBSTITUTE($P$2:$P$206,CHAR(160)," ")),
      $Q$2:$Q$206
    )
  ),
"")</f>
        <v>75</v>
      </c>
      <c r="L53" s="32" cm="1">
        <f t="array" ref="L53">IFERROR(
  VALUE($I53) *
  VALUE(
    _xlfn.XLOOKUP(
      TRIM($G53) &amp; "|" &amp; LEFT(SUBSTITUTE($H53,CHAR(160)," "),5) &amp; "|Ideas Rate",
      TRIM(SUBSTITUTE($N$2:$N$206,CHAR(160)," ")) &amp; "|" &amp;
      LEFT(SUBSTITUTE($O$2:$O$206,CHAR(160)," "),5) &amp; "|" &amp;
      TRIM(SUBSTITUTE($P$2:$P$206,CHAR(160)," ")),
      $Q$2:$Q$206
    )
  ),
"")</f>
        <v>37.5</v>
      </c>
    </row>
    <row r="54" spans="1:12" x14ac:dyDescent="0.2">
      <c r="A54" s="10">
        <v>45940</v>
      </c>
      <c r="B54" s="5" t="s">
        <v>325</v>
      </c>
      <c r="C54" t="s">
        <v>124</v>
      </c>
      <c r="E54" t="s">
        <v>178</v>
      </c>
      <c r="F54" t="s">
        <v>349</v>
      </c>
      <c r="G54" s="17" t="s">
        <v>9</v>
      </c>
      <c r="H54" t="s">
        <v>367</v>
      </c>
      <c r="I54" s="36">
        <v>0.75</v>
      </c>
      <c r="J54" s="52" cm="1">
        <f t="array" ref="J54">IFERROR(
  VALUE($I54) *
  VALUE(
    _xlfn.XLOOKUP(
      TRIM($G54) &amp; "|" &amp; LEFT(SUBSTITUTE($H54,CHAR(160)," "),5) &amp; "|Full Rate",
      TRIM(SUBSTITUTE($N$2:$N$206,CHAR(160)," ")) &amp; "|" &amp;
      LEFT(SUBSTITUTE($O$2:$O$206,CHAR(160)," "),5) &amp; "|" &amp;
      TRIM(SUBSTITUTE($P$2:$P$206,CHAR(160)," ")),
      $Q$2:$Q$206
    )
  ),
"")</f>
        <v>375</v>
      </c>
      <c r="K54" s="52" cm="1">
        <f t="array" ref="K54">IFERROR(
  VALUE($I54) *
  VALUE(
    _xlfn.XLOOKUP(
      TRIM($G54) &amp; "|" &amp; LEFT(SUBSTITUTE($H54,CHAR(160)," "),5) &amp; "|Reduced Rate",
      TRIM(SUBSTITUTE($N$2:$N$206,CHAR(160)," ")) &amp; "|" &amp;
      LEFT(SUBSTITUTE($O$2:$O$206,CHAR(160)," "),5) &amp; "|" &amp;
      TRIM(SUBSTITUTE($P$2:$P$206,CHAR(160)," ")),
      $Q$2:$Q$206
    )
  ),
"")</f>
        <v>225</v>
      </c>
      <c r="L54" s="32" cm="1">
        <f t="array" ref="L54">IFERROR(
  VALUE($I54) *
  VALUE(
    _xlfn.XLOOKUP(
      TRIM($G54) &amp; "|" &amp; LEFT(SUBSTITUTE($H54,CHAR(160)," "),5) &amp; "|Ideas Rate",
      TRIM(SUBSTITUTE($N$2:$N$206,CHAR(160)," ")) &amp; "|" &amp;
      LEFT(SUBSTITUTE($O$2:$O$206,CHAR(160)," "),5) &amp; "|" &amp;
      TRIM(SUBSTITUTE($P$2:$P$206,CHAR(160)," ")),
      $Q$2:$Q$206
    )
  ),
"")</f>
        <v>112.5</v>
      </c>
    </row>
    <row r="55" spans="1:12" x14ac:dyDescent="0.2">
      <c r="A55" s="10">
        <v>45943</v>
      </c>
      <c r="B55" s="5" t="s">
        <v>325</v>
      </c>
      <c r="C55" t="s">
        <v>124</v>
      </c>
      <c r="E55" t="s">
        <v>178</v>
      </c>
      <c r="F55" t="s">
        <v>360</v>
      </c>
      <c r="G55" s="17" t="s">
        <v>9</v>
      </c>
      <c r="H55" t="s">
        <v>380</v>
      </c>
      <c r="I55" s="36">
        <v>0.25</v>
      </c>
      <c r="J55" s="52" cm="1">
        <f t="array" ref="J55">IFERROR(
  VALUE($I55) *
  VALUE(
    _xlfn.XLOOKUP(
      TRIM($G55) &amp; "|" &amp; LEFT(SUBSTITUTE($H55,CHAR(160)," "),5) &amp; "|Full Rate",
      TRIM(SUBSTITUTE($N$2:$N$206,CHAR(160)," ")) &amp; "|" &amp;
      LEFT(SUBSTITUTE($O$2:$O$206,CHAR(160)," "),5) &amp; "|" &amp;
      TRIM(SUBSTITUTE($P$2:$P$206,CHAR(160)," ")),
      $Q$2:$Q$206
    )
  ),
"")</f>
        <v>62.5</v>
      </c>
      <c r="K55" s="52" cm="1">
        <f t="array" ref="K55">IFERROR(
  VALUE($I55) *
  VALUE(
    _xlfn.XLOOKUP(
      TRIM($G55) &amp; "|" &amp; LEFT(SUBSTITUTE($H55,CHAR(160)," "),5) &amp; "|Reduced Rate",
      TRIM(SUBSTITUTE($N$2:$N$206,CHAR(160)," ")) &amp; "|" &amp;
      LEFT(SUBSTITUTE($O$2:$O$206,CHAR(160)," "),5) &amp; "|" &amp;
      TRIM(SUBSTITUTE($P$2:$P$206,CHAR(160)," ")),
      $Q$2:$Q$206
    )
  ),
"")</f>
        <v>37.5</v>
      </c>
      <c r="L55" s="32" cm="1">
        <f t="array" ref="L55">IFERROR(
  VALUE($I55) *
  VALUE(
    _xlfn.XLOOKUP(
      TRIM($G55) &amp; "|" &amp; LEFT(SUBSTITUTE($H55,CHAR(160)," "),5) &amp; "|Ideas Rate",
      TRIM(SUBSTITUTE($N$2:$N$206,CHAR(160)," ")) &amp; "|" &amp;
      LEFT(SUBSTITUTE($O$2:$O$206,CHAR(160)," "),5) &amp; "|" &amp;
      TRIM(SUBSTITUTE($P$2:$P$206,CHAR(160)," ")),
      $Q$2:$Q$206
    )
  ),
"")</f>
        <v>18.75</v>
      </c>
    </row>
    <row r="56" spans="1:12" x14ac:dyDescent="0.2">
      <c r="A56" s="10">
        <v>45943</v>
      </c>
      <c r="B56" s="5" t="s">
        <v>325</v>
      </c>
      <c r="C56" t="s">
        <v>124</v>
      </c>
      <c r="E56" t="s">
        <v>178</v>
      </c>
      <c r="F56" t="s">
        <v>361</v>
      </c>
      <c r="G56" s="17" t="s">
        <v>9</v>
      </c>
      <c r="H56" t="s">
        <v>380</v>
      </c>
      <c r="I56" s="36">
        <v>0.25</v>
      </c>
      <c r="J56" s="52" cm="1">
        <f t="array" ref="J56">IFERROR(
  VALUE($I56) *
  VALUE(
    _xlfn.XLOOKUP(
      TRIM($G56) &amp; "|" &amp; LEFT(SUBSTITUTE($H56,CHAR(160)," "),5) &amp; "|Full Rate",
      TRIM(SUBSTITUTE($N$2:$N$206,CHAR(160)," ")) &amp; "|" &amp;
      LEFT(SUBSTITUTE($O$2:$O$206,CHAR(160)," "),5) &amp; "|" &amp;
      TRIM(SUBSTITUTE($P$2:$P$206,CHAR(160)," ")),
      $Q$2:$Q$206
    )
  ),
"")</f>
        <v>62.5</v>
      </c>
      <c r="K56" s="52" cm="1">
        <f t="array" ref="K56">IFERROR(
  VALUE($I56) *
  VALUE(
    _xlfn.XLOOKUP(
      TRIM($G56) &amp; "|" &amp; LEFT(SUBSTITUTE($H56,CHAR(160)," "),5) &amp; "|Reduced Rate",
      TRIM(SUBSTITUTE($N$2:$N$206,CHAR(160)," ")) &amp; "|" &amp;
      LEFT(SUBSTITUTE($O$2:$O$206,CHAR(160)," "),5) &amp; "|" &amp;
      TRIM(SUBSTITUTE($P$2:$P$206,CHAR(160)," ")),
      $Q$2:$Q$206
    )
  ),
"")</f>
        <v>37.5</v>
      </c>
      <c r="L56" s="32" cm="1">
        <f t="array" ref="L56">IFERROR(
  VALUE($I56) *
  VALUE(
    _xlfn.XLOOKUP(
      TRIM($G56) &amp; "|" &amp; LEFT(SUBSTITUTE($H56,CHAR(160)," "),5) &amp; "|Ideas Rate",
      TRIM(SUBSTITUTE($N$2:$N$206,CHAR(160)," ")) &amp; "|" &amp;
      LEFT(SUBSTITUTE($O$2:$O$206,CHAR(160)," "),5) &amp; "|" &amp;
      TRIM(SUBSTITUTE($P$2:$P$206,CHAR(160)," ")),
      $Q$2:$Q$206
    )
  ),
"")</f>
        <v>18.75</v>
      </c>
    </row>
    <row r="57" spans="1:12" x14ac:dyDescent="0.2">
      <c r="A57" s="10">
        <v>45945</v>
      </c>
      <c r="B57" s="5" t="s">
        <v>325</v>
      </c>
      <c r="C57" t="s">
        <v>124</v>
      </c>
      <c r="E57" t="s">
        <v>178</v>
      </c>
      <c r="F57" t="s">
        <v>388</v>
      </c>
      <c r="G57" s="17" t="s">
        <v>9</v>
      </c>
      <c r="H57" t="s">
        <v>380</v>
      </c>
      <c r="I57" s="36">
        <v>0.25</v>
      </c>
      <c r="J57" s="52" cm="1">
        <f t="array" ref="J57">IFERROR(
  VALUE($I57) *
  VALUE(
    _xlfn.XLOOKUP(
      TRIM($G57) &amp; "|" &amp; LEFT(SUBSTITUTE($H57,CHAR(160)," "),5) &amp; "|Full Rate",
      TRIM(SUBSTITUTE($N$2:$N$206,CHAR(160)," ")) &amp; "|" &amp;
      LEFT(SUBSTITUTE($O$2:$O$206,CHAR(160)," "),5) &amp; "|" &amp;
      TRIM(SUBSTITUTE($P$2:$P$206,CHAR(160)," ")),
      $Q$2:$Q$206
    )
  ),
"")</f>
        <v>62.5</v>
      </c>
      <c r="K57" s="52" cm="1">
        <f t="array" ref="K57">IFERROR(
  VALUE($I57) *
  VALUE(
    _xlfn.XLOOKUP(
      TRIM($G57) &amp; "|" &amp; LEFT(SUBSTITUTE($H57,CHAR(160)," "),5) &amp; "|Reduced Rate",
      TRIM(SUBSTITUTE($N$2:$N$206,CHAR(160)," ")) &amp; "|" &amp;
      LEFT(SUBSTITUTE($O$2:$O$206,CHAR(160)," "),5) &amp; "|" &amp;
      TRIM(SUBSTITUTE($P$2:$P$206,CHAR(160)," ")),
      $Q$2:$Q$206
    )
  ),
"")</f>
        <v>37.5</v>
      </c>
      <c r="L57" s="32" cm="1">
        <f t="array" ref="L57">IFERROR(
  VALUE($I57) *
  VALUE(
    _xlfn.XLOOKUP(
      TRIM($G57) &amp; "|" &amp; LEFT(SUBSTITUTE($H57,CHAR(160)," "),5) &amp; "|Ideas Rate",
      TRIM(SUBSTITUTE($N$2:$N$206,CHAR(160)," ")) &amp; "|" &amp;
      LEFT(SUBSTITUTE($O$2:$O$206,CHAR(160)," "),5) &amp; "|" &amp;
      TRIM(SUBSTITUTE($P$2:$P$206,CHAR(160)," ")),
      $Q$2:$Q$206
    )
  ),
"")</f>
        <v>18.75</v>
      </c>
    </row>
    <row r="58" spans="1:12" x14ac:dyDescent="0.2">
      <c r="A58" s="10">
        <v>45945</v>
      </c>
      <c r="B58" s="5" t="s">
        <v>325</v>
      </c>
      <c r="C58" t="s">
        <v>124</v>
      </c>
      <c r="E58" t="s">
        <v>178</v>
      </c>
      <c r="F58" t="s">
        <v>134</v>
      </c>
      <c r="G58" s="17" t="s">
        <v>9</v>
      </c>
      <c r="H58" t="s">
        <v>380</v>
      </c>
      <c r="I58" s="36">
        <v>0.25</v>
      </c>
      <c r="J58" s="52" cm="1">
        <f t="array" ref="J58">IFERROR(
  VALUE($I58) *
  VALUE(
    _xlfn.XLOOKUP(
      TRIM($G58) &amp; "|" &amp; LEFT(SUBSTITUTE($H58,CHAR(160)," "),5) &amp; "|Full Rate",
      TRIM(SUBSTITUTE($N$2:$N$206,CHAR(160)," ")) &amp; "|" &amp;
      LEFT(SUBSTITUTE($O$2:$O$206,CHAR(160)," "),5) &amp; "|" &amp;
      TRIM(SUBSTITUTE($P$2:$P$206,CHAR(160)," ")),
      $Q$2:$Q$206
    )
  ),
"")</f>
        <v>62.5</v>
      </c>
      <c r="K58" s="52" cm="1">
        <f t="array" ref="K58">IFERROR(
  VALUE($I58) *
  VALUE(
    _xlfn.XLOOKUP(
      TRIM($G58) &amp; "|" &amp; LEFT(SUBSTITUTE($H58,CHAR(160)," "),5) &amp; "|Reduced Rate",
      TRIM(SUBSTITUTE($N$2:$N$206,CHAR(160)," ")) &amp; "|" &amp;
      LEFT(SUBSTITUTE($O$2:$O$206,CHAR(160)," "),5) &amp; "|" &amp;
      TRIM(SUBSTITUTE($P$2:$P$206,CHAR(160)," ")),
      $Q$2:$Q$206
    )
  ),
"")</f>
        <v>37.5</v>
      </c>
      <c r="L58" s="32" cm="1">
        <f t="array" ref="L58">IFERROR(
  VALUE($I58) *
  VALUE(
    _xlfn.XLOOKUP(
      TRIM($G58) &amp; "|" &amp; LEFT(SUBSTITUTE($H58,CHAR(160)," "),5) &amp; "|Ideas Rate",
      TRIM(SUBSTITUTE($N$2:$N$206,CHAR(160)," ")) &amp; "|" &amp;
      LEFT(SUBSTITUTE($O$2:$O$206,CHAR(160)," "),5) &amp; "|" &amp;
      TRIM(SUBSTITUTE($P$2:$P$206,CHAR(160)," ")),
      $Q$2:$Q$206
    )
  ),
"")</f>
        <v>18.75</v>
      </c>
    </row>
    <row r="59" spans="1:12" x14ac:dyDescent="0.2">
      <c r="A59" s="10">
        <v>45947</v>
      </c>
      <c r="B59" s="5" t="s">
        <v>325</v>
      </c>
      <c r="C59" t="s">
        <v>124</v>
      </c>
      <c r="E59" t="s">
        <v>29</v>
      </c>
      <c r="F59" t="s">
        <v>399</v>
      </c>
      <c r="G59" s="17" t="s">
        <v>9</v>
      </c>
      <c r="H59" t="s">
        <v>367</v>
      </c>
      <c r="I59" s="36">
        <v>2</v>
      </c>
      <c r="J59" s="52" cm="1">
        <f t="array" ref="J59">IFERROR(
  VALUE($I59) *
  VALUE(
    _xlfn.XLOOKUP(
      TRIM($G59) &amp; "|" &amp; LEFT(SUBSTITUTE($H59,CHAR(160)," "),5) &amp; "|Full Rate",
      TRIM(SUBSTITUTE($N$2:$N$206,CHAR(160)," ")) &amp; "|" &amp;
      LEFT(SUBSTITUTE($O$2:$O$206,CHAR(160)," "),5) &amp; "|" &amp;
      TRIM(SUBSTITUTE($P$2:$P$206,CHAR(160)," ")),
      $Q$2:$Q$206
    )
  ),
"")</f>
        <v>1000</v>
      </c>
      <c r="K59" s="52" cm="1">
        <f t="array" ref="K59">IFERROR(
  VALUE($I59) *
  VALUE(
    _xlfn.XLOOKUP(
      TRIM($G59) &amp; "|" &amp; LEFT(SUBSTITUTE($H59,CHAR(160)," "),5) &amp; "|Reduced Rate",
      TRIM(SUBSTITUTE($N$2:$N$206,CHAR(160)," ")) &amp; "|" &amp;
      LEFT(SUBSTITUTE($O$2:$O$206,CHAR(160)," "),5) &amp; "|" &amp;
      TRIM(SUBSTITUTE($P$2:$P$206,CHAR(160)," ")),
      $Q$2:$Q$206
    )
  ),
"")</f>
        <v>600</v>
      </c>
      <c r="L59" s="32" cm="1">
        <f t="array" ref="L59">IFERROR(
  VALUE($I59) *
  VALUE(
    _xlfn.XLOOKUP(
      TRIM($G59) &amp; "|" &amp; LEFT(SUBSTITUTE($H59,CHAR(160)," "),5) &amp; "|Ideas Rate",
      TRIM(SUBSTITUTE($N$2:$N$206,CHAR(160)," ")) &amp; "|" &amp;
      LEFT(SUBSTITUTE($O$2:$O$206,CHAR(160)," "),5) &amp; "|" &amp;
      TRIM(SUBSTITUTE($P$2:$P$206,CHAR(160)," ")),
      $Q$2:$Q$206
    )
  ),
"")</f>
        <v>300</v>
      </c>
    </row>
    <row r="60" spans="1:12" x14ac:dyDescent="0.2">
      <c r="A60" s="10">
        <v>45952</v>
      </c>
      <c r="B60" s="5" t="s">
        <v>325</v>
      </c>
      <c r="C60" t="s">
        <v>124</v>
      </c>
      <c r="E60" t="s">
        <v>323</v>
      </c>
      <c r="F60" t="s">
        <v>323</v>
      </c>
      <c r="G60" s="17" t="s">
        <v>9</v>
      </c>
      <c r="H60" t="s">
        <v>368</v>
      </c>
      <c r="I60" s="36">
        <v>7</v>
      </c>
      <c r="J60" s="52" cm="1">
        <f t="array" ref="J60">IFERROR(
  VALUE($I60) *
  VALUE(
    _xlfn.XLOOKUP(
      TRIM($G60) &amp; "|" &amp; LEFT(SUBSTITUTE($H60,CHAR(160)," "),5) &amp; "|Full Rate",
      TRIM(SUBSTITUTE($N$2:$N$206,CHAR(160)," ")) &amp; "|" &amp;
      LEFT(SUBSTITUTE($O$2:$O$206,CHAR(160)," "),5) &amp; "|" &amp;
      TRIM(SUBSTITUTE($P$2:$P$206,CHAR(160)," ")),
      $Q$2:$Q$206
    )
  ),
"")</f>
        <v>700</v>
      </c>
      <c r="K60" s="52" cm="1">
        <f t="array" ref="K60">IFERROR(
  VALUE($I60) *
  VALUE(
    _xlfn.XLOOKUP(
      TRIM($G60) &amp; "|" &amp; LEFT(SUBSTITUTE($H60,CHAR(160)," "),5) &amp; "|Reduced Rate",
      TRIM(SUBSTITUTE($N$2:$N$206,CHAR(160)," ")) &amp; "|" &amp;
      LEFT(SUBSTITUTE($O$2:$O$206,CHAR(160)," "),5) &amp; "|" &amp;
      TRIM(SUBSTITUTE($P$2:$P$206,CHAR(160)," ")),
      $Q$2:$Q$206
    )
  ),
"")</f>
        <v>350</v>
      </c>
      <c r="L60" s="32" cm="1">
        <f t="array" ref="L60">IFERROR(
  VALUE($I60) *
  VALUE(
    _xlfn.XLOOKUP(
      TRIM($G60) &amp; "|" &amp; LEFT(SUBSTITUTE($H60,CHAR(160)," "),5) &amp; "|Ideas Rate",
      TRIM(SUBSTITUTE($N$2:$N$206,CHAR(160)," ")) &amp; "|" &amp;
      LEFT(SUBSTITUTE($O$2:$O$206,CHAR(160)," "),5) &amp; "|" &amp;
      TRIM(SUBSTITUTE($P$2:$P$206,CHAR(160)," ")),
      $Q$2:$Q$206
    )
  ),
"")</f>
        <v>210</v>
      </c>
    </row>
    <row r="61" spans="1:12" x14ac:dyDescent="0.2">
      <c r="A61" s="10">
        <v>45952</v>
      </c>
      <c r="B61" s="5" t="s">
        <v>325</v>
      </c>
      <c r="C61" t="s">
        <v>124</v>
      </c>
      <c r="E61" t="s">
        <v>184</v>
      </c>
      <c r="F61" t="s">
        <v>405</v>
      </c>
      <c r="G61" s="17" t="s">
        <v>9</v>
      </c>
      <c r="H61" t="s">
        <v>367</v>
      </c>
      <c r="I61" s="36">
        <v>2.5</v>
      </c>
      <c r="J61" s="52" cm="1">
        <f t="array" ref="J61">IFERROR(
  VALUE($I61) *
  VALUE(
    _xlfn.XLOOKUP(
      TRIM($G61) &amp; "|" &amp; LEFT(SUBSTITUTE($H61,CHAR(160)," "),5) &amp; "|Full Rate",
      TRIM(SUBSTITUTE($N$2:$N$206,CHAR(160)," ")) &amp; "|" &amp;
      LEFT(SUBSTITUTE($O$2:$O$206,CHAR(160)," "),5) &amp; "|" &amp;
      TRIM(SUBSTITUTE($P$2:$P$206,CHAR(160)," ")),
      $Q$2:$Q$206
    )
  ),
"")</f>
        <v>1250</v>
      </c>
      <c r="K61" s="52" cm="1">
        <f t="array" ref="K61">IFERROR(
  VALUE($I61) *
  VALUE(
    _xlfn.XLOOKUP(
      TRIM($G61) &amp; "|" &amp; LEFT(SUBSTITUTE($H61,CHAR(160)," "),5) &amp; "|Reduced Rate",
      TRIM(SUBSTITUTE($N$2:$N$206,CHAR(160)," ")) &amp; "|" &amp;
      LEFT(SUBSTITUTE($O$2:$O$206,CHAR(160)," "),5) &amp; "|" &amp;
      TRIM(SUBSTITUTE($P$2:$P$206,CHAR(160)," ")),
      $Q$2:$Q$206
    )
  ),
"")</f>
        <v>750</v>
      </c>
      <c r="L61" s="32" cm="1">
        <f t="array" ref="L61">IFERROR(
  VALUE($I61) *
  VALUE(
    _xlfn.XLOOKUP(
      TRIM($G61) &amp; "|" &amp; LEFT(SUBSTITUTE($H61,CHAR(160)," "),5) &amp; "|Ideas Rate",
      TRIM(SUBSTITUTE($N$2:$N$206,CHAR(160)," ")) &amp; "|" &amp;
      LEFT(SUBSTITUTE($O$2:$O$206,CHAR(160)," "),5) &amp; "|" &amp;
      TRIM(SUBSTITUTE($P$2:$P$206,CHAR(160)," ")),
      $Q$2:$Q$206
    )
  ),
"")</f>
        <v>375</v>
      </c>
    </row>
    <row r="62" spans="1:12" x14ac:dyDescent="0.2">
      <c r="A62" s="10">
        <v>45952</v>
      </c>
      <c r="B62" s="5" t="s">
        <v>325</v>
      </c>
      <c r="C62" t="s">
        <v>124</v>
      </c>
      <c r="E62" t="s">
        <v>323</v>
      </c>
      <c r="F62" t="s">
        <v>323</v>
      </c>
      <c r="G62" s="17" t="s">
        <v>9</v>
      </c>
      <c r="H62" t="s">
        <v>368</v>
      </c>
      <c r="I62" s="36">
        <v>3</v>
      </c>
      <c r="J62" s="52" cm="1">
        <f t="array" ref="J62">IFERROR(
  VALUE($I62) *
  VALUE(
    _xlfn.XLOOKUP(
      TRIM($G62) &amp; "|" &amp; LEFT(SUBSTITUTE($H62,CHAR(160)," "),5) &amp; "|Full Rate",
      TRIM(SUBSTITUTE($N$2:$N$206,CHAR(160)," ")) &amp; "|" &amp;
      LEFT(SUBSTITUTE($O$2:$O$206,CHAR(160)," "),5) &amp; "|" &amp;
      TRIM(SUBSTITUTE($P$2:$P$206,CHAR(160)," ")),
      $Q$2:$Q$206
    )
  ),
"")</f>
        <v>300</v>
      </c>
      <c r="K62" s="52" cm="1">
        <f t="array" ref="K62">IFERROR(
  VALUE($I62) *
  VALUE(
    _xlfn.XLOOKUP(
      TRIM($G62) &amp; "|" &amp; LEFT(SUBSTITUTE($H62,CHAR(160)," "),5) &amp; "|Reduced Rate",
      TRIM(SUBSTITUTE($N$2:$N$206,CHAR(160)," ")) &amp; "|" &amp;
      LEFT(SUBSTITUTE($O$2:$O$206,CHAR(160)," "),5) &amp; "|" &amp;
      TRIM(SUBSTITUTE($P$2:$P$206,CHAR(160)," ")),
      $Q$2:$Q$206
    )
  ),
"")</f>
        <v>150</v>
      </c>
      <c r="L62" s="32" cm="1">
        <f t="array" ref="L62">IFERROR(
  VALUE($I62) *
  VALUE(
    _xlfn.XLOOKUP(
      TRIM($G62) &amp; "|" &amp; LEFT(SUBSTITUTE($H62,CHAR(160)," "),5) &amp; "|Ideas Rate",
      TRIM(SUBSTITUTE($N$2:$N$206,CHAR(160)," ")) &amp; "|" &amp;
      LEFT(SUBSTITUTE($O$2:$O$206,CHAR(160)," "),5) &amp; "|" &amp;
      TRIM(SUBSTITUTE($P$2:$P$206,CHAR(160)," ")),
      $Q$2:$Q$206
    )
  ),
"")</f>
        <v>90</v>
      </c>
    </row>
    <row r="63" spans="1:12" x14ac:dyDescent="0.2">
      <c r="A63" s="10">
        <v>45952</v>
      </c>
      <c r="B63" s="5" t="s">
        <v>325</v>
      </c>
      <c r="C63" t="s">
        <v>124</v>
      </c>
      <c r="E63" t="s">
        <v>323</v>
      </c>
      <c r="F63" t="s">
        <v>323</v>
      </c>
      <c r="G63" s="17" t="s">
        <v>9</v>
      </c>
      <c r="H63" t="s">
        <v>368</v>
      </c>
      <c r="I63" s="36">
        <v>7</v>
      </c>
      <c r="J63" s="52" cm="1">
        <f t="array" ref="J63">IFERROR(
  VALUE($I63) *
  VALUE(
    _xlfn.XLOOKUP(
      TRIM($G63) &amp; "|" &amp; LEFT(SUBSTITUTE($H63,CHAR(160)," "),5) &amp; "|Full Rate",
      TRIM(SUBSTITUTE($N$2:$N$206,CHAR(160)," ")) &amp; "|" &amp;
      LEFT(SUBSTITUTE($O$2:$O$206,CHAR(160)," "),5) &amp; "|" &amp;
      TRIM(SUBSTITUTE($P$2:$P$206,CHAR(160)," ")),
      $Q$2:$Q$206
    )
  ),
"")</f>
        <v>700</v>
      </c>
      <c r="K63" s="52" cm="1">
        <f t="array" ref="K63">IFERROR(
  VALUE($I63) *
  VALUE(
    _xlfn.XLOOKUP(
      TRIM($G63) &amp; "|" &amp; LEFT(SUBSTITUTE($H63,CHAR(160)," "),5) &amp; "|Reduced Rate",
      TRIM(SUBSTITUTE($N$2:$N$206,CHAR(160)," ")) &amp; "|" &amp;
      LEFT(SUBSTITUTE($O$2:$O$206,CHAR(160)," "),5) &amp; "|" &amp;
      TRIM(SUBSTITUTE($P$2:$P$206,CHAR(160)," ")),
      $Q$2:$Q$206
    )
  ),
"")</f>
        <v>350</v>
      </c>
      <c r="L63" s="32" cm="1">
        <f t="array" ref="L63">IFERROR(
  VALUE($I63) *
  VALUE(
    _xlfn.XLOOKUP(
      TRIM($G63) &amp; "|" &amp; LEFT(SUBSTITUTE($H63,CHAR(160)," "),5) &amp; "|Ideas Rate",
      TRIM(SUBSTITUTE($N$2:$N$206,CHAR(160)," ")) &amp; "|" &amp;
      LEFT(SUBSTITUTE($O$2:$O$206,CHAR(160)," "),5) &amp; "|" &amp;
      TRIM(SUBSTITUTE($P$2:$P$206,CHAR(160)," ")),
      $Q$2:$Q$206
    )
  ),
"")</f>
        <v>210</v>
      </c>
    </row>
    <row r="64" spans="1:12" x14ac:dyDescent="0.2">
      <c r="A64" s="10">
        <v>45952</v>
      </c>
      <c r="B64" s="5" t="s">
        <v>325</v>
      </c>
      <c r="C64" t="s">
        <v>124</v>
      </c>
      <c r="E64" t="s">
        <v>184</v>
      </c>
      <c r="F64" t="s">
        <v>405</v>
      </c>
      <c r="G64" s="17" t="s">
        <v>9</v>
      </c>
      <c r="H64" t="s">
        <v>367</v>
      </c>
      <c r="I64" s="36">
        <v>2.5</v>
      </c>
      <c r="J64" s="52" cm="1">
        <f t="array" ref="J64">IFERROR(
  VALUE($I64) *
  VALUE(
    _xlfn.XLOOKUP(
      TRIM($G64) &amp; "|" &amp; LEFT(SUBSTITUTE($H64,CHAR(160)," "),5) &amp; "|Full Rate",
      TRIM(SUBSTITUTE($N$2:$N$206,CHAR(160)," ")) &amp; "|" &amp;
      LEFT(SUBSTITUTE($O$2:$O$206,CHAR(160)," "),5) &amp; "|" &amp;
      TRIM(SUBSTITUTE($P$2:$P$206,CHAR(160)," ")),
      $Q$2:$Q$206
    )
  ),
"")</f>
        <v>1250</v>
      </c>
      <c r="K64" s="52" cm="1">
        <f t="array" ref="K64">IFERROR(
  VALUE($I64) *
  VALUE(
    _xlfn.XLOOKUP(
      TRIM($G64) &amp; "|" &amp; LEFT(SUBSTITUTE($H64,CHAR(160)," "),5) &amp; "|Reduced Rate",
      TRIM(SUBSTITUTE($N$2:$N$206,CHAR(160)," ")) &amp; "|" &amp;
      LEFT(SUBSTITUTE($O$2:$O$206,CHAR(160)," "),5) &amp; "|" &amp;
      TRIM(SUBSTITUTE($P$2:$P$206,CHAR(160)," ")),
      $Q$2:$Q$206
    )
  ),
"")</f>
        <v>750</v>
      </c>
      <c r="L64" s="32" cm="1">
        <f t="array" ref="L64">IFERROR(
  VALUE($I64) *
  VALUE(
    _xlfn.XLOOKUP(
      TRIM($G64) &amp; "|" &amp; LEFT(SUBSTITUTE($H64,CHAR(160)," "),5) &amp; "|Ideas Rate",
      TRIM(SUBSTITUTE($N$2:$N$206,CHAR(160)," ")) &amp; "|" &amp;
      LEFT(SUBSTITUTE($O$2:$O$206,CHAR(160)," "),5) &amp; "|" &amp;
      TRIM(SUBSTITUTE($P$2:$P$206,CHAR(160)," ")),
      $Q$2:$Q$206
    )
  ),
"")</f>
        <v>375</v>
      </c>
    </row>
    <row r="65" spans="1:12" x14ac:dyDescent="0.2">
      <c r="A65" s="10">
        <v>45952</v>
      </c>
      <c r="B65" s="5" t="s">
        <v>325</v>
      </c>
      <c r="C65" t="s">
        <v>124</v>
      </c>
      <c r="E65" t="s">
        <v>323</v>
      </c>
      <c r="F65" t="s">
        <v>323</v>
      </c>
      <c r="G65" s="17" t="s">
        <v>9</v>
      </c>
      <c r="H65" t="s">
        <v>368</v>
      </c>
      <c r="I65" s="36">
        <v>3</v>
      </c>
      <c r="J65" s="52" cm="1">
        <f t="array" ref="J65">IFERROR(
  VALUE($I65) *
  VALUE(
    _xlfn.XLOOKUP(
      TRIM($G65) &amp; "|" &amp; LEFT(SUBSTITUTE($H65,CHAR(160)," "),5) &amp; "|Full Rate",
      TRIM(SUBSTITUTE($N$2:$N$206,CHAR(160)," ")) &amp; "|" &amp;
      LEFT(SUBSTITUTE($O$2:$O$206,CHAR(160)," "),5) &amp; "|" &amp;
      TRIM(SUBSTITUTE($P$2:$P$206,CHAR(160)," ")),
      $Q$2:$Q$206
    )
  ),
"")</f>
        <v>300</v>
      </c>
      <c r="K65" s="52" cm="1">
        <f t="array" ref="K65">IFERROR(
  VALUE($I65) *
  VALUE(
    _xlfn.XLOOKUP(
      TRIM($G65) &amp; "|" &amp; LEFT(SUBSTITUTE($H65,CHAR(160)," "),5) &amp; "|Reduced Rate",
      TRIM(SUBSTITUTE($N$2:$N$206,CHAR(160)," ")) &amp; "|" &amp;
      LEFT(SUBSTITUTE($O$2:$O$206,CHAR(160)," "),5) &amp; "|" &amp;
      TRIM(SUBSTITUTE($P$2:$P$206,CHAR(160)," ")),
      $Q$2:$Q$206
    )
  ),
"")</f>
        <v>150</v>
      </c>
      <c r="L65" s="32" cm="1">
        <f t="array" ref="L65">IFERROR(
  VALUE($I65) *
  VALUE(
    _xlfn.XLOOKUP(
      TRIM($G65) &amp; "|" &amp; LEFT(SUBSTITUTE($H65,CHAR(160)," "),5) &amp; "|Ideas Rate",
      TRIM(SUBSTITUTE($N$2:$N$206,CHAR(160)," ")) &amp; "|" &amp;
      LEFT(SUBSTITUTE($O$2:$O$206,CHAR(160)," "),5) &amp; "|" &amp;
      TRIM(SUBSTITUTE($P$2:$P$206,CHAR(160)," ")),
      $Q$2:$Q$206
    )
  ),
"")</f>
        <v>90</v>
      </c>
    </row>
    <row r="66" spans="1:12" x14ac:dyDescent="0.2">
      <c r="A66" s="10">
        <v>45954</v>
      </c>
      <c r="B66" s="5" t="s">
        <v>325</v>
      </c>
      <c r="C66" t="s">
        <v>124</v>
      </c>
      <c r="E66" t="s">
        <v>178</v>
      </c>
      <c r="F66" t="s">
        <v>408</v>
      </c>
      <c r="G66" s="17" t="s">
        <v>9</v>
      </c>
      <c r="H66" t="s">
        <v>367</v>
      </c>
      <c r="I66" s="36">
        <v>1.25</v>
      </c>
      <c r="J66" s="52" cm="1">
        <f t="array" ref="J66">IFERROR(
  VALUE($I66) *
  VALUE(
    _xlfn.XLOOKUP(
      TRIM($G66) &amp; "|" &amp; LEFT(SUBSTITUTE($H66,CHAR(160)," "),5) &amp; "|Full Rate",
      TRIM(SUBSTITUTE($N$2:$N$206,CHAR(160)," ")) &amp; "|" &amp;
      LEFT(SUBSTITUTE($O$2:$O$206,CHAR(160)," "),5) &amp; "|" &amp;
      TRIM(SUBSTITUTE($P$2:$P$206,CHAR(160)," ")),
      $Q$2:$Q$206
    )
  ),
"")</f>
        <v>625</v>
      </c>
      <c r="K66" s="52" cm="1">
        <f t="array" ref="K66">IFERROR(
  VALUE($I66) *
  VALUE(
    _xlfn.XLOOKUP(
      TRIM($G66) &amp; "|" &amp; LEFT(SUBSTITUTE($H66,CHAR(160)," "),5) &amp; "|Reduced Rate",
      TRIM(SUBSTITUTE($N$2:$N$206,CHAR(160)," ")) &amp; "|" &amp;
      LEFT(SUBSTITUTE($O$2:$O$206,CHAR(160)," "),5) &amp; "|" &amp;
      TRIM(SUBSTITUTE($P$2:$P$206,CHAR(160)," ")),
      $Q$2:$Q$206
    )
  ),
"")</f>
        <v>375</v>
      </c>
      <c r="L66" s="32" cm="1">
        <f t="array" ref="L66">IFERROR(
  VALUE($I66) *
  VALUE(
    _xlfn.XLOOKUP(
      TRIM($G66) &amp; "|" &amp; LEFT(SUBSTITUTE($H66,CHAR(160)," "),5) &amp; "|Ideas Rate",
      TRIM(SUBSTITUTE($N$2:$N$206,CHAR(160)," ")) &amp; "|" &amp;
      LEFT(SUBSTITUTE($O$2:$O$206,CHAR(160)," "),5) &amp; "|" &amp;
      TRIM(SUBSTITUTE($P$2:$P$206,CHAR(160)," ")),
      $Q$2:$Q$206
    )
  ),
"")</f>
        <v>187.5</v>
      </c>
    </row>
    <row r="67" spans="1:12" x14ac:dyDescent="0.2">
      <c r="A67" s="10">
        <v>45954</v>
      </c>
      <c r="B67" s="5" t="s">
        <v>325</v>
      </c>
      <c r="C67" t="s">
        <v>124</v>
      </c>
      <c r="E67" t="s">
        <v>29</v>
      </c>
      <c r="F67" t="s">
        <v>409</v>
      </c>
      <c r="G67" s="17" t="s">
        <v>9</v>
      </c>
      <c r="H67" t="s">
        <v>367</v>
      </c>
      <c r="I67" s="36">
        <v>1</v>
      </c>
      <c r="J67" s="52" cm="1">
        <f t="array" ref="J67">IFERROR(
  VALUE($I67) *
  VALUE(
    _xlfn.XLOOKUP(
      TRIM($G67) &amp; "|" &amp; LEFT(SUBSTITUTE($H67,CHAR(160)," "),5) &amp; "|Full Rate",
      TRIM(SUBSTITUTE($N$2:$N$206,CHAR(160)," ")) &amp; "|" &amp;
      LEFT(SUBSTITUTE($O$2:$O$206,CHAR(160)," "),5) &amp; "|" &amp;
      TRIM(SUBSTITUTE($P$2:$P$206,CHAR(160)," ")),
      $Q$2:$Q$206
    )
  ),
"")</f>
        <v>500</v>
      </c>
      <c r="K67" s="52" cm="1">
        <f t="array" ref="K67">IFERROR(
  VALUE($I67) *
  VALUE(
    _xlfn.XLOOKUP(
      TRIM($G67) &amp; "|" &amp; LEFT(SUBSTITUTE($H67,CHAR(160)," "),5) &amp; "|Reduced Rate",
      TRIM(SUBSTITUTE($N$2:$N$206,CHAR(160)," ")) &amp; "|" &amp;
      LEFT(SUBSTITUTE($O$2:$O$206,CHAR(160)," "),5) &amp; "|" &amp;
      TRIM(SUBSTITUTE($P$2:$P$206,CHAR(160)," ")),
      $Q$2:$Q$206
    )
  ),
"")</f>
        <v>300</v>
      </c>
      <c r="L67" s="32" cm="1">
        <f t="array" ref="L67">IFERROR(
  VALUE($I67) *
  VALUE(
    _xlfn.XLOOKUP(
      TRIM($G67) &amp; "|" &amp; LEFT(SUBSTITUTE($H67,CHAR(160)," "),5) &amp; "|Ideas Rate",
      TRIM(SUBSTITUTE($N$2:$N$206,CHAR(160)," ")) &amp; "|" &amp;
      LEFT(SUBSTITUTE($O$2:$O$206,CHAR(160)," "),5) &amp; "|" &amp;
      TRIM(SUBSTITUTE($P$2:$P$206,CHAR(160)," ")),
      $Q$2:$Q$206
    )
  ),
"")</f>
        <v>150</v>
      </c>
    </row>
    <row r="68" spans="1:12" x14ac:dyDescent="0.2">
      <c r="A68" s="10">
        <v>45957</v>
      </c>
      <c r="B68" s="5" t="s">
        <v>325</v>
      </c>
      <c r="C68" t="s">
        <v>124</v>
      </c>
      <c r="E68" t="s">
        <v>178</v>
      </c>
      <c r="F68" t="s">
        <v>410</v>
      </c>
      <c r="G68" s="17" t="s">
        <v>9</v>
      </c>
      <c r="H68" t="s">
        <v>367</v>
      </c>
      <c r="I68" s="36">
        <v>1</v>
      </c>
      <c r="J68" s="52" cm="1">
        <f t="array" ref="J68">IFERROR(
  VALUE($I68) *
  VALUE(
    _xlfn.XLOOKUP(
      TRIM($G68) &amp; "|" &amp; LEFT(SUBSTITUTE($H68,CHAR(160)," "),5) &amp; "|Full Rate",
      TRIM(SUBSTITUTE($N$2:$N$206,CHAR(160)," ")) &amp; "|" &amp;
      LEFT(SUBSTITUTE($O$2:$O$206,CHAR(160)," "),5) &amp; "|" &amp;
      TRIM(SUBSTITUTE($P$2:$P$206,CHAR(160)," ")),
      $Q$2:$Q$206
    )
  ),
"")</f>
        <v>500</v>
      </c>
      <c r="K68" s="52" cm="1">
        <f t="array" ref="K68">IFERROR(
  VALUE($I68) *
  VALUE(
    _xlfn.XLOOKUP(
      TRIM($G68) &amp; "|" &amp; LEFT(SUBSTITUTE($H68,CHAR(160)," "),5) &amp; "|Reduced Rate",
      TRIM(SUBSTITUTE($N$2:$N$206,CHAR(160)," ")) &amp; "|" &amp;
      LEFT(SUBSTITUTE($O$2:$O$206,CHAR(160)," "),5) &amp; "|" &amp;
      TRIM(SUBSTITUTE($P$2:$P$206,CHAR(160)," ")),
      $Q$2:$Q$206
    )
  ),
"")</f>
        <v>300</v>
      </c>
      <c r="L68" s="32" cm="1">
        <f t="array" ref="L68">IFERROR(
  VALUE($I68) *
  VALUE(
    _xlfn.XLOOKUP(
      TRIM($G68) &amp; "|" &amp; LEFT(SUBSTITUTE($H68,CHAR(160)," "),5) &amp; "|Ideas Rate",
      TRIM(SUBSTITUTE($N$2:$N$206,CHAR(160)," ")) &amp; "|" &amp;
      LEFT(SUBSTITUTE($O$2:$O$206,CHAR(160)," "),5) &amp; "|" &amp;
      TRIM(SUBSTITUTE($P$2:$P$206,CHAR(160)," ")),
      $Q$2:$Q$206
    )
  ),
"")</f>
        <v>150</v>
      </c>
    </row>
    <row r="69" spans="1:12" x14ac:dyDescent="0.2">
      <c r="A69" s="10">
        <v>45957</v>
      </c>
      <c r="B69" s="5" t="s">
        <v>325</v>
      </c>
      <c r="C69" t="s">
        <v>124</v>
      </c>
      <c r="E69" t="s">
        <v>29</v>
      </c>
      <c r="F69" t="s">
        <v>409</v>
      </c>
      <c r="I69" s="36">
        <v>0.75</v>
      </c>
      <c r="J69" s="52" t="str" cm="1">
        <f t="array" ref="J69">IFERROR(
  VALUE($I69) *
  VALUE(
    _xlfn.XLOOKUP(
      TRIM($G69) &amp; "|" &amp; LEFT(SUBSTITUTE($H69,CHAR(160)," "),5) &amp; "|Full Rate",
      TRIM(SUBSTITUTE($N$2:$N$206,CHAR(160)," ")) &amp; "|" &amp;
      LEFT(SUBSTITUTE($O$2:$O$206,CHAR(160)," "),5) &amp; "|" &amp;
      TRIM(SUBSTITUTE($P$2:$P$206,CHAR(160)," ")),
      $Q$2:$Q$206
    )
  ),
"")</f>
        <v/>
      </c>
      <c r="K69" s="52" t="str" cm="1">
        <f t="array" ref="K69">IFERROR(
  VALUE($I69) *
  VALUE(
    _xlfn.XLOOKUP(
      TRIM($G69) &amp; "|" &amp; LEFT(SUBSTITUTE($H69,CHAR(160)," "),5) &amp; "|Reduced Rate",
      TRIM(SUBSTITUTE($N$2:$N$206,CHAR(160)," ")) &amp; "|" &amp;
      LEFT(SUBSTITUTE($O$2:$O$206,CHAR(160)," "),5) &amp; "|" &amp;
      TRIM(SUBSTITUTE($P$2:$P$206,CHAR(160)," ")),
      $Q$2:$Q$206
    )
  ),
"")</f>
        <v/>
      </c>
      <c r="L69" s="32" t="str" cm="1">
        <f t="array" ref="L69">IFERROR(
  VALUE($I69) *
  VALUE(
    _xlfn.XLOOKUP(
      TRIM($G69) &amp; "|" &amp; LEFT(SUBSTITUTE($H69,CHAR(160)," "),5) &amp; "|Ideas Rate",
      TRIM(SUBSTITUTE($N$2:$N$206,CHAR(160)," ")) &amp; "|" &amp;
      LEFT(SUBSTITUTE($O$2:$O$206,CHAR(160)," "),5) &amp; "|" &amp;
      TRIM(SUBSTITUTE($P$2:$P$206,CHAR(160)," ")),
      $Q$2:$Q$206
    )
  ),
"")</f>
        <v/>
      </c>
    </row>
    <row r="70" spans="1:12" x14ac:dyDescent="0.2">
      <c r="A70" s="10">
        <v>45979</v>
      </c>
      <c r="B70" s="5" t="s">
        <v>437</v>
      </c>
      <c r="C70" t="s">
        <v>124</v>
      </c>
      <c r="E70" t="s">
        <v>620</v>
      </c>
      <c r="F70" t="s">
        <v>467</v>
      </c>
      <c r="J70" s="32">
        <v>108</v>
      </c>
      <c r="K70" s="52"/>
    </row>
    <row r="71" spans="1:12" x14ac:dyDescent="0.2">
      <c r="A71" s="10">
        <v>45980</v>
      </c>
      <c r="B71" s="5" t="s">
        <v>437</v>
      </c>
      <c r="C71" t="s">
        <v>124</v>
      </c>
      <c r="E71" t="s">
        <v>620</v>
      </c>
      <c r="F71" t="s">
        <v>468</v>
      </c>
      <c r="J71" s="32">
        <v>9.8000000000000007</v>
      </c>
      <c r="K71" s="52"/>
    </row>
    <row r="72" spans="1:12" x14ac:dyDescent="0.2">
      <c r="A72" s="10">
        <v>45980</v>
      </c>
      <c r="B72" s="5" t="s">
        <v>437</v>
      </c>
      <c r="C72" t="s">
        <v>124</v>
      </c>
      <c r="E72" t="s">
        <v>620</v>
      </c>
      <c r="F72" t="s">
        <v>469</v>
      </c>
      <c r="J72" s="32">
        <v>8</v>
      </c>
      <c r="K72" s="52"/>
    </row>
    <row r="73" spans="1:12" x14ac:dyDescent="0.2">
      <c r="A73" s="10">
        <v>45980</v>
      </c>
      <c r="B73" s="5" t="s">
        <v>437</v>
      </c>
      <c r="C73" t="s">
        <v>124</v>
      </c>
      <c r="E73" t="s">
        <v>620</v>
      </c>
      <c r="F73" t="s">
        <v>469</v>
      </c>
      <c r="J73" s="32">
        <v>8.02</v>
      </c>
      <c r="K73" s="52"/>
    </row>
    <row r="74" spans="1:12" x14ac:dyDescent="0.2">
      <c r="A74" s="10">
        <v>45980</v>
      </c>
      <c r="B74" s="5" t="s">
        <v>437</v>
      </c>
      <c r="C74" t="s">
        <v>124</v>
      </c>
      <c r="E74" t="s">
        <v>620</v>
      </c>
      <c r="F74" t="s">
        <v>470</v>
      </c>
      <c r="J74" s="32" t="s">
        <v>471</v>
      </c>
      <c r="K74" s="52"/>
    </row>
    <row r="75" spans="1:12" x14ac:dyDescent="0.2">
      <c r="A75" s="10">
        <v>45980</v>
      </c>
      <c r="B75" s="5" t="s">
        <v>437</v>
      </c>
      <c r="C75" t="s">
        <v>124</v>
      </c>
      <c r="E75" t="s">
        <v>620</v>
      </c>
      <c r="F75" t="s">
        <v>473</v>
      </c>
      <c r="J75" s="32" t="s">
        <v>472</v>
      </c>
      <c r="K75" s="52"/>
    </row>
    <row r="76" spans="1:12" s="146" customFormat="1" x14ac:dyDescent="0.2">
      <c r="A76" s="10">
        <v>45980</v>
      </c>
      <c r="B76" s="145" t="s">
        <v>437</v>
      </c>
      <c r="C76" t="s">
        <v>124</v>
      </c>
      <c r="F76" t="s">
        <v>474</v>
      </c>
      <c r="J76" s="32" t="s">
        <v>482</v>
      </c>
    </row>
    <row r="77" spans="1:12" s="146" customFormat="1" x14ac:dyDescent="0.2">
      <c r="A77" s="10"/>
      <c r="B77" s="145" t="s">
        <v>437</v>
      </c>
      <c r="C77" s="146" t="s">
        <v>124</v>
      </c>
      <c r="E77" s="146" t="s">
        <v>192</v>
      </c>
      <c r="F77" s="146" t="s">
        <v>570</v>
      </c>
      <c r="G77" s="146" t="s">
        <v>9</v>
      </c>
      <c r="H77" s="146" t="s">
        <v>367</v>
      </c>
      <c r="I77" s="147">
        <v>3</v>
      </c>
      <c r="J77" s="148" cm="1">
        <f t="array" ref="J77">IFERROR(
  VALUE($I77) *
  VALUE(
    _xlfn.XLOOKUP(
      TRIM($G77) &amp; "|" &amp; LEFT(SUBSTITUTE($H77,CHAR(160)," "),5) &amp; "|Full Rate",
      TRIM(SUBSTITUTE($N$2:$N$206,CHAR(160)," ")) &amp; "|" &amp;
      LEFT(SUBSTITUTE($O$2:$O$206,CHAR(160)," "),5) &amp; "|" &amp;
      TRIM(SUBSTITUTE($P$2:$P$206,CHAR(160)," ")),
      $Q$2:$Q$206
    )
  ),
"")</f>
        <v>1500</v>
      </c>
      <c r="K77" s="148" cm="1">
        <f t="array" ref="K77">IFERROR(
  VALUE($I77) *
  VALUE(
    _xlfn.XLOOKUP(
      TRIM($G77) &amp; "|" &amp; LEFT(SUBSTITUTE($H77,CHAR(160)," "),5) &amp; "|Reduced Rate",
      TRIM(SUBSTITUTE($N$2:$N$206,CHAR(160)," ")) &amp; "|" &amp;
      LEFT(SUBSTITUTE($O$2:$O$206,CHAR(160)," "),5) &amp; "|" &amp;
      TRIM(SUBSTITUTE($P$2:$P$206,CHAR(160)," ")),
      $Q$2:$Q$206
    )
  ),
"")</f>
        <v>900</v>
      </c>
      <c r="L77" s="149" cm="1">
        <f t="array" ref="L77">IFERROR(
  VALUE($I77) *
  VALUE(
    _xlfn.XLOOKUP(
      TRIM($G77) &amp; "|" &amp; LEFT(SUBSTITUTE($H77,CHAR(160)," "),5) &amp; "|Ideas Rate",
      TRIM(SUBSTITUTE($N$2:$N$206,CHAR(160)," ")) &amp; "|" &amp;
      LEFT(SUBSTITUTE($O$2:$O$206,CHAR(160)," "),5) &amp; "|" &amp;
      TRIM(SUBSTITUTE($P$2:$P$206,CHAR(160)," ")),
      $Q$2:$Q$206
    )
  ),
"")</f>
        <v>450</v>
      </c>
    </row>
    <row r="78" spans="1:12" s="146" customFormat="1" x14ac:dyDescent="0.2">
      <c r="A78" s="10"/>
      <c r="B78" s="145" t="s">
        <v>437</v>
      </c>
      <c r="C78" s="146" t="s">
        <v>124</v>
      </c>
      <c r="E78" s="146" t="s">
        <v>191</v>
      </c>
      <c r="F78" s="146" t="s">
        <v>569</v>
      </c>
      <c r="G78" s="146" t="s">
        <v>9</v>
      </c>
      <c r="H78" s="146" t="s">
        <v>367</v>
      </c>
      <c r="I78" s="147">
        <v>3</v>
      </c>
      <c r="J78" s="148" cm="1">
        <f t="array" ref="J78">IFERROR(
  VALUE($I78) *
  VALUE(
    _xlfn.XLOOKUP(
      TRIM($G78) &amp; "|" &amp; LEFT(SUBSTITUTE($H78,CHAR(160)," "),5) &amp; "|Full Rate",
      TRIM(SUBSTITUTE($N$2:$N$206,CHAR(160)," ")) &amp; "|" &amp;
      LEFT(SUBSTITUTE($O$2:$O$206,CHAR(160)," "),5) &amp; "|" &amp;
      TRIM(SUBSTITUTE($P$2:$P$206,CHAR(160)," ")),
      $Q$2:$Q$206
    )
  ),
"")</f>
        <v>1500</v>
      </c>
      <c r="K78" s="148" cm="1">
        <f t="array" ref="K78">IFERROR(
  VALUE($I78) *
  VALUE(
    _xlfn.XLOOKUP(
      TRIM($G78) &amp; "|" &amp; LEFT(SUBSTITUTE($H78,CHAR(160)," "),5) &amp; "|Reduced Rate",
      TRIM(SUBSTITUTE($N$2:$N$206,CHAR(160)," ")) &amp; "|" &amp;
      LEFT(SUBSTITUTE($O$2:$O$206,CHAR(160)," "),5) &amp; "|" &amp;
      TRIM(SUBSTITUTE($P$2:$P$206,CHAR(160)," ")),
      $Q$2:$Q$206
    )
  ),
"")</f>
        <v>900</v>
      </c>
      <c r="L78" s="149" cm="1">
        <f t="array" ref="L78">IFERROR(
  VALUE($I78) *
  VALUE(
    _xlfn.XLOOKUP(
      TRIM($G78) &amp; "|" &amp; LEFT(SUBSTITUTE($H78,CHAR(160)," "),5) &amp; "|Ideas Rate",
      TRIM(SUBSTITUTE($N$2:$N$206,CHAR(160)," ")) &amp; "|" &amp;
      LEFT(SUBSTITUTE($O$2:$O$206,CHAR(160)," "),5) &amp; "|" &amp;
      TRIM(SUBSTITUTE($P$2:$P$206,CHAR(160)," ")),
      $Q$2:$Q$206
    )
  ),
"")</f>
        <v>450</v>
      </c>
    </row>
    <row r="79" spans="1:12" x14ac:dyDescent="0.2">
      <c r="A79" s="10"/>
      <c r="B79" s="145" t="s">
        <v>595</v>
      </c>
      <c r="C79" t="s">
        <v>124</v>
      </c>
      <c r="E79" t="s">
        <v>178</v>
      </c>
      <c r="F79" s="146" t="s">
        <v>596</v>
      </c>
      <c r="G79" s="146" t="s">
        <v>10</v>
      </c>
      <c r="H79" t="s">
        <v>367</v>
      </c>
      <c r="I79" s="22">
        <v>4</v>
      </c>
      <c r="J79" s="148" cm="1">
        <f t="array" ref="J79">IFERROR(
  VALUE($I79) *
  VALUE(
    _xlfn.XLOOKUP(
      TRIM($G79) &amp; "|" &amp; LEFT(SUBSTITUTE($H79,CHAR(160)," "),5) &amp; "|Full Rate",
      TRIM(SUBSTITUTE($N$2:$N$206,CHAR(160)," ")) &amp; "|" &amp;
      LEFT(SUBSTITUTE($O$2:$O$206,CHAR(160)," "),5) &amp; "|" &amp;
      TRIM(SUBSTITUTE($P$2:$P$206,CHAR(160)," ")),
      $Q$2:$Q$206
    )
  ),
"")</f>
        <v>2000</v>
      </c>
      <c r="K79" s="148" cm="1">
        <f t="array" ref="K79">IFERROR(
  VALUE($I79) *
  VALUE(
    _xlfn.XLOOKUP(
      TRIM($G79) &amp; "|" &amp; LEFT(SUBSTITUTE($H79,CHAR(160)," "),5) &amp; "|Reduced Rate",
      TRIM(SUBSTITUTE($N$2:$N$206,CHAR(160)," ")) &amp; "|" &amp;
      LEFT(SUBSTITUTE($O$2:$O$206,CHAR(160)," "),5) &amp; "|" &amp;
      TRIM(SUBSTITUTE($P$2:$P$206,CHAR(160)," ")),
      $Q$2:$Q$206
    )
  ),
"")</f>
        <v>1200</v>
      </c>
      <c r="L79" s="149" cm="1">
        <f t="array" ref="L79">IFERROR(
  VALUE($I79) *
  VALUE(
    _xlfn.XLOOKUP(
      TRIM($G79) &amp; "|" &amp; LEFT(SUBSTITUTE($H79,CHAR(160)," "),5) &amp; "|Ideas Rate",
      TRIM(SUBSTITUTE($N$2:$N$206,CHAR(160)," ")) &amp; "|" &amp;
      LEFT(SUBSTITUTE($O$2:$O$206,CHAR(160)," "),5) &amp; "|" &amp;
      TRIM(SUBSTITUTE($P$2:$P$206,CHAR(160)," ")),
      $Q$2:$Q$206
    )
  ),
"")</f>
        <v>600</v>
      </c>
    </row>
    <row r="80" spans="1:12" x14ac:dyDescent="0.2">
      <c r="A80" s="10">
        <v>46080</v>
      </c>
      <c r="B80" s="5" t="s">
        <v>564</v>
      </c>
      <c r="C80" t="s">
        <v>124</v>
      </c>
      <c r="E80" t="s">
        <v>190</v>
      </c>
      <c r="F80" s="146" t="s">
        <v>730</v>
      </c>
      <c r="G80" t="s">
        <v>10</v>
      </c>
      <c r="H80" t="s">
        <v>367</v>
      </c>
      <c r="I80" s="22">
        <v>10</v>
      </c>
      <c r="J80" s="52" cm="1">
        <f t="array" ref="J80">IFERROR(
  VALUE($I80) *
  VALUE(
    _xlfn.XLOOKUP(
      TRIM($G80) &amp; "|" &amp; LEFT(SUBSTITUTE($H80,CHAR(160)," "),5) &amp; "|Full Rate",
      TRIM(SUBSTITUTE($N$2:$N$206,CHAR(160)," ")) &amp; "|" &amp;
      LEFT(SUBSTITUTE($O$2:$O$206,CHAR(160)," "),5) &amp; "|" &amp;
      TRIM(SUBSTITUTE($P$2:$P$206,CHAR(160)," ")),
      $Q$2:$Q$206
    )
  ),
"")</f>
        <v>5000</v>
      </c>
      <c r="K80" s="52" cm="1">
        <f t="array" ref="K80">IFERROR(
  VALUE($I80) *
  VALUE(
    _xlfn.XLOOKUP(
      TRIM($G80) &amp; "|" &amp; LEFT(SUBSTITUTE($H80,CHAR(160)," "),5) &amp; "|Reduced Rate",
      TRIM(SUBSTITUTE($N$2:$N$206,CHAR(160)," ")) &amp; "|" &amp;
      LEFT(SUBSTITUTE($O$2:$O$206,CHAR(160)," "),5) &amp; "|" &amp;
      TRIM(SUBSTITUTE($P$2:$P$206,CHAR(160)," ")),
      $Q$2:$Q$206
    )
  ),
"")</f>
        <v>3000</v>
      </c>
      <c r="L80" s="32" cm="1">
        <f t="array" ref="L80">IFERROR(
  VALUE($I80) *
  VALUE(
    _xlfn.XLOOKUP(
      TRIM($G80) &amp; "|" &amp; LEFT(SUBSTITUTE($H80,CHAR(160)," "),5) &amp; "|Ideas Rate",
      TRIM(SUBSTITUTE($N$2:$N$206,CHAR(160)," ")) &amp; "|" &amp;
      LEFT(SUBSTITUTE($O$2:$O$206,CHAR(160)," "),5) &amp; "|" &amp;
      TRIM(SUBSTITUTE($P$2:$P$206,CHAR(160)," ")),
      $Q$2:$Q$206
    )
  ),
"")</f>
        <v>1500</v>
      </c>
    </row>
    <row r="81" spans="1:12" x14ac:dyDescent="0.2">
      <c r="A81" s="10">
        <v>46084</v>
      </c>
      <c r="B81" s="5" t="s">
        <v>714</v>
      </c>
      <c r="C81" t="s">
        <v>124</v>
      </c>
      <c r="E81" t="s">
        <v>190</v>
      </c>
      <c r="F81" s="146" t="s">
        <v>730</v>
      </c>
      <c r="G81" t="s">
        <v>10</v>
      </c>
      <c r="H81" t="s">
        <v>367</v>
      </c>
      <c r="I81" s="22">
        <v>5</v>
      </c>
      <c r="J81" s="52" cm="1">
        <f t="array" ref="J81">IFERROR(
  VALUE($I81) *
  VALUE(
    _xlfn.XLOOKUP(
      TRIM($G81) &amp; "|" &amp; LEFT(SUBSTITUTE($H81,CHAR(160)," "),5) &amp; "|Full Rate",
      TRIM(SUBSTITUTE($N$2:$N$206,CHAR(160)," ")) &amp; "|" &amp;
      LEFT(SUBSTITUTE($O$2:$O$206,CHAR(160)," "),5) &amp; "|" &amp;
      TRIM(SUBSTITUTE($P$2:$P$206,CHAR(160)," ")),
      $Q$2:$Q$206
    )
  ),
"")</f>
        <v>2500</v>
      </c>
      <c r="K81" s="52" cm="1">
        <f t="array" ref="K81">IFERROR(
  VALUE($I81) *
  VALUE(
    _xlfn.XLOOKUP(
      TRIM($G81) &amp; "|" &amp; LEFT(SUBSTITUTE($H81,CHAR(160)," "),5) &amp; "|Reduced Rate",
      TRIM(SUBSTITUTE($N$2:$N$206,CHAR(160)," ")) &amp; "|" &amp;
      LEFT(SUBSTITUTE($O$2:$O$206,CHAR(160)," "),5) &amp; "|" &amp;
      TRIM(SUBSTITUTE($P$2:$P$206,CHAR(160)," ")),
      $Q$2:$Q$206
    )
  ),
"")</f>
        <v>1500</v>
      </c>
      <c r="L81" s="32" cm="1">
        <f t="array" ref="L81">IFERROR(
  VALUE($I81) *
  VALUE(
    _xlfn.XLOOKUP(
      TRIM($G81) &amp; "|" &amp; LEFT(SUBSTITUTE($H81,CHAR(160)," "),5) &amp; "|Ideas Rate",
      TRIM(SUBSTITUTE($N$2:$N$206,CHAR(160)," ")) &amp; "|" &amp;
      LEFT(SUBSTITUTE($O$2:$O$206,CHAR(160)," "),5) &amp; "|" &amp;
      TRIM(SUBSTITUTE($P$2:$P$206,CHAR(160)," ")),
      $Q$2:$Q$206
    )
  ),
"")</f>
        <v>750</v>
      </c>
    </row>
    <row r="82" spans="1:12" x14ac:dyDescent="0.2">
      <c r="A82" s="10"/>
      <c r="B82" s="145" t="s">
        <v>595</v>
      </c>
      <c r="C82" t="s">
        <v>124</v>
      </c>
      <c r="E82" t="s">
        <v>178</v>
      </c>
      <c r="F82" s="146" t="s">
        <v>731</v>
      </c>
      <c r="G82" s="146" t="s">
        <v>9</v>
      </c>
      <c r="H82" t="s">
        <v>367</v>
      </c>
      <c r="I82" s="22">
        <v>20</v>
      </c>
      <c r="J82" s="52" cm="1">
        <f t="array" ref="J82">IFERROR(
  VALUE($I82) *
  VALUE(
    _xlfn.XLOOKUP(
      TRIM($G82) &amp; "|" &amp; LEFT(SUBSTITUTE($H82,CHAR(160)," "),5) &amp; "|Full Rate",
      TRIM(SUBSTITUTE($N$2:$N$206,CHAR(160)," ")) &amp; "|" &amp;
      LEFT(SUBSTITUTE($O$2:$O$206,CHAR(160)," "),5) &amp; "|" &amp;
      TRIM(SUBSTITUTE($P$2:$P$206,CHAR(160)," ")),
      $Q$2:$Q$206
    )
  ),
"")</f>
        <v>10000</v>
      </c>
      <c r="K82" s="52" cm="1">
        <f t="array" ref="K82">IFERROR(
  VALUE($I82) *
  VALUE(
    _xlfn.XLOOKUP(
      TRIM($G82) &amp; "|" &amp; LEFT(SUBSTITUTE($H82,CHAR(160)," "),5) &amp; "|Reduced Rate",
      TRIM(SUBSTITUTE($N$2:$N$206,CHAR(160)," ")) &amp; "|" &amp;
      LEFT(SUBSTITUTE($O$2:$O$206,CHAR(160)," "),5) &amp; "|" &amp;
      TRIM(SUBSTITUTE($P$2:$P$206,CHAR(160)," ")),
      $Q$2:$Q$206
    )
  ),
"")</f>
        <v>6000</v>
      </c>
      <c r="L82" s="32" cm="1">
        <f t="array" ref="L82">IFERROR(
  VALUE($I82) *
  VALUE(
    _xlfn.XLOOKUP(
      TRIM($G82) &amp; "|" &amp; LEFT(SUBSTITUTE($H82,CHAR(160)," "),5) &amp; "|Ideas Rate",
      TRIM(SUBSTITUTE($N$2:$N$206,CHAR(160)," ")) &amp; "|" &amp;
      LEFT(SUBSTITUTE($O$2:$O$206,CHAR(160)," "),5) &amp; "|" &amp;
      TRIM(SUBSTITUTE($P$2:$P$206,CHAR(160)," ")),
      $Q$2:$Q$206
    )
  ),
"")</f>
        <v>3000</v>
      </c>
    </row>
    <row r="83" spans="1:12" x14ac:dyDescent="0.2">
      <c r="A83" s="10">
        <v>46125</v>
      </c>
      <c r="B83" s="145" t="s">
        <v>787</v>
      </c>
      <c r="C83" t="s">
        <v>124</v>
      </c>
      <c r="E83" t="s">
        <v>190</v>
      </c>
      <c r="F83" s="146" t="s">
        <v>822</v>
      </c>
      <c r="G83" t="s">
        <v>10</v>
      </c>
      <c r="H83" t="s">
        <v>367</v>
      </c>
      <c r="I83" s="22">
        <v>2</v>
      </c>
      <c r="J83" s="52" cm="1">
        <f t="array" ref="J83">IFERROR(
  VALUE($I83) *
  VALUE(
    _xlfn.XLOOKUP(
      TRIM($G83) &amp; "|" &amp; LEFT(SUBSTITUTE($H83,CHAR(160)," "),5) &amp; "|Full Rate",
      TRIM(SUBSTITUTE($N$2:$N$206,CHAR(160)," ")) &amp; "|" &amp;
      LEFT(SUBSTITUTE($O$2:$O$206,CHAR(160)," "),5) &amp; "|" &amp;
      TRIM(SUBSTITUTE($P$2:$P$206,CHAR(160)," ")),
      $Q$2:$Q$206
    )
  ),
"")</f>
        <v>1000</v>
      </c>
      <c r="K83" s="52" cm="1">
        <f t="array" ref="K83">IFERROR(
  VALUE($I83) *
  VALUE(
    _xlfn.XLOOKUP(
      TRIM($G83) &amp; "|" &amp; LEFT(SUBSTITUTE($H83,CHAR(160)," "),5) &amp; "|Reduced Rate",
      TRIM(SUBSTITUTE($N$2:$N$206,CHAR(160)," ")) &amp; "|" &amp;
      LEFT(SUBSTITUTE($O$2:$O$206,CHAR(160)," "),5) &amp; "|" &amp;
      TRIM(SUBSTITUTE($P$2:$P$206,CHAR(160)," ")),
      $Q$2:$Q$206
    )
  ),
"")</f>
        <v>600</v>
      </c>
      <c r="L83" s="32" cm="1">
        <f t="array" ref="L83">IFERROR(
  VALUE($I83) *
  VALUE(
    _xlfn.XLOOKUP(
      TRIM($G83) &amp; "|" &amp; LEFT(SUBSTITUTE($H83,CHAR(160)," "),5) &amp; "|Ideas Rate",
      TRIM(SUBSTITUTE($N$2:$N$206,CHAR(160)," ")) &amp; "|" &amp;
      LEFT(SUBSTITUTE($O$2:$O$206,CHAR(160)," "),5) &amp; "|" &amp;
      TRIM(SUBSTITUTE($P$2:$P$206,CHAR(160)," ")),
      $Q$2:$Q$206
    )
  ),
"")</f>
        <v>300</v>
      </c>
    </row>
    <row r="84" spans="1:12" x14ac:dyDescent="0.2">
      <c r="A84" s="10">
        <v>46127</v>
      </c>
      <c r="B84" s="5" t="s">
        <v>787</v>
      </c>
      <c r="C84" t="s">
        <v>124</v>
      </c>
      <c r="E84" t="s">
        <v>187</v>
      </c>
      <c r="F84" t="s">
        <v>13</v>
      </c>
      <c r="G84" t="s">
        <v>156</v>
      </c>
      <c r="H84" t="s">
        <v>367</v>
      </c>
      <c r="I84" s="22">
        <v>3.5</v>
      </c>
      <c r="J84" s="52" cm="1">
        <f t="array" ref="J84">IFERROR(
  VALUE($I84) *
  VALUE(
    _xlfn.XLOOKUP(
      TRIM($G84) &amp; "|" &amp; LEFT(SUBSTITUTE($H84,CHAR(160)," "),5) &amp; "|Full Rate",
      TRIM(SUBSTITUTE($N$2:$N$206,CHAR(160)," ")) &amp; "|" &amp;
      LEFT(SUBSTITUTE($O$2:$O$206,CHAR(160)," "),5) &amp; "|" &amp;
      TRIM(SUBSTITUTE($P$2:$P$206,CHAR(160)," ")),
      $Q$2:$Q$206
    )
  ),
"")</f>
        <v>1137.5</v>
      </c>
      <c r="K84" s="52" cm="1">
        <f t="array" ref="K84">IFERROR(
  VALUE($I84) *
  VALUE(
    _xlfn.XLOOKUP(
      TRIM($G84) &amp; "|" &amp; LEFT(SUBSTITUTE($H84,CHAR(160)," "),5) &amp; "|Reduced Rate",
      TRIM(SUBSTITUTE($N$2:$N$206,CHAR(160)," ")) &amp; "|" &amp;
      LEFT(SUBSTITUTE($O$2:$O$206,CHAR(160)," "),5) &amp; "|" &amp;
      TRIM(SUBSTITUTE($P$2:$P$206,CHAR(160)," ")),
      $Q$2:$Q$206
    )
  ),
"")</f>
        <v>612.5</v>
      </c>
      <c r="L84" s="32" cm="1">
        <f t="array" ref="L84">IFERROR(
  VALUE($I84) *
  VALUE(
    _xlfn.XLOOKUP(
      TRIM($G84) &amp; "|" &amp; LEFT(SUBSTITUTE($H84,CHAR(160)," "),5) &amp; "|Ideas Rate",
      TRIM(SUBSTITUTE($N$2:$N$206,CHAR(160)," ")) &amp; "|" &amp;
      LEFT(SUBSTITUTE($O$2:$O$206,CHAR(160)," "),5) &amp; "|" &amp;
      TRIM(SUBSTITUTE($P$2:$P$206,CHAR(160)," ")),
      $Q$2:$Q$206
    )
  ),
"")</f>
        <v>332.5</v>
      </c>
    </row>
    <row r="85" spans="1:12" x14ac:dyDescent="0.2">
      <c r="A85" s="10"/>
      <c r="B85" s="145" t="s">
        <v>787</v>
      </c>
      <c r="J85" s="52" t="str" cm="1">
        <f t="array" ref="J85">IFERROR(
  VALUE($I85) *
  VALUE(
    _xlfn.XLOOKUP(
      TRIM($G85) &amp; "|" &amp; LEFT(SUBSTITUTE($H85,CHAR(160)," "),5) &amp; "|Full Rate",
      TRIM(SUBSTITUTE($N$2:$N$206,CHAR(160)," ")) &amp; "|" &amp;
      LEFT(SUBSTITUTE($O$2:$O$206,CHAR(160)," "),5) &amp; "|" &amp;
      TRIM(SUBSTITUTE($P$2:$P$206,CHAR(160)," ")),
      $Q$2:$Q$206
    )
  ),
"")</f>
        <v/>
      </c>
      <c r="K85" s="52" t="str" cm="1">
        <f t="array" ref="K85">IFERROR(
  VALUE($I85) *
  VALUE(
    _xlfn.XLOOKUP(
      TRIM($G85) &amp; "|" &amp; LEFT(SUBSTITUTE($H85,CHAR(160)," "),5) &amp; "|Reduced Rate",
      TRIM(SUBSTITUTE($N$2:$N$206,CHAR(160)," ")) &amp; "|" &amp;
      LEFT(SUBSTITUTE($O$2:$O$206,CHAR(160)," "),5) &amp; "|" &amp;
      TRIM(SUBSTITUTE($P$2:$P$206,CHAR(160)," ")),
      $Q$2:$Q$206
    )
  ),
"")</f>
        <v/>
      </c>
      <c r="L85" s="32" t="str" cm="1">
        <f t="array" ref="L85">IFERROR(
  VALUE($I85) *
  VALUE(
    _xlfn.XLOOKUP(
      TRIM($G85) &amp; "|" &amp; LEFT(SUBSTITUTE($H85,CHAR(160)," "),5) &amp; "|Ideas Rate",
      TRIM(SUBSTITUTE($N$2:$N$206,CHAR(160)," ")) &amp; "|" &amp;
      LEFT(SUBSTITUTE($O$2:$O$206,CHAR(160)," "),5) &amp; "|" &amp;
      TRIM(SUBSTITUTE($P$2:$P$206,CHAR(160)," ")),
      $Q$2:$Q$206
    )
  ),
"")</f>
        <v/>
      </c>
    </row>
    <row r="86" spans="1:12" x14ac:dyDescent="0.2">
      <c r="A86" s="10"/>
      <c r="B86" s="145" t="s">
        <v>787</v>
      </c>
      <c r="J86" s="52" t="str" cm="1">
        <f t="array" ref="J86">IFERROR(
  VALUE($I86) *
  VALUE(
    _xlfn.XLOOKUP(
      TRIM($G86) &amp; "|" &amp; LEFT(SUBSTITUTE($H86,CHAR(160)," "),5) &amp; "|Full Rate",
      TRIM(SUBSTITUTE($N$2:$N$206,CHAR(160)," ")) &amp; "|" &amp;
      LEFT(SUBSTITUTE($O$2:$O$206,CHAR(160)," "),5) &amp; "|" &amp;
      TRIM(SUBSTITUTE($P$2:$P$206,CHAR(160)," ")),
      $Q$2:$Q$206
    )
  ),
"")</f>
        <v/>
      </c>
      <c r="K86" s="52" t="str" cm="1">
        <f t="array" ref="K86">IFERROR(
  VALUE($I86) *
  VALUE(
    _xlfn.XLOOKUP(
      TRIM($G86) &amp; "|" &amp; LEFT(SUBSTITUTE($H86,CHAR(160)," "),5) &amp; "|Reduced Rate",
      TRIM(SUBSTITUTE($N$2:$N$206,CHAR(160)," ")) &amp; "|" &amp;
      LEFT(SUBSTITUTE($O$2:$O$206,CHAR(160)," "),5) &amp; "|" &amp;
      TRIM(SUBSTITUTE($P$2:$P$206,CHAR(160)," ")),
      $Q$2:$Q$206
    )
  ),
"")</f>
        <v/>
      </c>
      <c r="L86" s="32" t="str" cm="1">
        <f t="array" ref="L86">IFERROR(
  VALUE($I86) *
  VALUE(
    _xlfn.XLOOKUP(
      TRIM($G86) &amp; "|" &amp; LEFT(SUBSTITUTE($H86,CHAR(160)," "),5) &amp; "|Ideas Rate",
      TRIM(SUBSTITUTE($N$2:$N$206,CHAR(160)," ")) &amp; "|" &amp;
      LEFT(SUBSTITUTE($O$2:$O$206,CHAR(160)," "),5) &amp; "|" &amp;
      TRIM(SUBSTITUTE($P$2:$P$206,CHAR(160)," ")),
      $Q$2:$Q$206
    )
  ),
"")</f>
        <v/>
      </c>
    </row>
    <row r="87" spans="1:12" x14ac:dyDescent="0.2">
      <c r="A87" s="10"/>
      <c r="J87" s="52" t="str" cm="1">
        <f t="array" ref="J87">IFERROR(
  VALUE($I87) *
  VALUE(
    _xlfn.XLOOKUP(
      TRIM($G87) &amp; "|" &amp; LEFT(SUBSTITUTE($H87,CHAR(160)," "),5) &amp; "|Full Rate",
      TRIM(SUBSTITUTE($N$2:$N$206,CHAR(160)," ")) &amp; "|" &amp;
      LEFT(SUBSTITUTE($O$2:$O$206,CHAR(160)," "),5) &amp; "|" &amp;
      TRIM(SUBSTITUTE($P$2:$P$206,CHAR(160)," ")),
      $Q$2:$Q$206
    )
  ),
"")</f>
        <v/>
      </c>
      <c r="K87" s="52" t="str" cm="1">
        <f t="array" ref="K87">IFERROR(
  VALUE($I87) *
  VALUE(
    _xlfn.XLOOKUP(
      TRIM($G87) &amp; "|" &amp; LEFT(SUBSTITUTE($H87,CHAR(160)," "),5) &amp; "|Reduced Rate",
      TRIM(SUBSTITUTE($N$2:$N$206,CHAR(160)," ")) &amp; "|" &amp;
      LEFT(SUBSTITUTE($O$2:$O$206,CHAR(160)," "),5) &amp; "|" &amp;
      TRIM(SUBSTITUTE($P$2:$P$206,CHAR(160)," ")),
      $Q$2:$Q$206
    )
  ),
"")</f>
        <v/>
      </c>
      <c r="L87" s="32" t="str" cm="1">
        <f t="array" ref="L87">IFERROR(
  VALUE($I87) *
  VALUE(
    _xlfn.XLOOKUP(
      TRIM($G87) &amp; "|" &amp; LEFT(SUBSTITUTE($H87,CHAR(160)," "),5) &amp; "|Ideas Rate",
      TRIM(SUBSTITUTE($N$2:$N$206,CHAR(160)," ")) &amp; "|" &amp;
      LEFT(SUBSTITUTE($O$2:$O$206,CHAR(160)," "),5) &amp; "|" &amp;
      TRIM(SUBSTITUTE($P$2:$P$206,CHAR(160)," ")),
      $Q$2:$Q$206
    )
  ),
"")</f>
        <v/>
      </c>
    </row>
    <row r="88" spans="1:12" x14ac:dyDescent="0.2">
      <c r="A88" s="10"/>
      <c r="J88" s="52" t="str" cm="1">
        <f t="array" ref="J88">IFERROR(
  VALUE($I88) *
  VALUE(
    _xlfn.XLOOKUP(
      TRIM($G88) &amp; "|" &amp; LEFT(SUBSTITUTE($H88,CHAR(160)," "),5) &amp; "|Full Rate",
      TRIM(SUBSTITUTE($N$2:$N$206,CHAR(160)," ")) &amp; "|" &amp;
      LEFT(SUBSTITUTE($O$2:$O$206,CHAR(160)," "),5) &amp; "|" &amp;
      TRIM(SUBSTITUTE($P$2:$P$206,CHAR(160)," ")),
      $Q$2:$Q$206
    )
  ),
"")</f>
        <v/>
      </c>
      <c r="K88" s="52" t="str" cm="1">
        <f t="array" ref="K88">IFERROR(
  VALUE($I88) *
  VALUE(
    _xlfn.XLOOKUP(
      TRIM($G88) &amp; "|" &amp; LEFT(SUBSTITUTE($H88,CHAR(160)," "),5) &amp; "|Reduced Rate",
      TRIM(SUBSTITUTE($N$2:$N$206,CHAR(160)," ")) &amp; "|" &amp;
      LEFT(SUBSTITUTE($O$2:$O$206,CHAR(160)," "),5) &amp; "|" &amp;
      TRIM(SUBSTITUTE($P$2:$P$206,CHAR(160)," ")),
      $Q$2:$Q$206
    )
  ),
"")</f>
        <v/>
      </c>
      <c r="L88" s="32" t="str" cm="1">
        <f t="array" ref="L88">IFERROR(
  VALUE($I88) *
  VALUE(
    _xlfn.XLOOKUP(
      TRIM($G88) &amp; "|" &amp; LEFT(SUBSTITUTE($H88,CHAR(160)," "),5) &amp; "|Ideas Rate",
      TRIM(SUBSTITUTE($N$2:$N$206,CHAR(160)," ")) &amp; "|" &amp;
      LEFT(SUBSTITUTE($O$2:$O$206,CHAR(160)," "),5) &amp; "|" &amp;
      TRIM(SUBSTITUTE($P$2:$P$206,CHAR(160)," ")),
      $Q$2:$Q$206
    )
  ),
"")</f>
        <v/>
      </c>
    </row>
    <row r="89" spans="1:12" x14ac:dyDescent="0.2">
      <c r="A89" s="10"/>
      <c r="J89" s="52" t="str" cm="1">
        <f t="array" ref="J89">IFERROR(
  VALUE($I89) *
  VALUE(
    _xlfn.XLOOKUP(
      TRIM($G89) &amp; "|" &amp; LEFT(SUBSTITUTE($H89,CHAR(160)," "),5) &amp; "|Full Rate",
      TRIM(SUBSTITUTE($N$2:$N$206,CHAR(160)," ")) &amp; "|" &amp;
      LEFT(SUBSTITUTE($O$2:$O$206,CHAR(160)," "),5) &amp; "|" &amp;
      TRIM(SUBSTITUTE($P$2:$P$206,CHAR(160)," ")),
      $Q$2:$Q$206
    )
  ),
"")</f>
        <v/>
      </c>
      <c r="K89" s="52" t="str" cm="1">
        <f t="array" ref="K89">IFERROR(
  VALUE($I89) *
  VALUE(
    _xlfn.XLOOKUP(
      TRIM($G89) &amp; "|" &amp; LEFT(SUBSTITUTE($H89,CHAR(160)," "),5) &amp; "|Reduced Rate",
      TRIM(SUBSTITUTE($N$2:$N$206,CHAR(160)," ")) &amp; "|" &amp;
      LEFT(SUBSTITUTE($O$2:$O$206,CHAR(160)," "),5) &amp; "|" &amp;
      TRIM(SUBSTITUTE($P$2:$P$206,CHAR(160)," ")),
      $Q$2:$Q$206
    )
  ),
"")</f>
        <v/>
      </c>
      <c r="L89" s="32" t="str" cm="1">
        <f t="array" ref="L89">IFERROR(
  VALUE($I89) *
  VALUE(
    _xlfn.XLOOKUP(
      TRIM($G89) &amp; "|" &amp; LEFT(SUBSTITUTE($H89,CHAR(160)," "),5) &amp; "|Ideas Rate",
      TRIM(SUBSTITUTE($N$2:$N$206,CHAR(160)," ")) &amp; "|" &amp;
      LEFT(SUBSTITUTE($O$2:$O$206,CHAR(160)," "),5) &amp; "|" &amp;
      TRIM(SUBSTITUTE($P$2:$P$206,CHAR(160)," ")),
      $Q$2:$Q$206
    )
  ),
"")</f>
        <v/>
      </c>
    </row>
    <row r="90" spans="1:12" x14ac:dyDescent="0.2">
      <c r="A90" s="10"/>
      <c r="I90"/>
      <c r="J90"/>
      <c r="K90"/>
      <c r="L90"/>
    </row>
    <row r="91" spans="1:12" x14ac:dyDescent="0.2">
      <c r="A91" s="10"/>
      <c r="I91"/>
      <c r="J91"/>
      <c r="K91"/>
      <c r="L91"/>
    </row>
    <row r="92" spans="1:12" x14ac:dyDescent="0.2">
      <c r="I92"/>
      <c r="J92"/>
      <c r="K92"/>
      <c r="L92"/>
    </row>
    <row r="93" spans="1:12" x14ac:dyDescent="0.2">
      <c r="I93"/>
      <c r="J93"/>
      <c r="K93"/>
      <c r="L93"/>
    </row>
    <row r="94" spans="1:12" x14ac:dyDescent="0.2">
      <c r="I94"/>
      <c r="J94"/>
      <c r="K94"/>
      <c r="L94"/>
    </row>
    <row r="95" spans="1:12" x14ac:dyDescent="0.2">
      <c r="I95"/>
      <c r="J95"/>
      <c r="K95"/>
      <c r="L95"/>
    </row>
    <row r="96" spans="1:12" x14ac:dyDescent="0.2">
      <c r="I96"/>
      <c r="J96"/>
      <c r="K96"/>
      <c r="L96"/>
    </row>
    <row r="97" spans="2:12" x14ac:dyDescent="0.2">
      <c r="I97"/>
      <c r="J97"/>
      <c r="K97"/>
      <c r="L97"/>
    </row>
    <row r="98" spans="2:12" x14ac:dyDescent="0.2">
      <c r="I98"/>
      <c r="J98"/>
      <c r="K98"/>
      <c r="L98"/>
    </row>
    <row r="99" spans="2:12" x14ac:dyDescent="0.2">
      <c r="I99"/>
      <c r="J99"/>
      <c r="K99"/>
      <c r="L99"/>
    </row>
    <row r="100" spans="2:12" x14ac:dyDescent="0.2">
      <c r="I100"/>
      <c r="J100"/>
      <c r="K100"/>
      <c r="L100"/>
    </row>
    <row r="101" spans="2:12" x14ac:dyDescent="0.2">
      <c r="I101"/>
      <c r="J101"/>
      <c r="K101"/>
      <c r="L101"/>
    </row>
    <row r="102" spans="2:12" x14ac:dyDescent="0.2">
      <c r="I102"/>
      <c r="J102"/>
      <c r="K102"/>
      <c r="L102"/>
    </row>
    <row r="103" spans="2:12" x14ac:dyDescent="0.2">
      <c r="I103"/>
      <c r="J103"/>
      <c r="K103"/>
      <c r="L103"/>
    </row>
    <row r="104" spans="2:12" x14ac:dyDescent="0.2">
      <c r="I104"/>
      <c r="J104"/>
      <c r="K104"/>
      <c r="L104"/>
    </row>
    <row r="105" spans="2:12" x14ac:dyDescent="0.2">
      <c r="J105" s="52" t="str" cm="1">
        <f t="array" ref="J105">IFERROR(
  VALUE($I105) *
  VALUE(
    _xlfn.XLOOKUP(
      TRIM($G105) &amp; "|" &amp; LEFT(SUBSTITUTE($H105,CHAR(160)," "),5) &amp; "|Full Rate",
      TRIM(SUBSTITUTE($N$2:$N$206,CHAR(160)," ")) &amp; "|" &amp;
      LEFT(SUBSTITUTE($O$2:$O$206,CHAR(160)," "),5) &amp; "|" &amp;
      TRIM(SUBSTITUTE($P$2:$P$206,CHAR(160)," ")),
      $Q$2:$Q$206
    )
  ),
"")</f>
        <v/>
      </c>
      <c r="K105" s="52" t="str" cm="1">
        <f t="array" ref="K105">IFERROR(
  VALUE($I105) *
  VALUE(
    _xlfn.XLOOKUP(
      TRIM($G105) &amp; "|" &amp; LEFT(SUBSTITUTE($H105,CHAR(160)," "),5) &amp; "|Reduced Rate",
      TRIM(SUBSTITUTE($N$2:$N$206,CHAR(160)," ")) &amp; "|" &amp;
      LEFT(SUBSTITUTE($O$2:$O$206,CHAR(160)," "),5) &amp; "|" &amp;
      TRIM(SUBSTITUTE($P$2:$P$206,CHAR(160)," ")),
      $Q$2:$Q$206
    )
  ),
"")</f>
        <v/>
      </c>
      <c r="L105" s="32" t="str" cm="1">
        <f t="array" ref="L105">IFERROR(
  VALUE($I105) *
  VALUE(
    _xlfn.XLOOKUP(
      TRIM($G105) &amp; "|" &amp; LEFT(SUBSTITUTE($H105,CHAR(160)," "),5) &amp; "|Ideas Rate",
      TRIM(SUBSTITUTE($N$2:$N$206,CHAR(160)," ")) &amp; "|" &amp;
      LEFT(SUBSTITUTE($O$2:$O$206,CHAR(160)," "),5) &amp; "|" &amp;
      TRIM(SUBSTITUTE($P$2:$P$206,CHAR(160)," ")),
      $Q$2:$Q$206
    )
  ),
"")</f>
        <v/>
      </c>
    </row>
    <row r="106" spans="2:12" x14ac:dyDescent="0.2">
      <c r="B106" s="5"/>
      <c r="J106" s="52" t="str" cm="1">
        <f t="array" ref="J106">IFERROR(
  VALUE($I106) *
  VALUE(
    _xlfn.XLOOKUP(
      TRIM($G106) &amp; "|" &amp; LEFT(SUBSTITUTE($H106,CHAR(160)," "),5) &amp; "|Full Rate",
      TRIM(SUBSTITUTE($N$2:$N$206,CHAR(160)," ")) &amp; "|" &amp;
      LEFT(SUBSTITUTE($O$2:$O$206,CHAR(160)," "),5) &amp; "|" &amp;
      TRIM(SUBSTITUTE($P$2:$P$206,CHAR(160)," ")),
      $Q$2:$Q$206
    )
  ),
"")</f>
        <v/>
      </c>
      <c r="K106" s="52" t="str" cm="1">
        <f t="array" ref="K106">IFERROR(
  VALUE($I106) *
  VALUE(
    _xlfn.XLOOKUP(
      TRIM($G106) &amp; "|" &amp; LEFT(SUBSTITUTE($H106,CHAR(160)," "),5) &amp; "|Reduced Rate",
      TRIM(SUBSTITUTE($N$2:$N$206,CHAR(160)," ")) &amp; "|" &amp;
      LEFT(SUBSTITUTE($O$2:$O$206,CHAR(160)," "),5) &amp; "|" &amp;
      TRIM(SUBSTITUTE($P$2:$P$206,CHAR(160)," ")),
      $Q$2:$Q$206
    )
  ),
"")</f>
        <v/>
      </c>
      <c r="L106" s="32" t="str" cm="1">
        <f t="array" ref="L106">IFERROR(
  VALUE($I106) *
  VALUE(
    _xlfn.XLOOKUP(
      TRIM($G106) &amp; "|" &amp; LEFT(SUBSTITUTE($H106,CHAR(160)," "),5) &amp; "|Ideas Rate",
      TRIM(SUBSTITUTE($N$2:$N$206,CHAR(160)," ")) &amp; "|" &amp;
      LEFT(SUBSTITUTE($O$2:$O$206,CHAR(160)," "),5) &amp; "|" &amp;
      TRIM(SUBSTITUTE($P$2:$P$206,CHAR(160)," ")),
      $Q$2:$Q$206
    )
  ),
"")</f>
        <v/>
      </c>
    </row>
    <row r="107" spans="2:12" x14ac:dyDescent="0.2">
      <c r="B107" s="5"/>
      <c r="J107" s="52" t="str" cm="1">
        <f t="array" ref="J107">IFERROR(
  VALUE($I107) *
  VALUE(
    _xlfn.XLOOKUP(
      TRIM($G107) &amp; "|" &amp; LEFT(SUBSTITUTE($H107,CHAR(160)," "),5) &amp; "|Full Rate",
      TRIM(SUBSTITUTE($N$2:$N$206,CHAR(160)," ")) &amp; "|" &amp;
      LEFT(SUBSTITUTE($O$2:$O$206,CHAR(160)," "),5) &amp; "|" &amp;
      TRIM(SUBSTITUTE($P$2:$P$206,CHAR(160)," ")),
      $Q$2:$Q$206
    )
  ),
"")</f>
        <v/>
      </c>
      <c r="K107" s="52" t="str" cm="1">
        <f t="array" ref="K107">IFERROR(
  VALUE($I107) *
  VALUE(
    _xlfn.XLOOKUP(
      TRIM($G107) &amp; "|" &amp; LEFT(SUBSTITUTE($H107,CHAR(160)," "),5) &amp; "|Reduced Rate",
      TRIM(SUBSTITUTE($N$2:$N$206,CHAR(160)," ")) &amp; "|" &amp;
      LEFT(SUBSTITUTE($O$2:$O$206,CHAR(160)," "),5) &amp; "|" &amp;
      TRIM(SUBSTITUTE($P$2:$P$206,CHAR(160)," ")),
      $Q$2:$Q$206
    )
  ),
"")</f>
        <v/>
      </c>
      <c r="L107" s="32" t="str" cm="1">
        <f t="array" ref="L107">IFERROR(
  VALUE($I107) *
  VALUE(
    _xlfn.XLOOKUP(
      TRIM($G107) &amp; "|" &amp; LEFT(SUBSTITUTE($H107,CHAR(160)," "),5) &amp; "|Ideas Rate",
      TRIM(SUBSTITUTE($N$2:$N$206,CHAR(160)," ")) &amp; "|" &amp;
      LEFT(SUBSTITUTE($O$2:$O$206,CHAR(160)," "),5) &amp; "|" &amp;
      TRIM(SUBSTITUTE($P$2:$P$206,CHAR(160)," ")),
      $Q$2:$Q$206
    )
  ),
"")</f>
        <v/>
      </c>
    </row>
    <row r="108" spans="2:12" x14ac:dyDescent="0.2">
      <c r="B108" s="5"/>
      <c r="J108" s="52" t="str" cm="1">
        <f t="array" ref="J108">IFERROR(
  VALUE($I108) *
  VALUE(
    _xlfn.XLOOKUP(
      TRIM($G108) &amp; "|" &amp; LEFT(SUBSTITUTE($H108,CHAR(160)," "),5) &amp; "|Full Rate",
      TRIM(SUBSTITUTE($N$2:$N$206,CHAR(160)," ")) &amp; "|" &amp;
      LEFT(SUBSTITUTE($O$2:$O$206,CHAR(160)," "),5) &amp; "|" &amp;
      TRIM(SUBSTITUTE($P$2:$P$206,CHAR(160)," ")),
      $Q$2:$Q$206
    )
  ),
"")</f>
        <v/>
      </c>
      <c r="K108" s="52" t="str" cm="1">
        <f t="array" ref="K108">IFERROR(
  VALUE($I108) *
  VALUE(
    _xlfn.XLOOKUP(
      TRIM($G108) &amp; "|" &amp; LEFT(SUBSTITUTE($H108,CHAR(160)," "),5) &amp; "|Reduced Rate",
      TRIM(SUBSTITUTE($N$2:$N$206,CHAR(160)," ")) &amp; "|" &amp;
      LEFT(SUBSTITUTE($O$2:$O$206,CHAR(160)," "),5) &amp; "|" &amp;
      TRIM(SUBSTITUTE($P$2:$P$206,CHAR(160)," ")),
      $Q$2:$Q$206
    )
  ),
"")</f>
        <v/>
      </c>
      <c r="L108" s="32" t="str" cm="1">
        <f t="array" ref="L108">IFERROR(
  VALUE($I108) *
  VALUE(
    _xlfn.XLOOKUP(
      TRIM($G108) &amp; "|" &amp; LEFT(SUBSTITUTE($H108,CHAR(160)," "),5) &amp; "|Ideas Rate",
      TRIM(SUBSTITUTE($N$2:$N$206,CHAR(160)," ")) &amp; "|" &amp;
      LEFT(SUBSTITUTE($O$2:$O$206,CHAR(160)," "),5) &amp; "|" &amp;
      TRIM(SUBSTITUTE($P$2:$P$206,CHAR(160)," ")),
      $Q$2:$Q$206
    )
  ),
"")</f>
        <v/>
      </c>
    </row>
    <row r="109" spans="2:12" x14ac:dyDescent="0.2">
      <c r="B109" s="5"/>
      <c r="J109" s="52" t="str" cm="1">
        <f t="array" ref="J109">IFERROR(
  VALUE($I109) *
  VALUE(
    _xlfn.XLOOKUP(
      TRIM($G109) &amp; "|" &amp; LEFT(SUBSTITUTE($H109,CHAR(160)," "),5) &amp; "|Full Rate",
      TRIM(SUBSTITUTE($N$2:$N$206,CHAR(160)," ")) &amp; "|" &amp;
      LEFT(SUBSTITUTE($O$2:$O$206,CHAR(160)," "),5) &amp; "|" &amp;
      TRIM(SUBSTITUTE($P$2:$P$206,CHAR(160)," ")),
      $Q$2:$Q$206
    )
  ),
"")</f>
        <v/>
      </c>
      <c r="K109" s="52" t="str" cm="1">
        <f t="array" ref="K109">IFERROR(
  VALUE($I109) *
  VALUE(
    _xlfn.XLOOKUP(
      TRIM($G109) &amp; "|" &amp; LEFT(SUBSTITUTE($H109,CHAR(160)," "),5) &amp; "|Reduced Rate",
      TRIM(SUBSTITUTE($N$2:$N$206,CHAR(160)," ")) &amp; "|" &amp;
      LEFT(SUBSTITUTE($O$2:$O$206,CHAR(160)," "),5) &amp; "|" &amp;
      TRIM(SUBSTITUTE($P$2:$P$206,CHAR(160)," ")),
      $Q$2:$Q$206
    )
  ),
"")</f>
        <v/>
      </c>
      <c r="L109" s="32" t="str" cm="1">
        <f t="array" ref="L109">IFERROR(
  VALUE($I109) *
  VALUE(
    _xlfn.XLOOKUP(
      TRIM($G109) &amp; "|" &amp; LEFT(SUBSTITUTE($H109,CHAR(160)," "),5) &amp; "|Ideas Rate",
      TRIM(SUBSTITUTE($N$2:$N$206,CHAR(160)," ")) &amp; "|" &amp;
      LEFT(SUBSTITUTE($O$2:$O$206,CHAR(160)," "),5) &amp; "|" &amp;
      TRIM(SUBSTITUTE($P$2:$P$206,CHAR(160)," ")),
      $Q$2:$Q$206
    )
  ),
"")</f>
        <v/>
      </c>
    </row>
    <row r="110" spans="2:12" x14ac:dyDescent="0.2">
      <c r="B110" s="5"/>
      <c r="J110" s="52" t="str" cm="1">
        <f t="array" ref="J110">IFERROR(
  VALUE($I110) *
  VALUE(
    _xlfn.XLOOKUP(
      TRIM($G110) &amp; "|" &amp; LEFT(SUBSTITUTE($H110,CHAR(160)," "),5) &amp; "|Full Rate",
      TRIM(SUBSTITUTE($N$2:$N$206,CHAR(160)," ")) &amp; "|" &amp;
      LEFT(SUBSTITUTE($O$2:$O$206,CHAR(160)," "),5) &amp; "|" &amp;
      TRIM(SUBSTITUTE($P$2:$P$206,CHAR(160)," ")),
      $Q$2:$Q$206
    )
  ),
"")</f>
        <v/>
      </c>
      <c r="K110" s="52" t="str" cm="1">
        <f t="array" ref="K110">IFERROR(
  VALUE($I110) *
  VALUE(
    _xlfn.XLOOKUP(
      TRIM($G110) &amp; "|" &amp; LEFT(SUBSTITUTE($H110,CHAR(160)," "),5) &amp; "|Reduced Rate",
      TRIM(SUBSTITUTE($N$2:$N$206,CHAR(160)," ")) &amp; "|" &amp;
      LEFT(SUBSTITUTE($O$2:$O$206,CHAR(160)," "),5) &amp; "|" &amp;
      TRIM(SUBSTITUTE($P$2:$P$206,CHAR(160)," ")),
      $Q$2:$Q$206
    )
  ),
"")</f>
        <v/>
      </c>
      <c r="L110" s="32" t="str" cm="1">
        <f t="array" ref="L110">IFERROR(
  VALUE($I110) *
  VALUE(
    _xlfn.XLOOKUP(
      TRIM($G110) &amp; "|" &amp; LEFT(SUBSTITUTE($H110,CHAR(160)," "),5) &amp; "|Ideas Rate",
      TRIM(SUBSTITUTE($N$2:$N$206,CHAR(160)," ")) &amp; "|" &amp;
      LEFT(SUBSTITUTE($O$2:$O$206,CHAR(160)," "),5) &amp; "|" &amp;
      TRIM(SUBSTITUTE($P$2:$P$206,CHAR(160)," ")),
      $Q$2:$Q$206
    )
  ),
"")</f>
        <v/>
      </c>
    </row>
    <row r="111" spans="2:12" x14ac:dyDescent="0.2">
      <c r="B111" s="5"/>
      <c r="J111" s="52" t="str" cm="1">
        <f t="array" ref="J111">IFERROR(
  VALUE($I111) *
  VALUE(
    _xlfn.XLOOKUP(
      TRIM($G111) &amp; "|" &amp; LEFT(SUBSTITUTE($H111,CHAR(160)," "),5) &amp; "|Full Rate",
      TRIM(SUBSTITUTE($N$2:$N$206,CHAR(160)," ")) &amp; "|" &amp;
      LEFT(SUBSTITUTE($O$2:$O$206,CHAR(160)," "),5) &amp; "|" &amp;
      TRIM(SUBSTITUTE($P$2:$P$206,CHAR(160)," ")),
      $Q$2:$Q$206
    )
  ),
"")</f>
        <v/>
      </c>
      <c r="K111" s="52" t="str" cm="1">
        <f t="array" ref="K111">IFERROR(
  VALUE($I111) *
  VALUE(
    _xlfn.XLOOKUP(
      TRIM($G111) &amp; "|" &amp; LEFT(SUBSTITUTE($H111,CHAR(160)," "),5) &amp; "|Reduced Rate",
      TRIM(SUBSTITUTE($N$2:$N$206,CHAR(160)," ")) &amp; "|" &amp;
      LEFT(SUBSTITUTE($O$2:$O$206,CHAR(160)," "),5) &amp; "|" &amp;
      TRIM(SUBSTITUTE($P$2:$P$206,CHAR(160)," ")),
      $Q$2:$Q$206
    )
  ),
"")</f>
        <v/>
      </c>
      <c r="L111" s="32" t="str" cm="1">
        <f t="array" ref="L111">IFERROR(
  VALUE($I111) *
  VALUE(
    _xlfn.XLOOKUP(
      TRIM($G111) &amp; "|" &amp; LEFT(SUBSTITUTE($H111,CHAR(160)," "),5) &amp; "|Ideas Rate",
      TRIM(SUBSTITUTE($N$2:$N$206,CHAR(160)," ")) &amp; "|" &amp;
      LEFT(SUBSTITUTE($O$2:$O$206,CHAR(160)," "),5) &amp; "|" &amp;
      TRIM(SUBSTITUTE($P$2:$P$206,CHAR(160)," ")),
      $Q$2:$Q$206
    )
  ),
"")</f>
        <v/>
      </c>
    </row>
    <row r="112" spans="2:12" x14ac:dyDescent="0.2">
      <c r="B112" s="5"/>
      <c r="J112" s="52" t="str" cm="1">
        <f t="array" ref="J112">IFERROR(
  VALUE($I112) *
  VALUE(
    _xlfn.XLOOKUP(
      TRIM($G112) &amp; "|" &amp; LEFT(SUBSTITUTE($H112,CHAR(160)," "),5) &amp; "|Full Rate",
      TRIM(SUBSTITUTE($N$2:$N$206,CHAR(160)," ")) &amp; "|" &amp;
      LEFT(SUBSTITUTE($O$2:$O$206,CHAR(160)," "),5) &amp; "|" &amp;
      TRIM(SUBSTITUTE($P$2:$P$206,CHAR(160)," ")),
      $Q$2:$Q$206
    )
  ),
"")</f>
        <v/>
      </c>
      <c r="K112" s="52" t="str" cm="1">
        <f t="array" ref="K112">IFERROR(
  VALUE($I112) *
  VALUE(
    _xlfn.XLOOKUP(
      TRIM($G112) &amp; "|" &amp; LEFT(SUBSTITUTE($H112,CHAR(160)," "),5) &amp; "|Reduced Rate",
      TRIM(SUBSTITUTE($N$2:$N$206,CHAR(160)," ")) &amp; "|" &amp;
      LEFT(SUBSTITUTE($O$2:$O$206,CHAR(160)," "),5) &amp; "|" &amp;
      TRIM(SUBSTITUTE($P$2:$P$206,CHAR(160)," ")),
      $Q$2:$Q$206
    )
  ),
"")</f>
        <v/>
      </c>
      <c r="L112" s="32" t="str" cm="1">
        <f t="array" ref="L112">IFERROR(
  VALUE($I112) *
  VALUE(
    _xlfn.XLOOKUP(
      TRIM($G112) &amp; "|" &amp; LEFT(SUBSTITUTE($H112,CHAR(160)," "),5) &amp; "|Ideas Rate",
      TRIM(SUBSTITUTE($N$2:$N$206,CHAR(160)," ")) &amp; "|" &amp;
      LEFT(SUBSTITUTE($O$2:$O$206,CHAR(160)," "),5) &amp; "|" &amp;
      TRIM(SUBSTITUTE($P$2:$P$206,CHAR(160)," ")),
      $Q$2:$Q$206
    )
  ),
"")</f>
        <v/>
      </c>
    </row>
    <row r="113" spans="2:12" x14ac:dyDescent="0.2">
      <c r="B113" s="5"/>
      <c r="J113" s="52" t="str" cm="1">
        <f t="array" ref="J113">IFERROR(
  VALUE($I113) *
  VALUE(
    _xlfn.XLOOKUP(
      TRIM($G113) &amp; "|" &amp; LEFT(SUBSTITUTE($H113,CHAR(160)," "),5) &amp; "|Full Rate",
      TRIM(SUBSTITUTE($N$2:$N$206,CHAR(160)," ")) &amp; "|" &amp;
      LEFT(SUBSTITUTE($O$2:$O$206,CHAR(160)," "),5) &amp; "|" &amp;
      TRIM(SUBSTITUTE($P$2:$P$206,CHAR(160)," ")),
      $Q$2:$Q$206
    )
  ),
"")</f>
        <v/>
      </c>
      <c r="K113" s="52" t="str" cm="1">
        <f t="array" ref="K113">IFERROR(
  VALUE($I113) *
  VALUE(
    _xlfn.XLOOKUP(
      TRIM($G113) &amp; "|" &amp; LEFT(SUBSTITUTE($H113,CHAR(160)," "),5) &amp; "|Reduced Rate",
      TRIM(SUBSTITUTE($N$2:$N$206,CHAR(160)," ")) &amp; "|" &amp;
      LEFT(SUBSTITUTE($O$2:$O$206,CHAR(160)," "),5) &amp; "|" &amp;
      TRIM(SUBSTITUTE($P$2:$P$206,CHAR(160)," ")),
      $Q$2:$Q$206
    )
  ),
"")</f>
        <v/>
      </c>
      <c r="L113" s="32" t="str" cm="1">
        <f t="array" ref="L113">IFERROR(
  VALUE($I113) *
  VALUE(
    _xlfn.XLOOKUP(
      TRIM($G113) &amp; "|" &amp; LEFT(SUBSTITUTE($H113,CHAR(160)," "),5) &amp; "|Ideas Rate",
      TRIM(SUBSTITUTE($N$2:$N$206,CHAR(160)," ")) &amp; "|" &amp;
      LEFT(SUBSTITUTE($O$2:$O$206,CHAR(160)," "),5) &amp; "|" &amp;
      TRIM(SUBSTITUTE($P$2:$P$206,CHAR(160)," ")),
      $Q$2:$Q$206
    )
  ),
"")</f>
        <v/>
      </c>
    </row>
    <row r="114" spans="2:12" x14ac:dyDescent="0.2">
      <c r="B114" s="5"/>
      <c r="J114" s="52" t="str" cm="1">
        <f t="array" ref="J114">IFERROR(
  VALUE($I114) *
  VALUE(
    _xlfn.XLOOKUP(
      TRIM($G114) &amp; "|" &amp; LEFT(SUBSTITUTE($H114,CHAR(160)," "),5) &amp; "|Full Rate",
      TRIM(SUBSTITUTE($N$2:$N$206,CHAR(160)," ")) &amp; "|" &amp;
      LEFT(SUBSTITUTE($O$2:$O$206,CHAR(160)," "),5) &amp; "|" &amp;
      TRIM(SUBSTITUTE($P$2:$P$206,CHAR(160)," ")),
      $Q$2:$Q$206
    )
  ),
"")</f>
        <v/>
      </c>
      <c r="K114" s="52" t="str" cm="1">
        <f t="array" ref="K114">IFERROR(
  VALUE($I114) *
  VALUE(
    _xlfn.XLOOKUP(
      TRIM($G114) &amp; "|" &amp; LEFT(SUBSTITUTE($H114,CHAR(160)," "),5) &amp; "|Reduced Rate",
      TRIM(SUBSTITUTE($N$2:$N$206,CHAR(160)," ")) &amp; "|" &amp;
      LEFT(SUBSTITUTE($O$2:$O$206,CHAR(160)," "),5) &amp; "|" &amp;
      TRIM(SUBSTITUTE($P$2:$P$206,CHAR(160)," ")),
      $Q$2:$Q$206
    )
  ),
"")</f>
        <v/>
      </c>
      <c r="L114" s="32" t="str" cm="1">
        <f t="array" ref="L114">IFERROR(
  VALUE($I114) *
  VALUE(
    _xlfn.XLOOKUP(
      TRIM($G114) &amp; "|" &amp; LEFT(SUBSTITUTE($H114,CHAR(160)," "),5) &amp; "|Ideas Rate",
      TRIM(SUBSTITUTE($N$2:$N$206,CHAR(160)," ")) &amp; "|" &amp;
      LEFT(SUBSTITUTE($O$2:$O$206,CHAR(160)," "),5) &amp; "|" &amp;
      TRIM(SUBSTITUTE($P$2:$P$206,CHAR(160)," ")),
      $Q$2:$Q$206
    )
  ),
"")</f>
        <v/>
      </c>
    </row>
    <row r="115" spans="2:12" x14ac:dyDescent="0.2">
      <c r="B115" s="5"/>
      <c r="J115" s="52" t="str" cm="1">
        <f t="array" ref="J115">IFERROR(
  VALUE($I115) *
  VALUE(
    _xlfn.XLOOKUP(
      TRIM($G115) &amp; "|" &amp; LEFT(SUBSTITUTE($H115,CHAR(160)," "),5) &amp; "|Full Rate",
      TRIM(SUBSTITUTE($N$2:$N$206,CHAR(160)," ")) &amp; "|" &amp;
      LEFT(SUBSTITUTE($O$2:$O$206,CHAR(160)," "),5) &amp; "|" &amp;
      TRIM(SUBSTITUTE($P$2:$P$206,CHAR(160)," ")),
      $Q$2:$Q$206
    )
  ),
"")</f>
        <v/>
      </c>
      <c r="K115" s="52" t="str" cm="1">
        <f t="array" ref="K115">IFERROR(
  VALUE($I115) *
  VALUE(
    _xlfn.XLOOKUP(
      TRIM($G115) &amp; "|" &amp; LEFT(SUBSTITUTE($H115,CHAR(160)," "),5) &amp; "|Reduced Rate",
      TRIM(SUBSTITUTE($N$2:$N$206,CHAR(160)," ")) &amp; "|" &amp;
      LEFT(SUBSTITUTE($O$2:$O$206,CHAR(160)," "),5) &amp; "|" &amp;
      TRIM(SUBSTITUTE($P$2:$P$206,CHAR(160)," ")),
      $Q$2:$Q$206
    )
  ),
"")</f>
        <v/>
      </c>
      <c r="L115" s="32" t="str" cm="1">
        <f t="array" ref="L115">IFERROR(
  VALUE($I115) *
  VALUE(
    _xlfn.XLOOKUP(
      TRIM($G115) &amp; "|" &amp; LEFT(SUBSTITUTE($H115,CHAR(160)," "),5) &amp; "|Ideas Rate",
      TRIM(SUBSTITUTE($N$2:$N$206,CHAR(160)," ")) &amp; "|" &amp;
      LEFT(SUBSTITUTE($O$2:$O$206,CHAR(160)," "),5) &amp; "|" &amp;
      TRIM(SUBSTITUTE($P$2:$P$206,CHAR(160)," ")),
      $Q$2:$Q$206
    )
  ),
"")</f>
        <v/>
      </c>
    </row>
    <row r="116" spans="2:12" x14ac:dyDescent="0.2">
      <c r="B116" s="5"/>
      <c r="J116" s="52" t="str" cm="1">
        <f t="array" ref="J116">IFERROR(
  VALUE($I116) *
  VALUE(
    _xlfn.XLOOKUP(
      TRIM($G116) &amp; "|" &amp; LEFT(SUBSTITUTE($H116,CHAR(160)," "),5) &amp; "|Full Rate",
      TRIM(SUBSTITUTE($N$2:$N$206,CHAR(160)," ")) &amp; "|" &amp;
      LEFT(SUBSTITUTE($O$2:$O$206,CHAR(160)," "),5) &amp; "|" &amp;
      TRIM(SUBSTITUTE($P$2:$P$206,CHAR(160)," ")),
      $Q$2:$Q$206
    )
  ),
"")</f>
        <v/>
      </c>
      <c r="K116" s="52" t="str" cm="1">
        <f t="array" ref="K116">IFERROR(
  VALUE($I116) *
  VALUE(
    _xlfn.XLOOKUP(
      TRIM($G116) &amp; "|" &amp; LEFT(SUBSTITUTE($H116,CHAR(160)," "),5) &amp; "|Reduced Rate",
      TRIM(SUBSTITUTE($N$2:$N$206,CHAR(160)," ")) &amp; "|" &amp;
      LEFT(SUBSTITUTE($O$2:$O$206,CHAR(160)," "),5) &amp; "|" &amp;
      TRIM(SUBSTITUTE($P$2:$P$206,CHAR(160)," ")),
      $Q$2:$Q$206
    )
  ),
"")</f>
        <v/>
      </c>
      <c r="L116" s="32" t="str" cm="1">
        <f t="array" ref="L116">IFERROR(
  VALUE($I116) *
  VALUE(
    _xlfn.XLOOKUP(
      TRIM($G116) &amp; "|" &amp; LEFT(SUBSTITUTE($H116,CHAR(160)," "),5) &amp; "|Ideas Rate",
      TRIM(SUBSTITUTE($N$2:$N$206,CHAR(160)," ")) &amp; "|" &amp;
      LEFT(SUBSTITUTE($O$2:$O$206,CHAR(160)," "),5) &amp; "|" &amp;
      TRIM(SUBSTITUTE($P$2:$P$206,CHAR(160)," ")),
      $Q$2:$Q$206
    )
  ),
"")</f>
        <v/>
      </c>
    </row>
    <row r="117" spans="2:12" x14ac:dyDescent="0.2">
      <c r="B117" s="5"/>
      <c r="J117" s="52" t="str" cm="1">
        <f t="array" ref="J117">IFERROR(
  VALUE($I117) *
  VALUE(
    _xlfn.XLOOKUP(
      TRIM($G117) &amp; "|" &amp; LEFT(SUBSTITUTE($H117,CHAR(160)," "),5) &amp; "|Full Rate",
      TRIM(SUBSTITUTE($N$2:$N$206,CHAR(160)," ")) &amp; "|" &amp;
      LEFT(SUBSTITUTE($O$2:$O$206,CHAR(160)," "),5) &amp; "|" &amp;
      TRIM(SUBSTITUTE($P$2:$P$206,CHAR(160)," ")),
      $Q$2:$Q$206
    )
  ),
"")</f>
        <v/>
      </c>
      <c r="K117" s="52" t="str" cm="1">
        <f t="array" ref="K117">IFERROR(
  VALUE($I117) *
  VALUE(
    _xlfn.XLOOKUP(
      TRIM($G117) &amp; "|" &amp; LEFT(SUBSTITUTE($H117,CHAR(160)," "),5) &amp; "|Reduced Rate",
      TRIM(SUBSTITUTE($N$2:$N$206,CHAR(160)," ")) &amp; "|" &amp;
      LEFT(SUBSTITUTE($O$2:$O$206,CHAR(160)," "),5) &amp; "|" &amp;
      TRIM(SUBSTITUTE($P$2:$P$206,CHAR(160)," ")),
      $Q$2:$Q$206
    )
  ),
"")</f>
        <v/>
      </c>
      <c r="L117" s="32" t="str" cm="1">
        <f t="array" ref="L117">IFERROR(
  VALUE($I117) *
  VALUE(
    _xlfn.XLOOKUP(
      TRIM($G117) &amp; "|" &amp; LEFT(SUBSTITUTE($H117,CHAR(160)," "),5) &amp; "|Ideas Rate",
      TRIM(SUBSTITUTE($N$2:$N$206,CHAR(160)," ")) &amp; "|" &amp;
      LEFT(SUBSTITUTE($O$2:$O$206,CHAR(160)," "),5) &amp; "|" &amp;
      TRIM(SUBSTITUTE($P$2:$P$206,CHAR(160)," ")),
      $Q$2:$Q$206
    )
  ),
"")</f>
        <v/>
      </c>
    </row>
    <row r="118" spans="2:12" x14ac:dyDescent="0.2">
      <c r="B118" s="5"/>
      <c r="J118" s="52" t="str" cm="1">
        <f t="array" ref="J118">IFERROR(
  VALUE($I118) *
  VALUE(
    _xlfn.XLOOKUP(
      TRIM($G118) &amp; "|" &amp; LEFT(SUBSTITUTE($H118,CHAR(160)," "),5) &amp; "|Full Rate",
      TRIM(SUBSTITUTE($N$2:$N$206,CHAR(160)," ")) &amp; "|" &amp;
      LEFT(SUBSTITUTE($O$2:$O$206,CHAR(160)," "),5) &amp; "|" &amp;
      TRIM(SUBSTITUTE($P$2:$P$206,CHAR(160)," ")),
      $Q$2:$Q$206
    )
  ),
"")</f>
        <v/>
      </c>
      <c r="K118" s="52" t="str" cm="1">
        <f t="array" ref="K118">IFERROR(
  VALUE($I118) *
  VALUE(
    _xlfn.XLOOKUP(
      TRIM($G118) &amp; "|" &amp; LEFT(SUBSTITUTE($H118,CHAR(160)," "),5) &amp; "|Reduced Rate",
      TRIM(SUBSTITUTE($N$2:$N$206,CHAR(160)," ")) &amp; "|" &amp;
      LEFT(SUBSTITUTE($O$2:$O$206,CHAR(160)," "),5) &amp; "|" &amp;
      TRIM(SUBSTITUTE($P$2:$P$206,CHAR(160)," ")),
      $Q$2:$Q$206
    )
  ),
"")</f>
        <v/>
      </c>
      <c r="L118" s="32" t="str" cm="1">
        <f t="array" ref="L118">IFERROR(
  VALUE($I118) *
  VALUE(
    _xlfn.XLOOKUP(
      TRIM($G118) &amp; "|" &amp; LEFT(SUBSTITUTE($H118,CHAR(160)," "),5) &amp; "|Ideas Rate",
      TRIM(SUBSTITUTE($N$2:$N$206,CHAR(160)," ")) &amp; "|" &amp;
      LEFT(SUBSTITUTE($O$2:$O$206,CHAR(160)," "),5) &amp; "|" &amp;
      TRIM(SUBSTITUTE($P$2:$P$206,CHAR(160)," ")),
      $Q$2:$Q$206
    )
  ),
"")</f>
        <v/>
      </c>
    </row>
    <row r="119" spans="2:12" x14ac:dyDescent="0.2">
      <c r="B119" s="5"/>
      <c r="J119" s="52" t="str" cm="1">
        <f t="array" ref="J119">IFERROR(
  VALUE($I119) *
  VALUE(
    _xlfn.XLOOKUP(
      TRIM($G119) &amp; "|" &amp; LEFT(SUBSTITUTE($H119,CHAR(160)," "),5) &amp; "|Full Rate",
      TRIM(SUBSTITUTE($N$2:$N$206,CHAR(160)," ")) &amp; "|" &amp;
      LEFT(SUBSTITUTE($O$2:$O$206,CHAR(160)," "),5) &amp; "|" &amp;
      TRIM(SUBSTITUTE($P$2:$P$206,CHAR(160)," ")),
      $Q$2:$Q$206
    )
  ),
"")</f>
        <v/>
      </c>
      <c r="K119" s="52" t="str" cm="1">
        <f t="array" ref="K119">IFERROR(
  VALUE($I119) *
  VALUE(
    _xlfn.XLOOKUP(
      TRIM($G119) &amp; "|" &amp; LEFT(SUBSTITUTE($H119,CHAR(160)," "),5) &amp; "|Reduced Rate",
      TRIM(SUBSTITUTE($N$2:$N$206,CHAR(160)," ")) &amp; "|" &amp;
      LEFT(SUBSTITUTE($O$2:$O$206,CHAR(160)," "),5) &amp; "|" &amp;
      TRIM(SUBSTITUTE($P$2:$P$206,CHAR(160)," ")),
      $Q$2:$Q$206
    )
  ),
"")</f>
        <v/>
      </c>
      <c r="L119" s="32" t="str" cm="1">
        <f t="array" ref="L119">IFERROR(
  VALUE($I119) *
  VALUE(
    _xlfn.XLOOKUP(
      TRIM($G119) &amp; "|" &amp; LEFT(SUBSTITUTE($H119,CHAR(160)," "),5) &amp; "|Ideas Rate",
      TRIM(SUBSTITUTE($N$2:$N$206,CHAR(160)," ")) &amp; "|" &amp;
      LEFT(SUBSTITUTE($O$2:$O$206,CHAR(160)," "),5) &amp; "|" &amp;
      TRIM(SUBSTITUTE($P$2:$P$206,CHAR(160)," ")),
      $Q$2:$Q$206
    )
  ),
"")</f>
        <v/>
      </c>
    </row>
    <row r="120" spans="2:12" x14ac:dyDescent="0.2">
      <c r="B120" s="5"/>
      <c r="J120" s="52" t="str" cm="1">
        <f t="array" ref="J120">IFERROR(
  VALUE($I120) *
  VALUE(
    _xlfn.XLOOKUP(
      TRIM($G120) &amp; "|" &amp; LEFT(SUBSTITUTE($H120,CHAR(160)," "),5) &amp; "|Full Rate",
      TRIM(SUBSTITUTE($N$2:$N$206,CHAR(160)," ")) &amp; "|" &amp;
      LEFT(SUBSTITUTE($O$2:$O$206,CHAR(160)," "),5) &amp; "|" &amp;
      TRIM(SUBSTITUTE($P$2:$P$206,CHAR(160)," ")),
      $Q$2:$Q$206
    )
  ),
"")</f>
        <v/>
      </c>
      <c r="K120" s="52" t="str" cm="1">
        <f t="array" ref="K120">IFERROR(
  VALUE($I120) *
  VALUE(
    _xlfn.XLOOKUP(
      TRIM($G120) &amp; "|" &amp; LEFT(SUBSTITUTE($H120,CHAR(160)," "),5) &amp; "|Reduced Rate",
      TRIM(SUBSTITUTE($N$2:$N$206,CHAR(160)," ")) &amp; "|" &amp;
      LEFT(SUBSTITUTE($O$2:$O$206,CHAR(160)," "),5) &amp; "|" &amp;
      TRIM(SUBSTITUTE($P$2:$P$206,CHAR(160)," ")),
      $Q$2:$Q$206
    )
  ),
"")</f>
        <v/>
      </c>
      <c r="L120" s="32" t="str" cm="1">
        <f t="array" ref="L120">IFERROR(
  VALUE($I120) *
  VALUE(
    _xlfn.XLOOKUP(
      TRIM($G120) &amp; "|" &amp; LEFT(SUBSTITUTE($H120,CHAR(160)," "),5) &amp; "|Ideas Rate",
      TRIM(SUBSTITUTE($N$2:$N$206,CHAR(160)," ")) &amp; "|" &amp;
      LEFT(SUBSTITUTE($O$2:$O$206,CHAR(160)," "),5) &amp; "|" &amp;
      TRIM(SUBSTITUTE($P$2:$P$206,CHAR(160)," ")),
      $Q$2:$Q$206
    )
  ),
"")</f>
        <v/>
      </c>
    </row>
    <row r="121" spans="2:12" x14ac:dyDescent="0.2">
      <c r="B121" s="5"/>
      <c r="J121" s="52" t="str" cm="1">
        <f t="array" ref="J121">IFERROR(
  VALUE($I121) *
  VALUE(
    _xlfn.XLOOKUP(
      TRIM($G121) &amp; "|" &amp; LEFT(SUBSTITUTE($H121,CHAR(160)," "),5) &amp; "|Full Rate",
      TRIM(SUBSTITUTE($N$2:$N$206,CHAR(160)," ")) &amp; "|" &amp;
      LEFT(SUBSTITUTE($O$2:$O$206,CHAR(160)," "),5) &amp; "|" &amp;
      TRIM(SUBSTITUTE($P$2:$P$206,CHAR(160)," ")),
      $Q$2:$Q$206
    )
  ),
"")</f>
        <v/>
      </c>
      <c r="K121" s="52" t="str" cm="1">
        <f t="array" ref="K121">IFERROR(
  VALUE($I121) *
  VALUE(
    _xlfn.XLOOKUP(
      TRIM($G121) &amp; "|" &amp; LEFT(SUBSTITUTE($H121,CHAR(160)," "),5) &amp; "|Reduced Rate",
      TRIM(SUBSTITUTE($N$2:$N$206,CHAR(160)," ")) &amp; "|" &amp;
      LEFT(SUBSTITUTE($O$2:$O$206,CHAR(160)," "),5) &amp; "|" &amp;
      TRIM(SUBSTITUTE($P$2:$P$206,CHAR(160)," ")),
      $Q$2:$Q$206
    )
  ),
"")</f>
        <v/>
      </c>
      <c r="L121" s="32" t="str">
        <f t="shared" ref="L121:L152" si="2">IFERROR( VALUE($I121) * INDEX($P$2:$P$5, MATCH(UPPER(TRIM($G121)),$M$2:$M$5,0)), "" )</f>
        <v/>
      </c>
    </row>
    <row r="122" spans="2:12" x14ac:dyDescent="0.2">
      <c r="B122" s="5"/>
      <c r="J122" s="52" t="str" cm="1">
        <f t="array" ref="J122">IFERROR(
  VALUE($I122) *
  VALUE(
    _xlfn.XLOOKUP(
      TRIM($G122) &amp; "|" &amp; LEFT(SUBSTITUTE($H122,CHAR(160)," "),5) &amp; "|Full Rate",
      TRIM(SUBSTITUTE($N$2:$N$206,CHAR(160)," ")) &amp; "|" &amp;
      LEFT(SUBSTITUTE($O$2:$O$206,CHAR(160)," "),5) &amp; "|" &amp;
      TRIM(SUBSTITUTE($P$2:$P$206,CHAR(160)," ")),
      $Q$2:$Q$206
    )
  ),
"")</f>
        <v/>
      </c>
      <c r="K122" s="52" t="str" cm="1">
        <f t="array" ref="K122">IFERROR(
  VALUE($I122) *
  VALUE(
    _xlfn.XLOOKUP(
      TRIM($G122) &amp; "|" &amp; LEFT(SUBSTITUTE($H122,CHAR(160)," "),5) &amp; "|Reduced Rate",
      TRIM(SUBSTITUTE($N$2:$N$206,CHAR(160)," ")) &amp; "|" &amp;
      LEFT(SUBSTITUTE($O$2:$O$206,CHAR(160)," "),5) &amp; "|" &amp;
      TRIM(SUBSTITUTE($P$2:$P$206,CHAR(160)," ")),
      $Q$2:$Q$206
    )
  ),
"")</f>
        <v/>
      </c>
      <c r="L122" s="32" t="str">
        <f t="shared" si="2"/>
        <v/>
      </c>
    </row>
    <row r="123" spans="2:12" x14ac:dyDescent="0.2">
      <c r="B123" s="5"/>
      <c r="J123" s="52" t="str" cm="1">
        <f t="array" ref="J123">IFERROR(
  VALUE($I123) *
  VALUE(
    _xlfn.XLOOKUP(
      TRIM($G123) &amp; "|" &amp; LEFT(SUBSTITUTE($H123,CHAR(160)," "),5) &amp; "|Full Rate",
      TRIM(SUBSTITUTE($N$2:$N$206,CHAR(160)," ")) &amp; "|" &amp;
      LEFT(SUBSTITUTE($O$2:$O$206,CHAR(160)," "),5) &amp; "|" &amp;
      TRIM(SUBSTITUTE($P$2:$P$206,CHAR(160)," ")),
      $Q$2:$Q$206
    )
  ),
"")</f>
        <v/>
      </c>
      <c r="K123" s="52" t="str" cm="1">
        <f t="array" ref="K123">IFERROR(
  VALUE($I123) *
  VALUE(
    _xlfn.XLOOKUP(
      TRIM($G123) &amp; "|" &amp; LEFT(SUBSTITUTE($H123,CHAR(160)," "),5) &amp; "|Reduced Rate",
      TRIM(SUBSTITUTE($N$2:$N$206,CHAR(160)," ")) &amp; "|" &amp;
      LEFT(SUBSTITUTE($O$2:$O$206,CHAR(160)," "),5) &amp; "|" &amp;
      TRIM(SUBSTITUTE($P$2:$P$206,CHAR(160)," ")),
      $Q$2:$Q$206
    )
  ),
"")</f>
        <v/>
      </c>
      <c r="L123" s="32" t="str">
        <f t="shared" si="2"/>
        <v/>
      </c>
    </row>
    <row r="124" spans="2:12" x14ac:dyDescent="0.2">
      <c r="B124" s="5"/>
      <c r="J124" s="52" t="str" cm="1">
        <f t="array" ref="J124">IFERROR(
  VALUE($I124) *
  VALUE(
    _xlfn.XLOOKUP(
      TRIM($G124) &amp; "|" &amp; LEFT(SUBSTITUTE($H124,CHAR(160)," "),5) &amp; "|Full Rate",
      TRIM(SUBSTITUTE($N$2:$N$206,CHAR(160)," ")) &amp; "|" &amp;
      LEFT(SUBSTITUTE($O$2:$O$206,CHAR(160)," "),5) &amp; "|" &amp;
      TRIM(SUBSTITUTE($P$2:$P$206,CHAR(160)," ")),
      $Q$2:$Q$206
    )
  ),
"")</f>
        <v/>
      </c>
      <c r="K124" s="52" t="str" cm="1">
        <f t="array" ref="K124">IFERROR(
  VALUE($I124) *
  VALUE(
    _xlfn.XLOOKUP(
      TRIM($G124) &amp; "|" &amp; LEFT(SUBSTITUTE($H124,CHAR(160)," "),5) &amp; "|Reduced Rate",
      TRIM(SUBSTITUTE($N$2:$N$206,CHAR(160)," ")) &amp; "|" &amp;
      LEFT(SUBSTITUTE($O$2:$O$206,CHAR(160)," "),5) &amp; "|" &amp;
      TRIM(SUBSTITUTE($P$2:$P$206,CHAR(160)," ")),
      $Q$2:$Q$206
    )
  ),
"")</f>
        <v/>
      </c>
      <c r="L124" s="32" t="str">
        <f t="shared" si="2"/>
        <v/>
      </c>
    </row>
    <row r="125" spans="2:12" x14ac:dyDescent="0.2">
      <c r="B125" s="5"/>
      <c r="J125" s="52" t="str" cm="1">
        <f t="array" ref="J125">IFERROR(
  VALUE($I125) *
  VALUE(
    _xlfn.XLOOKUP(
      TRIM($G125) &amp; "|" &amp; LEFT(SUBSTITUTE($H125,CHAR(160)," "),5) &amp; "|Full Rate",
      TRIM(SUBSTITUTE($N$2:$N$206,CHAR(160)," ")) &amp; "|" &amp;
      LEFT(SUBSTITUTE($O$2:$O$206,CHAR(160)," "),5) &amp; "|" &amp;
      TRIM(SUBSTITUTE($P$2:$P$206,CHAR(160)," ")),
      $Q$2:$Q$206
    )
  ),
"")</f>
        <v/>
      </c>
      <c r="K125" s="52" t="str" cm="1">
        <f t="array" ref="K125">IFERROR(
  VALUE($I125) *
  VALUE(
    _xlfn.XLOOKUP(
      TRIM($G125) &amp; "|" &amp; LEFT(SUBSTITUTE($H125,CHAR(160)," "),5) &amp; "|Reduced Rate",
      TRIM(SUBSTITUTE($N$2:$N$206,CHAR(160)," ")) &amp; "|" &amp;
      LEFT(SUBSTITUTE($O$2:$O$206,CHAR(160)," "),5) &amp; "|" &amp;
      TRIM(SUBSTITUTE($P$2:$P$206,CHAR(160)," ")),
      $Q$2:$Q$206
    )
  ),
"")</f>
        <v/>
      </c>
      <c r="L125" s="32" t="str">
        <f t="shared" si="2"/>
        <v/>
      </c>
    </row>
    <row r="126" spans="2:12" x14ac:dyDescent="0.2">
      <c r="B126" s="5"/>
      <c r="J126" s="52" t="str" cm="1">
        <f t="array" ref="J126">IFERROR(
  VALUE($I126) *
  VALUE(
    _xlfn.XLOOKUP(
      TRIM($G126) &amp; "|" &amp; LEFT(SUBSTITUTE($H126,CHAR(160)," "),5) &amp; "|Full Rate",
      TRIM(SUBSTITUTE($N$2:$N$206,CHAR(160)," ")) &amp; "|" &amp;
      LEFT(SUBSTITUTE($O$2:$O$206,CHAR(160)," "),5) &amp; "|" &amp;
      TRIM(SUBSTITUTE($P$2:$P$206,CHAR(160)," ")),
      $Q$2:$Q$206
    )
  ),
"")</f>
        <v/>
      </c>
      <c r="K126" s="52" t="str" cm="1">
        <f t="array" ref="K126">IFERROR(
  VALUE($I126) *
  VALUE(
    _xlfn.XLOOKUP(
      TRIM($G126) &amp; "|" &amp; LEFT(SUBSTITUTE($H126,CHAR(160)," "),5) &amp; "|Reduced Rate",
      TRIM(SUBSTITUTE($N$2:$N$206,CHAR(160)," ")) &amp; "|" &amp;
      LEFT(SUBSTITUTE($O$2:$O$206,CHAR(160)," "),5) &amp; "|" &amp;
      TRIM(SUBSTITUTE($P$2:$P$206,CHAR(160)," ")),
      $Q$2:$Q$206
    )
  ),
"")</f>
        <v/>
      </c>
      <c r="L126" s="32" t="str">
        <f t="shared" si="2"/>
        <v/>
      </c>
    </row>
    <row r="127" spans="2:12" x14ac:dyDescent="0.2">
      <c r="B127" s="5"/>
      <c r="J127" s="52" t="str" cm="1">
        <f t="array" ref="J127">IFERROR(
  VALUE($I127) *
  VALUE(
    _xlfn.XLOOKUP(
      TRIM($G127) &amp; "|" &amp; LEFT(SUBSTITUTE($H127,CHAR(160)," "),5) &amp; "|Full Rate",
      TRIM(SUBSTITUTE($N$2:$N$206,CHAR(160)," ")) &amp; "|" &amp;
      LEFT(SUBSTITUTE($O$2:$O$206,CHAR(160)," "),5) &amp; "|" &amp;
      TRIM(SUBSTITUTE($P$2:$P$206,CHAR(160)," ")),
      $Q$2:$Q$206
    )
  ),
"")</f>
        <v/>
      </c>
      <c r="K127" s="52" t="str" cm="1">
        <f t="array" ref="K127">IFERROR(
  VALUE($I127) *
  VALUE(
    _xlfn.XLOOKUP(
      TRIM($G127) &amp; "|" &amp; LEFT(SUBSTITUTE($H127,CHAR(160)," "),5) &amp; "|Reduced Rate",
      TRIM(SUBSTITUTE($N$2:$N$206,CHAR(160)," ")) &amp; "|" &amp;
      LEFT(SUBSTITUTE($O$2:$O$206,CHAR(160)," "),5) &amp; "|" &amp;
      TRIM(SUBSTITUTE($P$2:$P$206,CHAR(160)," ")),
      $Q$2:$Q$206
    )
  ),
"")</f>
        <v/>
      </c>
      <c r="L127" s="32" t="str">
        <f t="shared" si="2"/>
        <v/>
      </c>
    </row>
    <row r="128" spans="2:12" x14ac:dyDescent="0.2">
      <c r="B128" s="5"/>
      <c r="J128" s="52" t="str" cm="1">
        <f t="array" ref="J128">IFERROR(
  VALUE($I128) *
  VALUE(
    _xlfn.XLOOKUP(
      TRIM($G128) &amp; "|" &amp; LEFT(SUBSTITUTE($H128,CHAR(160)," "),5) &amp; "|Full Rate",
      TRIM(SUBSTITUTE($N$2:$N$206,CHAR(160)," ")) &amp; "|" &amp;
      LEFT(SUBSTITUTE($O$2:$O$206,CHAR(160)," "),5) &amp; "|" &amp;
      TRIM(SUBSTITUTE($P$2:$P$206,CHAR(160)," ")),
      $Q$2:$Q$206
    )
  ),
"")</f>
        <v/>
      </c>
      <c r="K128" s="52" t="str" cm="1">
        <f t="array" ref="K128">IFERROR(
  VALUE($I128) *
  VALUE(
    _xlfn.XLOOKUP(
      TRIM($G128) &amp; "|" &amp; LEFT(SUBSTITUTE($H128,CHAR(160)," "),5) &amp; "|Reduced Rate",
      TRIM(SUBSTITUTE($N$2:$N$206,CHAR(160)," ")) &amp; "|" &amp;
      LEFT(SUBSTITUTE($O$2:$O$206,CHAR(160)," "),5) &amp; "|" &amp;
      TRIM(SUBSTITUTE($P$2:$P$206,CHAR(160)," ")),
      $Q$2:$Q$206
    )
  ),
"")</f>
        <v/>
      </c>
      <c r="L128" s="32" t="str">
        <f t="shared" si="2"/>
        <v/>
      </c>
    </row>
    <row r="129" spans="2:12" x14ac:dyDescent="0.2">
      <c r="B129" s="5"/>
      <c r="J129" s="52" t="str" cm="1">
        <f t="array" ref="J129">IFERROR(
  VALUE($I129) *
  VALUE(
    _xlfn.XLOOKUP(
      TRIM($G129) &amp; "|" &amp; LEFT(SUBSTITUTE($H129,CHAR(160)," "),5) &amp; "|Full Rate",
      TRIM(SUBSTITUTE($N$2:$N$206,CHAR(160)," ")) &amp; "|" &amp;
      LEFT(SUBSTITUTE($O$2:$O$206,CHAR(160)," "),5) &amp; "|" &amp;
      TRIM(SUBSTITUTE($P$2:$P$206,CHAR(160)," ")),
      $Q$2:$Q$206
    )
  ),
"")</f>
        <v/>
      </c>
      <c r="K129" s="52" t="str" cm="1">
        <f t="array" ref="K129">IFERROR(
  VALUE($I129) *
  VALUE(
    _xlfn.XLOOKUP(
      TRIM($G129) &amp; "|" &amp; LEFT(SUBSTITUTE($H129,CHAR(160)," "),5) &amp; "|Reduced Rate",
      TRIM(SUBSTITUTE($N$2:$N$206,CHAR(160)," ")) &amp; "|" &amp;
      LEFT(SUBSTITUTE($O$2:$O$206,CHAR(160)," "),5) &amp; "|" &amp;
      TRIM(SUBSTITUTE($P$2:$P$206,CHAR(160)," ")),
      $Q$2:$Q$206
    )
  ),
"")</f>
        <v/>
      </c>
      <c r="L129" s="32" t="str">
        <f t="shared" si="2"/>
        <v/>
      </c>
    </row>
    <row r="130" spans="2:12" x14ac:dyDescent="0.2">
      <c r="B130" s="5"/>
      <c r="J130" s="52" t="str" cm="1">
        <f t="array" ref="J130">IFERROR(
  VALUE($I130) *
  VALUE(
    _xlfn.XLOOKUP(
      TRIM($G130) &amp; "|" &amp; LEFT(SUBSTITUTE($H130,CHAR(160)," "),5) &amp; "|Full Rate",
      TRIM(SUBSTITUTE($N$2:$N$206,CHAR(160)," ")) &amp; "|" &amp;
      LEFT(SUBSTITUTE($O$2:$O$206,CHAR(160)," "),5) &amp; "|" &amp;
      TRIM(SUBSTITUTE($P$2:$P$206,CHAR(160)," ")),
      $Q$2:$Q$206
    )
  ),
"")</f>
        <v/>
      </c>
      <c r="K130" s="52" t="str" cm="1">
        <f t="array" ref="K130">IFERROR(
  VALUE($I130) *
  VALUE(
    _xlfn.XLOOKUP(
      TRIM($G130) &amp; "|" &amp; LEFT(SUBSTITUTE($H130,CHAR(160)," "),5) &amp; "|Reduced Rate",
      TRIM(SUBSTITUTE($N$2:$N$206,CHAR(160)," ")) &amp; "|" &amp;
      LEFT(SUBSTITUTE($O$2:$O$206,CHAR(160)," "),5) &amp; "|" &amp;
      TRIM(SUBSTITUTE($P$2:$P$206,CHAR(160)," ")),
      $Q$2:$Q$206
    )
  ),
"")</f>
        <v/>
      </c>
      <c r="L130" s="32" t="str">
        <f t="shared" si="2"/>
        <v/>
      </c>
    </row>
    <row r="131" spans="2:12" x14ac:dyDescent="0.2">
      <c r="B131" s="5"/>
      <c r="J131" s="52" t="str" cm="1">
        <f t="array" ref="J131">IFERROR(
  VALUE($I131) *
  VALUE(
    _xlfn.XLOOKUP(
      TRIM($G131) &amp; "|" &amp; LEFT(SUBSTITUTE($H131,CHAR(160)," "),5) &amp; "|Full Rate",
      TRIM(SUBSTITUTE($N$2:$N$206,CHAR(160)," ")) &amp; "|" &amp;
      LEFT(SUBSTITUTE($O$2:$O$206,CHAR(160)," "),5) &amp; "|" &amp;
      TRIM(SUBSTITUTE($P$2:$P$206,CHAR(160)," ")),
      $Q$2:$Q$206
    )
  ),
"")</f>
        <v/>
      </c>
      <c r="K131" s="52" t="str" cm="1">
        <f t="array" ref="K131">IFERROR(
  VALUE($I131) *
  VALUE(
    _xlfn.XLOOKUP(
      TRIM($G131) &amp; "|" &amp; LEFT(SUBSTITUTE($H131,CHAR(160)," "),5) &amp; "|Reduced Rate",
      TRIM(SUBSTITUTE($N$2:$N$206,CHAR(160)," ")) &amp; "|" &amp;
      LEFT(SUBSTITUTE($O$2:$O$206,CHAR(160)," "),5) &amp; "|" &amp;
      TRIM(SUBSTITUTE($P$2:$P$206,CHAR(160)," ")),
      $Q$2:$Q$206
    )
  ),
"")</f>
        <v/>
      </c>
      <c r="L131" s="32" t="str">
        <f t="shared" si="2"/>
        <v/>
      </c>
    </row>
    <row r="132" spans="2:12" x14ac:dyDescent="0.2">
      <c r="B132" s="5"/>
      <c r="J132" s="52" t="str" cm="1">
        <f t="array" ref="J132">IFERROR(
  VALUE($I132) *
  VALUE(
    _xlfn.XLOOKUP(
      TRIM($G132) &amp; "|" &amp; LEFT(SUBSTITUTE($H132,CHAR(160)," "),5) &amp; "|Full Rate",
      TRIM(SUBSTITUTE($N$2:$N$206,CHAR(160)," ")) &amp; "|" &amp;
      LEFT(SUBSTITUTE($O$2:$O$206,CHAR(160)," "),5) &amp; "|" &amp;
      TRIM(SUBSTITUTE($P$2:$P$206,CHAR(160)," ")),
      $Q$2:$Q$206
    )
  ),
"")</f>
        <v/>
      </c>
      <c r="K132" s="52" t="str" cm="1">
        <f t="array" ref="K132">IFERROR(
  VALUE($I132) *
  VALUE(
    _xlfn.XLOOKUP(
      TRIM($G132) &amp; "|" &amp; LEFT(SUBSTITUTE($H132,CHAR(160)," "),5) &amp; "|Reduced Rate",
      TRIM(SUBSTITUTE($N$2:$N$206,CHAR(160)," ")) &amp; "|" &amp;
      LEFT(SUBSTITUTE($O$2:$O$206,CHAR(160)," "),5) &amp; "|" &amp;
      TRIM(SUBSTITUTE($P$2:$P$206,CHAR(160)," ")),
      $Q$2:$Q$206
    )
  ),
"")</f>
        <v/>
      </c>
      <c r="L132" s="32" t="str">
        <f t="shared" si="2"/>
        <v/>
      </c>
    </row>
    <row r="133" spans="2:12" x14ac:dyDescent="0.2">
      <c r="B133" s="5"/>
      <c r="J133" s="52" t="str" cm="1">
        <f t="array" ref="J133">IFERROR(
  VALUE($I133) *
  VALUE(
    _xlfn.XLOOKUP(
      TRIM($G133) &amp; "|" &amp; LEFT(SUBSTITUTE($H133,CHAR(160)," "),5) &amp; "|Full Rate",
      TRIM(SUBSTITUTE($N$2:$N$206,CHAR(160)," ")) &amp; "|" &amp;
      LEFT(SUBSTITUTE($O$2:$O$206,CHAR(160)," "),5) &amp; "|" &amp;
      TRIM(SUBSTITUTE($P$2:$P$206,CHAR(160)," ")),
      $Q$2:$Q$206
    )
  ),
"")</f>
        <v/>
      </c>
      <c r="K133" s="52" t="str" cm="1">
        <f t="array" ref="K133">IFERROR(
  VALUE($I133) *
  VALUE(
    _xlfn.XLOOKUP(
      TRIM($G133) &amp; "|" &amp; LEFT(SUBSTITUTE($H133,CHAR(160)," "),5) &amp; "|Reduced Rate",
      TRIM(SUBSTITUTE($N$2:$N$206,CHAR(160)," ")) &amp; "|" &amp;
      LEFT(SUBSTITUTE($O$2:$O$206,CHAR(160)," "),5) &amp; "|" &amp;
      TRIM(SUBSTITUTE($P$2:$P$206,CHAR(160)," ")),
      $Q$2:$Q$206
    )
  ),
"")</f>
        <v/>
      </c>
      <c r="L133" s="32" t="str">
        <f t="shared" si="2"/>
        <v/>
      </c>
    </row>
    <row r="134" spans="2:12" x14ac:dyDescent="0.2">
      <c r="B134" s="5"/>
      <c r="J134" s="52" t="str" cm="1">
        <f t="array" ref="J134">IFERROR(
  VALUE($I134) *
  VALUE(
    _xlfn.XLOOKUP(
      TRIM($G134) &amp; "|" &amp; LEFT(SUBSTITUTE($H134,CHAR(160)," "),5) &amp; "|Full Rate",
      TRIM(SUBSTITUTE($N$2:$N$206,CHAR(160)," ")) &amp; "|" &amp;
      LEFT(SUBSTITUTE($O$2:$O$206,CHAR(160)," "),5) &amp; "|" &amp;
      TRIM(SUBSTITUTE($P$2:$P$206,CHAR(160)," ")),
      $Q$2:$Q$206
    )
  ),
"")</f>
        <v/>
      </c>
      <c r="K134" s="52" t="str" cm="1">
        <f t="array" ref="K134">IFERROR(
  VALUE($I134) *
  VALUE(
    _xlfn.XLOOKUP(
      TRIM($G134) &amp; "|" &amp; LEFT(SUBSTITUTE($H134,CHAR(160)," "),5) &amp; "|Reduced Rate",
      TRIM(SUBSTITUTE($N$2:$N$206,CHAR(160)," ")) &amp; "|" &amp;
      LEFT(SUBSTITUTE($O$2:$O$206,CHAR(160)," "),5) &amp; "|" &amp;
      TRIM(SUBSTITUTE($P$2:$P$206,CHAR(160)," ")),
      $Q$2:$Q$206
    )
  ),
"")</f>
        <v/>
      </c>
      <c r="L134" s="32" t="str">
        <f t="shared" si="2"/>
        <v/>
      </c>
    </row>
    <row r="135" spans="2:12" x14ac:dyDescent="0.2">
      <c r="B135" s="5"/>
      <c r="J135" s="52" t="str" cm="1">
        <f t="array" ref="J135">IFERROR(
  VALUE($I135) *
  VALUE(
    _xlfn.XLOOKUP(
      TRIM($G135) &amp; "|" &amp; LEFT(SUBSTITUTE($H135,CHAR(160)," "),5) &amp; "|Full Rate",
      TRIM(SUBSTITUTE($N$2:$N$206,CHAR(160)," ")) &amp; "|" &amp;
      LEFT(SUBSTITUTE($O$2:$O$206,CHAR(160)," "),5) &amp; "|" &amp;
      TRIM(SUBSTITUTE($P$2:$P$206,CHAR(160)," ")),
      $Q$2:$Q$206
    )
  ),
"")</f>
        <v/>
      </c>
      <c r="K135" s="52" t="str" cm="1">
        <f t="array" ref="K135">IFERROR(
  VALUE($I135) *
  VALUE(
    _xlfn.XLOOKUP(
      TRIM($G135) &amp; "|" &amp; LEFT(SUBSTITUTE($H135,CHAR(160)," "),5) &amp; "|Reduced Rate",
      TRIM(SUBSTITUTE($N$2:$N$206,CHAR(160)," ")) &amp; "|" &amp;
      LEFT(SUBSTITUTE($O$2:$O$206,CHAR(160)," "),5) &amp; "|" &amp;
      TRIM(SUBSTITUTE($P$2:$P$206,CHAR(160)," ")),
      $Q$2:$Q$206
    )
  ),
"")</f>
        <v/>
      </c>
      <c r="L135" s="32" t="str">
        <f t="shared" si="2"/>
        <v/>
      </c>
    </row>
    <row r="136" spans="2:12" x14ac:dyDescent="0.2">
      <c r="B136" s="5"/>
      <c r="J136" s="52" t="str" cm="1">
        <f t="array" ref="J136">IFERROR(
  VALUE($I136) *
  VALUE(
    _xlfn.XLOOKUP(
      TRIM($G136) &amp; "|" &amp; LEFT(SUBSTITUTE($H136,CHAR(160)," "),5) &amp; "|Full Rate",
      TRIM(SUBSTITUTE($N$2:$N$206,CHAR(160)," ")) &amp; "|" &amp;
      LEFT(SUBSTITUTE($O$2:$O$206,CHAR(160)," "),5) &amp; "|" &amp;
      TRIM(SUBSTITUTE($P$2:$P$206,CHAR(160)," ")),
      $Q$2:$Q$206
    )
  ),
"")</f>
        <v/>
      </c>
      <c r="K136" s="52" t="str" cm="1">
        <f t="array" ref="K136">IFERROR(
  VALUE($I136) *
  VALUE(
    _xlfn.XLOOKUP(
      TRIM($G136) &amp; "|" &amp; LEFT(SUBSTITUTE($H136,CHAR(160)," "),5) &amp; "|Reduced Rate",
      TRIM(SUBSTITUTE($N$2:$N$206,CHAR(160)," ")) &amp; "|" &amp;
      LEFT(SUBSTITUTE($O$2:$O$206,CHAR(160)," "),5) &amp; "|" &amp;
      TRIM(SUBSTITUTE($P$2:$P$206,CHAR(160)," ")),
      $Q$2:$Q$206
    )
  ),
"")</f>
        <v/>
      </c>
      <c r="L136" s="32" t="str">
        <f t="shared" si="2"/>
        <v/>
      </c>
    </row>
    <row r="137" spans="2:12" x14ac:dyDescent="0.2">
      <c r="B137" s="5"/>
      <c r="J137" s="52" t="str" cm="1">
        <f t="array" ref="J137">IFERROR(
  VALUE($I137) *
  VALUE(
    _xlfn.XLOOKUP(
      TRIM($G137) &amp; "|" &amp; LEFT(SUBSTITUTE($H137,CHAR(160)," "),5) &amp; "|Full Rate",
      TRIM(SUBSTITUTE($N$2:$N$206,CHAR(160)," ")) &amp; "|" &amp;
      LEFT(SUBSTITUTE($O$2:$O$206,CHAR(160)," "),5) &amp; "|" &amp;
      TRIM(SUBSTITUTE($P$2:$P$206,CHAR(160)," ")),
      $Q$2:$Q$206
    )
  ),
"")</f>
        <v/>
      </c>
      <c r="K137" s="52" t="str" cm="1">
        <f t="array" ref="K137">IFERROR(
  VALUE($I137) *
  VALUE(
    _xlfn.XLOOKUP(
      TRIM($G137) &amp; "|" &amp; LEFT(SUBSTITUTE($H137,CHAR(160)," "),5) &amp; "|Reduced Rate",
      TRIM(SUBSTITUTE($N$2:$N$206,CHAR(160)," ")) &amp; "|" &amp;
      LEFT(SUBSTITUTE($O$2:$O$206,CHAR(160)," "),5) &amp; "|" &amp;
      TRIM(SUBSTITUTE($P$2:$P$206,CHAR(160)," ")),
      $Q$2:$Q$206
    )
  ),
"")</f>
        <v/>
      </c>
      <c r="L137" s="32" t="str">
        <f t="shared" si="2"/>
        <v/>
      </c>
    </row>
    <row r="138" spans="2:12" x14ac:dyDescent="0.2">
      <c r="B138" s="5"/>
      <c r="J138" s="52" t="str" cm="1">
        <f t="array" ref="J138">IFERROR(
  VALUE($I138) *
  VALUE(
    _xlfn.XLOOKUP(
      TRIM($G138) &amp; "|" &amp; LEFT(SUBSTITUTE($H138,CHAR(160)," "),5) &amp; "|Full Rate",
      TRIM(SUBSTITUTE($N$2:$N$206,CHAR(160)," ")) &amp; "|" &amp;
      LEFT(SUBSTITUTE($O$2:$O$206,CHAR(160)," "),5) &amp; "|" &amp;
      TRIM(SUBSTITUTE($P$2:$P$206,CHAR(160)," ")),
      $Q$2:$Q$206
    )
  ),
"")</f>
        <v/>
      </c>
      <c r="K138" s="52" t="str" cm="1">
        <f t="array" ref="K138">IFERROR(
  VALUE($I138) *
  VALUE(
    _xlfn.XLOOKUP(
      TRIM($G138) &amp; "|" &amp; LEFT(SUBSTITUTE($H138,CHAR(160)," "),5) &amp; "|Reduced Rate",
      TRIM(SUBSTITUTE($N$2:$N$206,CHAR(160)," ")) &amp; "|" &amp;
      LEFT(SUBSTITUTE($O$2:$O$206,CHAR(160)," "),5) &amp; "|" &amp;
      TRIM(SUBSTITUTE($P$2:$P$206,CHAR(160)," ")),
      $Q$2:$Q$206
    )
  ),
"")</f>
        <v/>
      </c>
      <c r="L138" s="32" t="str">
        <f t="shared" si="2"/>
        <v/>
      </c>
    </row>
    <row r="139" spans="2:12" x14ac:dyDescent="0.2">
      <c r="B139" s="5"/>
      <c r="J139" s="52" t="str" cm="1">
        <f t="array" ref="J139">IFERROR(
  VALUE($I139) *
  VALUE(
    _xlfn.XLOOKUP(
      TRIM($G139) &amp; "|" &amp; LEFT(SUBSTITUTE($H139,CHAR(160)," "),5) &amp; "|Full Rate",
      TRIM(SUBSTITUTE($N$2:$N$206,CHAR(160)," ")) &amp; "|" &amp;
      LEFT(SUBSTITUTE($O$2:$O$206,CHAR(160)," "),5) &amp; "|" &amp;
      TRIM(SUBSTITUTE($P$2:$P$206,CHAR(160)," ")),
      $Q$2:$Q$206
    )
  ),
"")</f>
        <v/>
      </c>
      <c r="K139" s="52" t="str" cm="1">
        <f t="array" ref="K139">IFERROR(
  VALUE($I139) *
  VALUE(
    _xlfn.XLOOKUP(
      TRIM($G139) &amp; "|" &amp; LEFT(SUBSTITUTE($H139,CHAR(160)," "),5) &amp; "|Reduced Rate",
      TRIM(SUBSTITUTE($N$2:$N$206,CHAR(160)," ")) &amp; "|" &amp;
      LEFT(SUBSTITUTE($O$2:$O$206,CHAR(160)," "),5) &amp; "|" &amp;
      TRIM(SUBSTITUTE($P$2:$P$206,CHAR(160)," ")),
      $Q$2:$Q$206
    )
  ),
"")</f>
        <v/>
      </c>
      <c r="L139" s="32" t="str">
        <f t="shared" si="2"/>
        <v/>
      </c>
    </row>
    <row r="140" spans="2:12" x14ac:dyDescent="0.2">
      <c r="B140" s="5"/>
      <c r="J140" s="52" t="str" cm="1">
        <f t="array" ref="J140">IFERROR(
  VALUE($I140) *
  VALUE(
    _xlfn.XLOOKUP(
      TRIM($G140) &amp; "|" &amp; LEFT(SUBSTITUTE($H140,CHAR(160)," "),5) &amp; "|Full Rate",
      TRIM(SUBSTITUTE($N$2:$N$206,CHAR(160)," ")) &amp; "|" &amp;
      LEFT(SUBSTITUTE($O$2:$O$206,CHAR(160)," "),5) &amp; "|" &amp;
      TRIM(SUBSTITUTE($P$2:$P$206,CHAR(160)," ")),
      $Q$2:$Q$206
    )
  ),
"")</f>
        <v/>
      </c>
      <c r="K140" s="52" t="str" cm="1">
        <f t="array" ref="K140">IFERROR(
  VALUE($I140) *
  VALUE(
    _xlfn.XLOOKUP(
      TRIM($G140) &amp; "|" &amp; LEFT(SUBSTITUTE($H140,CHAR(160)," "),5) &amp; "|Reduced Rate",
      TRIM(SUBSTITUTE($N$2:$N$206,CHAR(160)," ")) &amp; "|" &amp;
      LEFT(SUBSTITUTE($O$2:$O$206,CHAR(160)," "),5) &amp; "|" &amp;
      TRIM(SUBSTITUTE($P$2:$P$206,CHAR(160)," ")),
      $Q$2:$Q$206
    )
  ),
"")</f>
        <v/>
      </c>
      <c r="L140" s="32" t="str">
        <f t="shared" si="2"/>
        <v/>
      </c>
    </row>
    <row r="141" spans="2:12" x14ac:dyDescent="0.2">
      <c r="B141" s="5"/>
      <c r="J141" s="52" t="str" cm="1">
        <f t="array" ref="J141">IFERROR(
  VALUE($I141) *
  VALUE(
    _xlfn.XLOOKUP(
      TRIM($G141) &amp; "|" &amp; LEFT(SUBSTITUTE($H141,CHAR(160)," "),5) &amp; "|Full Rate",
      TRIM(SUBSTITUTE($N$2:$N$206,CHAR(160)," ")) &amp; "|" &amp;
      LEFT(SUBSTITUTE($O$2:$O$206,CHAR(160)," "),5) &amp; "|" &amp;
      TRIM(SUBSTITUTE($P$2:$P$206,CHAR(160)," ")),
      $Q$2:$Q$206
    )
  ),
"")</f>
        <v/>
      </c>
      <c r="K141" s="52" t="str" cm="1">
        <f t="array" ref="K141">IFERROR(
  VALUE($I141) *
  VALUE(
    _xlfn.XLOOKUP(
      TRIM($G141) &amp; "|" &amp; LEFT(SUBSTITUTE($H141,CHAR(160)," "),5) &amp; "|Reduced Rate",
      TRIM(SUBSTITUTE($N$2:$N$206,CHAR(160)," ")) &amp; "|" &amp;
      LEFT(SUBSTITUTE($O$2:$O$206,CHAR(160)," "),5) &amp; "|" &amp;
      TRIM(SUBSTITUTE($P$2:$P$206,CHAR(160)," ")),
      $Q$2:$Q$206
    )
  ),
"")</f>
        <v/>
      </c>
      <c r="L141" s="32" t="str">
        <f t="shared" si="2"/>
        <v/>
      </c>
    </row>
    <row r="142" spans="2:12" x14ac:dyDescent="0.2">
      <c r="B142" s="5"/>
      <c r="J142" s="52" t="str" cm="1">
        <f t="array" ref="J142">IFERROR(
  VALUE($I142) *
  VALUE(
    _xlfn.XLOOKUP(
      TRIM($G142) &amp; "|" &amp; LEFT(SUBSTITUTE($H142,CHAR(160)," "),5) &amp; "|Full Rate",
      TRIM(SUBSTITUTE($N$2:$N$206,CHAR(160)," ")) &amp; "|" &amp;
      LEFT(SUBSTITUTE($O$2:$O$206,CHAR(160)," "),5) &amp; "|" &amp;
      TRIM(SUBSTITUTE($P$2:$P$206,CHAR(160)," ")),
      $Q$2:$Q$206
    )
  ),
"")</f>
        <v/>
      </c>
      <c r="K142" s="52" t="str" cm="1">
        <f t="array" ref="K142">IFERROR(
  VALUE($I142) *
  VALUE(
    _xlfn.XLOOKUP(
      TRIM($G142) &amp; "|" &amp; LEFT(SUBSTITUTE($H142,CHAR(160)," "),5) &amp; "|Reduced Rate",
      TRIM(SUBSTITUTE($N$2:$N$206,CHAR(160)," ")) &amp; "|" &amp;
      LEFT(SUBSTITUTE($O$2:$O$206,CHAR(160)," "),5) &amp; "|" &amp;
      TRIM(SUBSTITUTE($P$2:$P$206,CHAR(160)," ")),
      $Q$2:$Q$206
    )
  ),
"")</f>
        <v/>
      </c>
      <c r="L142" s="32" t="str">
        <f t="shared" si="2"/>
        <v/>
      </c>
    </row>
    <row r="143" spans="2:12" x14ac:dyDescent="0.2">
      <c r="B143" s="5"/>
      <c r="J143" s="52" t="str" cm="1">
        <f t="array" ref="J143">IFERROR(
  VALUE($I143) *
  VALUE(
    _xlfn.XLOOKUP(
      TRIM($G143) &amp; "|" &amp; LEFT(SUBSTITUTE($H143,CHAR(160)," "),5) &amp; "|Full Rate",
      TRIM(SUBSTITUTE($N$2:$N$206,CHAR(160)," ")) &amp; "|" &amp;
      LEFT(SUBSTITUTE($O$2:$O$206,CHAR(160)," "),5) &amp; "|" &amp;
      TRIM(SUBSTITUTE($P$2:$P$206,CHAR(160)," ")),
      $Q$2:$Q$206
    )
  ),
"")</f>
        <v/>
      </c>
      <c r="K143" s="52" t="str" cm="1">
        <f t="array" ref="K143">IFERROR(
  VALUE($I143) *
  VALUE(
    _xlfn.XLOOKUP(
      TRIM($G143) &amp; "|" &amp; LEFT(SUBSTITUTE($H143,CHAR(160)," "),5) &amp; "|Reduced Rate",
      TRIM(SUBSTITUTE($N$2:$N$206,CHAR(160)," ")) &amp; "|" &amp;
      LEFT(SUBSTITUTE($O$2:$O$206,CHAR(160)," "),5) &amp; "|" &amp;
      TRIM(SUBSTITUTE($P$2:$P$206,CHAR(160)," ")),
      $Q$2:$Q$206
    )
  ),
"")</f>
        <v/>
      </c>
      <c r="L143" s="32" t="str">
        <f t="shared" si="2"/>
        <v/>
      </c>
    </row>
    <row r="144" spans="2:12" x14ac:dyDescent="0.2">
      <c r="B144" s="5"/>
      <c r="J144" s="52" t="str" cm="1">
        <f t="array" ref="J144">IFERROR(
  VALUE($I144) *
  VALUE(
    _xlfn.XLOOKUP(
      TRIM($G144) &amp; "|" &amp; LEFT(SUBSTITUTE($H144,CHAR(160)," "),5) &amp; "|Full Rate",
      TRIM(SUBSTITUTE($N$2:$N$206,CHAR(160)," ")) &amp; "|" &amp;
      LEFT(SUBSTITUTE($O$2:$O$206,CHAR(160)," "),5) &amp; "|" &amp;
      TRIM(SUBSTITUTE($P$2:$P$206,CHAR(160)," ")),
      $Q$2:$Q$206
    )
  ),
"")</f>
        <v/>
      </c>
      <c r="K144" s="52" t="str" cm="1">
        <f t="array" ref="K144">IFERROR(
  VALUE($I144) *
  VALUE(
    _xlfn.XLOOKUP(
      TRIM($G144) &amp; "|" &amp; LEFT(SUBSTITUTE($H144,CHAR(160)," "),5) &amp; "|Reduced Rate",
      TRIM(SUBSTITUTE($N$2:$N$206,CHAR(160)," ")) &amp; "|" &amp;
      LEFT(SUBSTITUTE($O$2:$O$206,CHAR(160)," "),5) &amp; "|" &amp;
      TRIM(SUBSTITUTE($P$2:$P$206,CHAR(160)," ")),
      $Q$2:$Q$206
    )
  ),
"")</f>
        <v/>
      </c>
      <c r="L144" s="32" t="str">
        <f t="shared" si="2"/>
        <v/>
      </c>
    </row>
    <row r="145" spans="2:12" x14ac:dyDescent="0.2">
      <c r="B145" s="5"/>
      <c r="J145" s="52" t="str" cm="1">
        <f t="array" ref="J145">IFERROR(
  VALUE($I145) *
  VALUE(
    _xlfn.XLOOKUP(
      TRIM($G145) &amp; "|" &amp; LEFT(SUBSTITUTE($H145,CHAR(160)," "),5) &amp; "|Full Rate",
      TRIM(SUBSTITUTE($N$2:$N$206,CHAR(160)," ")) &amp; "|" &amp;
      LEFT(SUBSTITUTE($O$2:$O$206,CHAR(160)," "),5) &amp; "|" &amp;
      TRIM(SUBSTITUTE($P$2:$P$206,CHAR(160)," ")),
      $Q$2:$Q$206
    )
  ),
"")</f>
        <v/>
      </c>
      <c r="K145" s="52" t="str" cm="1">
        <f t="array" ref="K145">IFERROR(
  VALUE($I145) *
  VALUE(
    _xlfn.XLOOKUP(
      TRIM($G145) &amp; "|" &amp; LEFT(SUBSTITUTE($H145,CHAR(160)," "),5) &amp; "|Reduced Rate",
      TRIM(SUBSTITUTE($N$2:$N$206,CHAR(160)," ")) &amp; "|" &amp;
      LEFT(SUBSTITUTE($O$2:$O$206,CHAR(160)," "),5) &amp; "|" &amp;
      TRIM(SUBSTITUTE($P$2:$P$206,CHAR(160)," ")),
      $Q$2:$Q$206
    )
  ),
"")</f>
        <v/>
      </c>
      <c r="L145" s="32" t="str">
        <f t="shared" si="2"/>
        <v/>
      </c>
    </row>
    <row r="146" spans="2:12" x14ac:dyDescent="0.2">
      <c r="B146" s="5"/>
      <c r="J146" s="52" t="str" cm="1">
        <f t="array" ref="J146">IFERROR(
  VALUE($I146) *
  VALUE(
    _xlfn.XLOOKUP(
      TRIM($G146) &amp; "|" &amp; LEFT(SUBSTITUTE($H146,CHAR(160)," "),5) &amp; "|Full Rate",
      TRIM(SUBSTITUTE($N$2:$N$206,CHAR(160)," ")) &amp; "|" &amp;
      LEFT(SUBSTITUTE($O$2:$O$206,CHAR(160)," "),5) &amp; "|" &amp;
      TRIM(SUBSTITUTE($P$2:$P$206,CHAR(160)," ")),
      $Q$2:$Q$206
    )
  ),
"")</f>
        <v/>
      </c>
      <c r="K146" s="52" t="str" cm="1">
        <f t="array" ref="K146">IFERROR(
  VALUE($I146) *
  VALUE(
    _xlfn.XLOOKUP(
      TRIM($G146) &amp; "|" &amp; LEFT(SUBSTITUTE($H146,CHAR(160)," "),5) &amp; "|Reduced Rate",
      TRIM(SUBSTITUTE($N$2:$N$206,CHAR(160)," ")) &amp; "|" &amp;
      LEFT(SUBSTITUTE($O$2:$O$206,CHAR(160)," "),5) &amp; "|" &amp;
      TRIM(SUBSTITUTE($P$2:$P$206,CHAR(160)," ")),
      $Q$2:$Q$206
    )
  ),
"")</f>
        <v/>
      </c>
      <c r="L146" s="32" t="str">
        <f t="shared" si="2"/>
        <v/>
      </c>
    </row>
    <row r="147" spans="2:12" x14ac:dyDescent="0.2">
      <c r="B147" s="5"/>
      <c r="J147" s="52" t="str" cm="1">
        <f t="array" ref="J147">IFERROR(
  VALUE($I147) *
  VALUE(
    _xlfn.XLOOKUP(
      TRIM($G147) &amp; "|" &amp; LEFT(SUBSTITUTE($H147,CHAR(160)," "),5) &amp; "|Full Rate",
      TRIM(SUBSTITUTE($N$2:$N$206,CHAR(160)," ")) &amp; "|" &amp;
      LEFT(SUBSTITUTE($O$2:$O$206,CHAR(160)," "),5) &amp; "|" &amp;
      TRIM(SUBSTITUTE($P$2:$P$206,CHAR(160)," ")),
      $Q$2:$Q$206
    )
  ),
"")</f>
        <v/>
      </c>
      <c r="K147" s="52" t="str" cm="1">
        <f t="array" ref="K147">IFERROR(
  VALUE($I147) *
  VALUE(
    _xlfn.XLOOKUP(
      TRIM($G147) &amp; "|" &amp; LEFT(SUBSTITUTE($H147,CHAR(160)," "),5) &amp; "|Reduced Rate",
      TRIM(SUBSTITUTE($N$2:$N$206,CHAR(160)," ")) &amp; "|" &amp;
      LEFT(SUBSTITUTE($O$2:$O$206,CHAR(160)," "),5) &amp; "|" &amp;
      TRIM(SUBSTITUTE($P$2:$P$206,CHAR(160)," ")),
      $Q$2:$Q$206
    )
  ),
"")</f>
        <v/>
      </c>
      <c r="L147" s="32" t="str">
        <f t="shared" si="2"/>
        <v/>
      </c>
    </row>
    <row r="148" spans="2:12" x14ac:dyDescent="0.2">
      <c r="B148" s="5"/>
      <c r="J148" s="52" t="str" cm="1">
        <f t="array" ref="J148">IFERROR(
  VALUE($I148) *
  VALUE(
    _xlfn.XLOOKUP(
      TRIM($G148) &amp; "|" &amp; LEFT(SUBSTITUTE($H148,CHAR(160)," "),5) &amp; "|Full Rate",
      TRIM(SUBSTITUTE($N$2:$N$206,CHAR(160)," ")) &amp; "|" &amp;
      LEFT(SUBSTITUTE($O$2:$O$206,CHAR(160)," "),5) &amp; "|" &amp;
      TRIM(SUBSTITUTE($P$2:$P$206,CHAR(160)," ")),
      $Q$2:$Q$206
    )
  ),
"")</f>
        <v/>
      </c>
      <c r="K148" s="52" t="str" cm="1">
        <f t="array" ref="K148">IFERROR(
  VALUE($I148) *
  VALUE(
    _xlfn.XLOOKUP(
      TRIM($G148) &amp; "|" &amp; LEFT(SUBSTITUTE($H148,CHAR(160)," "),5) &amp; "|Reduced Rate",
      TRIM(SUBSTITUTE($N$2:$N$206,CHAR(160)," ")) &amp; "|" &amp;
      LEFT(SUBSTITUTE($O$2:$O$206,CHAR(160)," "),5) &amp; "|" &amp;
      TRIM(SUBSTITUTE($P$2:$P$206,CHAR(160)," ")),
      $Q$2:$Q$206
    )
  ),
"")</f>
        <v/>
      </c>
      <c r="L148" s="32" t="str">
        <f t="shared" si="2"/>
        <v/>
      </c>
    </row>
    <row r="149" spans="2:12" x14ac:dyDescent="0.2">
      <c r="B149" s="5"/>
      <c r="J149" s="52" t="str" cm="1">
        <f t="array" ref="J149">IFERROR(
  VALUE($I149) *
  VALUE(
    _xlfn.XLOOKUP(
      TRIM($G149) &amp; "|" &amp; LEFT(SUBSTITUTE($H149,CHAR(160)," "),5) &amp; "|Full Rate",
      TRIM(SUBSTITUTE($N$2:$N$206,CHAR(160)," ")) &amp; "|" &amp;
      LEFT(SUBSTITUTE($O$2:$O$206,CHAR(160)," "),5) &amp; "|" &amp;
      TRIM(SUBSTITUTE($P$2:$P$206,CHAR(160)," ")),
      $Q$2:$Q$206
    )
  ),
"")</f>
        <v/>
      </c>
      <c r="K149" s="52" t="str" cm="1">
        <f t="array" ref="K149">IFERROR(
  VALUE($I149) *
  VALUE(
    _xlfn.XLOOKUP(
      TRIM($G149) &amp; "|" &amp; LEFT(SUBSTITUTE($H149,CHAR(160)," "),5) &amp; "|Reduced Rate",
      TRIM(SUBSTITUTE($N$2:$N$206,CHAR(160)," ")) &amp; "|" &amp;
      LEFT(SUBSTITUTE($O$2:$O$206,CHAR(160)," "),5) &amp; "|" &amp;
      TRIM(SUBSTITUTE($P$2:$P$206,CHAR(160)," ")),
      $Q$2:$Q$206
    )
  ),
"")</f>
        <v/>
      </c>
      <c r="L149" s="32" t="str">
        <f t="shared" si="2"/>
        <v/>
      </c>
    </row>
    <row r="150" spans="2:12" x14ac:dyDescent="0.2">
      <c r="B150" s="5"/>
      <c r="J150" s="52" t="str" cm="1">
        <f t="array" ref="J150">IFERROR(
  VALUE($I150) *
  VALUE(
    _xlfn.XLOOKUP(
      TRIM($G150) &amp; "|" &amp; LEFT(SUBSTITUTE($H150,CHAR(160)," "),5) &amp; "|Full Rate",
      TRIM(SUBSTITUTE($N$2:$N$206,CHAR(160)," ")) &amp; "|" &amp;
      LEFT(SUBSTITUTE($O$2:$O$206,CHAR(160)," "),5) &amp; "|" &amp;
      TRIM(SUBSTITUTE($P$2:$P$206,CHAR(160)," ")),
      $Q$2:$Q$206
    )
  ),
"")</f>
        <v/>
      </c>
      <c r="K150" s="52" t="str" cm="1">
        <f t="array" ref="K150">IFERROR(
  VALUE($I150) *
  VALUE(
    _xlfn.XLOOKUP(
      TRIM($G150) &amp; "|" &amp; LEFT(SUBSTITUTE($H150,CHAR(160)," "),5) &amp; "|Reduced Rate",
      TRIM(SUBSTITUTE($N$2:$N$206,CHAR(160)," ")) &amp; "|" &amp;
      LEFT(SUBSTITUTE($O$2:$O$206,CHAR(160)," "),5) &amp; "|" &amp;
      TRIM(SUBSTITUTE($P$2:$P$206,CHAR(160)," ")),
      $Q$2:$Q$206
    )
  ),
"")</f>
        <v/>
      </c>
      <c r="L150" s="32" t="str">
        <f t="shared" si="2"/>
        <v/>
      </c>
    </row>
    <row r="151" spans="2:12" x14ac:dyDescent="0.2">
      <c r="B151" s="5"/>
      <c r="J151" s="52" t="str" cm="1">
        <f t="array" ref="J151">IFERROR(
  VALUE($I151) *
  VALUE(
    _xlfn.XLOOKUP(
      TRIM($G151) &amp; "|" &amp; LEFT(SUBSTITUTE($H151,CHAR(160)," "),5) &amp; "|Full Rate",
      TRIM(SUBSTITUTE($N$2:$N$206,CHAR(160)," ")) &amp; "|" &amp;
      LEFT(SUBSTITUTE($O$2:$O$206,CHAR(160)," "),5) &amp; "|" &amp;
      TRIM(SUBSTITUTE($P$2:$P$206,CHAR(160)," ")),
      $Q$2:$Q$206
    )
  ),
"")</f>
        <v/>
      </c>
      <c r="K151" s="52" t="str" cm="1">
        <f t="array" ref="K151">IFERROR(
  VALUE($I151) *
  VALUE(
    _xlfn.XLOOKUP(
      TRIM($G151) &amp; "|" &amp; LEFT(SUBSTITUTE($H151,CHAR(160)," "),5) &amp; "|Reduced Rate",
      TRIM(SUBSTITUTE($N$2:$N$206,CHAR(160)," ")) &amp; "|" &amp;
      LEFT(SUBSTITUTE($O$2:$O$206,CHAR(160)," "),5) &amp; "|" &amp;
      TRIM(SUBSTITUTE($P$2:$P$206,CHAR(160)," ")),
      $Q$2:$Q$206
    )
  ),
"")</f>
        <v/>
      </c>
      <c r="L151" s="32" t="str">
        <f t="shared" si="2"/>
        <v/>
      </c>
    </row>
    <row r="152" spans="2:12" x14ac:dyDescent="0.2">
      <c r="B152" s="5"/>
      <c r="J152" s="52" t="str" cm="1">
        <f t="array" ref="J152">IFERROR(
  VALUE($I152) *
  VALUE(
    _xlfn.XLOOKUP(
      TRIM($G152) &amp; "|" &amp; LEFT(SUBSTITUTE($H152,CHAR(160)," "),5) &amp; "|Full Rate",
      TRIM(SUBSTITUTE($N$2:$N$206,CHAR(160)," ")) &amp; "|" &amp;
      LEFT(SUBSTITUTE($O$2:$O$206,CHAR(160)," "),5) &amp; "|" &amp;
      TRIM(SUBSTITUTE($P$2:$P$206,CHAR(160)," ")),
      $Q$2:$Q$206
    )
  ),
"")</f>
        <v/>
      </c>
      <c r="K152" s="52" t="str" cm="1">
        <f t="array" ref="K152">IFERROR(
  VALUE($I152) *
  VALUE(
    _xlfn.XLOOKUP(
      TRIM($G152) &amp; "|" &amp; LEFT(SUBSTITUTE($H152,CHAR(160)," "),5) &amp; "|Reduced Rate",
      TRIM(SUBSTITUTE($N$2:$N$206,CHAR(160)," ")) &amp; "|" &amp;
      LEFT(SUBSTITUTE($O$2:$O$206,CHAR(160)," "),5) &amp; "|" &amp;
      TRIM(SUBSTITUTE($P$2:$P$206,CHAR(160)," ")),
      $Q$2:$Q$206
    )
  ),
"")</f>
        <v/>
      </c>
      <c r="L152" s="32" t="str">
        <f t="shared" si="2"/>
        <v/>
      </c>
    </row>
    <row r="153" spans="2:12" x14ac:dyDescent="0.2">
      <c r="B153" s="5"/>
      <c r="J153" s="52" t="str" cm="1">
        <f t="array" ref="J153">IFERROR(
  VALUE($I153) *
  VALUE(
    _xlfn.XLOOKUP(
      TRIM($G153) &amp; "|" &amp; LEFT(SUBSTITUTE($H153,CHAR(160)," "),5) &amp; "|Full Rate",
      TRIM(SUBSTITUTE($N$2:$N$206,CHAR(160)," ")) &amp; "|" &amp;
      LEFT(SUBSTITUTE($O$2:$O$206,CHAR(160)," "),5) &amp; "|" &amp;
      TRIM(SUBSTITUTE($P$2:$P$206,CHAR(160)," ")),
      $Q$2:$Q$206
    )
  ),
"")</f>
        <v/>
      </c>
      <c r="K153" s="52" t="str" cm="1">
        <f t="array" ref="K153">IFERROR(
  VALUE($I153) *
  VALUE(
    _xlfn.XLOOKUP(
      TRIM($G153) &amp; "|" &amp; LEFT(SUBSTITUTE($H153,CHAR(160)," "),5) &amp; "|Reduced Rate",
      TRIM(SUBSTITUTE($N$2:$N$206,CHAR(160)," ")) &amp; "|" &amp;
      LEFT(SUBSTITUTE($O$2:$O$206,CHAR(160)," "),5) &amp; "|" &amp;
      TRIM(SUBSTITUTE($P$2:$P$206,CHAR(160)," ")),
      $Q$2:$Q$206
    )
  ),
"")</f>
        <v/>
      </c>
      <c r="L153" s="32" t="str">
        <f t="shared" ref="L153:L184" si="3">IFERROR( VALUE($I153) * INDEX($P$2:$P$5, MATCH(UPPER(TRIM($G153)),$M$2:$M$5,0)), "" )</f>
        <v/>
      </c>
    </row>
    <row r="154" spans="2:12" x14ac:dyDescent="0.2">
      <c r="B154" s="5"/>
      <c r="J154" s="52" t="str" cm="1">
        <f t="array" ref="J154">IFERROR(
  VALUE($I154) *
  VALUE(
    _xlfn.XLOOKUP(
      TRIM($G154) &amp; "|" &amp; LEFT(SUBSTITUTE($H154,CHAR(160)," "),5) &amp; "|Full Rate",
      TRIM(SUBSTITUTE($N$2:$N$206,CHAR(160)," ")) &amp; "|" &amp;
      LEFT(SUBSTITUTE($O$2:$O$206,CHAR(160)," "),5) &amp; "|" &amp;
      TRIM(SUBSTITUTE($P$2:$P$206,CHAR(160)," ")),
      $Q$2:$Q$206
    )
  ),
"")</f>
        <v/>
      </c>
      <c r="K154" s="52" t="str" cm="1">
        <f t="array" ref="K154">IFERROR(
  VALUE($I154) *
  VALUE(
    _xlfn.XLOOKUP(
      TRIM($G154) &amp; "|" &amp; LEFT(SUBSTITUTE($H154,CHAR(160)," "),5) &amp; "|Reduced Rate",
      TRIM(SUBSTITUTE($N$2:$N$206,CHAR(160)," ")) &amp; "|" &amp;
      LEFT(SUBSTITUTE($O$2:$O$206,CHAR(160)," "),5) &amp; "|" &amp;
      TRIM(SUBSTITUTE($P$2:$P$206,CHAR(160)," ")),
      $Q$2:$Q$206
    )
  ),
"")</f>
        <v/>
      </c>
      <c r="L154" s="32" t="str">
        <f t="shared" si="3"/>
        <v/>
      </c>
    </row>
    <row r="155" spans="2:12" x14ac:dyDescent="0.2">
      <c r="B155" s="5"/>
      <c r="J155" s="52" t="str" cm="1">
        <f t="array" ref="J155">IFERROR(
  VALUE($I155) *
  VALUE(
    _xlfn.XLOOKUP(
      TRIM($G155) &amp; "|" &amp; LEFT(SUBSTITUTE($H155,CHAR(160)," "),5) &amp; "|Full Rate",
      TRIM(SUBSTITUTE($N$2:$N$206,CHAR(160)," ")) &amp; "|" &amp;
      LEFT(SUBSTITUTE($O$2:$O$206,CHAR(160)," "),5) &amp; "|" &amp;
      TRIM(SUBSTITUTE($P$2:$P$206,CHAR(160)," ")),
      $Q$2:$Q$206
    )
  ),
"")</f>
        <v/>
      </c>
      <c r="K155" s="52" t="str" cm="1">
        <f t="array" ref="K155">IFERROR(
  VALUE($I155) *
  VALUE(
    _xlfn.XLOOKUP(
      TRIM($G155) &amp; "|" &amp; LEFT(SUBSTITUTE($H155,CHAR(160)," "),5) &amp; "|Reduced Rate",
      TRIM(SUBSTITUTE($N$2:$N$206,CHAR(160)," ")) &amp; "|" &amp;
      LEFT(SUBSTITUTE($O$2:$O$206,CHAR(160)," "),5) &amp; "|" &amp;
      TRIM(SUBSTITUTE($P$2:$P$206,CHAR(160)," ")),
      $Q$2:$Q$206
    )
  ),
"")</f>
        <v/>
      </c>
      <c r="L155" s="32" t="str">
        <f t="shared" si="3"/>
        <v/>
      </c>
    </row>
    <row r="156" spans="2:12" x14ac:dyDescent="0.2">
      <c r="B156" s="5"/>
      <c r="J156" s="52" t="str" cm="1">
        <f t="array" ref="J156">IFERROR(
  VALUE($I156) *
  VALUE(
    _xlfn.XLOOKUP(
      TRIM($G156) &amp; "|" &amp; LEFT(SUBSTITUTE($H156,CHAR(160)," "),5) &amp; "|Full Rate",
      TRIM(SUBSTITUTE($N$2:$N$206,CHAR(160)," ")) &amp; "|" &amp;
      LEFT(SUBSTITUTE($O$2:$O$206,CHAR(160)," "),5) &amp; "|" &amp;
      TRIM(SUBSTITUTE($P$2:$P$206,CHAR(160)," ")),
      $Q$2:$Q$206
    )
  ),
"")</f>
        <v/>
      </c>
      <c r="K156" s="52" t="str" cm="1">
        <f t="array" ref="K156">IFERROR(
  VALUE($I156) *
  VALUE(
    _xlfn.XLOOKUP(
      TRIM($G156) &amp; "|" &amp; LEFT(SUBSTITUTE($H156,CHAR(160)," "),5) &amp; "|Reduced Rate",
      TRIM(SUBSTITUTE($N$2:$N$206,CHAR(160)," ")) &amp; "|" &amp;
      LEFT(SUBSTITUTE($O$2:$O$206,CHAR(160)," "),5) &amp; "|" &amp;
      TRIM(SUBSTITUTE($P$2:$P$206,CHAR(160)," ")),
      $Q$2:$Q$206
    )
  ),
"")</f>
        <v/>
      </c>
      <c r="L156" s="32" t="str">
        <f t="shared" si="3"/>
        <v/>
      </c>
    </row>
    <row r="157" spans="2:12" x14ac:dyDescent="0.2">
      <c r="B157" s="5"/>
      <c r="J157" s="52" t="str" cm="1">
        <f t="array" ref="J157">IFERROR(
  VALUE($I157) *
  VALUE(
    _xlfn.XLOOKUP(
      TRIM($G157) &amp; "|" &amp; LEFT(SUBSTITUTE($H157,CHAR(160)," "),5) &amp; "|Full Rate",
      TRIM(SUBSTITUTE($N$2:$N$206,CHAR(160)," ")) &amp; "|" &amp;
      LEFT(SUBSTITUTE($O$2:$O$206,CHAR(160)," "),5) &amp; "|" &amp;
      TRIM(SUBSTITUTE($P$2:$P$206,CHAR(160)," ")),
      $Q$2:$Q$206
    )
  ),
"")</f>
        <v/>
      </c>
      <c r="K157" s="52" t="str" cm="1">
        <f t="array" ref="K157">IFERROR(
  VALUE($I157) *
  VALUE(
    _xlfn.XLOOKUP(
      TRIM($G157) &amp; "|" &amp; LEFT(SUBSTITUTE($H157,CHAR(160)," "),5) &amp; "|Reduced Rate",
      TRIM(SUBSTITUTE($N$2:$N$206,CHAR(160)," ")) &amp; "|" &amp;
      LEFT(SUBSTITUTE($O$2:$O$206,CHAR(160)," "),5) &amp; "|" &amp;
      TRIM(SUBSTITUTE($P$2:$P$206,CHAR(160)," ")),
      $Q$2:$Q$206
    )
  ),
"")</f>
        <v/>
      </c>
      <c r="L157" s="32" t="str">
        <f t="shared" si="3"/>
        <v/>
      </c>
    </row>
    <row r="158" spans="2:12" x14ac:dyDescent="0.2">
      <c r="B158" s="5"/>
      <c r="J158" s="52" t="str" cm="1">
        <f t="array" ref="J158">IFERROR(
  VALUE($I158) *
  VALUE(
    _xlfn.XLOOKUP(
      TRIM($G158) &amp; "|" &amp; LEFT(SUBSTITUTE($H158,CHAR(160)," "),5) &amp; "|Full Rate",
      TRIM(SUBSTITUTE($N$2:$N$206,CHAR(160)," ")) &amp; "|" &amp;
      LEFT(SUBSTITUTE($O$2:$O$206,CHAR(160)," "),5) &amp; "|" &amp;
      TRIM(SUBSTITUTE($P$2:$P$206,CHAR(160)," ")),
      $Q$2:$Q$206
    )
  ),
"")</f>
        <v/>
      </c>
      <c r="K158" s="52" t="str" cm="1">
        <f t="array" ref="K158">IFERROR(
  VALUE($I158) *
  VALUE(
    _xlfn.XLOOKUP(
      TRIM($G158) &amp; "|" &amp; LEFT(SUBSTITUTE($H158,CHAR(160)," "),5) &amp; "|Reduced Rate",
      TRIM(SUBSTITUTE($N$2:$N$206,CHAR(160)," ")) &amp; "|" &amp;
      LEFT(SUBSTITUTE($O$2:$O$206,CHAR(160)," "),5) &amp; "|" &amp;
      TRIM(SUBSTITUTE($P$2:$P$206,CHAR(160)," ")),
      $Q$2:$Q$206
    )
  ),
"")</f>
        <v/>
      </c>
      <c r="L158" s="32" t="str">
        <f t="shared" si="3"/>
        <v/>
      </c>
    </row>
    <row r="159" spans="2:12" x14ac:dyDescent="0.2">
      <c r="B159" s="5"/>
      <c r="J159" s="52" t="str" cm="1">
        <f t="array" ref="J159">IFERROR(
  VALUE($I159) *
  VALUE(
    _xlfn.XLOOKUP(
      TRIM($G159) &amp; "|" &amp; LEFT(SUBSTITUTE($H159,CHAR(160)," "),5) &amp; "|Full Rate",
      TRIM(SUBSTITUTE($N$2:$N$206,CHAR(160)," ")) &amp; "|" &amp;
      LEFT(SUBSTITUTE($O$2:$O$206,CHAR(160)," "),5) &amp; "|" &amp;
      TRIM(SUBSTITUTE($P$2:$P$206,CHAR(160)," ")),
      $Q$2:$Q$206
    )
  ),
"")</f>
        <v/>
      </c>
      <c r="K159" s="52" t="str" cm="1">
        <f t="array" ref="K159">IFERROR(
  VALUE($I159) *
  VALUE(
    _xlfn.XLOOKUP(
      TRIM($G159) &amp; "|" &amp; LEFT(SUBSTITUTE($H159,CHAR(160)," "),5) &amp; "|Reduced Rate",
      TRIM(SUBSTITUTE($N$2:$N$206,CHAR(160)," ")) &amp; "|" &amp;
      LEFT(SUBSTITUTE($O$2:$O$206,CHAR(160)," "),5) &amp; "|" &amp;
      TRIM(SUBSTITUTE($P$2:$P$206,CHAR(160)," ")),
      $Q$2:$Q$206
    )
  ),
"")</f>
        <v/>
      </c>
      <c r="L159" s="32" t="str">
        <f t="shared" si="3"/>
        <v/>
      </c>
    </row>
    <row r="160" spans="2:12" x14ac:dyDescent="0.2">
      <c r="B160" s="5"/>
      <c r="J160" s="52" t="str" cm="1">
        <f t="array" ref="J160">IFERROR(
  VALUE($I160) *
  VALUE(
    _xlfn.XLOOKUP(
      TRIM($G160) &amp; "|" &amp; LEFT(SUBSTITUTE($H160,CHAR(160)," "),5) &amp; "|Full Rate",
      TRIM(SUBSTITUTE($N$2:$N$206,CHAR(160)," ")) &amp; "|" &amp;
      LEFT(SUBSTITUTE($O$2:$O$206,CHAR(160)," "),5) &amp; "|" &amp;
      TRIM(SUBSTITUTE($P$2:$P$206,CHAR(160)," ")),
      $Q$2:$Q$206
    )
  ),
"")</f>
        <v/>
      </c>
      <c r="K160" s="52" t="str" cm="1">
        <f t="array" ref="K160">IFERROR(
  VALUE($I160) *
  VALUE(
    _xlfn.XLOOKUP(
      TRIM($G160) &amp; "|" &amp; LEFT(SUBSTITUTE($H160,CHAR(160)," "),5) &amp; "|Reduced Rate",
      TRIM(SUBSTITUTE($N$2:$N$206,CHAR(160)," ")) &amp; "|" &amp;
      LEFT(SUBSTITUTE($O$2:$O$206,CHAR(160)," "),5) &amp; "|" &amp;
      TRIM(SUBSTITUTE($P$2:$P$206,CHAR(160)," ")),
      $Q$2:$Q$206
    )
  ),
"")</f>
        <v/>
      </c>
      <c r="L160" s="32" t="str">
        <f t="shared" si="3"/>
        <v/>
      </c>
    </row>
    <row r="161" spans="2:12" x14ac:dyDescent="0.2">
      <c r="B161" s="5"/>
      <c r="J161" s="52" t="str" cm="1">
        <f t="array" ref="J161">IFERROR(
  VALUE($I161) *
  VALUE(
    _xlfn.XLOOKUP(
      TRIM($G161) &amp; "|" &amp; LEFT(SUBSTITUTE($H161,CHAR(160)," "),5) &amp; "|Full Rate",
      TRIM(SUBSTITUTE($N$2:$N$206,CHAR(160)," ")) &amp; "|" &amp;
      LEFT(SUBSTITUTE($O$2:$O$206,CHAR(160)," "),5) &amp; "|" &amp;
      TRIM(SUBSTITUTE($P$2:$P$206,CHAR(160)," ")),
      $Q$2:$Q$206
    )
  ),
"")</f>
        <v/>
      </c>
      <c r="K161" s="52" t="str" cm="1">
        <f t="array" ref="K161">IFERROR(
  VALUE($I161) *
  VALUE(
    _xlfn.XLOOKUP(
      TRIM($G161) &amp; "|" &amp; LEFT(SUBSTITUTE($H161,CHAR(160)," "),5) &amp; "|Reduced Rate",
      TRIM(SUBSTITUTE($N$2:$N$206,CHAR(160)," ")) &amp; "|" &amp;
      LEFT(SUBSTITUTE($O$2:$O$206,CHAR(160)," "),5) &amp; "|" &amp;
      TRIM(SUBSTITUTE($P$2:$P$206,CHAR(160)," ")),
      $Q$2:$Q$206
    )
  ),
"")</f>
        <v/>
      </c>
      <c r="L161" s="32" t="str">
        <f t="shared" si="3"/>
        <v/>
      </c>
    </row>
    <row r="162" spans="2:12" x14ac:dyDescent="0.2">
      <c r="B162" s="5"/>
      <c r="J162" s="52" t="str" cm="1">
        <f t="array" ref="J162">IFERROR(
  VALUE($I162) *
  VALUE(
    _xlfn.XLOOKUP(
      TRIM($G162) &amp; "|" &amp; LEFT(SUBSTITUTE($H162,CHAR(160)," "),5) &amp; "|Full Rate",
      TRIM(SUBSTITUTE($N$2:$N$206,CHAR(160)," ")) &amp; "|" &amp;
      LEFT(SUBSTITUTE($O$2:$O$206,CHAR(160)," "),5) &amp; "|" &amp;
      TRIM(SUBSTITUTE($P$2:$P$206,CHAR(160)," ")),
      $Q$2:$Q$206
    )
  ),
"")</f>
        <v/>
      </c>
      <c r="K162" s="52" t="str" cm="1">
        <f t="array" ref="K162">IFERROR(
  VALUE($I162) *
  VALUE(
    _xlfn.XLOOKUP(
      TRIM($G162) &amp; "|" &amp; LEFT(SUBSTITUTE($H162,CHAR(160)," "),5) &amp; "|Reduced Rate",
      TRIM(SUBSTITUTE($N$2:$N$206,CHAR(160)," ")) &amp; "|" &amp;
      LEFT(SUBSTITUTE($O$2:$O$206,CHAR(160)," "),5) &amp; "|" &amp;
      TRIM(SUBSTITUTE($P$2:$P$206,CHAR(160)," ")),
      $Q$2:$Q$206
    )
  ),
"")</f>
        <v/>
      </c>
      <c r="L162" s="32" t="str">
        <f t="shared" si="3"/>
        <v/>
      </c>
    </row>
    <row r="163" spans="2:12" x14ac:dyDescent="0.2">
      <c r="B163" s="5"/>
      <c r="J163" s="52" t="str" cm="1">
        <f t="array" ref="J163">IFERROR(
  VALUE($I163) *
  VALUE(
    _xlfn.XLOOKUP(
      TRIM($G163) &amp; "|" &amp; LEFT(SUBSTITUTE($H163,CHAR(160)," "),5) &amp; "|Full Rate",
      TRIM(SUBSTITUTE($N$2:$N$206,CHAR(160)," ")) &amp; "|" &amp;
      LEFT(SUBSTITUTE($O$2:$O$206,CHAR(160)," "),5) &amp; "|" &amp;
      TRIM(SUBSTITUTE($P$2:$P$206,CHAR(160)," ")),
      $Q$2:$Q$206
    )
  ),
"")</f>
        <v/>
      </c>
      <c r="K163" s="52" t="str" cm="1">
        <f t="array" ref="K163">IFERROR(
  VALUE($I163) *
  VALUE(
    _xlfn.XLOOKUP(
      TRIM($G163) &amp; "|" &amp; LEFT(SUBSTITUTE($H163,CHAR(160)," "),5) &amp; "|Reduced Rate",
      TRIM(SUBSTITUTE($N$2:$N$206,CHAR(160)," ")) &amp; "|" &amp;
      LEFT(SUBSTITUTE($O$2:$O$206,CHAR(160)," "),5) &amp; "|" &amp;
      TRIM(SUBSTITUTE($P$2:$P$206,CHAR(160)," ")),
      $Q$2:$Q$206
    )
  ),
"")</f>
        <v/>
      </c>
      <c r="L163" s="32" t="str">
        <f t="shared" si="3"/>
        <v/>
      </c>
    </row>
    <row r="164" spans="2:12" x14ac:dyDescent="0.2">
      <c r="B164" s="5"/>
      <c r="J164" s="52" t="str" cm="1">
        <f t="array" ref="J164">IFERROR(
  VALUE($I164) *
  VALUE(
    _xlfn.XLOOKUP(
      TRIM($G164) &amp; "|" &amp; LEFT(SUBSTITUTE($H164,CHAR(160)," "),5) &amp; "|Full Rate",
      TRIM(SUBSTITUTE($N$2:$N$206,CHAR(160)," ")) &amp; "|" &amp;
      LEFT(SUBSTITUTE($O$2:$O$206,CHAR(160)," "),5) &amp; "|" &amp;
      TRIM(SUBSTITUTE($P$2:$P$206,CHAR(160)," ")),
      $Q$2:$Q$206
    )
  ),
"")</f>
        <v/>
      </c>
      <c r="K164" s="52" t="str" cm="1">
        <f t="array" ref="K164">IFERROR(
  VALUE($I164) *
  VALUE(
    _xlfn.XLOOKUP(
      TRIM($G164) &amp; "|" &amp; LEFT(SUBSTITUTE($H164,CHAR(160)," "),5) &amp; "|Reduced Rate",
      TRIM(SUBSTITUTE($N$2:$N$206,CHAR(160)," ")) &amp; "|" &amp;
      LEFT(SUBSTITUTE($O$2:$O$206,CHAR(160)," "),5) &amp; "|" &amp;
      TRIM(SUBSTITUTE($P$2:$P$206,CHAR(160)," ")),
      $Q$2:$Q$206
    )
  ),
"")</f>
        <v/>
      </c>
      <c r="L164" s="32" t="str">
        <f t="shared" si="3"/>
        <v/>
      </c>
    </row>
    <row r="165" spans="2:12" x14ac:dyDescent="0.2">
      <c r="B165" s="5"/>
      <c r="J165" s="52" t="str" cm="1">
        <f t="array" ref="J165">IFERROR(
  VALUE($I165) *
  VALUE(
    _xlfn.XLOOKUP(
      TRIM($G165) &amp; "|" &amp; LEFT(SUBSTITUTE($H165,CHAR(160)," "),5) &amp; "|Full Rate",
      TRIM(SUBSTITUTE($N$2:$N$206,CHAR(160)," ")) &amp; "|" &amp;
      LEFT(SUBSTITUTE($O$2:$O$206,CHAR(160)," "),5) &amp; "|" &amp;
      TRIM(SUBSTITUTE($P$2:$P$206,CHAR(160)," ")),
      $Q$2:$Q$206
    )
  ),
"")</f>
        <v/>
      </c>
      <c r="K165" s="52" t="str" cm="1">
        <f t="array" ref="K165">IFERROR(
  VALUE($I165) *
  VALUE(
    _xlfn.XLOOKUP(
      TRIM($G165) &amp; "|" &amp; LEFT(SUBSTITUTE($H165,CHAR(160)," "),5) &amp; "|Reduced Rate",
      TRIM(SUBSTITUTE($N$2:$N$206,CHAR(160)," ")) &amp; "|" &amp;
      LEFT(SUBSTITUTE($O$2:$O$206,CHAR(160)," "),5) &amp; "|" &amp;
      TRIM(SUBSTITUTE($P$2:$P$206,CHAR(160)," ")),
      $Q$2:$Q$206
    )
  ),
"")</f>
        <v/>
      </c>
      <c r="L165" s="32" t="str">
        <f t="shared" si="3"/>
        <v/>
      </c>
    </row>
    <row r="166" spans="2:12" x14ac:dyDescent="0.2">
      <c r="B166" s="5"/>
      <c r="J166" s="52" t="str" cm="1">
        <f t="array" ref="J166">IFERROR(
  VALUE($I166) *
  VALUE(
    _xlfn.XLOOKUP(
      TRIM($G166) &amp; "|" &amp; LEFT(SUBSTITUTE($H166,CHAR(160)," "),5) &amp; "|Full Rate",
      TRIM(SUBSTITUTE($N$2:$N$206,CHAR(160)," ")) &amp; "|" &amp;
      LEFT(SUBSTITUTE($O$2:$O$206,CHAR(160)," "),5) &amp; "|" &amp;
      TRIM(SUBSTITUTE($P$2:$P$206,CHAR(160)," ")),
      $Q$2:$Q$206
    )
  ),
"")</f>
        <v/>
      </c>
      <c r="K166" s="52" t="str" cm="1">
        <f t="array" ref="K166">IFERROR(
  VALUE($I166) *
  VALUE(
    _xlfn.XLOOKUP(
      TRIM($G166) &amp; "|" &amp; LEFT(SUBSTITUTE($H166,CHAR(160)," "),5) &amp; "|Reduced Rate",
      TRIM(SUBSTITUTE($N$2:$N$206,CHAR(160)," ")) &amp; "|" &amp;
      LEFT(SUBSTITUTE($O$2:$O$206,CHAR(160)," "),5) &amp; "|" &amp;
      TRIM(SUBSTITUTE($P$2:$P$206,CHAR(160)," ")),
      $Q$2:$Q$206
    )
  ),
"")</f>
        <v/>
      </c>
      <c r="L166" s="32" t="str">
        <f t="shared" si="3"/>
        <v/>
      </c>
    </row>
    <row r="167" spans="2:12" x14ac:dyDescent="0.2">
      <c r="B167" s="5"/>
      <c r="J167" s="52" t="str" cm="1">
        <f t="array" ref="J167">IFERROR(
  VALUE($I167) *
  VALUE(
    _xlfn.XLOOKUP(
      TRIM($G167) &amp; "|" &amp; LEFT(SUBSTITUTE($H167,CHAR(160)," "),5) &amp; "|Full Rate",
      TRIM(SUBSTITUTE($N$2:$N$206,CHAR(160)," ")) &amp; "|" &amp;
      LEFT(SUBSTITUTE($O$2:$O$206,CHAR(160)," "),5) &amp; "|" &amp;
      TRIM(SUBSTITUTE($P$2:$P$206,CHAR(160)," ")),
      $Q$2:$Q$206
    )
  ),
"")</f>
        <v/>
      </c>
      <c r="K167" s="52" t="str" cm="1">
        <f t="array" ref="K167">IFERROR(
  VALUE($I167) *
  VALUE(
    _xlfn.XLOOKUP(
      TRIM($G167) &amp; "|" &amp; LEFT(SUBSTITUTE($H167,CHAR(160)," "),5) &amp; "|Reduced Rate",
      TRIM(SUBSTITUTE($N$2:$N$206,CHAR(160)," ")) &amp; "|" &amp;
      LEFT(SUBSTITUTE($O$2:$O$206,CHAR(160)," "),5) &amp; "|" &amp;
      TRIM(SUBSTITUTE($P$2:$P$206,CHAR(160)," ")),
      $Q$2:$Q$206
    )
  ),
"")</f>
        <v/>
      </c>
      <c r="L167" s="32" t="str">
        <f t="shared" si="3"/>
        <v/>
      </c>
    </row>
    <row r="168" spans="2:12" x14ac:dyDescent="0.2">
      <c r="B168" s="5"/>
      <c r="J168" s="52" t="str" cm="1">
        <f t="array" ref="J168">IFERROR(
  VALUE($I168) *
  VALUE(
    _xlfn.XLOOKUP(
      TRIM($G168) &amp; "|" &amp; LEFT(SUBSTITUTE($H168,CHAR(160)," "),5) &amp; "|Full Rate",
      TRIM(SUBSTITUTE($N$2:$N$206,CHAR(160)," ")) &amp; "|" &amp;
      LEFT(SUBSTITUTE($O$2:$O$206,CHAR(160)," "),5) &amp; "|" &amp;
      TRIM(SUBSTITUTE($P$2:$P$206,CHAR(160)," ")),
      $Q$2:$Q$206
    )
  ),
"")</f>
        <v/>
      </c>
      <c r="K168" s="52" t="str" cm="1">
        <f t="array" ref="K168">IFERROR(
  VALUE($I168) *
  VALUE(
    _xlfn.XLOOKUP(
      TRIM($G168) &amp; "|" &amp; LEFT(SUBSTITUTE($H168,CHAR(160)," "),5) &amp; "|Reduced Rate",
      TRIM(SUBSTITUTE($N$2:$N$206,CHAR(160)," ")) &amp; "|" &amp;
      LEFT(SUBSTITUTE($O$2:$O$206,CHAR(160)," "),5) &amp; "|" &amp;
      TRIM(SUBSTITUTE($P$2:$P$206,CHAR(160)," ")),
      $Q$2:$Q$206
    )
  ),
"")</f>
        <v/>
      </c>
      <c r="L168" s="32" t="str">
        <f t="shared" si="3"/>
        <v/>
      </c>
    </row>
    <row r="169" spans="2:12" x14ac:dyDescent="0.2">
      <c r="B169" s="5"/>
      <c r="J169" s="52" t="str" cm="1">
        <f t="array" ref="J169">IFERROR(
  VALUE($I169) *
  VALUE(
    _xlfn.XLOOKUP(
      TRIM($G169) &amp; "|" &amp; LEFT(SUBSTITUTE($H169,CHAR(160)," "),5) &amp; "|Full Rate",
      TRIM(SUBSTITUTE($N$2:$N$206,CHAR(160)," ")) &amp; "|" &amp;
      LEFT(SUBSTITUTE($O$2:$O$206,CHAR(160)," "),5) &amp; "|" &amp;
      TRIM(SUBSTITUTE($P$2:$P$206,CHAR(160)," ")),
      $Q$2:$Q$206
    )
  ),
"")</f>
        <v/>
      </c>
      <c r="K169" s="52" t="str" cm="1">
        <f t="array" ref="K169">IFERROR(
  VALUE($I169) *
  VALUE(
    _xlfn.XLOOKUP(
      TRIM($G169) &amp; "|" &amp; LEFT(SUBSTITUTE($H169,CHAR(160)," "),5) &amp; "|Reduced Rate",
      TRIM(SUBSTITUTE($N$2:$N$206,CHAR(160)," ")) &amp; "|" &amp;
      LEFT(SUBSTITUTE($O$2:$O$206,CHAR(160)," "),5) &amp; "|" &amp;
      TRIM(SUBSTITUTE($P$2:$P$206,CHAR(160)," ")),
      $Q$2:$Q$206
    )
  ),
"")</f>
        <v/>
      </c>
      <c r="L169" s="32" t="str">
        <f t="shared" si="3"/>
        <v/>
      </c>
    </row>
    <row r="170" spans="2:12" x14ac:dyDescent="0.2">
      <c r="B170" s="5"/>
      <c r="J170" s="52" t="str" cm="1">
        <f t="array" ref="J170">IFERROR(
  VALUE($I170) *
  VALUE(
    _xlfn.XLOOKUP(
      TRIM($G170) &amp; "|" &amp; LEFT(SUBSTITUTE($H170,CHAR(160)," "),5) &amp; "|Full Rate",
      TRIM(SUBSTITUTE($N$2:$N$206,CHAR(160)," ")) &amp; "|" &amp;
      LEFT(SUBSTITUTE($O$2:$O$206,CHAR(160)," "),5) &amp; "|" &amp;
      TRIM(SUBSTITUTE($P$2:$P$206,CHAR(160)," ")),
      $Q$2:$Q$206
    )
  ),
"")</f>
        <v/>
      </c>
      <c r="K170" s="52" t="str" cm="1">
        <f t="array" ref="K170">IFERROR(
  VALUE($I170) *
  VALUE(
    _xlfn.XLOOKUP(
      TRIM($G170) &amp; "|" &amp; LEFT(SUBSTITUTE($H170,CHAR(160)," "),5) &amp; "|Reduced Rate",
      TRIM(SUBSTITUTE($N$2:$N$206,CHAR(160)," ")) &amp; "|" &amp;
      LEFT(SUBSTITUTE($O$2:$O$206,CHAR(160)," "),5) &amp; "|" &amp;
      TRIM(SUBSTITUTE($P$2:$P$206,CHAR(160)," ")),
      $Q$2:$Q$206
    )
  ),
"")</f>
        <v/>
      </c>
      <c r="L170" s="32" t="str">
        <f t="shared" si="3"/>
        <v/>
      </c>
    </row>
    <row r="171" spans="2:12" x14ac:dyDescent="0.2">
      <c r="B171" s="5"/>
      <c r="J171" s="52" t="str" cm="1">
        <f t="array" ref="J171">IFERROR(
  VALUE($I171) *
  VALUE(
    _xlfn.XLOOKUP(
      TRIM($G171) &amp; "|" &amp; LEFT(SUBSTITUTE($H171,CHAR(160)," "),5) &amp; "|Full Rate",
      TRIM(SUBSTITUTE($N$2:$N$206,CHAR(160)," ")) &amp; "|" &amp;
      LEFT(SUBSTITUTE($O$2:$O$206,CHAR(160)," "),5) &amp; "|" &amp;
      TRIM(SUBSTITUTE($P$2:$P$206,CHAR(160)," ")),
      $Q$2:$Q$206
    )
  ),
"")</f>
        <v/>
      </c>
      <c r="K171" s="52" t="str" cm="1">
        <f t="array" ref="K171">IFERROR(
  VALUE($I171) *
  VALUE(
    _xlfn.XLOOKUP(
      TRIM($G171) &amp; "|" &amp; LEFT(SUBSTITUTE($H171,CHAR(160)," "),5) &amp; "|Reduced Rate",
      TRIM(SUBSTITUTE($N$2:$N$206,CHAR(160)," ")) &amp; "|" &amp;
      LEFT(SUBSTITUTE($O$2:$O$206,CHAR(160)," "),5) &amp; "|" &amp;
      TRIM(SUBSTITUTE($P$2:$P$206,CHAR(160)," ")),
      $Q$2:$Q$206
    )
  ),
"")</f>
        <v/>
      </c>
      <c r="L171" s="32" t="str">
        <f t="shared" si="3"/>
        <v/>
      </c>
    </row>
    <row r="172" spans="2:12" x14ac:dyDescent="0.2">
      <c r="B172" s="5"/>
      <c r="J172" s="52" t="str" cm="1">
        <f t="array" ref="J172">IFERROR(
  VALUE($I172) *
  VALUE(
    _xlfn.XLOOKUP(
      TRIM($G172) &amp; "|" &amp; LEFT(SUBSTITUTE($H172,CHAR(160)," "),5) &amp; "|Full Rate",
      TRIM(SUBSTITUTE($N$2:$N$206,CHAR(160)," ")) &amp; "|" &amp;
      LEFT(SUBSTITUTE($O$2:$O$206,CHAR(160)," "),5) &amp; "|" &amp;
      TRIM(SUBSTITUTE($P$2:$P$206,CHAR(160)," ")),
      $Q$2:$Q$206
    )
  ),
"")</f>
        <v/>
      </c>
      <c r="K172" s="52" t="str" cm="1">
        <f t="array" ref="K172">IFERROR(
  VALUE($I172) *
  VALUE(
    _xlfn.XLOOKUP(
      TRIM($G172) &amp; "|" &amp; LEFT(SUBSTITUTE($H172,CHAR(160)," "),5) &amp; "|Reduced Rate",
      TRIM(SUBSTITUTE($N$2:$N$206,CHAR(160)," ")) &amp; "|" &amp;
      LEFT(SUBSTITUTE($O$2:$O$206,CHAR(160)," "),5) &amp; "|" &amp;
      TRIM(SUBSTITUTE($P$2:$P$206,CHAR(160)," ")),
      $Q$2:$Q$206
    )
  ),
"")</f>
        <v/>
      </c>
      <c r="L172" s="32" t="str">
        <f t="shared" si="3"/>
        <v/>
      </c>
    </row>
    <row r="173" spans="2:12" x14ac:dyDescent="0.2">
      <c r="B173" s="5"/>
      <c r="J173" s="52" t="str" cm="1">
        <f t="array" ref="J173">IFERROR(
  VALUE($I173) *
  VALUE(
    _xlfn.XLOOKUP(
      TRIM($G173) &amp; "|" &amp; LEFT(SUBSTITUTE($H173,CHAR(160)," "),5) &amp; "|Full Rate",
      TRIM(SUBSTITUTE($N$2:$N$206,CHAR(160)," ")) &amp; "|" &amp;
      LEFT(SUBSTITUTE($O$2:$O$206,CHAR(160)," "),5) &amp; "|" &amp;
      TRIM(SUBSTITUTE($P$2:$P$206,CHAR(160)," ")),
      $Q$2:$Q$206
    )
  ),
"")</f>
        <v/>
      </c>
      <c r="K173" s="52" t="str" cm="1">
        <f t="array" ref="K173">IFERROR(
  VALUE($I173) *
  VALUE(
    _xlfn.XLOOKUP(
      TRIM($G173) &amp; "|" &amp; LEFT(SUBSTITUTE($H173,CHAR(160)," "),5) &amp; "|Reduced Rate",
      TRIM(SUBSTITUTE($N$2:$N$206,CHAR(160)," ")) &amp; "|" &amp;
      LEFT(SUBSTITUTE($O$2:$O$206,CHAR(160)," "),5) &amp; "|" &amp;
      TRIM(SUBSTITUTE($P$2:$P$206,CHAR(160)," ")),
      $Q$2:$Q$206
    )
  ),
"")</f>
        <v/>
      </c>
      <c r="L173" s="32" t="str">
        <f t="shared" si="3"/>
        <v/>
      </c>
    </row>
    <row r="174" spans="2:12" x14ac:dyDescent="0.2">
      <c r="B174" s="5"/>
      <c r="J174" s="52" t="str" cm="1">
        <f t="array" ref="J174">IFERROR(
  VALUE($I174) *
  VALUE(
    _xlfn.XLOOKUP(
      TRIM($G174) &amp; "|" &amp; LEFT(SUBSTITUTE($H174,CHAR(160)," "),5) &amp; "|Full Rate",
      TRIM(SUBSTITUTE($N$2:$N$206,CHAR(160)," ")) &amp; "|" &amp;
      LEFT(SUBSTITUTE($O$2:$O$206,CHAR(160)," "),5) &amp; "|" &amp;
      TRIM(SUBSTITUTE($P$2:$P$206,CHAR(160)," ")),
      $Q$2:$Q$206
    )
  ),
"")</f>
        <v/>
      </c>
      <c r="K174" s="52" t="str" cm="1">
        <f t="array" ref="K174">IFERROR(
  VALUE($I174) *
  VALUE(
    _xlfn.XLOOKUP(
      TRIM($G174) &amp; "|" &amp; LEFT(SUBSTITUTE($H174,CHAR(160)," "),5) &amp; "|Reduced Rate",
      TRIM(SUBSTITUTE($N$2:$N$206,CHAR(160)," ")) &amp; "|" &amp;
      LEFT(SUBSTITUTE($O$2:$O$206,CHAR(160)," "),5) &amp; "|" &amp;
      TRIM(SUBSTITUTE($P$2:$P$206,CHAR(160)," ")),
      $Q$2:$Q$206
    )
  ),
"")</f>
        <v/>
      </c>
      <c r="L174" s="32" t="str">
        <f t="shared" si="3"/>
        <v/>
      </c>
    </row>
    <row r="175" spans="2:12" x14ac:dyDescent="0.2">
      <c r="B175" s="5"/>
      <c r="J175" s="52" t="str" cm="1">
        <f t="array" ref="J175">IFERROR(
  VALUE($I175) *
  VALUE(
    _xlfn.XLOOKUP(
      TRIM($G175) &amp; "|" &amp; LEFT(SUBSTITUTE($H175,CHAR(160)," "),5) &amp; "|Full Rate",
      TRIM(SUBSTITUTE($N$2:$N$206,CHAR(160)," ")) &amp; "|" &amp;
      LEFT(SUBSTITUTE($O$2:$O$206,CHAR(160)," "),5) &amp; "|" &amp;
      TRIM(SUBSTITUTE($P$2:$P$206,CHAR(160)," ")),
      $Q$2:$Q$206
    )
  ),
"")</f>
        <v/>
      </c>
      <c r="K175" s="52" t="str" cm="1">
        <f t="array" ref="K175">IFERROR(
  VALUE($I175) *
  VALUE(
    _xlfn.XLOOKUP(
      TRIM($G175) &amp; "|" &amp; LEFT(SUBSTITUTE($H175,CHAR(160)," "),5) &amp; "|Reduced Rate",
      TRIM(SUBSTITUTE($N$2:$N$206,CHAR(160)," ")) &amp; "|" &amp;
      LEFT(SUBSTITUTE($O$2:$O$206,CHAR(160)," "),5) &amp; "|" &amp;
      TRIM(SUBSTITUTE($P$2:$P$206,CHAR(160)," ")),
      $Q$2:$Q$206
    )
  ),
"")</f>
        <v/>
      </c>
      <c r="L175" s="32" t="str">
        <f t="shared" si="3"/>
        <v/>
      </c>
    </row>
    <row r="176" spans="2:12" x14ac:dyDescent="0.2">
      <c r="B176" s="5"/>
      <c r="J176" s="52" t="str" cm="1">
        <f t="array" ref="J176">IFERROR(
  VALUE($I176) *
  VALUE(
    _xlfn.XLOOKUP(
      TRIM($G176) &amp; "|" &amp; LEFT(SUBSTITUTE($H176,CHAR(160)," "),5) &amp; "|Full Rate",
      TRIM(SUBSTITUTE($N$2:$N$206,CHAR(160)," ")) &amp; "|" &amp;
      LEFT(SUBSTITUTE($O$2:$O$206,CHAR(160)," "),5) &amp; "|" &amp;
      TRIM(SUBSTITUTE($P$2:$P$206,CHAR(160)," ")),
      $Q$2:$Q$206
    )
  ),
"")</f>
        <v/>
      </c>
      <c r="K176" s="52" t="str" cm="1">
        <f t="array" ref="K176">IFERROR(
  VALUE($I176) *
  VALUE(
    _xlfn.XLOOKUP(
      TRIM($G176) &amp; "|" &amp; LEFT(SUBSTITUTE($H176,CHAR(160)," "),5) &amp; "|Reduced Rate",
      TRIM(SUBSTITUTE($N$2:$N$206,CHAR(160)," ")) &amp; "|" &amp;
      LEFT(SUBSTITUTE($O$2:$O$206,CHAR(160)," "),5) &amp; "|" &amp;
      TRIM(SUBSTITUTE($P$2:$P$206,CHAR(160)," ")),
      $Q$2:$Q$206
    )
  ),
"")</f>
        <v/>
      </c>
      <c r="L176" s="32" t="str">
        <f t="shared" si="3"/>
        <v/>
      </c>
    </row>
    <row r="177" spans="2:12" x14ac:dyDescent="0.2">
      <c r="B177" s="5"/>
      <c r="J177" s="52" t="str" cm="1">
        <f t="array" ref="J177">IFERROR(
  VALUE($I177) *
  VALUE(
    _xlfn.XLOOKUP(
      TRIM($G177) &amp; "|" &amp; LEFT(SUBSTITUTE($H177,CHAR(160)," "),5) &amp; "|Full Rate",
      TRIM(SUBSTITUTE($N$2:$N$206,CHAR(160)," ")) &amp; "|" &amp;
      LEFT(SUBSTITUTE($O$2:$O$206,CHAR(160)," "),5) &amp; "|" &amp;
      TRIM(SUBSTITUTE($P$2:$P$206,CHAR(160)," ")),
      $Q$2:$Q$206
    )
  ),
"")</f>
        <v/>
      </c>
      <c r="K177" s="52" t="str" cm="1">
        <f t="array" ref="K177">IFERROR(
  VALUE($I177) *
  VALUE(
    _xlfn.XLOOKUP(
      TRIM($G177) &amp; "|" &amp; LEFT(SUBSTITUTE($H177,CHAR(160)," "),5) &amp; "|Reduced Rate",
      TRIM(SUBSTITUTE($N$2:$N$206,CHAR(160)," ")) &amp; "|" &amp;
      LEFT(SUBSTITUTE($O$2:$O$206,CHAR(160)," "),5) &amp; "|" &amp;
      TRIM(SUBSTITUTE($P$2:$P$206,CHAR(160)," ")),
      $Q$2:$Q$206
    )
  ),
"")</f>
        <v/>
      </c>
      <c r="L177" s="32" t="str">
        <f t="shared" si="3"/>
        <v/>
      </c>
    </row>
    <row r="178" spans="2:12" x14ac:dyDescent="0.2">
      <c r="B178" s="5"/>
      <c r="J178" s="52" t="str" cm="1">
        <f t="array" ref="J178">IFERROR(
  VALUE($I178) *
  VALUE(
    _xlfn.XLOOKUP(
      TRIM($G178) &amp; "|" &amp; LEFT(SUBSTITUTE($H178,CHAR(160)," "),5) &amp; "|Full Rate",
      TRIM(SUBSTITUTE($N$2:$N$206,CHAR(160)," ")) &amp; "|" &amp;
      LEFT(SUBSTITUTE($O$2:$O$206,CHAR(160)," "),5) &amp; "|" &amp;
      TRIM(SUBSTITUTE($P$2:$P$206,CHAR(160)," ")),
      $Q$2:$Q$206
    )
  ),
"")</f>
        <v/>
      </c>
      <c r="K178" s="52" t="str" cm="1">
        <f t="array" ref="K178">IFERROR(
  VALUE($I178) *
  VALUE(
    _xlfn.XLOOKUP(
      TRIM($G178) &amp; "|" &amp; LEFT(SUBSTITUTE($H178,CHAR(160)," "),5) &amp; "|Reduced Rate",
      TRIM(SUBSTITUTE($N$2:$N$206,CHAR(160)," ")) &amp; "|" &amp;
      LEFT(SUBSTITUTE($O$2:$O$206,CHAR(160)," "),5) &amp; "|" &amp;
      TRIM(SUBSTITUTE($P$2:$P$206,CHAR(160)," ")),
      $Q$2:$Q$206
    )
  ),
"")</f>
        <v/>
      </c>
      <c r="L178" s="32" t="str">
        <f t="shared" si="3"/>
        <v/>
      </c>
    </row>
    <row r="179" spans="2:12" x14ac:dyDescent="0.2">
      <c r="B179" s="5"/>
      <c r="J179" s="52" t="str" cm="1">
        <f t="array" ref="J179">IFERROR(
  VALUE($I179) *
  VALUE(
    _xlfn.XLOOKUP(
      TRIM($G179) &amp; "|" &amp; LEFT(SUBSTITUTE($H179,CHAR(160)," "),5) &amp; "|Full Rate",
      TRIM(SUBSTITUTE($N$2:$N$206,CHAR(160)," ")) &amp; "|" &amp;
      LEFT(SUBSTITUTE($O$2:$O$206,CHAR(160)," "),5) &amp; "|" &amp;
      TRIM(SUBSTITUTE($P$2:$P$206,CHAR(160)," ")),
      $Q$2:$Q$206
    )
  ),
"")</f>
        <v/>
      </c>
      <c r="K179" s="52" t="str" cm="1">
        <f t="array" ref="K179">IFERROR(
  VALUE($I179) *
  VALUE(
    _xlfn.XLOOKUP(
      TRIM($G179) &amp; "|" &amp; LEFT(SUBSTITUTE($H179,CHAR(160)," "),5) &amp; "|Reduced Rate",
      TRIM(SUBSTITUTE($N$2:$N$206,CHAR(160)," ")) &amp; "|" &amp;
      LEFT(SUBSTITUTE($O$2:$O$206,CHAR(160)," "),5) &amp; "|" &amp;
      TRIM(SUBSTITUTE($P$2:$P$206,CHAR(160)," ")),
      $Q$2:$Q$206
    )
  ),
"")</f>
        <v/>
      </c>
      <c r="L179" s="32" t="str">
        <f t="shared" si="3"/>
        <v/>
      </c>
    </row>
    <row r="180" spans="2:12" x14ac:dyDescent="0.2">
      <c r="B180" s="5"/>
      <c r="J180" s="52" t="str" cm="1">
        <f t="array" ref="J180">IFERROR(
  VALUE($I180) *
  VALUE(
    _xlfn.XLOOKUP(
      TRIM($G180) &amp; "|" &amp; LEFT(SUBSTITUTE($H180,CHAR(160)," "),5) &amp; "|Full Rate",
      TRIM(SUBSTITUTE($N$2:$N$206,CHAR(160)," ")) &amp; "|" &amp;
      LEFT(SUBSTITUTE($O$2:$O$206,CHAR(160)," "),5) &amp; "|" &amp;
      TRIM(SUBSTITUTE($P$2:$P$206,CHAR(160)," ")),
      $Q$2:$Q$206
    )
  ),
"")</f>
        <v/>
      </c>
      <c r="K180" s="52" t="str" cm="1">
        <f t="array" ref="K180">IFERROR(
  VALUE($I180) *
  VALUE(
    _xlfn.XLOOKUP(
      TRIM($G180) &amp; "|" &amp; LEFT(SUBSTITUTE($H180,CHAR(160)," "),5) &amp; "|Reduced Rate",
      TRIM(SUBSTITUTE($N$2:$N$206,CHAR(160)," ")) &amp; "|" &amp;
      LEFT(SUBSTITUTE($O$2:$O$206,CHAR(160)," "),5) &amp; "|" &amp;
      TRIM(SUBSTITUTE($P$2:$P$206,CHAR(160)," ")),
      $Q$2:$Q$206
    )
  ),
"")</f>
        <v/>
      </c>
      <c r="L180" s="32" t="str">
        <f t="shared" si="3"/>
        <v/>
      </c>
    </row>
    <row r="181" spans="2:12" x14ac:dyDescent="0.2">
      <c r="B181" s="5"/>
      <c r="J181" s="52" t="str" cm="1">
        <f t="array" ref="J181">IFERROR(
  VALUE($I181) *
  VALUE(
    _xlfn.XLOOKUP(
      TRIM($G181) &amp; "|" &amp; LEFT(SUBSTITUTE($H181,CHAR(160)," "),5) &amp; "|Full Rate",
      TRIM(SUBSTITUTE($N$2:$N$206,CHAR(160)," ")) &amp; "|" &amp;
      LEFT(SUBSTITUTE($O$2:$O$206,CHAR(160)," "),5) &amp; "|" &amp;
      TRIM(SUBSTITUTE($P$2:$P$206,CHAR(160)," ")),
      $Q$2:$Q$206
    )
  ),
"")</f>
        <v/>
      </c>
      <c r="K181" s="52" t="str" cm="1">
        <f t="array" ref="K181">IFERROR(
  VALUE($I181) *
  VALUE(
    _xlfn.XLOOKUP(
      TRIM($G181) &amp; "|" &amp; LEFT(SUBSTITUTE($H181,CHAR(160)," "),5) &amp; "|Reduced Rate",
      TRIM(SUBSTITUTE($N$2:$N$206,CHAR(160)," ")) &amp; "|" &amp;
      LEFT(SUBSTITUTE($O$2:$O$206,CHAR(160)," "),5) &amp; "|" &amp;
      TRIM(SUBSTITUTE($P$2:$P$206,CHAR(160)," ")),
      $Q$2:$Q$206
    )
  ),
"")</f>
        <v/>
      </c>
      <c r="L181" s="32" t="str">
        <f t="shared" si="3"/>
        <v/>
      </c>
    </row>
    <row r="182" spans="2:12" x14ac:dyDescent="0.2">
      <c r="B182" s="5"/>
      <c r="J182" s="52" t="str" cm="1">
        <f t="array" ref="J182">IFERROR(
  VALUE($I182) *
  VALUE(
    _xlfn.XLOOKUP(
      TRIM($G182) &amp; "|" &amp; LEFT(SUBSTITUTE($H182,CHAR(160)," "),5) &amp; "|Full Rate",
      TRIM(SUBSTITUTE($N$2:$N$206,CHAR(160)," ")) &amp; "|" &amp;
      LEFT(SUBSTITUTE($O$2:$O$206,CHAR(160)," "),5) &amp; "|" &amp;
      TRIM(SUBSTITUTE($P$2:$P$206,CHAR(160)," ")),
      $Q$2:$Q$206
    )
  ),
"")</f>
        <v/>
      </c>
      <c r="K182" s="52" t="str" cm="1">
        <f t="array" ref="K182">IFERROR(
  VALUE($I182) *
  VALUE(
    _xlfn.XLOOKUP(
      TRIM($G182) &amp; "|" &amp; LEFT(SUBSTITUTE($H182,CHAR(160)," "),5) &amp; "|Reduced Rate",
      TRIM(SUBSTITUTE($N$2:$N$206,CHAR(160)," ")) &amp; "|" &amp;
      LEFT(SUBSTITUTE($O$2:$O$206,CHAR(160)," "),5) &amp; "|" &amp;
      TRIM(SUBSTITUTE($P$2:$P$206,CHAR(160)," ")),
      $Q$2:$Q$206
    )
  ),
"")</f>
        <v/>
      </c>
      <c r="L182" s="32" t="str">
        <f t="shared" si="3"/>
        <v/>
      </c>
    </row>
    <row r="183" spans="2:12" x14ac:dyDescent="0.2">
      <c r="B183" s="5"/>
      <c r="J183" s="52" t="str" cm="1">
        <f t="array" ref="J183">IFERROR(
  VALUE($I183) *
  VALUE(
    _xlfn.XLOOKUP(
      TRIM($G183) &amp; "|" &amp; LEFT(SUBSTITUTE($H183,CHAR(160)," "),5) &amp; "|Full Rate",
      TRIM(SUBSTITUTE($N$2:$N$206,CHAR(160)," ")) &amp; "|" &amp;
      LEFT(SUBSTITUTE($O$2:$O$206,CHAR(160)," "),5) &amp; "|" &amp;
      TRIM(SUBSTITUTE($P$2:$P$206,CHAR(160)," ")),
      $Q$2:$Q$206
    )
  ),
"")</f>
        <v/>
      </c>
      <c r="K183" s="52" t="str" cm="1">
        <f t="array" ref="K183">IFERROR(
  VALUE($I183) *
  VALUE(
    _xlfn.XLOOKUP(
      TRIM($G183) &amp; "|" &amp; LEFT(SUBSTITUTE($H183,CHAR(160)," "),5) &amp; "|Reduced Rate",
      TRIM(SUBSTITUTE($N$2:$N$206,CHAR(160)," ")) &amp; "|" &amp;
      LEFT(SUBSTITUTE($O$2:$O$206,CHAR(160)," "),5) &amp; "|" &amp;
      TRIM(SUBSTITUTE($P$2:$P$206,CHAR(160)," ")),
      $Q$2:$Q$206
    )
  ),
"")</f>
        <v/>
      </c>
      <c r="L183" s="32" t="str">
        <f t="shared" si="3"/>
        <v/>
      </c>
    </row>
    <row r="184" spans="2:12" x14ac:dyDescent="0.2">
      <c r="B184" s="5"/>
      <c r="J184" s="52" t="str" cm="1">
        <f t="array" ref="J184">IFERROR(
  VALUE($I184) *
  VALUE(
    _xlfn.XLOOKUP(
      TRIM($G184) &amp; "|" &amp; LEFT(SUBSTITUTE($H184,CHAR(160)," "),5) &amp; "|Full Rate",
      TRIM(SUBSTITUTE($N$2:$N$206,CHAR(160)," ")) &amp; "|" &amp;
      LEFT(SUBSTITUTE($O$2:$O$206,CHAR(160)," "),5) &amp; "|" &amp;
      TRIM(SUBSTITUTE($P$2:$P$206,CHAR(160)," ")),
      $Q$2:$Q$206
    )
  ),
"")</f>
        <v/>
      </c>
      <c r="K184" s="52" t="str" cm="1">
        <f t="array" ref="K184">IFERROR(
  VALUE($I184) *
  VALUE(
    _xlfn.XLOOKUP(
      TRIM($G184) &amp; "|" &amp; LEFT(SUBSTITUTE($H184,CHAR(160)," "),5) &amp; "|Reduced Rate",
      TRIM(SUBSTITUTE($N$2:$N$206,CHAR(160)," ")) &amp; "|" &amp;
      LEFT(SUBSTITUTE($O$2:$O$206,CHAR(160)," "),5) &amp; "|" &amp;
      TRIM(SUBSTITUTE($P$2:$P$206,CHAR(160)," ")),
      $Q$2:$Q$206
    )
  ),
"")</f>
        <v/>
      </c>
      <c r="L184" s="32" t="str">
        <f t="shared" si="3"/>
        <v/>
      </c>
    </row>
    <row r="185" spans="2:12" x14ac:dyDescent="0.2">
      <c r="B185" s="5"/>
      <c r="J185" s="52" t="str" cm="1">
        <f t="array" ref="J185">IFERROR(
  VALUE($I185) *
  VALUE(
    _xlfn.XLOOKUP(
      TRIM($G185) &amp; "|" &amp; LEFT(SUBSTITUTE($H185,CHAR(160)," "),5) &amp; "|Full Rate",
      TRIM(SUBSTITUTE($N$2:$N$206,CHAR(160)," ")) &amp; "|" &amp;
      LEFT(SUBSTITUTE($O$2:$O$206,CHAR(160)," "),5) &amp; "|" &amp;
      TRIM(SUBSTITUTE($P$2:$P$206,CHAR(160)," ")),
      $Q$2:$Q$206
    )
  ),
"")</f>
        <v/>
      </c>
      <c r="K185" s="52" t="str" cm="1">
        <f t="array" ref="K185">IFERROR(
  VALUE($I185) *
  VALUE(
    _xlfn.XLOOKUP(
      TRIM($G185) &amp; "|" &amp; LEFT(SUBSTITUTE($H185,CHAR(160)," "),5) &amp; "|Reduced Rate",
      TRIM(SUBSTITUTE($N$2:$N$206,CHAR(160)," ")) &amp; "|" &amp;
      LEFT(SUBSTITUTE($O$2:$O$206,CHAR(160)," "),5) &amp; "|" &amp;
      TRIM(SUBSTITUTE($P$2:$P$206,CHAR(160)," ")),
      $Q$2:$Q$206
    )
  ),
"")</f>
        <v/>
      </c>
      <c r="L185" s="32" t="str">
        <f t="shared" ref="L185:L216" si="4">IFERROR( VALUE($I185) * INDEX($P$2:$P$5, MATCH(UPPER(TRIM($G185)),$M$2:$M$5,0)), "" )</f>
        <v/>
      </c>
    </row>
    <row r="186" spans="2:12" x14ac:dyDescent="0.2">
      <c r="B186" s="5"/>
      <c r="J186" s="52" t="str" cm="1">
        <f t="array" ref="J186">IFERROR(
  VALUE($I186) *
  VALUE(
    _xlfn.XLOOKUP(
      TRIM($G186) &amp; "|" &amp; LEFT(SUBSTITUTE($H186,CHAR(160)," "),5) &amp; "|Full Rate",
      TRIM(SUBSTITUTE($N$2:$N$206,CHAR(160)," ")) &amp; "|" &amp;
      LEFT(SUBSTITUTE($O$2:$O$206,CHAR(160)," "),5) &amp; "|" &amp;
      TRIM(SUBSTITUTE($P$2:$P$206,CHAR(160)," ")),
      $Q$2:$Q$206
    )
  ),
"")</f>
        <v/>
      </c>
      <c r="K186" s="52" t="str" cm="1">
        <f t="array" ref="K186">IFERROR(
  VALUE($I186) *
  VALUE(
    _xlfn.XLOOKUP(
      TRIM($G186) &amp; "|" &amp; LEFT(SUBSTITUTE($H186,CHAR(160)," "),5) &amp; "|Reduced Rate",
      TRIM(SUBSTITUTE($N$2:$N$206,CHAR(160)," ")) &amp; "|" &amp;
      LEFT(SUBSTITUTE($O$2:$O$206,CHAR(160)," "),5) &amp; "|" &amp;
      TRIM(SUBSTITUTE($P$2:$P$206,CHAR(160)," ")),
      $Q$2:$Q$206
    )
  ),
"")</f>
        <v/>
      </c>
      <c r="L186" s="32" t="str">
        <f t="shared" si="4"/>
        <v/>
      </c>
    </row>
    <row r="187" spans="2:12" x14ac:dyDescent="0.2">
      <c r="B187" s="5"/>
      <c r="J187" s="52" t="str" cm="1">
        <f t="array" ref="J187">IFERROR(
  VALUE($I187) *
  VALUE(
    _xlfn.XLOOKUP(
      TRIM($G187) &amp; "|" &amp; LEFT(SUBSTITUTE($H187,CHAR(160)," "),5) &amp; "|Full Rate",
      TRIM(SUBSTITUTE($N$2:$N$206,CHAR(160)," ")) &amp; "|" &amp;
      LEFT(SUBSTITUTE($O$2:$O$206,CHAR(160)," "),5) &amp; "|" &amp;
      TRIM(SUBSTITUTE($P$2:$P$206,CHAR(160)," ")),
      $Q$2:$Q$206
    )
  ),
"")</f>
        <v/>
      </c>
      <c r="K187" s="52" t="str" cm="1">
        <f t="array" ref="K187">IFERROR(
  VALUE($I187) *
  VALUE(
    _xlfn.XLOOKUP(
      TRIM($G187) &amp; "|" &amp; LEFT(SUBSTITUTE($H187,CHAR(160)," "),5) &amp; "|Reduced Rate",
      TRIM(SUBSTITUTE($N$2:$N$206,CHAR(160)," ")) &amp; "|" &amp;
      LEFT(SUBSTITUTE($O$2:$O$206,CHAR(160)," "),5) &amp; "|" &amp;
      TRIM(SUBSTITUTE($P$2:$P$206,CHAR(160)," ")),
      $Q$2:$Q$206
    )
  ),
"")</f>
        <v/>
      </c>
      <c r="L187" s="32" t="str">
        <f t="shared" si="4"/>
        <v/>
      </c>
    </row>
    <row r="188" spans="2:12" x14ac:dyDescent="0.2">
      <c r="B188" s="5"/>
      <c r="J188" s="52" t="str" cm="1">
        <f t="array" ref="J188">IFERROR(
  VALUE($I188) *
  VALUE(
    _xlfn.XLOOKUP(
      TRIM($G188) &amp; "|" &amp; LEFT(SUBSTITUTE($H188,CHAR(160)," "),5) &amp; "|Full Rate",
      TRIM(SUBSTITUTE($N$2:$N$206,CHAR(160)," ")) &amp; "|" &amp;
      LEFT(SUBSTITUTE($O$2:$O$206,CHAR(160)," "),5) &amp; "|" &amp;
      TRIM(SUBSTITUTE($P$2:$P$206,CHAR(160)," ")),
      $Q$2:$Q$206
    )
  ),
"")</f>
        <v/>
      </c>
      <c r="K188" s="52" t="str" cm="1">
        <f t="array" ref="K188">IFERROR(
  VALUE($I188) *
  VALUE(
    _xlfn.XLOOKUP(
      TRIM($G188) &amp; "|" &amp; LEFT(SUBSTITUTE($H188,CHAR(160)," "),5) &amp; "|Reduced Rate",
      TRIM(SUBSTITUTE($N$2:$N$206,CHAR(160)," ")) &amp; "|" &amp;
      LEFT(SUBSTITUTE($O$2:$O$206,CHAR(160)," "),5) &amp; "|" &amp;
      TRIM(SUBSTITUTE($P$2:$P$206,CHAR(160)," ")),
      $Q$2:$Q$206
    )
  ),
"")</f>
        <v/>
      </c>
      <c r="L188" s="32" t="str">
        <f t="shared" si="4"/>
        <v/>
      </c>
    </row>
    <row r="189" spans="2:12" x14ac:dyDescent="0.2">
      <c r="B189" s="5"/>
      <c r="J189" s="52" t="str" cm="1">
        <f t="array" ref="J189">IFERROR(
  VALUE($I189) *
  VALUE(
    _xlfn.XLOOKUP(
      TRIM($G189) &amp; "|" &amp; LEFT(SUBSTITUTE($H189,CHAR(160)," "),5) &amp; "|Full Rate",
      TRIM(SUBSTITUTE($N$2:$N$206,CHAR(160)," ")) &amp; "|" &amp;
      LEFT(SUBSTITUTE($O$2:$O$206,CHAR(160)," "),5) &amp; "|" &amp;
      TRIM(SUBSTITUTE($P$2:$P$206,CHAR(160)," ")),
      $Q$2:$Q$206
    )
  ),
"")</f>
        <v/>
      </c>
      <c r="K189" s="52" t="str" cm="1">
        <f t="array" ref="K189">IFERROR(
  VALUE($I189) *
  VALUE(
    _xlfn.XLOOKUP(
      TRIM($G189) &amp; "|" &amp; LEFT(SUBSTITUTE($H189,CHAR(160)," "),5) &amp; "|Reduced Rate",
      TRIM(SUBSTITUTE($N$2:$N$206,CHAR(160)," ")) &amp; "|" &amp;
      LEFT(SUBSTITUTE($O$2:$O$206,CHAR(160)," "),5) &amp; "|" &amp;
      TRIM(SUBSTITUTE($P$2:$P$206,CHAR(160)," ")),
      $Q$2:$Q$206
    )
  ),
"")</f>
        <v/>
      </c>
      <c r="L189" s="32" t="str">
        <f t="shared" si="4"/>
        <v/>
      </c>
    </row>
    <row r="190" spans="2:12" x14ac:dyDescent="0.2">
      <c r="B190" s="5"/>
      <c r="J190" s="52" t="str" cm="1">
        <f t="array" ref="J190">IFERROR(
  VALUE($I190) *
  VALUE(
    _xlfn.XLOOKUP(
      TRIM($G190) &amp; "|" &amp; LEFT(SUBSTITUTE($H190,CHAR(160)," "),5) &amp; "|Full Rate",
      TRIM(SUBSTITUTE($N$2:$N$206,CHAR(160)," ")) &amp; "|" &amp;
      LEFT(SUBSTITUTE($O$2:$O$206,CHAR(160)," "),5) &amp; "|" &amp;
      TRIM(SUBSTITUTE($P$2:$P$206,CHAR(160)," ")),
      $Q$2:$Q$206
    )
  ),
"")</f>
        <v/>
      </c>
      <c r="K190" s="52" t="str" cm="1">
        <f t="array" ref="K190">IFERROR(
  VALUE($I190) *
  VALUE(
    _xlfn.XLOOKUP(
      TRIM($G190) &amp; "|" &amp; LEFT(SUBSTITUTE($H190,CHAR(160)," "),5) &amp; "|Reduced Rate",
      TRIM(SUBSTITUTE($N$2:$N$206,CHAR(160)," ")) &amp; "|" &amp;
      LEFT(SUBSTITUTE($O$2:$O$206,CHAR(160)," "),5) &amp; "|" &amp;
      TRIM(SUBSTITUTE($P$2:$P$206,CHAR(160)," ")),
      $Q$2:$Q$206
    )
  ),
"")</f>
        <v/>
      </c>
      <c r="L190" s="32" t="str">
        <f t="shared" si="4"/>
        <v/>
      </c>
    </row>
    <row r="191" spans="2:12" x14ac:dyDescent="0.2">
      <c r="B191" s="5"/>
      <c r="J191" s="52" t="str" cm="1">
        <f t="array" ref="J191">IFERROR(
  VALUE($I191) *
  VALUE(
    _xlfn.XLOOKUP(
      TRIM($G191) &amp; "|" &amp; LEFT(SUBSTITUTE($H191,CHAR(160)," "),5) &amp; "|Full Rate",
      TRIM(SUBSTITUTE($N$2:$N$206,CHAR(160)," ")) &amp; "|" &amp;
      LEFT(SUBSTITUTE($O$2:$O$206,CHAR(160)," "),5) &amp; "|" &amp;
      TRIM(SUBSTITUTE($P$2:$P$206,CHAR(160)," ")),
      $Q$2:$Q$206
    )
  ),
"")</f>
        <v/>
      </c>
      <c r="K191" s="52" t="str" cm="1">
        <f t="array" ref="K191">IFERROR(
  VALUE($I191) *
  VALUE(
    _xlfn.XLOOKUP(
      TRIM($G191) &amp; "|" &amp; LEFT(SUBSTITUTE($H191,CHAR(160)," "),5) &amp; "|Reduced Rate",
      TRIM(SUBSTITUTE($N$2:$N$206,CHAR(160)," ")) &amp; "|" &amp;
      LEFT(SUBSTITUTE($O$2:$O$206,CHAR(160)," "),5) &amp; "|" &amp;
      TRIM(SUBSTITUTE($P$2:$P$206,CHAR(160)," ")),
      $Q$2:$Q$206
    )
  ),
"")</f>
        <v/>
      </c>
      <c r="L191" s="32" t="str">
        <f t="shared" si="4"/>
        <v/>
      </c>
    </row>
    <row r="192" spans="2:12" x14ac:dyDescent="0.2">
      <c r="B192" s="5"/>
      <c r="J192" s="52" t="str" cm="1">
        <f t="array" ref="J192">IFERROR(
  VALUE($I192) *
  VALUE(
    _xlfn.XLOOKUP(
      TRIM($G192) &amp; "|" &amp; LEFT(SUBSTITUTE($H192,CHAR(160)," "),5) &amp; "|Full Rate",
      TRIM(SUBSTITUTE($N$2:$N$206,CHAR(160)," ")) &amp; "|" &amp;
      LEFT(SUBSTITUTE($O$2:$O$206,CHAR(160)," "),5) &amp; "|" &amp;
      TRIM(SUBSTITUTE($P$2:$P$206,CHAR(160)," ")),
      $Q$2:$Q$206
    )
  ),
"")</f>
        <v/>
      </c>
      <c r="K192" s="52" t="str" cm="1">
        <f t="array" ref="K192">IFERROR(
  VALUE($I192) *
  VALUE(
    _xlfn.XLOOKUP(
      TRIM($G192) &amp; "|" &amp; LEFT(SUBSTITUTE($H192,CHAR(160)," "),5) &amp; "|Reduced Rate",
      TRIM(SUBSTITUTE($N$2:$N$206,CHAR(160)," ")) &amp; "|" &amp;
      LEFT(SUBSTITUTE($O$2:$O$206,CHAR(160)," "),5) &amp; "|" &amp;
      TRIM(SUBSTITUTE($P$2:$P$206,CHAR(160)," ")),
      $Q$2:$Q$206
    )
  ),
"")</f>
        <v/>
      </c>
      <c r="L192" s="32" t="str">
        <f t="shared" si="4"/>
        <v/>
      </c>
    </row>
    <row r="193" spans="2:12" x14ac:dyDescent="0.2">
      <c r="B193" s="5"/>
      <c r="J193" s="52" t="str" cm="1">
        <f t="array" ref="J193">IFERROR(
  VALUE($I193) *
  VALUE(
    _xlfn.XLOOKUP(
      TRIM($G193) &amp; "|" &amp; LEFT(SUBSTITUTE($H193,CHAR(160)," "),5) &amp; "|Full Rate",
      TRIM(SUBSTITUTE($N$2:$N$206,CHAR(160)," ")) &amp; "|" &amp;
      LEFT(SUBSTITUTE($O$2:$O$206,CHAR(160)," "),5) &amp; "|" &amp;
      TRIM(SUBSTITUTE($P$2:$P$206,CHAR(160)," ")),
      $Q$2:$Q$206
    )
  ),
"")</f>
        <v/>
      </c>
      <c r="K193" s="52" t="str" cm="1">
        <f t="array" ref="K193">IFERROR(
  VALUE($I193) *
  VALUE(
    _xlfn.XLOOKUP(
      TRIM($G193) &amp; "|" &amp; LEFT(SUBSTITUTE($H193,CHAR(160)," "),5) &amp; "|Reduced Rate",
      TRIM(SUBSTITUTE($N$2:$N$206,CHAR(160)," ")) &amp; "|" &amp;
      LEFT(SUBSTITUTE($O$2:$O$206,CHAR(160)," "),5) &amp; "|" &amp;
      TRIM(SUBSTITUTE($P$2:$P$206,CHAR(160)," ")),
      $Q$2:$Q$206
    )
  ),
"")</f>
        <v/>
      </c>
      <c r="L193" s="32" t="str">
        <f t="shared" si="4"/>
        <v/>
      </c>
    </row>
    <row r="194" spans="2:12" x14ac:dyDescent="0.2">
      <c r="B194" s="5"/>
      <c r="J194" s="52" t="str" cm="1">
        <f t="array" ref="J194">IFERROR(
  VALUE($I194) *
  VALUE(
    _xlfn.XLOOKUP(
      TRIM($G194) &amp; "|" &amp; LEFT(SUBSTITUTE($H194,CHAR(160)," "),5) &amp; "|Full Rate",
      TRIM(SUBSTITUTE($N$2:$N$206,CHAR(160)," ")) &amp; "|" &amp;
      LEFT(SUBSTITUTE($O$2:$O$206,CHAR(160)," "),5) &amp; "|" &amp;
      TRIM(SUBSTITUTE($P$2:$P$206,CHAR(160)," ")),
      $Q$2:$Q$206
    )
  ),
"")</f>
        <v/>
      </c>
      <c r="K194" s="52" t="str" cm="1">
        <f t="array" ref="K194">IFERROR(
  VALUE($I194) *
  VALUE(
    _xlfn.XLOOKUP(
      TRIM($G194) &amp; "|" &amp; LEFT(SUBSTITUTE($H194,CHAR(160)," "),5) &amp; "|Reduced Rate",
      TRIM(SUBSTITUTE($N$2:$N$206,CHAR(160)," ")) &amp; "|" &amp;
      LEFT(SUBSTITUTE($O$2:$O$206,CHAR(160)," "),5) &amp; "|" &amp;
      TRIM(SUBSTITUTE($P$2:$P$206,CHAR(160)," ")),
      $Q$2:$Q$206
    )
  ),
"")</f>
        <v/>
      </c>
      <c r="L194" s="32" t="str">
        <f t="shared" si="4"/>
        <v/>
      </c>
    </row>
    <row r="195" spans="2:12" x14ac:dyDescent="0.2">
      <c r="B195" s="5"/>
      <c r="J195" s="52" t="str" cm="1">
        <f t="array" ref="J195">IFERROR(
  VALUE($I195) *
  VALUE(
    _xlfn.XLOOKUP(
      TRIM($G195) &amp; "|" &amp; LEFT(SUBSTITUTE($H195,CHAR(160)," "),5) &amp; "|Full Rate",
      TRIM(SUBSTITUTE($N$2:$N$206,CHAR(160)," ")) &amp; "|" &amp;
      LEFT(SUBSTITUTE($O$2:$O$206,CHAR(160)," "),5) &amp; "|" &amp;
      TRIM(SUBSTITUTE($P$2:$P$206,CHAR(160)," ")),
      $Q$2:$Q$206
    )
  ),
"")</f>
        <v/>
      </c>
      <c r="K195" s="52" t="str" cm="1">
        <f t="array" ref="K195">IFERROR(
  VALUE($I195) *
  VALUE(
    _xlfn.XLOOKUP(
      TRIM($G195) &amp; "|" &amp; LEFT(SUBSTITUTE($H195,CHAR(160)," "),5) &amp; "|Reduced Rate",
      TRIM(SUBSTITUTE($N$2:$N$206,CHAR(160)," ")) &amp; "|" &amp;
      LEFT(SUBSTITUTE($O$2:$O$206,CHAR(160)," "),5) &amp; "|" &amp;
      TRIM(SUBSTITUTE($P$2:$P$206,CHAR(160)," ")),
      $Q$2:$Q$206
    )
  ),
"")</f>
        <v/>
      </c>
      <c r="L195" s="32" t="str">
        <f t="shared" si="4"/>
        <v/>
      </c>
    </row>
    <row r="196" spans="2:12" x14ac:dyDescent="0.2">
      <c r="B196" s="5"/>
      <c r="J196" s="52" t="str" cm="1">
        <f t="array" ref="J196">IFERROR(
  VALUE($I196) *
  VALUE(
    _xlfn.XLOOKUP(
      TRIM($G196) &amp; "|" &amp; LEFT(SUBSTITUTE($H196,CHAR(160)," "),5) &amp; "|Full Rate",
      TRIM(SUBSTITUTE($N$2:$N$206,CHAR(160)," ")) &amp; "|" &amp;
      LEFT(SUBSTITUTE($O$2:$O$206,CHAR(160)," "),5) &amp; "|" &amp;
      TRIM(SUBSTITUTE($P$2:$P$206,CHAR(160)," ")),
      $Q$2:$Q$206
    )
  ),
"")</f>
        <v/>
      </c>
      <c r="K196" s="52" t="str" cm="1">
        <f t="array" ref="K196">IFERROR(
  VALUE($I196) *
  VALUE(
    _xlfn.XLOOKUP(
      TRIM($G196) &amp; "|" &amp; LEFT(SUBSTITUTE($H196,CHAR(160)," "),5) &amp; "|Reduced Rate",
      TRIM(SUBSTITUTE($N$2:$N$206,CHAR(160)," ")) &amp; "|" &amp;
      LEFT(SUBSTITUTE($O$2:$O$206,CHAR(160)," "),5) &amp; "|" &amp;
      TRIM(SUBSTITUTE($P$2:$P$206,CHAR(160)," ")),
      $Q$2:$Q$206
    )
  ),
"")</f>
        <v/>
      </c>
      <c r="L196" s="32" t="str">
        <f t="shared" si="4"/>
        <v/>
      </c>
    </row>
    <row r="197" spans="2:12" x14ac:dyDescent="0.2">
      <c r="B197" s="5"/>
      <c r="J197" s="52" t="str" cm="1">
        <f t="array" ref="J197">IFERROR(
  VALUE($I197) *
  VALUE(
    _xlfn.XLOOKUP(
      TRIM($G197) &amp; "|" &amp; LEFT(SUBSTITUTE($H197,CHAR(160)," "),5) &amp; "|Full Rate",
      TRIM(SUBSTITUTE($N$2:$N$206,CHAR(160)," ")) &amp; "|" &amp;
      LEFT(SUBSTITUTE($O$2:$O$206,CHAR(160)," "),5) &amp; "|" &amp;
      TRIM(SUBSTITUTE($P$2:$P$206,CHAR(160)," ")),
      $Q$2:$Q$206
    )
  ),
"")</f>
        <v/>
      </c>
      <c r="K197" s="52" t="str">
        <f t="shared" ref="K197:K228" si="5">IFERROR( VALUE($I197) * INDEX($O$2:$O$5, MATCH(UPPER(TRIM($G197)),$M$2:$M$5,0)), "" )</f>
        <v/>
      </c>
      <c r="L197" s="32" t="str">
        <f t="shared" si="4"/>
        <v/>
      </c>
    </row>
    <row r="198" spans="2:12" x14ac:dyDescent="0.2">
      <c r="B198" s="5"/>
      <c r="J198" s="52" t="str" cm="1">
        <f t="array" ref="J198">IFERROR(
  VALUE($I198) *
  VALUE(
    _xlfn.XLOOKUP(
      TRIM($G198) &amp; "|" &amp; LEFT(SUBSTITUTE($H198,CHAR(160)," "),5) &amp; "|Full Rate",
      TRIM(SUBSTITUTE($N$2:$N$206,CHAR(160)," ")) &amp; "|" &amp;
      LEFT(SUBSTITUTE($O$2:$O$206,CHAR(160)," "),5) &amp; "|" &amp;
      TRIM(SUBSTITUTE($P$2:$P$206,CHAR(160)," ")),
      $Q$2:$Q$206
    )
  ),
"")</f>
        <v/>
      </c>
      <c r="K198" s="52" t="str">
        <f t="shared" si="5"/>
        <v/>
      </c>
      <c r="L198" s="32" t="str">
        <f t="shared" si="4"/>
        <v/>
      </c>
    </row>
    <row r="199" spans="2:12" x14ac:dyDescent="0.2">
      <c r="B199" s="5"/>
      <c r="J199" s="52" t="str" cm="1">
        <f t="array" ref="J199">IFERROR(
  VALUE($I199) *
  VALUE(
    _xlfn.XLOOKUP(
      TRIM($G199) &amp; "|" &amp; LEFT(SUBSTITUTE($H199,CHAR(160)," "),5) &amp; "|Full Rate",
      TRIM(SUBSTITUTE($N$2:$N$206,CHAR(160)," ")) &amp; "|" &amp;
      LEFT(SUBSTITUTE($O$2:$O$206,CHAR(160)," "),5) &amp; "|" &amp;
      TRIM(SUBSTITUTE($P$2:$P$206,CHAR(160)," ")),
      $Q$2:$Q$206
    )
  ),
"")</f>
        <v/>
      </c>
      <c r="K199" s="52" t="str">
        <f t="shared" si="5"/>
        <v/>
      </c>
      <c r="L199" s="32" t="str">
        <f t="shared" si="4"/>
        <v/>
      </c>
    </row>
    <row r="200" spans="2:12" x14ac:dyDescent="0.2">
      <c r="B200" s="5"/>
      <c r="J200" s="52" t="str" cm="1">
        <f t="array" ref="J200">IFERROR(
  VALUE($I200) *
  VALUE(
    _xlfn.XLOOKUP(
      TRIM($G200) &amp; "|" &amp; LEFT(SUBSTITUTE($H200,CHAR(160)," "),5) &amp; "|Full Rate",
      TRIM(SUBSTITUTE($N$2:$N$206,CHAR(160)," ")) &amp; "|" &amp;
      LEFT(SUBSTITUTE($O$2:$O$206,CHAR(160)," "),5) &amp; "|" &amp;
      TRIM(SUBSTITUTE($P$2:$P$206,CHAR(160)," ")),
      $Q$2:$Q$206
    )
  ),
"")</f>
        <v/>
      </c>
      <c r="K200" s="52" t="str">
        <f t="shared" si="5"/>
        <v/>
      </c>
      <c r="L200" s="32" t="str">
        <f t="shared" si="4"/>
        <v/>
      </c>
    </row>
    <row r="201" spans="2:12" x14ac:dyDescent="0.2">
      <c r="B201" s="5"/>
      <c r="J201" s="52" t="str" cm="1">
        <f t="array" ref="J201">IFERROR(
  VALUE($I201) *
  VALUE(
    _xlfn.XLOOKUP(
      TRIM($G201) &amp; "|" &amp; LEFT(SUBSTITUTE($H201,CHAR(160)," "),5) &amp; "|Full Rate",
      TRIM(SUBSTITUTE($N$2:$N$206,CHAR(160)," ")) &amp; "|" &amp;
      LEFT(SUBSTITUTE($O$2:$O$206,CHAR(160)," "),5) &amp; "|" &amp;
      TRIM(SUBSTITUTE($P$2:$P$206,CHAR(160)," ")),
      $Q$2:$Q$206
    )
  ),
"")</f>
        <v/>
      </c>
      <c r="K201" s="52" t="str">
        <f t="shared" si="5"/>
        <v/>
      </c>
      <c r="L201" s="32" t="str">
        <f t="shared" si="4"/>
        <v/>
      </c>
    </row>
    <row r="202" spans="2:12" x14ac:dyDescent="0.2">
      <c r="B202" s="5"/>
      <c r="J202" s="52" t="str" cm="1">
        <f t="array" ref="J202">IFERROR(
  VALUE($I202) *
  VALUE(
    _xlfn.XLOOKUP(
      TRIM($G202) &amp; "|" &amp; LEFT(SUBSTITUTE($H202,CHAR(160)," "),5) &amp; "|Full Rate",
      TRIM(SUBSTITUTE($N$2:$N$206,CHAR(160)," ")) &amp; "|" &amp;
      LEFT(SUBSTITUTE($O$2:$O$206,CHAR(160)," "),5) &amp; "|" &amp;
      TRIM(SUBSTITUTE($P$2:$P$206,CHAR(160)," ")),
      $Q$2:$Q$206
    )
  ),
"")</f>
        <v/>
      </c>
      <c r="K202" s="52" t="str">
        <f t="shared" si="5"/>
        <v/>
      </c>
      <c r="L202" s="32" t="str">
        <f t="shared" si="4"/>
        <v/>
      </c>
    </row>
    <row r="203" spans="2:12" x14ac:dyDescent="0.2">
      <c r="B203" s="5"/>
      <c r="J203" s="52" t="str" cm="1">
        <f t="array" ref="J203">IFERROR(
  VALUE($I203) *
  VALUE(
    _xlfn.XLOOKUP(
      TRIM($G203) &amp; "|" &amp; LEFT(SUBSTITUTE($H203,CHAR(160)," "),5) &amp; "|Full Rate",
      TRIM(SUBSTITUTE($N$2:$N$206,CHAR(160)," ")) &amp; "|" &amp;
      LEFT(SUBSTITUTE($O$2:$O$206,CHAR(160)," "),5) &amp; "|" &amp;
      TRIM(SUBSTITUTE($P$2:$P$206,CHAR(160)," ")),
      $Q$2:$Q$206
    )
  ),
"")</f>
        <v/>
      </c>
      <c r="K203" s="52" t="str">
        <f t="shared" si="5"/>
        <v/>
      </c>
      <c r="L203" s="32" t="str">
        <f t="shared" si="4"/>
        <v/>
      </c>
    </row>
    <row r="204" spans="2:12" x14ac:dyDescent="0.2">
      <c r="B204" s="5"/>
      <c r="J204" s="52" t="str" cm="1">
        <f t="array" ref="J204">IFERROR(
  VALUE($I204) *
  VALUE(
    _xlfn.XLOOKUP(
      TRIM($G204) &amp; "|" &amp; LEFT(SUBSTITUTE($H204,CHAR(160)," "),5) &amp; "|Full Rate",
      TRIM(SUBSTITUTE($N$2:$N$206,CHAR(160)," ")) &amp; "|" &amp;
      LEFT(SUBSTITUTE($O$2:$O$206,CHAR(160)," "),5) &amp; "|" &amp;
      TRIM(SUBSTITUTE($P$2:$P$206,CHAR(160)," ")),
      $Q$2:$Q$206
    )
  ),
"")</f>
        <v/>
      </c>
      <c r="K204" s="52" t="str">
        <f t="shared" si="5"/>
        <v/>
      </c>
      <c r="L204" s="32" t="str">
        <f t="shared" si="4"/>
        <v/>
      </c>
    </row>
    <row r="205" spans="2:12" x14ac:dyDescent="0.2">
      <c r="B205" s="5"/>
      <c r="J205" s="52" t="str" cm="1">
        <f t="array" ref="J205">IFERROR(
  VALUE($I205) *
  VALUE(
    _xlfn.XLOOKUP(
      TRIM($G205) &amp; "|" &amp; LEFT(SUBSTITUTE($H205,CHAR(160)," "),5) &amp; "|Full Rate",
      TRIM(SUBSTITUTE($N$2:$N$206,CHAR(160)," ")) &amp; "|" &amp;
      LEFT(SUBSTITUTE($O$2:$O$206,CHAR(160)," "),5) &amp; "|" &amp;
      TRIM(SUBSTITUTE($P$2:$P$206,CHAR(160)," ")),
      $Q$2:$Q$206
    )
  ),
"")</f>
        <v/>
      </c>
      <c r="K205" s="52" t="str">
        <f t="shared" si="5"/>
        <v/>
      </c>
      <c r="L205" s="32" t="str">
        <f t="shared" si="4"/>
        <v/>
      </c>
    </row>
    <row r="206" spans="2:12" x14ac:dyDescent="0.2">
      <c r="B206" s="5"/>
      <c r="J206" s="52" t="str" cm="1">
        <f t="array" ref="J206">IFERROR(
  VALUE($I206) *
  VALUE(
    _xlfn.XLOOKUP(
      TRIM($G206) &amp; "|" &amp; LEFT(SUBSTITUTE($H206,CHAR(160)," "),5) &amp; "|Full Rate",
      TRIM(SUBSTITUTE($N$2:$N$206,CHAR(160)," ")) &amp; "|" &amp;
      LEFT(SUBSTITUTE($O$2:$O$206,CHAR(160)," "),5) &amp; "|" &amp;
      TRIM(SUBSTITUTE($P$2:$P$206,CHAR(160)," ")),
      $Q$2:$Q$206
    )
  ),
"")</f>
        <v/>
      </c>
      <c r="K206" s="52" t="str">
        <f t="shared" si="5"/>
        <v/>
      </c>
      <c r="L206" s="32" t="str">
        <f t="shared" si="4"/>
        <v/>
      </c>
    </row>
    <row r="207" spans="2:12" x14ac:dyDescent="0.2">
      <c r="B207" s="5"/>
      <c r="J207" s="52" t="str" cm="1">
        <f t="array" ref="J207">IFERROR(
  VALUE($I207) *
  VALUE(
    _xlfn.XLOOKUP(
      TRIM($G207) &amp; "|" &amp; LEFT(SUBSTITUTE($H207,CHAR(160)," "),5) &amp; "|Full Rate",
      TRIM(SUBSTITUTE($N$2:$N$206,CHAR(160)," ")) &amp; "|" &amp;
      LEFT(SUBSTITUTE($O$2:$O$206,CHAR(160)," "),5) &amp; "|" &amp;
      TRIM(SUBSTITUTE($P$2:$P$206,CHAR(160)," ")),
      $Q$2:$Q$206
    )
  ),
"")</f>
        <v/>
      </c>
      <c r="K207" s="52" t="str">
        <f t="shared" si="5"/>
        <v/>
      </c>
      <c r="L207" s="32" t="str">
        <f t="shared" si="4"/>
        <v/>
      </c>
    </row>
    <row r="208" spans="2:12" x14ac:dyDescent="0.2">
      <c r="B208" s="5"/>
      <c r="J208" s="52" t="str" cm="1">
        <f t="array" ref="J208">IFERROR(
  VALUE($I208) *
  VALUE(
    _xlfn.XLOOKUP(
      TRIM($G208) &amp; "|" &amp; LEFT(SUBSTITUTE($H208,CHAR(160)," "),5) &amp; "|Full Rate",
      TRIM(SUBSTITUTE($N$2:$N$206,CHAR(160)," ")) &amp; "|" &amp;
      LEFT(SUBSTITUTE($O$2:$O$206,CHAR(160)," "),5) &amp; "|" &amp;
      TRIM(SUBSTITUTE($P$2:$P$206,CHAR(160)," ")),
      $Q$2:$Q$206
    )
  ),
"")</f>
        <v/>
      </c>
      <c r="K208" s="52" t="str">
        <f t="shared" si="5"/>
        <v/>
      </c>
      <c r="L208" s="32" t="str">
        <f t="shared" si="4"/>
        <v/>
      </c>
    </row>
    <row r="209" spans="2:12" x14ac:dyDescent="0.2">
      <c r="B209" s="5"/>
      <c r="J209" s="52" t="str" cm="1">
        <f t="array" ref="J209">IFERROR(
  VALUE($I209) *
  VALUE(
    _xlfn.XLOOKUP(
      TRIM($G209) &amp; "|" &amp; LEFT(SUBSTITUTE($H209,CHAR(160)," "),5) &amp; "|Full Rate",
      TRIM(SUBSTITUTE($N$2:$N$206,CHAR(160)," ")) &amp; "|" &amp;
      LEFT(SUBSTITUTE($O$2:$O$206,CHAR(160)," "),5) &amp; "|" &amp;
      TRIM(SUBSTITUTE($P$2:$P$206,CHAR(160)," ")),
      $Q$2:$Q$206
    )
  ),
"")</f>
        <v/>
      </c>
      <c r="K209" s="52" t="str">
        <f t="shared" si="5"/>
        <v/>
      </c>
      <c r="L209" s="32" t="str">
        <f t="shared" si="4"/>
        <v/>
      </c>
    </row>
    <row r="210" spans="2:12" x14ac:dyDescent="0.2">
      <c r="B210" s="5"/>
      <c r="J210" s="52" t="str" cm="1">
        <f t="array" ref="J210">IFERROR(
  VALUE($I210) *
  VALUE(
    _xlfn.XLOOKUP(
      TRIM($G210) &amp; "|" &amp; LEFT(SUBSTITUTE($H210,CHAR(160)," "),5) &amp; "|Full Rate",
      TRIM(SUBSTITUTE($N$2:$N$206,CHAR(160)," ")) &amp; "|" &amp;
      LEFT(SUBSTITUTE($O$2:$O$206,CHAR(160)," "),5) &amp; "|" &amp;
      TRIM(SUBSTITUTE($P$2:$P$206,CHAR(160)," ")),
      $Q$2:$Q$206
    )
  ),
"")</f>
        <v/>
      </c>
      <c r="K210" s="52" t="str">
        <f t="shared" si="5"/>
        <v/>
      </c>
      <c r="L210" s="32" t="str">
        <f t="shared" si="4"/>
        <v/>
      </c>
    </row>
    <row r="211" spans="2:12" x14ac:dyDescent="0.2">
      <c r="B211" s="5"/>
      <c r="J211" s="52" t="str" cm="1">
        <f t="array" ref="J211">IFERROR(
  VALUE($I211) *
  VALUE(
    _xlfn.XLOOKUP(
      TRIM($G211) &amp; "|" &amp; LEFT(SUBSTITUTE($H211,CHAR(160)," "),5) &amp; "|Full Rate",
      TRIM(SUBSTITUTE($N$2:$N$206,CHAR(160)," ")) &amp; "|" &amp;
      LEFT(SUBSTITUTE($O$2:$O$206,CHAR(160)," "),5) &amp; "|" &amp;
      TRIM(SUBSTITUTE($P$2:$P$206,CHAR(160)," ")),
      $Q$2:$Q$206
    )
  ),
"")</f>
        <v/>
      </c>
      <c r="K211" s="52" t="str">
        <f t="shared" si="5"/>
        <v/>
      </c>
      <c r="L211" s="32" t="str">
        <f t="shared" si="4"/>
        <v/>
      </c>
    </row>
    <row r="212" spans="2:12" x14ac:dyDescent="0.2">
      <c r="B212" s="5"/>
      <c r="J212" s="52" t="str" cm="1">
        <f t="array" ref="J212">IFERROR(
  VALUE($I212) *
  VALUE(
    _xlfn.XLOOKUP(
      TRIM($G212) &amp; "|" &amp; LEFT(SUBSTITUTE($H212,CHAR(160)," "),5) &amp; "|Full Rate",
      TRIM(SUBSTITUTE($N$2:$N$206,CHAR(160)," ")) &amp; "|" &amp;
      LEFT(SUBSTITUTE($O$2:$O$206,CHAR(160)," "),5) &amp; "|" &amp;
      TRIM(SUBSTITUTE($P$2:$P$206,CHAR(160)," ")),
      $Q$2:$Q$206
    )
  ),
"")</f>
        <v/>
      </c>
      <c r="K212" s="52" t="str">
        <f t="shared" si="5"/>
        <v/>
      </c>
      <c r="L212" s="32" t="str">
        <f t="shared" si="4"/>
        <v/>
      </c>
    </row>
    <row r="213" spans="2:12" x14ac:dyDescent="0.2">
      <c r="B213" s="5"/>
      <c r="J213" s="52" t="str" cm="1">
        <f t="array" ref="J213">IFERROR(
  VALUE($I213) *
  VALUE(
    _xlfn.XLOOKUP(
      TRIM($G213) &amp; "|" &amp; LEFT(SUBSTITUTE($H213,CHAR(160)," "),5) &amp; "|Full Rate",
      TRIM(SUBSTITUTE($N$2:$N$206,CHAR(160)," ")) &amp; "|" &amp;
      LEFT(SUBSTITUTE($O$2:$O$206,CHAR(160)," "),5) &amp; "|" &amp;
      TRIM(SUBSTITUTE($P$2:$P$206,CHAR(160)," ")),
      $Q$2:$Q$206
    )
  ),
"")</f>
        <v/>
      </c>
      <c r="K213" s="52" t="str">
        <f t="shared" si="5"/>
        <v/>
      </c>
      <c r="L213" s="32" t="str">
        <f t="shared" si="4"/>
        <v/>
      </c>
    </row>
    <row r="214" spans="2:12" x14ac:dyDescent="0.2">
      <c r="B214" s="5"/>
      <c r="J214" s="52" t="str" cm="1">
        <f t="array" ref="J214">IFERROR(
  VALUE($I214) *
  VALUE(
    _xlfn.XLOOKUP(
      TRIM($G214) &amp; "|" &amp; LEFT(SUBSTITUTE($H214,CHAR(160)," "),5) &amp; "|Full Rate",
      TRIM(SUBSTITUTE($N$2:$N$206,CHAR(160)," ")) &amp; "|" &amp;
      LEFT(SUBSTITUTE($O$2:$O$206,CHAR(160)," "),5) &amp; "|" &amp;
      TRIM(SUBSTITUTE($P$2:$P$206,CHAR(160)," ")),
      $Q$2:$Q$206
    )
  ),
"")</f>
        <v/>
      </c>
      <c r="K214" s="52" t="str">
        <f t="shared" si="5"/>
        <v/>
      </c>
      <c r="L214" s="32" t="str">
        <f t="shared" si="4"/>
        <v/>
      </c>
    </row>
    <row r="215" spans="2:12" x14ac:dyDescent="0.2">
      <c r="B215" s="5"/>
      <c r="J215" s="52" t="str" cm="1">
        <f t="array" ref="J215">IFERROR(
  VALUE($I215) *
  VALUE(
    _xlfn.XLOOKUP(
      TRIM($G215) &amp; "|" &amp; LEFT(SUBSTITUTE($H215,CHAR(160)," "),5) &amp; "|Full Rate",
      TRIM(SUBSTITUTE($N$2:$N$206,CHAR(160)," ")) &amp; "|" &amp;
      LEFT(SUBSTITUTE($O$2:$O$206,CHAR(160)," "),5) &amp; "|" &amp;
      TRIM(SUBSTITUTE($P$2:$P$206,CHAR(160)," ")),
      $Q$2:$Q$206
    )
  ),
"")</f>
        <v/>
      </c>
      <c r="K215" s="52" t="str">
        <f t="shared" si="5"/>
        <v/>
      </c>
      <c r="L215" s="32" t="str">
        <f t="shared" si="4"/>
        <v/>
      </c>
    </row>
    <row r="216" spans="2:12" x14ac:dyDescent="0.2">
      <c r="B216" s="5"/>
      <c r="J216" s="52" t="str" cm="1">
        <f t="array" ref="J216">IFERROR(
  VALUE($I216) *
  VALUE(
    _xlfn.XLOOKUP(
      TRIM($G216) &amp; "|" &amp; LEFT(SUBSTITUTE($H216,CHAR(160)," "),5) &amp; "|Full Rate",
      TRIM(SUBSTITUTE($N$2:$N$206,CHAR(160)," ")) &amp; "|" &amp;
      LEFT(SUBSTITUTE($O$2:$O$206,CHAR(160)," "),5) &amp; "|" &amp;
      TRIM(SUBSTITUTE($P$2:$P$206,CHAR(160)," ")),
      $Q$2:$Q$206
    )
  ),
"")</f>
        <v/>
      </c>
      <c r="K216" s="52" t="str">
        <f t="shared" si="5"/>
        <v/>
      </c>
      <c r="L216" s="32" t="str">
        <f t="shared" si="4"/>
        <v/>
      </c>
    </row>
    <row r="217" spans="2:12" x14ac:dyDescent="0.2">
      <c r="J217" s="52" t="str" cm="1">
        <f t="array" ref="J217">IFERROR(
  VALUE($I217) *
  VALUE(
    _xlfn.XLOOKUP(
      TRIM($G217) &amp; "|" &amp; LEFT(SUBSTITUTE($H217,CHAR(160)," "),5) &amp; "|Full Rate",
      TRIM(SUBSTITUTE($N$2:$N$206,CHAR(160)," ")) &amp; "|" &amp;
      LEFT(SUBSTITUTE($O$2:$O$206,CHAR(160)," "),5) &amp; "|" &amp;
      TRIM(SUBSTITUTE($P$2:$P$206,CHAR(160)," ")),
      $Q$2:$Q$206
    )
  ),
"")</f>
        <v/>
      </c>
      <c r="K217" s="52" t="str">
        <f t="shared" si="5"/>
        <v/>
      </c>
      <c r="L217" s="32" t="str">
        <f t="shared" ref="L217:L248" si="6">IFERROR( VALUE($I217) * INDEX($P$2:$P$5, MATCH(UPPER(TRIM($G217)),$M$2:$M$5,0)), "" )</f>
        <v/>
      </c>
    </row>
    <row r="218" spans="2:12" x14ac:dyDescent="0.2">
      <c r="J218" s="52" t="str" cm="1">
        <f t="array" ref="J218">IFERROR(
  VALUE($I218) *
  VALUE(
    _xlfn.XLOOKUP(
      TRIM($G218) &amp; "|" &amp; LEFT(SUBSTITUTE($H218,CHAR(160)," "),5) &amp; "|Full Rate",
      TRIM(SUBSTITUTE($N$2:$N$206,CHAR(160)," ")) &amp; "|" &amp;
      LEFT(SUBSTITUTE($O$2:$O$206,CHAR(160)," "),5) &amp; "|" &amp;
      TRIM(SUBSTITUTE($P$2:$P$206,CHAR(160)," ")),
      $Q$2:$Q$206
    )
  ),
"")</f>
        <v/>
      </c>
      <c r="K218" s="52" t="str">
        <f t="shared" si="5"/>
        <v/>
      </c>
      <c r="L218" s="32" t="str">
        <f t="shared" si="6"/>
        <v/>
      </c>
    </row>
    <row r="219" spans="2:12" x14ac:dyDescent="0.2">
      <c r="J219" s="52" t="str" cm="1">
        <f t="array" ref="J219">IFERROR(
  VALUE($I219) *
  VALUE(
    _xlfn.XLOOKUP(
      TRIM($G219) &amp; "|" &amp; LEFT(SUBSTITUTE($H219,CHAR(160)," "),5) &amp; "|Full Rate",
      TRIM(SUBSTITUTE($N$2:$N$206,CHAR(160)," ")) &amp; "|" &amp;
      LEFT(SUBSTITUTE($O$2:$O$206,CHAR(160)," "),5) &amp; "|" &amp;
      TRIM(SUBSTITUTE($P$2:$P$206,CHAR(160)," ")),
      $Q$2:$Q$206
    )
  ),
"")</f>
        <v/>
      </c>
      <c r="K219" s="52" t="str">
        <f t="shared" si="5"/>
        <v/>
      </c>
      <c r="L219" s="32" t="str">
        <f t="shared" si="6"/>
        <v/>
      </c>
    </row>
    <row r="220" spans="2:12" x14ac:dyDescent="0.2">
      <c r="J220" s="52" t="str" cm="1">
        <f t="array" ref="J220">IFERROR(
  VALUE($I220) *
  VALUE(
    _xlfn.XLOOKUP(
      TRIM($G220) &amp; "|" &amp; LEFT(SUBSTITUTE($H220,CHAR(160)," "),5) &amp; "|Full Rate",
      TRIM(SUBSTITUTE($N$2:$N$206,CHAR(160)," ")) &amp; "|" &amp;
      LEFT(SUBSTITUTE($O$2:$O$206,CHAR(160)," "),5) &amp; "|" &amp;
      TRIM(SUBSTITUTE($P$2:$P$206,CHAR(160)," ")),
      $Q$2:$Q$206
    )
  ),
"")</f>
        <v/>
      </c>
      <c r="K220" s="52" t="str">
        <f t="shared" si="5"/>
        <v/>
      </c>
      <c r="L220" s="32" t="str">
        <f t="shared" si="6"/>
        <v/>
      </c>
    </row>
    <row r="221" spans="2:12" x14ac:dyDescent="0.2">
      <c r="J221" s="52" t="str" cm="1">
        <f t="array" ref="J221">IFERROR(
  VALUE($I221) *
  VALUE(
    _xlfn.XLOOKUP(
      TRIM($G221) &amp; "|" &amp; LEFT(SUBSTITUTE($H221,CHAR(160)," "),5) &amp; "|Full Rate",
      TRIM(SUBSTITUTE($N$2:$N$206,CHAR(160)," ")) &amp; "|" &amp;
      LEFT(SUBSTITUTE($O$2:$O$206,CHAR(160)," "),5) &amp; "|" &amp;
      TRIM(SUBSTITUTE($P$2:$P$206,CHAR(160)," ")),
      $Q$2:$Q$206
    )
  ),
"")</f>
        <v/>
      </c>
      <c r="K221" s="52" t="str">
        <f t="shared" si="5"/>
        <v/>
      </c>
      <c r="L221" s="32" t="str">
        <f t="shared" si="6"/>
        <v/>
      </c>
    </row>
    <row r="222" spans="2:12" x14ac:dyDescent="0.2">
      <c r="J222" s="52" t="str" cm="1">
        <f t="array" ref="J222">IFERROR(
  VALUE($I222) *
  VALUE(
    _xlfn.XLOOKUP(
      TRIM($G222) &amp; "|" &amp; LEFT(SUBSTITUTE($H222,CHAR(160)," "),5) &amp; "|Full Rate",
      TRIM(SUBSTITUTE($N$2:$N$206,CHAR(160)," ")) &amp; "|" &amp;
      LEFT(SUBSTITUTE($O$2:$O$206,CHAR(160)," "),5) &amp; "|" &amp;
      TRIM(SUBSTITUTE($P$2:$P$206,CHAR(160)," ")),
      $Q$2:$Q$206
    )
  ),
"")</f>
        <v/>
      </c>
      <c r="K222" s="52" t="str">
        <f t="shared" si="5"/>
        <v/>
      </c>
      <c r="L222" s="32" t="str">
        <f t="shared" si="6"/>
        <v/>
      </c>
    </row>
    <row r="223" spans="2:12" x14ac:dyDescent="0.2">
      <c r="J223" s="52" t="str" cm="1">
        <f t="array" ref="J223">IFERROR(
  VALUE($I223) *
  VALUE(
    _xlfn.XLOOKUP(
      TRIM($G223) &amp; "|" &amp; LEFT(SUBSTITUTE($H223,CHAR(160)," "),5) &amp; "|Full Rate",
      TRIM(SUBSTITUTE($N$2:$N$206,CHAR(160)," ")) &amp; "|" &amp;
      LEFT(SUBSTITUTE($O$2:$O$206,CHAR(160)," "),5) &amp; "|" &amp;
      TRIM(SUBSTITUTE($P$2:$P$206,CHAR(160)," ")),
      $Q$2:$Q$206
    )
  ),
"")</f>
        <v/>
      </c>
      <c r="K223" s="52" t="str">
        <f t="shared" si="5"/>
        <v/>
      </c>
      <c r="L223" s="32" t="str">
        <f t="shared" si="6"/>
        <v/>
      </c>
    </row>
    <row r="224" spans="2:12" x14ac:dyDescent="0.2">
      <c r="J224" s="52" t="str" cm="1">
        <f t="array" ref="J224">IFERROR(
  VALUE($I224) *
  VALUE(
    _xlfn.XLOOKUP(
      TRIM($G224) &amp; "|" &amp; LEFT(SUBSTITUTE($H224,CHAR(160)," "),5) &amp; "|Full Rate",
      TRIM(SUBSTITUTE($N$2:$N$206,CHAR(160)," ")) &amp; "|" &amp;
      LEFT(SUBSTITUTE($O$2:$O$206,CHAR(160)," "),5) &amp; "|" &amp;
      TRIM(SUBSTITUTE($P$2:$P$206,CHAR(160)," ")),
      $Q$2:$Q$206
    )
  ),
"")</f>
        <v/>
      </c>
      <c r="K224" s="52" t="str">
        <f t="shared" si="5"/>
        <v/>
      </c>
      <c r="L224" s="32" t="str">
        <f t="shared" si="6"/>
        <v/>
      </c>
    </row>
    <row r="225" spans="10:12" x14ac:dyDescent="0.2">
      <c r="J225" s="52" t="str" cm="1">
        <f t="array" ref="J225">IFERROR(
  VALUE($I225) *
  VALUE(
    _xlfn.XLOOKUP(
      TRIM($G225) &amp; "|" &amp; LEFT(SUBSTITUTE($H225,CHAR(160)," "),5) &amp; "|Full Rate",
      TRIM(SUBSTITUTE($N$2:$N$206,CHAR(160)," ")) &amp; "|" &amp;
      LEFT(SUBSTITUTE($O$2:$O$206,CHAR(160)," "),5) &amp; "|" &amp;
      TRIM(SUBSTITUTE($P$2:$P$206,CHAR(160)," ")),
      $Q$2:$Q$206
    )
  ),
"")</f>
        <v/>
      </c>
      <c r="K225" s="52" t="str">
        <f t="shared" si="5"/>
        <v/>
      </c>
      <c r="L225" s="32" t="str">
        <f t="shared" si="6"/>
        <v/>
      </c>
    </row>
    <row r="226" spans="10:12" x14ac:dyDescent="0.2">
      <c r="J226" s="52" t="str" cm="1">
        <f t="array" ref="J226">IFERROR(
  VALUE($I226) *
  VALUE(
    _xlfn.XLOOKUP(
      TRIM($G226) &amp; "|" &amp; LEFT(SUBSTITUTE($H226,CHAR(160)," "),5) &amp; "|Full Rate",
      TRIM(SUBSTITUTE($N$2:$N$206,CHAR(160)," ")) &amp; "|" &amp;
      LEFT(SUBSTITUTE($O$2:$O$206,CHAR(160)," "),5) &amp; "|" &amp;
      TRIM(SUBSTITUTE($P$2:$P$206,CHAR(160)," ")),
      $Q$2:$Q$206
    )
  ),
"")</f>
        <v/>
      </c>
      <c r="K226" s="52" t="str">
        <f t="shared" si="5"/>
        <v/>
      </c>
      <c r="L226" s="32" t="str">
        <f t="shared" si="6"/>
        <v/>
      </c>
    </row>
    <row r="227" spans="10:12" x14ac:dyDescent="0.2">
      <c r="J227" s="52" t="str" cm="1">
        <f t="array" ref="J227">IFERROR(
  VALUE($I227) *
  VALUE(
    _xlfn.XLOOKUP(
      TRIM($G227) &amp; "|" &amp; LEFT(SUBSTITUTE($H227,CHAR(160)," "),5) &amp; "|Full Rate",
      TRIM(SUBSTITUTE($N$2:$N$206,CHAR(160)," ")) &amp; "|" &amp;
      LEFT(SUBSTITUTE($O$2:$O$206,CHAR(160)," "),5) &amp; "|" &amp;
      TRIM(SUBSTITUTE($P$2:$P$206,CHAR(160)," ")),
      $Q$2:$Q$206
    )
  ),
"")</f>
        <v/>
      </c>
      <c r="K227" s="52" t="str">
        <f t="shared" si="5"/>
        <v/>
      </c>
      <c r="L227" s="32" t="str">
        <f t="shared" si="6"/>
        <v/>
      </c>
    </row>
    <row r="228" spans="10:12" x14ac:dyDescent="0.2">
      <c r="J228" s="52" t="str" cm="1">
        <f t="array" ref="J228">IFERROR(
  VALUE($I228) *
  VALUE(
    _xlfn.XLOOKUP(
      TRIM($G228) &amp; "|" &amp; LEFT(SUBSTITUTE($H228,CHAR(160)," "),5) &amp; "|Full Rate",
      TRIM(SUBSTITUTE($N$2:$N$206,CHAR(160)," ")) &amp; "|" &amp;
      LEFT(SUBSTITUTE($O$2:$O$206,CHAR(160)," "),5) &amp; "|" &amp;
      TRIM(SUBSTITUTE($P$2:$P$206,CHAR(160)," ")),
      $Q$2:$Q$206
    )
  ),
"")</f>
        <v/>
      </c>
      <c r="K228" s="52" t="str">
        <f t="shared" si="5"/>
        <v/>
      </c>
      <c r="L228" s="32" t="str">
        <f t="shared" si="6"/>
        <v/>
      </c>
    </row>
    <row r="229" spans="10:12" x14ac:dyDescent="0.2">
      <c r="J229" s="52" t="str" cm="1">
        <f t="array" ref="J229">IFERROR(
  VALUE($I229) *
  VALUE(
    _xlfn.XLOOKUP(
      TRIM($G229) &amp; "|" &amp; LEFT(SUBSTITUTE($H229,CHAR(160)," "),5) &amp; "|Full Rate",
      TRIM(SUBSTITUTE($N$2:$N$206,CHAR(160)," ")) &amp; "|" &amp;
      LEFT(SUBSTITUTE($O$2:$O$206,CHAR(160)," "),5) &amp; "|" &amp;
      TRIM(SUBSTITUTE($P$2:$P$206,CHAR(160)," ")),
      $Q$2:$Q$206
    )
  ),
"")</f>
        <v/>
      </c>
      <c r="K229" s="52" t="str">
        <f t="shared" ref="K229:K260" si="7">IFERROR( VALUE($I229) * INDEX($O$2:$O$5, MATCH(UPPER(TRIM($G229)),$M$2:$M$5,0)), "" )</f>
        <v/>
      </c>
      <c r="L229" s="32" t="str">
        <f t="shared" si="6"/>
        <v/>
      </c>
    </row>
    <row r="230" spans="10:12" x14ac:dyDescent="0.2">
      <c r="J230" s="52" t="str" cm="1">
        <f t="array" ref="J230">IFERROR(
  VALUE($I230) *
  VALUE(
    _xlfn.XLOOKUP(
      TRIM($G230) &amp; "|" &amp; LEFT(SUBSTITUTE($H230,CHAR(160)," "),5) &amp; "|Full Rate",
      TRIM(SUBSTITUTE($N$2:$N$206,CHAR(160)," ")) &amp; "|" &amp;
      LEFT(SUBSTITUTE($O$2:$O$206,CHAR(160)," "),5) &amp; "|" &amp;
      TRIM(SUBSTITUTE($P$2:$P$206,CHAR(160)," ")),
      $Q$2:$Q$206
    )
  ),
"")</f>
        <v/>
      </c>
      <c r="K230" s="52" t="str">
        <f t="shared" si="7"/>
        <v/>
      </c>
      <c r="L230" s="32" t="str">
        <f t="shared" si="6"/>
        <v/>
      </c>
    </row>
    <row r="231" spans="10:12" x14ac:dyDescent="0.2">
      <c r="J231" s="52" t="str" cm="1">
        <f t="array" ref="J231">IFERROR(
  VALUE($I231) *
  VALUE(
    _xlfn.XLOOKUP(
      TRIM($G231) &amp; "|" &amp; LEFT(SUBSTITUTE($H231,CHAR(160)," "),5) &amp; "|Full Rate",
      TRIM(SUBSTITUTE($N$2:$N$206,CHAR(160)," ")) &amp; "|" &amp;
      LEFT(SUBSTITUTE($O$2:$O$206,CHAR(160)," "),5) &amp; "|" &amp;
      TRIM(SUBSTITUTE($P$2:$P$206,CHAR(160)," ")),
      $Q$2:$Q$206
    )
  ),
"")</f>
        <v/>
      </c>
      <c r="K231" s="52" t="str">
        <f t="shared" si="7"/>
        <v/>
      </c>
      <c r="L231" s="32" t="str">
        <f t="shared" si="6"/>
        <v/>
      </c>
    </row>
    <row r="232" spans="10:12" x14ac:dyDescent="0.2">
      <c r="J232" s="52" t="str" cm="1">
        <f t="array" ref="J232">IFERROR(
  VALUE($I232) *
  VALUE(
    _xlfn.XLOOKUP(
      TRIM($G232) &amp; "|" &amp; LEFT(SUBSTITUTE($H232,CHAR(160)," "),5) &amp; "|Full Rate",
      TRIM(SUBSTITUTE($N$2:$N$206,CHAR(160)," ")) &amp; "|" &amp;
      LEFT(SUBSTITUTE($O$2:$O$206,CHAR(160)," "),5) &amp; "|" &amp;
      TRIM(SUBSTITUTE($P$2:$P$206,CHAR(160)," ")),
      $Q$2:$Q$206
    )
  ),
"")</f>
        <v/>
      </c>
      <c r="K232" s="52" t="str">
        <f t="shared" si="7"/>
        <v/>
      </c>
      <c r="L232" s="32" t="str">
        <f t="shared" si="6"/>
        <v/>
      </c>
    </row>
    <row r="233" spans="10:12" x14ac:dyDescent="0.2">
      <c r="J233" s="52" t="str" cm="1">
        <f t="array" ref="J233">IFERROR(
  VALUE($I233) *
  VALUE(
    _xlfn.XLOOKUP(
      TRIM($G233) &amp; "|" &amp; LEFT(SUBSTITUTE($H233,CHAR(160)," "),5) &amp; "|Full Rate",
      TRIM(SUBSTITUTE($N$2:$N$206,CHAR(160)," ")) &amp; "|" &amp;
      LEFT(SUBSTITUTE($O$2:$O$206,CHAR(160)," "),5) &amp; "|" &amp;
      TRIM(SUBSTITUTE($P$2:$P$206,CHAR(160)," ")),
      $Q$2:$Q$206
    )
  ),
"")</f>
        <v/>
      </c>
      <c r="K233" s="52" t="str">
        <f t="shared" si="7"/>
        <v/>
      </c>
      <c r="L233" s="32" t="str">
        <f t="shared" si="6"/>
        <v/>
      </c>
    </row>
    <row r="234" spans="10:12" x14ac:dyDescent="0.2">
      <c r="J234" s="52" t="str" cm="1">
        <f t="array" ref="J234">IFERROR(
  VALUE($I234) *
  VALUE(
    _xlfn.XLOOKUP(
      TRIM($G234) &amp; "|" &amp; LEFT(SUBSTITUTE($H234,CHAR(160)," "),5) &amp; "|Full Rate",
      TRIM(SUBSTITUTE($N$2:$N$206,CHAR(160)," ")) &amp; "|" &amp;
      LEFT(SUBSTITUTE($O$2:$O$206,CHAR(160)," "),5) &amp; "|" &amp;
      TRIM(SUBSTITUTE($P$2:$P$206,CHAR(160)," ")),
      $Q$2:$Q$206
    )
  ),
"")</f>
        <v/>
      </c>
      <c r="K234" s="52" t="str">
        <f t="shared" si="7"/>
        <v/>
      </c>
      <c r="L234" s="32" t="str">
        <f t="shared" si="6"/>
        <v/>
      </c>
    </row>
    <row r="235" spans="10:12" x14ac:dyDescent="0.2">
      <c r="J235" s="52" t="str" cm="1">
        <f t="array" ref="J235">IFERROR(
  VALUE($I235) *
  VALUE(
    _xlfn.XLOOKUP(
      TRIM($G235) &amp; "|" &amp; LEFT(SUBSTITUTE($H235,CHAR(160)," "),5) &amp; "|Full Rate",
      TRIM(SUBSTITUTE($N$2:$N$206,CHAR(160)," ")) &amp; "|" &amp;
      LEFT(SUBSTITUTE($O$2:$O$206,CHAR(160)," "),5) &amp; "|" &amp;
      TRIM(SUBSTITUTE($P$2:$P$206,CHAR(160)," ")),
      $Q$2:$Q$206
    )
  ),
"")</f>
        <v/>
      </c>
      <c r="K235" s="52" t="str">
        <f t="shared" si="7"/>
        <v/>
      </c>
      <c r="L235" s="32" t="str">
        <f t="shared" si="6"/>
        <v/>
      </c>
    </row>
    <row r="236" spans="10:12" x14ac:dyDescent="0.2">
      <c r="J236" s="52" t="str" cm="1">
        <f t="array" ref="J236">IFERROR(
  VALUE($I236) *
  VALUE(
    _xlfn.XLOOKUP(
      TRIM($G236) &amp; "|" &amp; LEFT(SUBSTITUTE($H236,CHAR(160)," "),5) &amp; "|Full Rate",
      TRIM(SUBSTITUTE($N$2:$N$206,CHAR(160)," ")) &amp; "|" &amp;
      LEFT(SUBSTITUTE($O$2:$O$206,CHAR(160)," "),5) &amp; "|" &amp;
      TRIM(SUBSTITUTE($P$2:$P$206,CHAR(160)," ")),
      $Q$2:$Q$206
    )
  ),
"")</f>
        <v/>
      </c>
      <c r="K236" s="52" t="str">
        <f t="shared" si="7"/>
        <v/>
      </c>
      <c r="L236" s="32" t="str">
        <f t="shared" si="6"/>
        <v/>
      </c>
    </row>
    <row r="237" spans="10:12" x14ac:dyDescent="0.2">
      <c r="J237" s="52" t="str" cm="1">
        <f t="array" ref="J237">IFERROR(
  VALUE($I237) *
  VALUE(
    _xlfn.XLOOKUP(
      TRIM($G237) &amp; "|" &amp; LEFT(SUBSTITUTE($H237,CHAR(160)," "),5) &amp; "|Full Rate",
      TRIM(SUBSTITUTE($N$2:$N$206,CHAR(160)," ")) &amp; "|" &amp;
      LEFT(SUBSTITUTE($O$2:$O$206,CHAR(160)," "),5) &amp; "|" &amp;
      TRIM(SUBSTITUTE($P$2:$P$206,CHAR(160)," ")),
      $Q$2:$Q$206
    )
  ),
"")</f>
        <v/>
      </c>
      <c r="K237" s="52" t="str">
        <f t="shared" si="7"/>
        <v/>
      </c>
      <c r="L237" s="32" t="str">
        <f t="shared" si="6"/>
        <v/>
      </c>
    </row>
    <row r="238" spans="10:12" x14ac:dyDescent="0.2">
      <c r="J238" s="52" t="str" cm="1">
        <f t="array" ref="J238">IFERROR(
  VALUE($I238) *
  VALUE(
    _xlfn.XLOOKUP(
      TRIM($G238) &amp; "|" &amp; LEFT(SUBSTITUTE($H238,CHAR(160)," "),5) &amp; "|Full Rate",
      TRIM(SUBSTITUTE($N$2:$N$206,CHAR(160)," ")) &amp; "|" &amp;
      LEFT(SUBSTITUTE($O$2:$O$206,CHAR(160)," "),5) &amp; "|" &amp;
      TRIM(SUBSTITUTE($P$2:$P$206,CHAR(160)," ")),
      $Q$2:$Q$206
    )
  ),
"")</f>
        <v/>
      </c>
      <c r="K238" s="52" t="str">
        <f t="shared" si="7"/>
        <v/>
      </c>
      <c r="L238" s="32" t="str">
        <f t="shared" si="6"/>
        <v/>
      </c>
    </row>
    <row r="239" spans="10:12" x14ac:dyDescent="0.2">
      <c r="J239" s="52" t="str" cm="1">
        <f t="array" ref="J239">IFERROR(
  VALUE($I239) *
  VALUE(
    _xlfn.XLOOKUP(
      TRIM($G239) &amp; "|" &amp; LEFT(SUBSTITUTE($H239,CHAR(160)," "),5) &amp; "|Full Rate",
      TRIM(SUBSTITUTE($N$2:$N$206,CHAR(160)," ")) &amp; "|" &amp;
      LEFT(SUBSTITUTE($O$2:$O$206,CHAR(160)," "),5) &amp; "|" &amp;
      TRIM(SUBSTITUTE($P$2:$P$206,CHAR(160)," ")),
      $Q$2:$Q$206
    )
  ),
"")</f>
        <v/>
      </c>
      <c r="K239" s="52" t="str">
        <f t="shared" si="7"/>
        <v/>
      </c>
      <c r="L239" s="32" t="str">
        <f t="shared" si="6"/>
        <v/>
      </c>
    </row>
    <row r="240" spans="10:12" x14ac:dyDescent="0.2">
      <c r="J240" s="52" t="str" cm="1">
        <f t="array" ref="J240">IFERROR(
  VALUE($I240) *
  VALUE(
    _xlfn.XLOOKUP(
      TRIM($G240) &amp; "|" &amp; LEFT(SUBSTITUTE($H240,CHAR(160)," "),5) &amp; "|Full Rate",
      TRIM(SUBSTITUTE($N$2:$N$206,CHAR(160)," ")) &amp; "|" &amp;
      LEFT(SUBSTITUTE($O$2:$O$206,CHAR(160)," "),5) &amp; "|" &amp;
      TRIM(SUBSTITUTE($P$2:$P$206,CHAR(160)," ")),
      $Q$2:$Q$206
    )
  ),
"")</f>
        <v/>
      </c>
      <c r="K240" s="52" t="str">
        <f t="shared" si="7"/>
        <v/>
      </c>
      <c r="L240" s="32" t="str">
        <f t="shared" si="6"/>
        <v/>
      </c>
    </row>
    <row r="241" spans="10:12" x14ac:dyDescent="0.2">
      <c r="J241" s="52" t="str" cm="1">
        <f t="array" ref="J241">IFERROR(
  VALUE($I241) *
  VALUE(
    _xlfn.XLOOKUP(
      TRIM($G241) &amp; "|" &amp; LEFT(SUBSTITUTE($H241,CHAR(160)," "),5) &amp; "|Full Rate",
      TRIM(SUBSTITUTE($N$2:$N$206,CHAR(160)," ")) &amp; "|" &amp;
      LEFT(SUBSTITUTE($O$2:$O$206,CHAR(160)," "),5) &amp; "|" &amp;
      TRIM(SUBSTITUTE($P$2:$P$206,CHAR(160)," ")),
      $Q$2:$Q$206
    )
  ),
"")</f>
        <v/>
      </c>
      <c r="K241" s="52" t="str">
        <f t="shared" si="7"/>
        <v/>
      </c>
      <c r="L241" s="32" t="str">
        <f t="shared" si="6"/>
        <v/>
      </c>
    </row>
    <row r="242" spans="10:12" x14ac:dyDescent="0.2">
      <c r="J242" s="52" t="str" cm="1">
        <f t="array" ref="J242">IFERROR(
  VALUE($I242) *
  VALUE(
    _xlfn.XLOOKUP(
      TRIM($G242) &amp; "|" &amp; LEFT(SUBSTITUTE($H242,CHAR(160)," "),5) &amp; "|Full Rate",
      TRIM(SUBSTITUTE($N$2:$N$206,CHAR(160)," ")) &amp; "|" &amp;
      LEFT(SUBSTITUTE($O$2:$O$206,CHAR(160)," "),5) &amp; "|" &amp;
      TRIM(SUBSTITUTE($P$2:$P$206,CHAR(160)," ")),
      $Q$2:$Q$206
    )
  ),
"")</f>
        <v/>
      </c>
      <c r="K242" s="52" t="str">
        <f t="shared" si="7"/>
        <v/>
      </c>
      <c r="L242" s="32" t="str">
        <f t="shared" si="6"/>
        <v/>
      </c>
    </row>
    <row r="243" spans="10:12" x14ac:dyDescent="0.2">
      <c r="J243" s="52" t="str" cm="1">
        <f t="array" ref="J243">IFERROR(
  VALUE($I243) *
  VALUE(
    _xlfn.XLOOKUP(
      TRIM($G243) &amp; "|" &amp; LEFT(SUBSTITUTE($H243,CHAR(160)," "),5) &amp; "|Full Rate",
      TRIM(SUBSTITUTE($N$2:$N$206,CHAR(160)," ")) &amp; "|" &amp;
      LEFT(SUBSTITUTE($O$2:$O$206,CHAR(160)," "),5) &amp; "|" &amp;
      TRIM(SUBSTITUTE($P$2:$P$206,CHAR(160)," ")),
      $Q$2:$Q$206
    )
  ),
"")</f>
        <v/>
      </c>
      <c r="K243" s="52" t="str">
        <f t="shared" si="7"/>
        <v/>
      </c>
      <c r="L243" s="32" t="str">
        <f t="shared" si="6"/>
        <v/>
      </c>
    </row>
    <row r="244" spans="10:12" x14ac:dyDescent="0.2">
      <c r="J244" s="52" t="str" cm="1">
        <f t="array" ref="J244">IFERROR(
  VALUE($I244) *
  VALUE(
    _xlfn.XLOOKUP(
      TRIM($G244) &amp; "|" &amp; LEFT(SUBSTITUTE($H244,CHAR(160)," "),5) &amp; "|Full Rate",
      TRIM(SUBSTITUTE($N$2:$N$206,CHAR(160)," ")) &amp; "|" &amp;
      LEFT(SUBSTITUTE($O$2:$O$206,CHAR(160)," "),5) &amp; "|" &amp;
      TRIM(SUBSTITUTE($P$2:$P$206,CHAR(160)," ")),
      $Q$2:$Q$206
    )
  ),
"")</f>
        <v/>
      </c>
      <c r="K244" s="52" t="str">
        <f t="shared" si="7"/>
        <v/>
      </c>
      <c r="L244" s="32" t="str">
        <f t="shared" si="6"/>
        <v/>
      </c>
    </row>
    <row r="245" spans="10:12" x14ac:dyDescent="0.2">
      <c r="J245" s="52" t="str" cm="1">
        <f t="array" ref="J245">IFERROR(
  VALUE($I245) *
  VALUE(
    _xlfn.XLOOKUP(
      TRIM($G245) &amp; "|" &amp; LEFT(SUBSTITUTE($H245,CHAR(160)," "),5) &amp; "|Full Rate",
      TRIM(SUBSTITUTE($N$2:$N$206,CHAR(160)," ")) &amp; "|" &amp;
      LEFT(SUBSTITUTE($O$2:$O$206,CHAR(160)," "),5) &amp; "|" &amp;
      TRIM(SUBSTITUTE($P$2:$P$206,CHAR(160)," ")),
      $Q$2:$Q$206
    )
  ),
"")</f>
        <v/>
      </c>
      <c r="K245" s="52" t="str">
        <f t="shared" si="7"/>
        <v/>
      </c>
      <c r="L245" s="32" t="str">
        <f t="shared" si="6"/>
        <v/>
      </c>
    </row>
    <row r="246" spans="10:12" x14ac:dyDescent="0.2">
      <c r="J246" s="52" t="str" cm="1">
        <f t="array" ref="J246">IFERROR(
  VALUE($I246) *
  VALUE(
    _xlfn.XLOOKUP(
      TRIM($G246) &amp; "|" &amp; LEFT(SUBSTITUTE($H246,CHAR(160)," "),5) &amp; "|Full Rate",
      TRIM(SUBSTITUTE($N$2:$N$206,CHAR(160)," ")) &amp; "|" &amp;
      LEFT(SUBSTITUTE($O$2:$O$206,CHAR(160)," "),5) &amp; "|" &amp;
      TRIM(SUBSTITUTE($P$2:$P$206,CHAR(160)," ")),
      $Q$2:$Q$206
    )
  ),
"")</f>
        <v/>
      </c>
      <c r="K246" s="52" t="str">
        <f t="shared" si="7"/>
        <v/>
      </c>
      <c r="L246" s="32" t="str">
        <f t="shared" si="6"/>
        <v/>
      </c>
    </row>
    <row r="247" spans="10:12" x14ac:dyDescent="0.2">
      <c r="J247" s="52" t="str" cm="1">
        <f t="array" ref="J247">IFERROR(
  VALUE($I247) *
  VALUE(
    _xlfn.XLOOKUP(
      TRIM($G247) &amp; "|" &amp; LEFT(SUBSTITUTE($H247,CHAR(160)," "),5) &amp; "|Full Rate",
      TRIM(SUBSTITUTE($N$2:$N$206,CHAR(160)," ")) &amp; "|" &amp;
      LEFT(SUBSTITUTE($O$2:$O$206,CHAR(160)," "),5) &amp; "|" &amp;
      TRIM(SUBSTITUTE($P$2:$P$206,CHAR(160)," ")),
      $Q$2:$Q$206
    )
  ),
"")</f>
        <v/>
      </c>
      <c r="K247" s="52" t="str">
        <f t="shared" si="7"/>
        <v/>
      </c>
      <c r="L247" s="32" t="str">
        <f t="shared" si="6"/>
        <v/>
      </c>
    </row>
    <row r="248" spans="10:12" x14ac:dyDescent="0.2">
      <c r="J248" s="52" t="str" cm="1">
        <f t="array" ref="J248">IFERROR(
  VALUE($I248) *
  VALUE(
    _xlfn.XLOOKUP(
      TRIM($G248) &amp; "|" &amp; LEFT(SUBSTITUTE($H248,CHAR(160)," "),5) &amp; "|Full Rate",
      TRIM(SUBSTITUTE($N$2:$N$206,CHAR(160)," ")) &amp; "|" &amp;
      LEFT(SUBSTITUTE($O$2:$O$206,CHAR(160)," "),5) &amp; "|" &amp;
      TRIM(SUBSTITUTE($P$2:$P$206,CHAR(160)," ")),
      $Q$2:$Q$206
    )
  ),
"")</f>
        <v/>
      </c>
      <c r="K248" s="52" t="str">
        <f t="shared" si="7"/>
        <v/>
      </c>
      <c r="L248" s="32" t="str">
        <f t="shared" si="6"/>
        <v/>
      </c>
    </row>
    <row r="249" spans="10:12" x14ac:dyDescent="0.2">
      <c r="J249" s="52" t="str" cm="1">
        <f t="array" ref="J249">IFERROR(
  VALUE($I249) *
  VALUE(
    _xlfn.XLOOKUP(
      TRIM($G249) &amp; "|" &amp; LEFT(SUBSTITUTE($H249,CHAR(160)," "),5) &amp; "|Full Rate",
      TRIM(SUBSTITUTE($N$2:$N$206,CHAR(160)," ")) &amp; "|" &amp;
      LEFT(SUBSTITUTE($O$2:$O$206,CHAR(160)," "),5) &amp; "|" &amp;
      TRIM(SUBSTITUTE($P$2:$P$206,CHAR(160)," ")),
      $Q$2:$Q$206
    )
  ),
"")</f>
        <v/>
      </c>
      <c r="K249" s="52" t="str">
        <f t="shared" si="7"/>
        <v/>
      </c>
      <c r="L249" s="32" t="str">
        <f t="shared" ref="L249:L271" si="8">IFERROR( VALUE($I249) * INDEX($P$2:$P$5, MATCH(UPPER(TRIM($G249)),$M$2:$M$5,0)), "" )</f>
        <v/>
      </c>
    </row>
    <row r="250" spans="10:12" x14ac:dyDescent="0.2">
      <c r="J250" s="52" t="str" cm="1">
        <f t="array" ref="J250">IFERROR(
  VALUE($I250) *
  VALUE(
    _xlfn.XLOOKUP(
      TRIM($G250) &amp; "|" &amp; LEFT(SUBSTITUTE($H250,CHAR(160)," "),5) &amp; "|Full Rate",
      TRIM(SUBSTITUTE($N$2:$N$206,CHAR(160)," ")) &amp; "|" &amp;
      LEFT(SUBSTITUTE($O$2:$O$206,CHAR(160)," "),5) &amp; "|" &amp;
      TRIM(SUBSTITUTE($P$2:$P$206,CHAR(160)," ")),
      $Q$2:$Q$206
    )
  ),
"")</f>
        <v/>
      </c>
      <c r="K250" s="52" t="str">
        <f t="shared" si="7"/>
        <v/>
      </c>
      <c r="L250" s="32" t="str">
        <f t="shared" si="8"/>
        <v/>
      </c>
    </row>
    <row r="251" spans="10:12" x14ac:dyDescent="0.2">
      <c r="J251" s="52" t="str" cm="1">
        <f t="array" ref="J251">IFERROR(
  VALUE($I251) *
  VALUE(
    _xlfn.XLOOKUP(
      TRIM($G251) &amp; "|" &amp; LEFT(SUBSTITUTE($H251,CHAR(160)," "),5) &amp; "|Full Rate",
      TRIM(SUBSTITUTE($N$2:$N$206,CHAR(160)," ")) &amp; "|" &amp;
      LEFT(SUBSTITUTE($O$2:$O$206,CHAR(160)," "),5) &amp; "|" &amp;
      TRIM(SUBSTITUTE($P$2:$P$206,CHAR(160)," ")),
      $Q$2:$Q$206
    )
  ),
"")</f>
        <v/>
      </c>
      <c r="K251" s="52" t="str">
        <f t="shared" si="7"/>
        <v/>
      </c>
      <c r="L251" s="32" t="str">
        <f t="shared" si="8"/>
        <v/>
      </c>
    </row>
    <row r="252" spans="10:12" x14ac:dyDescent="0.2">
      <c r="J252" s="52" t="str" cm="1">
        <f t="array" ref="J252">IFERROR(
  VALUE($I252) *
  VALUE(
    _xlfn.XLOOKUP(
      TRIM($G252) &amp; "|" &amp; LEFT(SUBSTITUTE($H252,CHAR(160)," "),5) &amp; "|Full Rate",
      TRIM(SUBSTITUTE($N$2:$N$206,CHAR(160)," ")) &amp; "|" &amp;
      LEFT(SUBSTITUTE($O$2:$O$206,CHAR(160)," "),5) &amp; "|" &amp;
      TRIM(SUBSTITUTE($P$2:$P$206,CHAR(160)," ")),
      $Q$2:$Q$206
    )
  ),
"")</f>
        <v/>
      </c>
      <c r="K252" s="52" t="str">
        <f t="shared" si="7"/>
        <v/>
      </c>
      <c r="L252" s="32" t="str">
        <f t="shared" si="8"/>
        <v/>
      </c>
    </row>
    <row r="253" spans="10:12" x14ac:dyDescent="0.2">
      <c r="J253" s="52" t="str" cm="1">
        <f t="array" ref="J253">IFERROR(
  VALUE($I253) *
  VALUE(
    _xlfn.XLOOKUP(
      TRIM($G253) &amp; "|" &amp; LEFT(SUBSTITUTE($H253,CHAR(160)," "),5) &amp; "|Full Rate",
      TRIM(SUBSTITUTE($N$2:$N$206,CHAR(160)," ")) &amp; "|" &amp;
      LEFT(SUBSTITUTE($O$2:$O$206,CHAR(160)," "),5) &amp; "|" &amp;
      TRIM(SUBSTITUTE($P$2:$P$206,CHAR(160)," ")),
      $Q$2:$Q$206
    )
  ),
"")</f>
        <v/>
      </c>
      <c r="K253" s="52" t="str">
        <f t="shared" si="7"/>
        <v/>
      </c>
      <c r="L253" s="32" t="str">
        <f t="shared" si="8"/>
        <v/>
      </c>
    </row>
    <row r="254" spans="10:12" x14ac:dyDescent="0.2">
      <c r="J254" s="52" t="str" cm="1">
        <f t="array" ref="J254">IFERROR(
  VALUE($I254) *
  VALUE(
    _xlfn.XLOOKUP(
      TRIM($G254) &amp; "|" &amp; LEFT(SUBSTITUTE($H254,CHAR(160)," "),5) &amp; "|Full Rate",
      TRIM(SUBSTITUTE($N$2:$N$206,CHAR(160)," ")) &amp; "|" &amp;
      LEFT(SUBSTITUTE($O$2:$O$206,CHAR(160)," "),5) &amp; "|" &amp;
      TRIM(SUBSTITUTE($P$2:$P$206,CHAR(160)," ")),
      $Q$2:$Q$206
    )
  ),
"")</f>
        <v/>
      </c>
      <c r="K254" s="52" t="str">
        <f t="shared" si="7"/>
        <v/>
      </c>
      <c r="L254" s="32" t="str">
        <f t="shared" si="8"/>
        <v/>
      </c>
    </row>
    <row r="255" spans="10:12" x14ac:dyDescent="0.2">
      <c r="J255" s="52" t="str" cm="1">
        <f t="array" ref="J255">IFERROR(
  VALUE($I255) *
  VALUE(
    _xlfn.XLOOKUP(
      TRIM($G255) &amp; "|" &amp; LEFT(SUBSTITUTE($H255,CHAR(160)," "),5) &amp; "|Full Rate",
      TRIM(SUBSTITUTE($N$2:$N$206,CHAR(160)," ")) &amp; "|" &amp;
      LEFT(SUBSTITUTE($O$2:$O$206,CHAR(160)," "),5) &amp; "|" &amp;
      TRIM(SUBSTITUTE($P$2:$P$206,CHAR(160)," ")),
      $Q$2:$Q$206
    )
  ),
"")</f>
        <v/>
      </c>
      <c r="K255" s="52" t="str">
        <f t="shared" si="7"/>
        <v/>
      </c>
      <c r="L255" s="32" t="str">
        <f t="shared" si="8"/>
        <v/>
      </c>
    </row>
    <row r="256" spans="10:12" x14ac:dyDescent="0.2">
      <c r="J256" s="52" t="str">
        <f t="shared" ref="J256:J275" si="9">IFERROR( VALUE($I256) * INDEX($N$2:$N$5, MATCH(UPPER(TRIM($G256)),$M$2:$M$5,0)), "" )</f>
        <v/>
      </c>
      <c r="K256" s="52" t="str">
        <f t="shared" si="7"/>
        <v/>
      </c>
      <c r="L256" s="32" t="str">
        <f t="shared" si="8"/>
        <v/>
      </c>
    </row>
    <row r="257" spans="10:12" x14ac:dyDescent="0.2">
      <c r="J257" s="52" t="str">
        <f t="shared" si="9"/>
        <v/>
      </c>
      <c r="K257" s="52" t="str">
        <f t="shared" si="7"/>
        <v/>
      </c>
      <c r="L257" s="32" t="str">
        <f t="shared" si="8"/>
        <v/>
      </c>
    </row>
    <row r="258" spans="10:12" x14ac:dyDescent="0.2">
      <c r="J258" s="52" t="str">
        <f t="shared" si="9"/>
        <v/>
      </c>
      <c r="K258" s="52" t="str">
        <f t="shared" si="7"/>
        <v/>
      </c>
      <c r="L258" s="32" t="str">
        <f t="shared" si="8"/>
        <v/>
      </c>
    </row>
    <row r="259" spans="10:12" x14ac:dyDescent="0.2">
      <c r="J259" s="52" t="str">
        <f t="shared" si="9"/>
        <v/>
      </c>
      <c r="K259" s="52" t="str">
        <f t="shared" si="7"/>
        <v/>
      </c>
      <c r="L259" s="32" t="str">
        <f t="shared" si="8"/>
        <v/>
      </c>
    </row>
    <row r="260" spans="10:12" x14ac:dyDescent="0.2">
      <c r="J260" s="52" t="str">
        <f t="shared" si="9"/>
        <v/>
      </c>
      <c r="K260" s="52" t="str">
        <f t="shared" si="7"/>
        <v/>
      </c>
      <c r="L260" s="32" t="str">
        <f t="shared" si="8"/>
        <v/>
      </c>
    </row>
    <row r="261" spans="10:12" x14ac:dyDescent="0.2">
      <c r="J261" s="52" t="str">
        <f t="shared" si="9"/>
        <v/>
      </c>
      <c r="K261" s="52" t="str">
        <f t="shared" ref="K261:K274" si="10">IFERROR( VALUE($I261) * INDEX($O$2:$O$5, MATCH(UPPER(TRIM($G261)),$M$2:$M$5,0)), "" )</f>
        <v/>
      </c>
      <c r="L261" s="32" t="str">
        <f t="shared" si="8"/>
        <v/>
      </c>
    </row>
    <row r="262" spans="10:12" x14ac:dyDescent="0.2">
      <c r="J262" s="52" t="str">
        <f t="shared" si="9"/>
        <v/>
      </c>
      <c r="K262" s="52" t="str">
        <f t="shared" si="10"/>
        <v/>
      </c>
      <c r="L262" s="32" t="str">
        <f t="shared" si="8"/>
        <v/>
      </c>
    </row>
    <row r="263" spans="10:12" x14ac:dyDescent="0.2">
      <c r="J263" s="52" t="str">
        <f t="shared" si="9"/>
        <v/>
      </c>
      <c r="K263" s="52" t="str">
        <f t="shared" si="10"/>
        <v/>
      </c>
      <c r="L263" s="32" t="str">
        <f t="shared" si="8"/>
        <v/>
      </c>
    </row>
    <row r="264" spans="10:12" x14ac:dyDescent="0.2">
      <c r="J264" s="52" t="str">
        <f t="shared" si="9"/>
        <v/>
      </c>
      <c r="K264" s="52" t="str">
        <f t="shared" si="10"/>
        <v/>
      </c>
      <c r="L264" s="32" t="str">
        <f t="shared" si="8"/>
        <v/>
      </c>
    </row>
    <row r="265" spans="10:12" x14ac:dyDescent="0.2">
      <c r="J265" s="52" t="str">
        <f t="shared" si="9"/>
        <v/>
      </c>
      <c r="K265" s="52" t="str">
        <f t="shared" si="10"/>
        <v/>
      </c>
      <c r="L265" s="32" t="str">
        <f t="shared" si="8"/>
        <v/>
      </c>
    </row>
    <row r="266" spans="10:12" x14ac:dyDescent="0.2">
      <c r="J266" s="52" t="str">
        <f t="shared" si="9"/>
        <v/>
      </c>
      <c r="K266" s="52" t="str">
        <f t="shared" si="10"/>
        <v/>
      </c>
      <c r="L266" s="32" t="str">
        <f t="shared" si="8"/>
        <v/>
      </c>
    </row>
    <row r="267" spans="10:12" x14ac:dyDescent="0.2">
      <c r="J267" s="52" t="str">
        <f t="shared" si="9"/>
        <v/>
      </c>
      <c r="K267" s="52" t="str">
        <f t="shared" si="10"/>
        <v/>
      </c>
      <c r="L267" s="32" t="str">
        <f t="shared" si="8"/>
        <v/>
      </c>
    </row>
    <row r="268" spans="10:12" x14ac:dyDescent="0.2">
      <c r="J268" s="52" t="str">
        <f t="shared" si="9"/>
        <v/>
      </c>
      <c r="K268" s="52" t="str">
        <f t="shared" si="10"/>
        <v/>
      </c>
      <c r="L268" s="32" t="str">
        <f t="shared" si="8"/>
        <v/>
      </c>
    </row>
    <row r="269" spans="10:12" x14ac:dyDescent="0.2">
      <c r="J269" s="52" t="str">
        <f t="shared" si="9"/>
        <v/>
      </c>
      <c r="K269" s="52" t="str">
        <f t="shared" si="10"/>
        <v/>
      </c>
      <c r="L269" s="32" t="str">
        <f t="shared" si="8"/>
        <v/>
      </c>
    </row>
    <row r="270" spans="10:12" x14ac:dyDescent="0.2">
      <c r="J270" s="52" t="str">
        <f t="shared" si="9"/>
        <v/>
      </c>
      <c r="K270" s="52" t="str">
        <f t="shared" si="10"/>
        <v/>
      </c>
      <c r="L270" s="32" t="str">
        <f t="shared" si="8"/>
        <v/>
      </c>
    </row>
    <row r="271" spans="10:12" x14ac:dyDescent="0.2">
      <c r="J271" s="52" t="str">
        <f t="shared" si="9"/>
        <v/>
      </c>
      <c r="K271" s="52" t="str">
        <f t="shared" si="10"/>
        <v/>
      </c>
      <c r="L271" s="32" t="str">
        <f t="shared" si="8"/>
        <v/>
      </c>
    </row>
    <row r="272" spans="10:12" x14ac:dyDescent="0.2">
      <c r="J272" s="52" t="str">
        <f t="shared" si="9"/>
        <v/>
      </c>
      <c r="K272" s="52" t="str">
        <f t="shared" si="10"/>
        <v/>
      </c>
    </row>
    <row r="273" spans="10:11" x14ac:dyDescent="0.2">
      <c r="J273" s="52" t="str">
        <f t="shared" si="9"/>
        <v/>
      </c>
      <c r="K273" s="52" t="str">
        <f t="shared" si="10"/>
        <v/>
      </c>
    </row>
    <row r="274" spans="10:11" x14ac:dyDescent="0.2">
      <c r="J274" s="52" t="str">
        <f t="shared" si="9"/>
        <v/>
      </c>
      <c r="K274" s="52" t="str">
        <f t="shared" si="10"/>
        <v/>
      </c>
    </row>
    <row r="275" spans="10:11" x14ac:dyDescent="0.2">
      <c r="J275" s="52" t="str">
        <f t="shared" si="9"/>
        <v/>
      </c>
    </row>
  </sheetData>
  <autoFilter ref="A1:K275" xr:uid="{A668D544-673A-6849-8E2B-AE7DFB43F500}"/>
  <phoneticPr fontId="4" type="noConversion"/>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F3B56A47-E09F-154A-A5B4-26E975B8DE11}">
          <x14:formula1>
            <xm:f>Lookup!$A$11:$A$18</xm:f>
          </x14:formula1>
          <xm:sqref>C106:C1048576 C1:C89</xm:sqref>
        </x14:dataValidation>
        <x14:dataValidation type="list" allowBlank="1" showInputMessage="1" showErrorMessage="1" xr:uid="{AF767FC3-EA3F-9141-8F1F-A240963FACA6}">
          <x14:formula1>
            <xm:f>Lookup!$M$3:$M$8</xm:f>
          </x14:formula1>
          <xm:sqref>G105:G1048576 G77:G89 G1:G75</xm:sqref>
        </x14:dataValidation>
        <x14:dataValidation type="list" allowBlank="1" showInputMessage="1" showErrorMessage="1" xr:uid="{4D12F5BC-0119-7943-BB02-37078D1A2B8B}">
          <x14:formula1>
            <xm:f>Lookup!$F$2:$F$9</xm:f>
          </x14:formula1>
          <xm:sqref>H105:H1048576 H1:H75 H77:H89</xm:sqref>
        </x14:dataValidation>
        <x14:dataValidation type="list" allowBlank="1" showInputMessage="1" showErrorMessage="1" xr:uid="{048B1B89-7B66-0A47-BF34-2E8C322C7484}">
          <x14:formula1>
            <xm:f>Lookup!$A$20:$A$32</xm:f>
          </x14:formula1>
          <xm:sqref>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FF9-D130-AA4D-A14C-9EF301C8CD7D}">
  <dimension ref="A1:O36"/>
  <sheetViews>
    <sheetView topLeftCell="A2" workbookViewId="0">
      <selection activeCell="G30" sqref="G30"/>
    </sheetView>
  </sheetViews>
  <sheetFormatPr baseColWidth="10" defaultColWidth="10.83203125" defaultRowHeight="15" x14ac:dyDescent="0.2"/>
  <cols>
    <col min="2" max="2" width="26.6640625" customWidth="1"/>
    <col min="3" max="3" width="17.1640625" customWidth="1"/>
    <col min="4" max="4" width="10.83203125" style="32"/>
  </cols>
  <sheetData>
    <row r="1" spans="1:15" x14ac:dyDescent="0.2">
      <c r="A1" s="40" t="s">
        <v>263</v>
      </c>
      <c r="B1" s="40" t="s">
        <v>264</v>
      </c>
      <c r="C1" s="40"/>
      <c r="D1" s="108"/>
      <c r="E1" s="40"/>
      <c r="H1" s="20"/>
      <c r="I1" s="20"/>
      <c r="J1" s="20"/>
      <c r="K1" s="20"/>
      <c r="L1" s="20"/>
      <c r="M1" s="20"/>
      <c r="N1" s="20"/>
      <c r="O1" s="20"/>
    </row>
    <row r="2" spans="1:15" x14ac:dyDescent="0.2">
      <c r="A2" s="41" t="s">
        <v>262</v>
      </c>
      <c r="B2" s="41" t="s">
        <v>10</v>
      </c>
      <c r="C2" s="42"/>
      <c r="D2" s="42"/>
      <c r="E2" s="42"/>
      <c r="H2" s="54"/>
      <c r="I2" s="54"/>
      <c r="J2" s="161"/>
      <c r="K2" s="161"/>
      <c r="L2" s="161"/>
      <c r="M2" s="161"/>
      <c r="N2" s="161"/>
      <c r="O2" s="161"/>
    </row>
    <row r="3" spans="1:15" x14ac:dyDescent="0.2">
      <c r="A3" s="41" t="s">
        <v>265</v>
      </c>
      <c r="B3" s="41" t="s">
        <v>9</v>
      </c>
      <c r="C3" s="42"/>
      <c r="D3" s="42"/>
      <c r="E3" s="42"/>
      <c r="H3" s="54"/>
      <c r="I3" s="54"/>
      <c r="J3" s="161"/>
      <c r="K3" s="161"/>
      <c r="L3" s="161"/>
      <c r="M3" s="161"/>
      <c r="N3" s="161"/>
      <c r="O3" s="161"/>
    </row>
    <row r="4" spans="1:15" x14ac:dyDescent="0.2">
      <c r="A4" s="41" t="s">
        <v>266</v>
      </c>
      <c r="B4" s="41" t="s">
        <v>155</v>
      </c>
      <c r="C4" s="42"/>
      <c r="D4" s="42"/>
      <c r="E4" s="42"/>
      <c r="H4" s="54"/>
      <c r="I4" s="54"/>
      <c r="J4" s="161"/>
      <c r="K4" s="161"/>
      <c r="L4" s="161"/>
      <c r="M4" s="161"/>
      <c r="N4" s="161"/>
      <c r="O4" s="161"/>
    </row>
    <row r="5" spans="1:15" x14ac:dyDescent="0.2">
      <c r="A5" s="41" t="s">
        <v>156</v>
      </c>
      <c r="B5" s="41" t="s">
        <v>156</v>
      </c>
      <c r="C5" s="42"/>
      <c r="D5" s="42"/>
      <c r="E5" s="42"/>
      <c r="H5" s="54"/>
      <c r="I5" s="54"/>
      <c r="J5" s="161"/>
      <c r="K5" s="161"/>
      <c r="L5" s="161"/>
      <c r="M5" s="161"/>
      <c r="N5" s="161"/>
      <c r="O5" s="161"/>
    </row>
    <row r="6" spans="1:15" x14ac:dyDescent="0.2">
      <c r="A6" s="41"/>
      <c r="B6" s="41"/>
      <c r="C6" s="41"/>
      <c r="D6" s="42"/>
      <c r="E6" s="41"/>
      <c r="H6" s="54"/>
      <c r="I6" s="54"/>
      <c r="J6" s="54"/>
      <c r="K6" s="54"/>
      <c r="L6" s="54"/>
      <c r="M6" s="54"/>
      <c r="N6" s="54"/>
      <c r="O6" s="54"/>
    </row>
    <row r="9" spans="1:15" x14ac:dyDescent="0.2">
      <c r="A9" s="58" t="s">
        <v>154</v>
      </c>
      <c r="B9" s="58" t="s">
        <v>371</v>
      </c>
      <c r="C9" s="58" t="s">
        <v>372</v>
      </c>
      <c r="D9" s="59" t="s">
        <v>373</v>
      </c>
      <c r="I9" s="20"/>
      <c r="J9" s="20"/>
      <c r="K9" s="20"/>
      <c r="L9" s="20"/>
    </row>
    <row r="10" spans="1:15" x14ac:dyDescent="0.2">
      <c r="A10" t="s">
        <v>374</v>
      </c>
      <c r="B10" t="s">
        <v>375</v>
      </c>
      <c r="C10" t="s">
        <v>377</v>
      </c>
      <c r="D10" s="32">
        <v>500</v>
      </c>
      <c r="I10" s="20"/>
      <c r="J10" s="32"/>
      <c r="K10" s="32"/>
      <c r="L10" s="32"/>
    </row>
    <row r="11" spans="1:15" x14ac:dyDescent="0.2">
      <c r="A11" t="s">
        <v>374</v>
      </c>
      <c r="B11" t="s">
        <v>375</v>
      </c>
      <c r="C11" t="s">
        <v>378</v>
      </c>
      <c r="D11" s="32">
        <v>300</v>
      </c>
      <c r="I11" s="20"/>
      <c r="J11" s="32"/>
      <c r="K11" s="32"/>
      <c r="L11" s="32"/>
    </row>
    <row r="12" spans="1:15" x14ac:dyDescent="0.2">
      <c r="A12" t="s">
        <v>374</v>
      </c>
      <c r="B12" t="s">
        <v>375</v>
      </c>
      <c r="C12" t="s">
        <v>379</v>
      </c>
      <c r="D12" s="32">
        <v>150</v>
      </c>
      <c r="I12" s="20"/>
      <c r="J12" s="32"/>
      <c r="K12" s="32"/>
      <c r="L12" s="32"/>
    </row>
    <row r="13" spans="1:15" x14ac:dyDescent="0.2">
      <c r="A13" t="s">
        <v>374</v>
      </c>
      <c r="B13" t="s">
        <v>376</v>
      </c>
      <c r="C13" t="s">
        <v>377</v>
      </c>
      <c r="D13" s="32">
        <v>250</v>
      </c>
    </row>
    <row r="14" spans="1:15" x14ac:dyDescent="0.2">
      <c r="A14" t="s">
        <v>374</v>
      </c>
      <c r="B14" t="s">
        <v>376</v>
      </c>
      <c r="C14" t="s">
        <v>378</v>
      </c>
      <c r="D14" s="32">
        <v>150</v>
      </c>
      <c r="I14" s="20"/>
      <c r="J14" s="20"/>
      <c r="K14" s="20"/>
      <c r="L14" s="20"/>
    </row>
    <row r="15" spans="1:15" x14ac:dyDescent="0.2">
      <c r="A15" t="s">
        <v>374</v>
      </c>
      <c r="B15" t="s">
        <v>376</v>
      </c>
      <c r="C15" t="s">
        <v>379</v>
      </c>
      <c r="D15" s="32">
        <v>75</v>
      </c>
      <c r="I15" s="20"/>
      <c r="J15" s="32"/>
      <c r="K15" s="32"/>
      <c r="L15" s="32"/>
    </row>
    <row r="16" spans="1:15" x14ac:dyDescent="0.2">
      <c r="A16" t="s">
        <v>374</v>
      </c>
      <c r="B16" t="s">
        <v>368</v>
      </c>
      <c r="C16" t="s">
        <v>377</v>
      </c>
      <c r="D16" s="32">
        <v>100</v>
      </c>
      <c r="I16" s="20"/>
      <c r="J16" s="32"/>
      <c r="K16" s="32"/>
      <c r="L16" s="32"/>
    </row>
    <row r="17" spans="1:12" x14ac:dyDescent="0.2">
      <c r="A17" t="s">
        <v>374</v>
      </c>
      <c r="B17" t="s">
        <v>368</v>
      </c>
      <c r="C17" t="s">
        <v>378</v>
      </c>
      <c r="D17" s="32">
        <v>50</v>
      </c>
      <c r="I17" s="20"/>
      <c r="J17" s="32"/>
      <c r="K17" s="32"/>
      <c r="L17" s="32"/>
    </row>
    <row r="18" spans="1:12" x14ac:dyDescent="0.2">
      <c r="A18" t="s">
        <v>374</v>
      </c>
      <c r="B18" t="s">
        <v>368</v>
      </c>
      <c r="C18" t="s">
        <v>379</v>
      </c>
      <c r="D18" s="32">
        <v>30</v>
      </c>
    </row>
    <row r="19" spans="1:12" x14ac:dyDescent="0.2">
      <c r="A19" s="56" t="s">
        <v>155</v>
      </c>
      <c r="B19" s="56" t="s">
        <v>375</v>
      </c>
      <c r="C19" t="s">
        <v>377</v>
      </c>
      <c r="D19" s="57">
        <v>437</v>
      </c>
      <c r="I19" s="20"/>
      <c r="J19" s="20"/>
      <c r="K19" s="20"/>
      <c r="L19" s="20"/>
    </row>
    <row r="20" spans="1:12" x14ac:dyDescent="0.2">
      <c r="A20" t="s">
        <v>155</v>
      </c>
      <c r="B20" t="s">
        <v>375</v>
      </c>
      <c r="C20" t="s">
        <v>378</v>
      </c>
      <c r="D20" s="32">
        <v>250</v>
      </c>
      <c r="I20" s="20"/>
      <c r="J20" s="32"/>
      <c r="K20" s="32"/>
      <c r="L20" s="32"/>
    </row>
    <row r="21" spans="1:12" x14ac:dyDescent="0.2">
      <c r="A21" t="s">
        <v>155</v>
      </c>
      <c r="B21" t="s">
        <v>375</v>
      </c>
      <c r="C21" t="s">
        <v>379</v>
      </c>
      <c r="D21" s="32">
        <v>110</v>
      </c>
      <c r="I21" s="20"/>
      <c r="J21" s="32"/>
      <c r="K21" s="32"/>
      <c r="L21" s="32"/>
    </row>
    <row r="22" spans="1:12" x14ac:dyDescent="0.2">
      <c r="A22" t="s">
        <v>155</v>
      </c>
      <c r="B22" t="s">
        <v>376</v>
      </c>
      <c r="C22" t="s">
        <v>377</v>
      </c>
      <c r="D22" s="32">
        <v>260</v>
      </c>
      <c r="I22" s="20"/>
      <c r="J22" s="32"/>
      <c r="K22" s="32"/>
      <c r="L22" s="32"/>
    </row>
    <row r="23" spans="1:12" x14ac:dyDescent="0.2">
      <c r="A23" t="s">
        <v>155</v>
      </c>
      <c r="B23" t="s">
        <v>376</v>
      </c>
      <c r="C23" t="s">
        <v>378</v>
      </c>
      <c r="D23" s="32">
        <v>125</v>
      </c>
    </row>
    <row r="24" spans="1:12" x14ac:dyDescent="0.2">
      <c r="A24" t="s">
        <v>155</v>
      </c>
      <c r="B24" t="s">
        <v>376</v>
      </c>
      <c r="C24" t="s">
        <v>379</v>
      </c>
      <c r="D24" s="32">
        <v>60</v>
      </c>
      <c r="I24" s="20"/>
      <c r="J24" s="20"/>
      <c r="K24" s="20"/>
      <c r="L24" s="20"/>
    </row>
    <row r="25" spans="1:12" x14ac:dyDescent="0.2">
      <c r="A25" t="s">
        <v>155</v>
      </c>
      <c r="B25" t="s">
        <v>368</v>
      </c>
      <c r="C25" t="s">
        <v>377</v>
      </c>
      <c r="D25" s="32">
        <v>100</v>
      </c>
      <c r="I25" s="20"/>
      <c r="J25" s="32"/>
      <c r="K25" s="32"/>
      <c r="L25" s="32"/>
    </row>
    <row r="26" spans="1:12" x14ac:dyDescent="0.2">
      <c r="A26" t="s">
        <v>155</v>
      </c>
      <c r="B26" t="s">
        <v>368</v>
      </c>
      <c r="C26" t="s">
        <v>378</v>
      </c>
      <c r="D26" s="32">
        <v>50</v>
      </c>
      <c r="I26" s="20"/>
      <c r="J26" s="32"/>
      <c r="K26" s="32"/>
      <c r="L26" s="32"/>
    </row>
    <row r="27" spans="1:12" x14ac:dyDescent="0.2">
      <c r="A27" t="s">
        <v>155</v>
      </c>
      <c r="B27" t="s">
        <v>368</v>
      </c>
      <c r="C27" t="s">
        <v>379</v>
      </c>
      <c r="D27" s="32">
        <v>30</v>
      </c>
      <c r="I27" s="20"/>
      <c r="J27" s="32"/>
      <c r="K27" s="32"/>
      <c r="L27" s="32"/>
    </row>
    <row r="28" spans="1:12" x14ac:dyDescent="0.2">
      <c r="A28" s="56" t="s">
        <v>436</v>
      </c>
      <c r="B28" s="56" t="s">
        <v>375</v>
      </c>
      <c r="C28" t="s">
        <v>377</v>
      </c>
      <c r="D28" s="57">
        <v>325</v>
      </c>
    </row>
    <row r="29" spans="1:12" x14ac:dyDescent="0.2">
      <c r="A29" t="s">
        <v>436</v>
      </c>
      <c r="B29" t="s">
        <v>375</v>
      </c>
      <c r="C29" t="s">
        <v>378</v>
      </c>
      <c r="D29" s="32">
        <v>175</v>
      </c>
    </row>
    <row r="30" spans="1:12" x14ac:dyDescent="0.2">
      <c r="A30" t="s">
        <v>436</v>
      </c>
      <c r="B30" t="s">
        <v>375</v>
      </c>
      <c r="C30" t="s">
        <v>379</v>
      </c>
      <c r="D30" s="32">
        <v>95</v>
      </c>
    </row>
    <row r="31" spans="1:12" x14ac:dyDescent="0.2">
      <c r="A31" t="s">
        <v>436</v>
      </c>
      <c r="B31" t="s">
        <v>376</v>
      </c>
      <c r="C31" t="s">
        <v>377</v>
      </c>
      <c r="D31" s="32">
        <v>195</v>
      </c>
    </row>
    <row r="32" spans="1:12" x14ac:dyDescent="0.2">
      <c r="A32" t="s">
        <v>436</v>
      </c>
      <c r="B32" t="s">
        <v>376</v>
      </c>
      <c r="C32" t="s">
        <v>378</v>
      </c>
      <c r="D32" s="32">
        <v>90</v>
      </c>
    </row>
    <row r="33" spans="1:4" x14ac:dyDescent="0.2">
      <c r="A33" t="s">
        <v>436</v>
      </c>
      <c r="B33" t="s">
        <v>376</v>
      </c>
      <c r="C33" t="s">
        <v>379</v>
      </c>
      <c r="D33" s="32">
        <v>45</v>
      </c>
    </row>
    <row r="34" spans="1:4" x14ac:dyDescent="0.2">
      <c r="A34" t="s">
        <v>436</v>
      </c>
      <c r="B34" t="s">
        <v>368</v>
      </c>
      <c r="C34" t="s">
        <v>377</v>
      </c>
      <c r="D34" s="32">
        <v>100</v>
      </c>
    </row>
    <row r="35" spans="1:4" x14ac:dyDescent="0.2">
      <c r="A35" t="s">
        <v>436</v>
      </c>
      <c r="B35" t="s">
        <v>368</v>
      </c>
      <c r="C35" t="s">
        <v>378</v>
      </c>
      <c r="D35" s="32">
        <v>50</v>
      </c>
    </row>
    <row r="36" spans="1:4" x14ac:dyDescent="0.2">
      <c r="A36" t="s">
        <v>436</v>
      </c>
      <c r="B36" t="s">
        <v>368</v>
      </c>
      <c r="C36" t="s">
        <v>379</v>
      </c>
      <c r="D36" s="32">
        <v>30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5585-810A-409A-8C58-76746E777F09}">
  <dimension ref="A1:M34"/>
  <sheetViews>
    <sheetView zoomScale="75" workbookViewId="0">
      <selection activeCell="A35" sqref="A35"/>
    </sheetView>
  </sheetViews>
  <sheetFormatPr baseColWidth="10" defaultColWidth="8.83203125" defaultRowHeight="15" x14ac:dyDescent="0.2"/>
  <cols>
    <col min="1" max="1" width="44.83203125" customWidth="1"/>
    <col min="2" max="2" width="33.83203125" customWidth="1"/>
    <col min="3" max="3" width="19.5" style="32" customWidth="1"/>
    <col min="5" max="5" width="15.33203125" customWidth="1"/>
    <col min="6" max="6" width="23.6640625" customWidth="1"/>
    <col min="7" max="7" width="15.6640625" customWidth="1"/>
  </cols>
  <sheetData>
    <row r="1" spans="1:13" x14ac:dyDescent="0.2">
      <c r="A1" s="1"/>
      <c r="B1" s="1"/>
      <c r="F1" s="20" t="s">
        <v>261</v>
      </c>
      <c r="M1" s="20" t="s">
        <v>154</v>
      </c>
    </row>
    <row r="2" spans="1:13" x14ac:dyDescent="0.2">
      <c r="B2" s="16"/>
      <c r="F2" s="316" t="s">
        <v>367</v>
      </c>
      <c r="H2" s="22"/>
    </row>
    <row r="3" spans="1:13" x14ac:dyDescent="0.2">
      <c r="A3" s="15"/>
      <c r="F3" s="317" t="s">
        <v>380</v>
      </c>
      <c r="M3" t="s">
        <v>10</v>
      </c>
    </row>
    <row r="4" spans="1:13" x14ac:dyDescent="0.2">
      <c r="F4" s="318" t="s">
        <v>368</v>
      </c>
      <c r="M4" t="s">
        <v>9</v>
      </c>
    </row>
    <row r="5" spans="1:13" x14ac:dyDescent="0.2">
      <c r="A5" s="15"/>
      <c r="M5" t="s">
        <v>155</v>
      </c>
    </row>
    <row r="6" spans="1:13" x14ac:dyDescent="0.2">
      <c r="H6" s="22"/>
      <c r="M6" t="s">
        <v>156</v>
      </c>
    </row>
    <row r="7" spans="1:13" x14ac:dyDescent="0.2">
      <c r="F7" s="22"/>
      <c r="H7" s="22"/>
      <c r="M7" t="s">
        <v>650</v>
      </c>
    </row>
    <row r="8" spans="1:13" x14ac:dyDescent="0.2">
      <c r="M8" t="s">
        <v>439</v>
      </c>
    </row>
    <row r="9" spans="1:13" x14ac:dyDescent="0.2">
      <c r="A9" s="20" t="s">
        <v>2</v>
      </c>
    </row>
    <row r="10" spans="1:13" x14ac:dyDescent="0.2">
      <c r="A10" t="s">
        <v>519</v>
      </c>
    </row>
    <row r="11" spans="1:13" x14ac:dyDescent="0.2">
      <c r="A11" t="s">
        <v>11</v>
      </c>
    </row>
    <row r="12" spans="1:13" x14ac:dyDescent="0.2">
      <c r="A12" t="s">
        <v>66</v>
      </c>
    </row>
    <row r="13" spans="1:13" x14ac:dyDescent="0.2">
      <c r="A13" t="s">
        <v>152</v>
      </c>
    </row>
    <row r="14" spans="1:13" x14ac:dyDescent="0.2">
      <c r="A14" t="s">
        <v>153</v>
      </c>
    </row>
    <row r="15" spans="1:13" x14ac:dyDescent="0.2">
      <c r="A15" t="s">
        <v>151</v>
      </c>
      <c r="F15" s="1"/>
      <c r="G15" s="1"/>
      <c r="H15" s="1"/>
      <c r="I15" s="1"/>
      <c r="J15" s="1"/>
      <c r="K15" s="1"/>
      <c r="L15" s="1"/>
      <c r="M15" s="1"/>
    </row>
    <row r="16" spans="1:13" x14ac:dyDescent="0.2">
      <c r="A16" t="s">
        <v>8</v>
      </c>
      <c r="H16" s="32"/>
      <c r="I16" s="32"/>
      <c r="J16" s="32"/>
      <c r="K16" s="32"/>
      <c r="L16" s="32"/>
      <c r="M16" s="32"/>
    </row>
    <row r="17" spans="1:13" x14ac:dyDescent="0.2">
      <c r="A17" t="s">
        <v>124</v>
      </c>
      <c r="H17" s="32"/>
      <c r="I17" s="32"/>
      <c r="J17" s="32"/>
      <c r="K17" s="32"/>
      <c r="L17" s="32"/>
      <c r="M17" s="32"/>
    </row>
    <row r="18" spans="1:13" x14ac:dyDescent="0.2">
      <c r="A18" t="s">
        <v>486</v>
      </c>
      <c r="H18" s="32"/>
      <c r="I18" s="32"/>
      <c r="J18" s="32"/>
      <c r="K18" s="32"/>
      <c r="L18" s="32"/>
      <c r="M18" s="32"/>
    </row>
    <row r="19" spans="1:13" x14ac:dyDescent="0.2">
      <c r="A19" s="20" t="s">
        <v>165</v>
      </c>
      <c r="B19" s="20"/>
      <c r="H19" s="32"/>
      <c r="I19" s="32"/>
      <c r="J19" s="32"/>
      <c r="K19" s="32"/>
      <c r="L19" s="32"/>
      <c r="M19" s="32"/>
    </row>
    <row r="20" spans="1:13" x14ac:dyDescent="0.2">
      <c r="A20" t="s">
        <v>182</v>
      </c>
    </row>
    <row r="21" spans="1:13" x14ac:dyDescent="0.2">
      <c r="A21" t="s">
        <v>190</v>
      </c>
    </row>
    <row r="22" spans="1:13" x14ac:dyDescent="0.2">
      <c r="A22" t="s">
        <v>188</v>
      </c>
    </row>
    <row r="23" spans="1:13" x14ac:dyDescent="0.2">
      <c r="A23" t="s">
        <v>191</v>
      </c>
      <c r="F23" s="32"/>
    </row>
    <row r="24" spans="1:13" x14ac:dyDescent="0.2">
      <c r="A24" t="s">
        <v>178</v>
      </c>
      <c r="F24" s="32"/>
    </row>
    <row r="25" spans="1:13" x14ac:dyDescent="0.2">
      <c r="A25" t="s">
        <v>81</v>
      </c>
      <c r="B25" s="20"/>
      <c r="F25" s="32"/>
    </row>
    <row r="26" spans="1:13" x14ac:dyDescent="0.2">
      <c r="A26" t="s">
        <v>29</v>
      </c>
    </row>
    <row r="27" spans="1:13" x14ac:dyDescent="0.2">
      <c r="A27" t="s">
        <v>192</v>
      </c>
    </row>
    <row r="28" spans="1:13" x14ac:dyDescent="0.2">
      <c r="A28" t="s">
        <v>184</v>
      </c>
    </row>
    <row r="29" spans="1:13" x14ac:dyDescent="0.2">
      <c r="A29" t="s">
        <v>187</v>
      </c>
    </row>
    <row r="30" spans="1:13" x14ac:dyDescent="0.2">
      <c r="A30" t="s">
        <v>323</v>
      </c>
    </row>
    <row r="31" spans="1:13" x14ac:dyDescent="0.2">
      <c r="A31" t="s">
        <v>324</v>
      </c>
    </row>
    <row r="32" spans="1:13" x14ac:dyDescent="0.2">
      <c r="A32" t="s">
        <v>620</v>
      </c>
    </row>
    <row r="33" spans="1:1" x14ac:dyDescent="0.2">
      <c r="A33" t="s">
        <v>841</v>
      </c>
    </row>
    <row r="34" spans="1:1" x14ac:dyDescent="0.2">
      <c r="A34" t="s">
        <v>853</v>
      </c>
    </row>
  </sheetData>
  <sortState xmlns:xlrd2="http://schemas.microsoft.com/office/spreadsheetml/2017/richdata2" ref="A11:A17">
    <sortCondition ref="A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Allied</vt:lpstr>
      <vt:lpstr>Bore Logic </vt:lpstr>
      <vt:lpstr>MSB</vt:lpstr>
      <vt:lpstr>Hydrotec </vt:lpstr>
      <vt:lpstr>DBR</vt:lpstr>
      <vt:lpstr>Subsurface</vt:lpstr>
      <vt:lpstr>Future Drilling</vt:lpstr>
      <vt:lpstr>Thermogrout</vt:lpstr>
      <vt:lpstr>Rates</vt:lpstr>
      <vt:lpstr>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Hornibrook</dc:creator>
  <cp:keywords/>
  <dc:description/>
  <cp:lastModifiedBy>Simon Sergides</cp:lastModifiedBy>
  <cp:revision/>
  <dcterms:created xsi:type="dcterms:W3CDTF">2025-06-05T09:28:57Z</dcterms:created>
  <dcterms:modified xsi:type="dcterms:W3CDTF">2026-04-29T16:06:59Z</dcterms:modified>
  <cp:category/>
  <cp:contentStatus/>
</cp:coreProperties>
</file>